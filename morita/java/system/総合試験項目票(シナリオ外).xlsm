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obuyuki.Sakurai\Documents\@Traning\制作\テスト\"/>
    </mc:Choice>
  </mc:AlternateContent>
  <xr:revisionPtr revIDLastSave="0" documentId="13_ncr:1_{C5E22B65-1CEE-4B3E-B24A-DBD336693029}" xr6:coauthVersionLast="33" xr6:coauthVersionMax="33" xr10:uidLastSave="{00000000-0000-0000-0000-000000000000}"/>
  <bookViews>
    <workbookView xWindow="32768" yWindow="30" windowWidth="19185" windowHeight="4755" activeTab="1" xr2:uid="{00000000-000D-0000-FFFF-FFFF00000000}"/>
  </bookViews>
  <sheets>
    <sheet name="Generator" sheetId="5" r:id="rId1"/>
    <sheet name="試験概要" sheetId="58" r:id="rId2"/>
    <sheet name="試験票" sheetId="53" r:id="rId3"/>
    <sheet name="B004" sheetId="60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__CHK01">#REF!</definedName>
    <definedName name="___CHK02">#REF!</definedName>
    <definedName name="___CHK03">#REF!</definedName>
    <definedName name="___CHK04">#REF!</definedName>
    <definedName name="___CHK05">#REF!</definedName>
    <definedName name="__CHK01">#REF!</definedName>
    <definedName name="__CHK02">#REF!</definedName>
    <definedName name="__CHK03">#REF!</definedName>
    <definedName name="__CHK04">#REF!</definedName>
    <definedName name="__CHK05" localSheetId="3">#REF!</definedName>
    <definedName name="__CHK05" localSheetId="2">#REF!</definedName>
    <definedName name="__CHK05">#REF!</definedName>
    <definedName name="_CHK01" localSheetId="3">#REF!</definedName>
    <definedName name="_CHK01" localSheetId="2">#REF!</definedName>
    <definedName name="_CHK01">#REF!</definedName>
    <definedName name="_CHK02" localSheetId="3">#REF!</definedName>
    <definedName name="_CHK02" localSheetId="2">#REF!</definedName>
    <definedName name="_CHK02">#REF!</definedName>
    <definedName name="_CHK03" localSheetId="3">#REF!</definedName>
    <definedName name="_CHK03" localSheetId="2">#REF!</definedName>
    <definedName name="_CHK03">#REF!</definedName>
    <definedName name="_CHK04" localSheetId="3">#REF!</definedName>
    <definedName name="_CHK04" localSheetId="2">#REF!</definedName>
    <definedName name="_CHK04">#REF!</definedName>
    <definedName name="_CHK05" localSheetId="3">#REF!</definedName>
    <definedName name="_CHK05" localSheetId="2">#REF!</definedName>
    <definedName name="_CHK05">#REF!</definedName>
    <definedName name="_D">#REF!</definedName>
    <definedName name="_E">[1]Sheet1!$EZ$2:$EZ$2</definedName>
    <definedName name="_Fill" hidden="1">#REF!</definedName>
    <definedName name="_xlnm._FilterDatabase" localSheetId="3" hidden="1">'B004'!$A$7:$AI$456</definedName>
    <definedName name="_xlnm._FilterDatabase" hidden="1">#REF!</definedName>
    <definedName name="_Key1" hidden="1">#REF!</definedName>
    <definedName name="_Order1" hidden="1">255</definedName>
    <definedName name="_Regression_X" hidden="1">#REF!</definedName>
    <definedName name="_Sort" hidden="1">#REF!</definedName>
    <definedName name="aaaaa">#REF!</definedName>
    <definedName name="ADSL">#REF!</definedName>
    <definedName name="ADSL数">#REF!</definedName>
    <definedName name="CATEGORY">#REF!</definedName>
    <definedName name="caza">#REF!</definedName>
    <definedName name="ｃｃｃ">[2]!Sort確認用</definedName>
    <definedName name="CHECK">[3]会社ﾏｽﾀ!$J$8</definedName>
    <definedName name="CreateSQL">[4]!CreateSQL</definedName>
    <definedName name="dbcount">#REF!</definedName>
    <definedName name="DU">#REF!</definedName>
    <definedName name="DU数">#REF!</definedName>
    <definedName name="ERRMSG">[5]errMsg一覧!$C$7:$C$14</definedName>
    <definedName name="FromConcordeLS" localSheetId="3">#REF!,#REF!,#REF!,#REF!,#REF!</definedName>
    <definedName name="FromConcordeLS" localSheetId="2">#REF!,#REF!,#REF!,#REF!,#REF!</definedName>
    <definedName name="FromConcordeLS">#REF!,#REF!,#REF!,#REF!,#REF!</definedName>
    <definedName name="IDX_NEXT">[3]会社ﾏｽﾀ!$N$23</definedName>
    <definedName name="IDX_PctFree">[3]会社ﾏｽﾀ!$N$21</definedName>
    <definedName name="IDX_SPACE">[3]会社ﾏｽﾀ!$N$20</definedName>
    <definedName name="IDX_Storage">[3]会社ﾏｽﾀ!$N$22</definedName>
    <definedName name="IFGS" localSheetId="3">#REF!</definedName>
    <definedName name="IFGS" localSheetId="2">#REF!</definedName>
    <definedName name="IFGS">#REF!</definedName>
    <definedName name="IFLS">#REF!</definedName>
    <definedName name="IFMALGS">#REF!</definedName>
    <definedName name="IFMALLS">#REF!</definedName>
    <definedName name="IFVPN">#REF!</definedName>
    <definedName name="in_ＡＤＳＬ利用">#REF!</definedName>
    <definedName name="in_PBﾀﾞｲﾔﾙｲﾝ・ﾓﾃﾞﾑﾀﾞｲﾔﾙｲﾝ">#REF!</definedName>
    <definedName name="in_ダイヤルイン桁数指定">#REF!</definedName>
    <definedName name="in_回線種別">#REF!</definedName>
    <definedName name="in_実回線・追加番号">#REF!</definedName>
    <definedName name="in_接続方式">#REF!</definedName>
    <definedName name="in_代表グループ">#REF!</definedName>
    <definedName name="in_代表ハント方式">#REF!</definedName>
    <definedName name="in_代表順位">#REF!</definedName>
    <definedName name="in_発着信専用">#REF!</definedName>
    <definedName name="in_利用有無">#REF!</definedName>
    <definedName name="INDEX">[3]会社ﾏｽﾀ!$H$8</definedName>
    <definedName name="Index_Length">[3]会社ﾏｽﾀ!$N$19</definedName>
    <definedName name="INITVALUE">[3]会社ﾏｽﾀ!$I$8</definedName>
    <definedName name="ITEM">[3]会社ﾏｽﾀ!$C$8</definedName>
    <definedName name="k" hidden="1">#REF!</definedName>
    <definedName name="KEITAI">#REF!</definedName>
    <definedName name="KETA">[3]会社ﾏｽﾀ!$E$8</definedName>
    <definedName name="KEY">[3]会社ﾏｽﾀ!$F$8</definedName>
    <definedName name="KOUTEI">#REF!</definedName>
    <definedName name="LANG">#REF!</definedName>
    <definedName name="Layout_Exp_Set" localSheetId="3">'B004'!Layout_Exp_Set</definedName>
    <definedName name="Layout_Exp_Set" localSheetId="1">試験概要!Layout_Exp_Set</definedName>
    <definedName name="Layout_Exp_Set" localSheetId="2">試験票!Layout_Exp_Set</definedName>
    <definedName name="Layout_Exp_Set">[0]!Layout_Exp_Set</definedName>
    <definedName name="Layout_Exp_Set2" localSheetId="3">'B004'!Layout_Exp_Set2</definedName>
    <definedName name="Layout_Exp_Set2" localSheetId="1">試験概要!Layout_Exp_Set2</definedName>
    <definedName name="Layout_Exp_Set2" localSheetId="2">試験票!Layout_Exp_Set2</definedName>
    <definedName name="Layout_Exp_Set2">[0]!Layout_Exp_Set2</definedName>
    <definedName name="Layout_Exp_Set3" localSheetId="3">'B004'!Layout_Exp_Set3</definedName>
    <definedName name="Layout_Exp_Set3" localSheetId="1">試験概要!Layout_Exp_Set3</definedName>
    <definedName name="Layout_Exp_Set3" localSheetId="2">試験票!Layout_Exp_Set3</definedName>
    <definedName name="Layout_Exp_Set3">[0]!Layout_Exp_Set3</definedName>
    <definedName name="LIST_ACTION">#REF!</definedName>
    <definedName name="LIST_EVENT">#REF!</definedName>
    <definedName name="LIST_FORM">#REF!</definedName>
    <definedName name="LIST_IO">#REF!</definedName>
    <definedName name="LIST_JPTBL">#REF!</definedName>
    <definedName name="LIST_OBJ">#REF!</definedName>
    <definedName name="LIST_SIZE">#REF!</definedName>
    <definedName name="LIST_TABLE">#REF!</definedName>
    <definedName name="LIST_VAL">#REF!</definedName>
    <definedName name="LIST_WIN">#REF!</definedName>
    <definedName name="maica">#REF!</definedName>
    <definedName name="NewBook☆">[2]!NewBook☆</definedName>
    <definedName name="NewBook★">[2]!NewBook★</definedName>
    <definedName name="NOTNULL">[3]会社ﾏｽﾀ!$G$8</definedName>
    <definedName name="OBJ003_SYSCONTROL">#REF!</definedName>
    <definedName name="P_ALL">#REF!</definedName>
    <definedName name="P_LOG">#REF!</definedName>
    <definedName name="ｐｒｉｎｔ">#REF!</definedName>
    <definedName name="_xlnm.Print_Area" localSheetId="3">'B004'!$A$1:$BL$456</definedName>
    <definedName name="_xlnm.Print_Area" localSheetId="2">試験票!$A$1:$AO$140</definedName>
    <definedName name="_xlnm.Print_Area">#REF!</definedName>
    <definedName name="Print_Title">#REF!</definedName>
    <definedName name="_xlnm.Print_Titles" localSheetId="3">'B004'!$6:$7</definedName>
    <definedName name="_xlnm.Print_Titles" localSheetId="2">試験票!$A:$AH,試験票!$2:$7</definedName>
    <definedName name="_xlnm.Print_Titles">#N/A</definedName>
    <definedName name="Print_Titles_MI">#REF!</definedName>
    <definedName name="Q">#REF!</definedName>
    <definedName name="ｑｑｑ">[2]!Sort完了予定</definedName>
    <definedName name="R_LOG">#REF!</definedName>
    <definedName name="Rec_Length">[3]会社ﾏｽﾀ!$N$9</definedName>
    <definedName name="Return_Menu" localSheetId="3">'B004'!Return_Menu</definedName>
    <definedName name="Return_Menu" localSheetId="1">試験概要!Return_Menu</definedName>
    <definedName name="Return_Menu" localSheetId="2">試験票!Return_Menu</definedName>
    <definedName name="Return_Menu">[0]!Return_Menu</definedName>
    <definedName name="Return_Menu2" localSheetId="3">'B004'!Return_Menu2</definedName>
    <definedName name="Return_Menu2" localSheetId="1">試験概要!Return_Menu2</definedName>
    <definedName name="Return_Menu2" localSheetId="2">試験票!Return_Menu2</definedName>
    <definedName name="Return_Menu2">[0]!Return_Menu2</definedName>
    <definedName name="SortNewBook">[2]!SortNewBook</definedName>
    <definedName name="SortモジュｰルID">[2]!SortモジュｰルID</definedName>
    <definedName name="Sort確認用">[2]!Sort確認用</definedName>
    <definedName name="Sort完了予定">[2]!Sort完了予定</definedName>
    <definedName name="Sort管理No">[2]!Sort管理No</definedName>
    <definedName name="SPUSER_SERVER_SHUBETSU">#REF!</definedName>
    <definedName name="TBL_NEXT">[3]会社ﾏｽﾀ!$N$15</definedName>
    <definedName name="TBL_PctFree">[3]会社ﾏｽﾀ!$N$12</definedName>
    <definedName name="TBL_PctUsed">[3]会社ﾏｽﾀ!$N$13</definedName>
    <definedName name="TBL_SPACE">[3]会社ﾏｽﾀ!$N$11</definedName>
    <definedName name="TBL_Storage">[3]会社ﾏｽﾀ!$N$14</definedName>
    <definedName name="TEKIYOU">#REF!</definedName>
    <definedName name="Ｔｐ名称">[6]Ｔｐ資料!$A$1:$A$120</definedName>
    <definedName name="TYPE">[3]会社ﾏｽﾀ!$D$8</definedName>
    <definedName name="UserID">[7]data!#REF!</definedName>
    <definedName name="ああ">#REF!</definedName>
    <definedName name="さああ">[3]会社ﾏｽﾀ!$J$8</definedName>
    <definedName name="テーブル物理名称">OFFSET([8]テーブル定義!$A$1,0,0,1,COUNTA([8]テーブル定義!$A$1:$IV$1))</definedName>
    <definedName name="ね表紙" hidden="1">#REF!</definedName>
    <definedName name="バリデータ">[5]選択!$A$2:$A$6</definedName>
    <definedName name="プロジェクト名">[9]表紙!$N$2</definedName>
    <definedName name="ﾛｰｶﾙ得意先マスタ">#REF!</definedName>
    <definedName name="ﾛｰｶﾙ得意先商品マスタ">#REF!</definedName>
    <definedName name="科目コード表抽出クエリ">#REF!</definedName>
    <definedName name="回線">#REF!</definedName>
    <definedName name="回線数">#REF!</definedName>
    <definedName name="勘定科目①">[10]Sheet1!$F$4:$F$6</definedName>
    <definedName name="関連表" hidden="1">#REF!</definedName>
    <definedName name="項番１" localSheetId="3">#REF!</definedName>
    <definedName name="項番１" localSheetId="2">#REF!</definedName>
    <definedName name="項番１">#REF!</definedName>
    <definedName name="項目☆">[2]!項目☆</definedName>
    <definedName name="項目ＤＢ">[11]項目一覧!$A$3:$D$2998</definedName>
    <definedName name="項目一覧">[12]項目一覧!$C$7:$C$28</definedName>
    <definedName name="作成者">[9]表紙!$N$7</definedName>
    <definedName name="作成日">[9]表紙!$N$9</definedName>
    <definedName name="集計" localSheetId="3">[2]!集計</definedName>
    <definedName name="集計">[2]!集計</definedName>
    <definedName name="重複">[8]凡例!$C$8:$C$9</definedName>
    <definedName name="条件式">#REF!</definedName>
    <definedName name="申込数">#REF!</definedName>
    <definedName name="請求ＤＢ">#REF!</definedName>
    <definedName name="電話帳数">#REF!</definedName>
    <definedName name="版数">[9]表紙!$N$6</definedName>
    <definedName name="品目コード表抽出クエリ_GATE">#REF!</definedName>
    <definedName name="分析ﾃﾞｰﾀ">[13]データ!$A$1:$B$60</definedName>
    <definedName name="文書名">[9]表紙!$N$4</definedName>
    <definedName name="料金科目TBL">[14]料金科目テーブル!$F$1:$N$190</definedName>
  </definedNames>
  <calcPr calcId="179017"/>
</workbook>
</file>

<file path=xl/calcChain.xml><?xml version="1.0" encoding="utf-8"?>
<calcChain xmlns="http://schemas.openxmlformats.org/spreadsheetml/2006/main">
  <c r="BM418" i="60" l="1"/>
  <c r="BM399" i="60"/>
  <c r="BM448" i="60"/>
  <c r="BM429" i="60"/>
  <c r="BM388" i="60"/>
  <c r="BM369" i="60"/>
  <c r="BM358" i="60"/>
  <c r="BM339" i="60"/>
  <c r="BM328" i="60"/>
  <c r="BM309" i="60"/>
  <c r="BM298" i="60"/>
  <c r="BM279" i="60"/>
  <c r="BM268" i="60"/>
  <c r="BM249" i="60"/>
  <c r="BM238" i="60"/>
  <c r="BM219" i="60"/>
  <c r="BM208" i="60"/>
  <c r="BM189" i="60"/>
  <c r="BM178" i="60"/>
  <c r="BM159" i="60"/>
  <c r="BM148" i="60"/>
  <c r="BM129" i="60"/>
  <c r="BM118" i="60"/>
  <c r="BM99" i="60"/>
  <c r="BM88" i="60"/>
  <c r="BM69" i="60"/>
  <c r="BM58" i="60"/>
  <c r="BM39" i="60"/>
  <c r="BJ456" i="60"/>
  <c r="BJ455" i="60"/>
  <c r="BJ436" i="60"/>
  <c r="BJ435" i="60"/>
  <c r="BJ427" i="60"/>
  <c r="BJ426" i="60"/>
  <c r="BJ425" i="60"/>
  <c r="BJ406" i="60"/>
  <c r="BJ405" i="60"/>
  <c r="BJ397" i="60"/>
  <c r="BJ396" i="60"/>
  <c r="BJ395" i="60"/>
  <c r="BJ376" i="60"/>
  <c r="BJ375" i="60"/>
  <c r="BJ367" i="60"/>
  <c r="BJ366" i="60"/>
  <c r="BJ365" i="60"/>
  <c r="BJ346" i="60"/>
  <c r="BJ345" i="60"/>
  <c r="BJ337" i="60"/>
  <c r="BJ336" i="60"/>
  <c r="BJ335" i="60"/>
  <c r="BJ316" i="60"/>
  <c r="BJ315" i="60"/>
  <c r="BJ307" i="60"/>
  <c r="BJ306" i="60"/>
  <c r="BJ305" i="60"/>
  <c r="BJ286" i="60"/>
  <c r="BJ285" i="60"/>
  <c r="BJ277" i="60"/>
  <c r="BJ276" i="60"/>
  <c r="BJ275" i="60"/>
  <c r="BJ256" i="60"/>
  <c r="BJ255" i="60"/>
  <c r="BJ247" i="60"/>
  <c r="BJ246" i="60"/>
  <c r="BJ245" i="60"/>
  <c r="BJ226" i="60"/>
  <c r="BJ225" i="60"/>
  <c r="BJ217" i="60"/>
  <c r="BJ216" i="60"/>
  <c r="BJ215" i="60"/>
  <c r="BJ196" i="60"/>
  <c r="BJ195" i="60"/>
  <c r="BJ187" i="60"/>
  <c r="BJ186" i="60"/>
  <c r="BJ185" i="60"/>
  <c r="BJ166" i="60"/>
  <c r="BJ165" i="60"/>
  <c r="BJ157" i="60"/>
  <c r="BJ156" i="60"/>
  <c r="BJ155" i="60"/>
  <c r="BJ136" i="60"/>
  <c r="BJ135" i="60"/>
  <c r="BJ127" i="60"/>
  <c r="BJ126" i="60"/>
  <c r="BJ125" i="60"/>
  <c r="BJ106" i="60"/>
  <c r="BJ105" i="60"/>
  <c r="BJ97" i="60"/>
  <c r="BJ96" i="60"/>
  <c r="BJ95" i="60"/>
  <c r="BJ76" i="60"/>
  <c r="BJ75" i="60"/>
  <c r="BJ67" i="60"/>
  <c r="BJ66" i="60"/>
  <c r="BJ65" i="60"/>
  <c r="BJ46" i="60"/>
  <c r="BJ45" i="60"/>
  <c r="BJ37" i="60"/>
  <c r="BM36" i="60"/>
  <c r="BJ36" i="60"/>
  <c r="BK36" i="60" s="1"/>
  <c r="BM35" i="60"/>
  <c r="BJ35" i="60"/>
  <c r="BK35" i="60"/>
  <c r="BM34" i="60"/>
  <c r="BM33" i="60"/>
  <c r="BL32" i="60"/>
  <c r="BL31" i="60"/>
  <c r="BM31" i="60" s="1"/>
  <c r="BL30" i="60"/>
  <c r="BL29" i="60"/>
  <c r="BM29" i="60"/>
  <c r="BL28" i="60"/>
  <c r="BJ28" i="60" s="1"/>
  <c r="BK28" i="60" s="1"/>
  <c r="BM28" i="60"/>
  <c r="BL27" i="60"/>
  <c r="BM27" i="60" s="1"/>
  <c r="BL26" i="60"/>
  <c r="BL25" i="60"/>
  <c r="BM25" i="60" s="1"/>
  <c r="BL24" i="60"/>
  <c r="BM23" i="60"/>
  <c r="BJ23" i="60"/>
  <c r="BK23" i="60" s="1"/>
  <c r="BM22" i="60"/>
  <c r="BJ22" i="60"/>
  <c r="BK22" i="60"/>
  <c r="BM21" i="60"/>
  <c r="BJ21" i="60"/>
  <c r="BK21" i="60" s="1"/>
  <c r="BL20" i="60"/>
  <c r="BL19" i="60"/>
  <c r="BL18" i="60"/>
  <c r="BL17" i="60"/>
  <c r="BL16" i="60"/>
  <c r="BM16" i="60"/>
  <c r="BL15" i="60"/>
  <c r="BM15" i="60"/>
  <c r="BJ15" i="60"/>
  <c r="BK15" i="60" s="1"/>
  <c r="BL14" i="60"/>
  <c r="BM14" i="60"/>
  <c r="BJ14" i="60"/>
  <c r="BK14" i="60"/>
  <c r="BL13" i="60"/>
  <c r="BM13" i="60"/>
  <c r="BJ13" i="60"/>
  <c r="BK13" i="60"/>
  <c r="BL12" i="60"/>
  <c r="BM12" i="60"/>
  <c r="BJ12" i="60"/>
  <c r="BK12" i="60"/>
  <c r="BL11" i="60"/>
  <c r="BM11" i="60"/>
  <c r="BK11" i="60"/>
  <c r="BM10" i="60"/>
  <c r="BJ10" i="60"/>
  <c r="BK10" i="60"/>
  <c r="BM9" i="60"/>
  <c r="BJ9" i="60"/>
  <c r="BK9" i="60" s="1"/>
  <c r="BM8" i="60"/>
  <c r="BK8" i="60"/>
  <c r="BG448" i="60"/>
  <c r="BG429" i="60"/>
  <c r="BG418" i="60"/>
  <c r="BG399" i="60"/>
  <c r="BG388" i="60"/>
  <c r="BG369" i="60"/>
  <c r="BG358" i="60"/>
  <c r="BG339" i="60"/>
  <c r="BG328" i="60"/>
  <c r="BG309" i="60"/>
  <c r="BG298" i="60"/>
  <c r="BG279" i="60"/>
  <c r="BG268" i="60"/>
  <c r="BG249" i="60"/>
  <c r="BG238" i="60"/>
  <c r="BG219" i="60"/>
  <c r="BG208" i="60"/>
  <c r="BG189" i="60"/>
  <c r="BG178" i="60"/>
  <c r="BG159" i="60"/>
  <c r="BG148" i="60"/>
  <c r="BG129" i="60"/>
  <c r="BG118" i="60"/>
  <c r="BG99" i="60"/>
  <c r="BG88" i="60"/>
  <c r="BG69" i="60"/>
  <c r="BG58" i="60"/>
  <c r="BG39" i="60"/>
  <c r="BD456" i="60"/>
  <c r="BE456" i="60" s="1"/>
  <c r="BD455" i="60"/>
  <c r="BE455" i="60" s="1"/>
  <c r="BD436" i="60"/>
  <c r="BE436" i="60" s="1"/>
  <c r="BD435" i="60"/>
  <c r="BE435" i="60" s="1"/>
  <c r="BD427" i="60"/>
  <c r="BE427" i="60" s="1"/>
  <c r="BD426" i="60"/>
  <c r="BE426" i="60" s="1"/>
  <c r="BD425" i="60"/>
  <c r="BE425" i="60" s="1"/>
  <c r="BD406" i="60"/>
  <c r="BE406" i="60" s="1"/>
  <c r="BD405" i="60"/>
  <c r="BE405" i="60" s="1"/>
  <c r="BD397" i="60"/>
  <c r="BE397" i="60" s="1"/>
  <c r="BD396" i="60"/>
  <c r="BE396" i="60" s="1"/>
  <c r="BD395" i="60"/>
  <c r="BE395" i="60" s="1"/>
  <c r="BD376" i="60"/>
  <c r="BE376" i="60" s="1"/>
  <c r="BD375" i="60"/>
  <c r="BE375" i="60" s="1"/>
  <c r="BD367" i="60"/>
  <c r="BE367" i="60" s="1"/>
  <c r="BD366" i="60"/>
  <c r="BE366" i="60" s="1"/>
  <c r="BD365" i="60"/>
  <c r="BE365" i="60" s="1"/>
  <c r="BD346" i="60"/>
  <c r="BE346" i="60" s="1"/>
  <c r="BD345" i="60"/>
  <c r="BE345" i="60" s="1"/>
  <c r="BD337" i="60"/>
  <c r="BE337" i="60" s="1"/>
  <c r="BD336" i="60"/>
  <c r="BE336" i="60" s="1"/>
  <c r="BD335" i="60"/>
  <c r="BE335" i="60" s="1"/>
  <c r="BD316" i="60"/>
  <c r="BE316" i="60" s="1"/>
  <c r="BD315" i="60"/>
  <c r="BE315" i="60" s="1"/>
  <c r="BD307" i="60"/>
  <c r="BE307" i="60" s="1"/>
  <c r="BD306" i="60"/>
  <c r="BE306" i="60" s="1"/>
  <c r="BD305" i="60"/>
  <c r="BE305" i="60" s="1"/>
  <c r="BD286" i="60"/>
  <c r="BE286" i="60" s="1"/>
  <c r="BD285" i="60"/>
  <c r="BE285" i="60" s="1"/>
  <c r="BD277" i="60"/>
  <c r="BE277" i="60" s="1"/>
  <c r="BD276" i="60"/>
  <c r="BE276" i="60" s="1"/>
  <c r="BD275" i="60"/>
  <c r="BE275" i="60" s="1"/>
  <c r="BD256" i="60"/>
  <c r="BE256" i="60" s="1"/>
  <c r="BD255" i="60"/>
  <c r="BE255" i="60" s="1"/>
  <c r="BD247" i="60"/>
  <c r="BE247" i="60"/>
  <c r="BD246" i="60"/>
  <c r="BE246" i="60" s="1"/>
  <c r="BD245" i="60"/>
  <c r="BE245" i="60"/>
  <c r="BD226" i="60"/>
  <c r="BE226" i="60" s="1"/>
  <c r="BD225" i="60"/>
  <c r="BE225" i="60"/>
  <c r="BD217" i="60"/>
  <c r="BE217" i="60" s="1"/>
  <c r="BD216" i="60"/>
  <c r="BE216" i="60"/>
  <c r="BD215" i="60"/>
  <c r="BE215" i="60" s="1"/>
  <c r="BD196" i="60"/>
  <c r="BE196" i="60"/>
  <c r="BD195" i="60"/>
  <c r="BE195" i="60" s="1"/>
  <c r="BD187" i="60"/>
  <c r="BE187" i="60"/>
  <c r="BD186" i="60"/>
  <c r="BE186" i="60" s="1"/>
  <c r="BD185" i="60"/>
  <c r="BE185" i="60"/>
  <c r="BD166" i="60"/>
  <c r="BE166" i="60" s="1"/>
  <c r="BD165" i="60"/>
  <c r="BE165" i="60"/>
  <c r="BD157" i="60"/>
  <c r="BE157" i="60" s="1"/>
  <c r="BD156" i="60"/>
  <c r="BE156" i="60"/>
  <c r="BD155" i="60"/>
  <c r="BE155" i="60" s="1"/>
  <c r="BD136" i="60"/>
  <c r="BE136" i="60"/>
  <c r="BD135" i="60"/>
  <c r="BE135" i="60" s="1"/>
  <c r="BD127" i="60"/>
  <c r="BE127" i="60"/>
  <c r="BD126" i="60"/>
  <c r="BE126" i="60" s="1"/>
  <c r="BD125" i="60"/>
  <c r="BE125" i="60"/>
  <c r="BD106" i="60"/>
  <c r="BE106" i="60" s="1"/>
  <c r="BD105" i="60"/>
  <c r="BE105" i="60"/>
  <c r="BD97" i="60"/>
  <c r="BE97" i="60" s="1"/>
  <c r="BD96" i="60"/>
  <c r="BE96" i="60" s="1"/>
  <c r="BD95" i="60"/>
  <c r="BE95" i="60" s="1"/>
  <c r="BD76" i="60"/>
  <c r="BE76" i="60" s="1"/>
  <c r="BD75" i="60"/>
  <c r="BE75" i="60" s="1"/>
  <c r="BD67" i="60"/>
  <c r="BE67" i="60" s="1"/>
  <c r="BD66" i="60"/>
  <c r="BE66" i="60" s="1"/>
  <c r="BD65" i="60"/>
  <c r="BE65" i="60" s="1"/>
  <c r="BD46" i="60"/>
  <c r="BE46" i="60" s="1"/>
  <c r="BD45" i="60"/>
  <c r="BE45" i="60" s="1"/>
  <c r="BD37" i="60"/>
  <c r="BE37" i="60" s="1"/>
  <c r="BG36" i="60"/>
  <c r="BD36" i="60"/>
  <c r="BE36" i="60"/>
  <c r="BG35" i="60"/>
  <c r="BD35" i="60"/>
  <c r="BE35" i="60" s="1"/>
  <c r="BG34" i="60"/>
  <c r="BG33" i="60"/>
  <c r="BF32" i="60"/>
  <c r="BG32" i="60" s="1"/>
  <c r="BF31" i="60"/>
  <c r="BG31" i="60" s="1"/>
  <c r="BF30" i="60"/>
  <c r="BF29" i="60"/>
  <c r="BG29" i="60"/>
  <c r="BF28" i="60"/>
  <c r="BG28" i="60"/>
  <c r="BF27" i="60"/>
  <c r="BG27" i="60"/>
  <c r="BF26" i="60"/>
  <c r="BG26" i="60"/>
  <c r="BD26" i="60"/>
  <c r="BE26" i="60"/>
  <c r="BF25" i="60"/>
  <c r="BG25" i="60"/>
  <c r="BD25" i="60"/>
  <c r="BE25" i="60"/>
  <c r="BF24" i="60"/>
  <c r="BG24" i="60"/>
  <c r="BG23" i="60"/>
  <c r="BD23" i="60"/>
  <c r="BE23" i="60" s="1"/>
  <c r="BG22" i="60"/>
  <c r="BD22" i="60"/>
  <c r="BE22" i="60"/>
  <c r="BG21" i="60"/>
  <c r="BE21" i="60"/>
  <c r="BD21" i="60"/>
  <c r="BF20" i="60"/>
  <c r="BD20" i="60" s="1"/>
  <c r="BE20" i="60" s="1"/>
  <c r="BF19" i="60"/>
  <c r="BD19" i="60"/>
  <c r="BE19" i="60" s="1"/>
  <c r="BF18" i="60"/>
  <c r="BD18" i="60" s="1"/>
  <c r="BE18" i="60"/>
  <c r="BF17" i="60"/>
  <c r="BD17" i="60"/>
  <c r="BE17" i="60" s="1"/>
  <c r="BF16" i="60"/>
  <c r="BD16" i="60" s="1"/>
  <c r="BE16" i="60" s="1"/>
  <c r="BF15" i="60"/>
  <c r="BD15" i="60"/>
  <c r="BE15" i="60" s="1"/>
  <c r="BF14" i="60"/>
  <c r="BD14" i="60" s="1"/>
  <c r="BE14" i="60"/>
  <c r="BF13" i="60"/>
  <c r="BG13" i="60"/>
  <c r="BD13" i="60"/>
  <c r="BE13" i="60"/>
  <c r="BF12" i="60"/>
  <c r="BD12" i="60"/>
  <c r="BE12" i="60" s="1"/>
  <c r="BF11" i="60"/>
  <c r="BG11" i="60" s="1"/>
  <c r="BE11" i="60"/>
  <c r="BG10" i="60"/>
  <c r="BD10" i="60"/>
  <c r="BE10" i="60" s="1"/>
  <c r="BG9" i="60"/>
  <c r="BD9" i="60"/>
  <c r="BE9" i="60"/>
  <c r="BG8" i="60"/>
  <c r="BE8" i="60"/>
  <c r="AX456" i="60"/>
  <c r="AY456" i="60"/>
  <c r="AX455" i="60"/>
  <c r="AY455" i="60"/>
  <c r="AX436" i="60"/>
  <c r="AY436" i="60"/>
  <c r="AX435" i="60"/>
  <c r="AY435" i="60"/>
  <c r="AX427" i="60"/>
  <c r="AY427" i="60"/>
  <c r="AX426" i="60"/>
  <c r="AY426" i="60"/>
  <c r="AX425" i="60"/>
  <c r="AY425" i="60"/>
  <c r="AX406" i="60"/>
  <c r="AY406" i="60" s="1"/>
  <c r="AX405" i="60"/>
  <c r="AY405" i="60"/>
  <c r="AX397" i="60"/>
  <c r="AY397" i="60"/>
  <c r="AX396" i="60"/>
  <c r="AY396" i="60"/>
  <c r="AX395" i="60"/>
  <c r="AY395" i="60"/>
  <c r="AX376" i="60"/>
  <c r="AY376" i="60"/>
  <c r="AX375" i="60"/>
  <c r="AY375" i="60"/>
  <c r="AX367" i="60"/>
  <c r="AY367" i="60"/>
  <c r="AX366" i="60"/>
  <c r="AY366" i="60"/>
  <c r="AX365" i="60"/>
  <c r="AY365" i="60"/>
  <c r="AX346" i="60"/>
  <c r="AY346" i="60"/>
  <c r="AX345" i="60"/>
  <c r="AY345" i="60"/>
  <c r="AX337" i="60"/>
  <c r="AY337" i="60"/>
  <c r="AX336" i="60"/>
  <c r="AY336" i="60"/>
  <c r="AX335" i="60"/>
  <c r="AY335" i="60"/>
  <c r="AX316" i="60"/>
  <c r="AY316" i="60"/>
  <c r="AX315" i="60"/>
  <c r="AY315" i="60"/>
  <c r="AX307" i="60"/>
  <c r="AY307" i="60"/>
  <c r="AX306" i="60"/>
  <c r="AY306" i="60"/>
  <c r="AX305" i="60"/>
  <c r="AY305" i="60"/>
  <c r="AX286" i="60"/>
  <c r="AY286" i="60"/>
  <c r="AX285" i="60"/>
  <c r="AY285" i="60" s="1"/>
  <c r="AX277" i="60"/>
  <c r="AY277" i="60"/>
  <c r="AX276" i="60"/>
  <c r="AY276" i="60" s="1"/>
  <c r="AX275" i="60"/>
  <c r="AY275" i="60"/>
  <c r="AX256" i="60"/>
  <c r="AY256" i="60" s="1"/>
  <c r="AX255" i="60"/>
  <c r="AY255" i="60"/>
  <c r="AX247" i="60"/>
  <c r="AY247" i="60" s="1"/>
  <c r="AX246" i="60"/>
  <c r="AY246" i="60"/>
  <c r="AX245" i="60"/>
  <c r="AY245" i="60" s="1"/>
  <c r="AX226" i="60"/>
  <c r="AY226" i="60"/>
  <c r="AX225" i="60"/>
  <c r="AY225" i="60" s="1"/>
  <c r="AX217" i="60"/>
  <c r="AY217" i="60"/>
  <c r="AX216" i="60"/>
  <c r="AY216" i="60" s="1"/>
  <c r="AX215" i="60"/>
  <c r="AY215" i="60"/>
  <c r="AX196" i="60"/>
  <c r="AY196" i="60" s="1"/>
  <c r="AX195" i="60"/>
  <c r="AY195" i="60"/>
  <c r="AX187" i="60"/>
  <c r="AY187" i="60" s="1"/>
  <c r="AX186" i="60"/>
  <c r="AY186" i="60"/>
  <c r="AX185" i="60"/>
  <c r="AY185" i="60" s="1"/>
  <c r="AX166" i="60"/>
  <c r="AY166" i="60" s="1"/>
  <c r="AX165" i="60"/>
  <c r="AY165" i="60"/>
  <c r="AX157" i="60"/>
  <c r="AY157" i="60"/>
  <c r="AX156" i="60"/>
  <c r="AY156" i="60"/>
  <c r="AX155" i="60"/>
  <c r="AY155" i="60"/>
  <c r="AX136" i="60"/>
  <c r="AY136" i="60"/>
  <c r="AX135" i="60"/>
  <c r="AY135" i="60"/>
  <c r="AX127" i="60"/>
  <c r="AY127" i="60"/>
  <c r="AX126" i="60"/>
  <c r="AY126" i="60" s="1"/>
  <c r="AX125" i="60"/>
  <c r="AY125" i="60"/>
  <c r="AX106" i="60"/>
  <c r="AY106" i="60"/>
  <c r="AX105" i="60"/>
  <c r="AY105" i="60"/>
  <c r="AX97" i="60"/>
  <c r="AY97" i="60"/>
  <c r="AX96" i="60"/>
  <c r="AY96" i="60"/>
  <c r="AX95" i="60"/>
  <c r="AY95" i="60"/>
  <c r="AX76" i="60"/>
  <c r="AY76" i="60"/>
  <c r="AX75" i="60"/>
  <c r="AY75" i="60" s="1"/>
  <c r="AX67" i="60"/>
  <c r="AY67" i="60"/>
  <c r="BA66" i="60"/>
  <c r="AX66" i="60"/>
  <c r="AY66" i="60"/>
  <c r="BA65" i="60"/>
  <c r="AX65" i="60"/>
  <c r="AY65" i="60"/>
  <c r="BA64" i="60"/>
  <c r="BA63" i="60"/>
  <c r="BA62" i="60"/>
  <c r="BA61" i="60"/>
  <c r="BA60" i="60"/>
  <c r="BA59" i="60"/>
  <c r="BA58" i="60"/>
  <c r="BA57" i="60"/>
  <c r="BA56" i="60"/>
  <c r="BA55" i="60"/>
  <c r="BA54" i="60"/>
  <c r="BA53" i="60"/>
  <c r="BA52" i="60"/>
  <c r="BA51" i="60"/>
  <c r="BA50" i="60"/>
  <c r="BA49" i="60"/>
  <c r="BA48" i="60"/>
  <c r="BA47" i="60"/>
  <c r="BA46" i="60"/>
  <c r="AX46" i="60"/>
  <c r="AY46" i="60"/>
  <c r="BA45" i="60"/>
  <c r="AX45" i="60"/>
  <c r="AY45" i="60"/>
  <c r="BA44" i="60"/>
  <c r="BA43" i="60"/>
  <c r="BA42" i="60"/>
  <c r="BA41" i="60"/>
  <c r="BA40" i="60"/>
  <c r="BA39" i="60"/>
  <c r="BA38" i="60"/>
  <c r="AX37" i="60"/>
  <c r="AY37" i="60"/>
  <c r="BA36" i="60"/>
  <c r="AX36" i="60"/>
  <c r="AY36" i="60"/>
  <c r="BA35" i="60"/>
  <c r="AX35" i="60"/>
  <c r="AY35" i="60" s="1"/>
  <c r="BA34" i="60"/>
  <c r="BA33" i="60"/>
  <c r="AZ32" i="60"/>
  <c r="BA32" i="60" s="1"/>
  <c r="AZ31" i="60"/>
  <c r="BA31" i="60"/>
  <c r="AZ30" i="60"/>
  <c r="AZ29" i="60"/>
  <c r="BA29" i="60"/>
  <c r="AZ28" i="60"/>
  <c r="BA28" i="60"/>
  <c r="AZ27" i="60"/>
  <c r="BA27" i="60"/>
  <c r="AZ26" i="60"/>
  <c r="AZ25" i="60"/>
  <c r="AZ24" i="60"/>
  <c r="BA24" i="60" s="1"/>
  <c r="BA23" i="60"/>
  <c r="AX23" i="60"/>
  <c r="AY23" i="60" s="1"/>
  <c r="BA22" i="60"/>
  <c r="AX22" i="60"/>
  <c r="AY22" i="60"/>
  <c r="BA21" i="60"/>
  <c r="AX21" i="60"/>
  <c r="AY21" i="60"/>
  <c r="AZ20" i="60"/>
  <c r="AX20" i="60" s="1"/>
  <c r="AY20" i="60" s="1"/>
  <c r="AZ19" i="60"/>
  <c r="AX19" i="60"/>
  <c r="AY19" i="60"/>
  <c r="AZ18" i="60"/>
  <c r="AX18" i="60"/>
  <c r="AY18" i="60"/>
  <c r="AZ17" i="60"/>
  <c r="AZ16" i="60"/>
  <c r="AZ15" i="60"/>
  <c r="AX15" i="60"/>
  <c r="AY15" i="60"/>
  <c r="AZ14" i="60"/>
  <c r="AX14" i="60"/>
  <c r="AY14" i="60"/>
  <c r="AZ13" i="60"/>
  <c r="AZ12" i="60"/>
  <c r="BA12" i="60" s="1"/>
  <c r="AX12" i="60"/>
  <c r="AY12" i="60" s="1"/>
  <c r="AZ11" i="60"/>
  <c r="BA11" i="60"/>
  <c r="AY11" i="60"/>
  <c r="BA10" i="60"/>
  <c r="AX10" i="60"/>
  <c r="AY10" i="60"/>
  <c r="BA9" i="60"/>
  <c r="AX9" i="60"/>
  <c r="AY9" i="60" s="1"/>
  <c r="BA8" i="60"/>
  <c r="AY8" i="60"/>
  <c r="AH32" i="60"/>
  <c r="AI32" i="60" s="1"/>
  <c r="AH31" i="60"/>
  <c r="AI31" i="60"/>
  <c r="AH30" i="60"/>
  <c r="AH29" i="60"/>
  <c r="AH28" i="60"/>
  <c r="AH27" i="60"/>
  <c r="AH26" i="60"/>
  <c r="AI26" i="60"/>
  <c r="AH25" i="60"/>
  <c r="AH24" i="60"/>
  <c r="AN32" i="60"/>
  <c r="AL32" i="60"/>
  <c r="AM32" i="60" s="1"/>
  <c r="AN31" i="60"/>
  <c r="AL31" i="60"/>
  <c r="AM31" i="60"/>
  <c r="AN30" i="60"/>
  <c r="AN29" i="60"/>
  <c r="AN28" i="60"/>
  <c r="AL28" i="60"/>
  <c r="AM28" i="60" s="1"/>
  <c r="AN27" i="60"/>
  <c r="AL27" i="60"/>
  <c r="AM27" i="60"/>
  <c r="AN26" i="60"/>
  <c r="AN25" i="60"/>
  <c r="AL25" i="60"/>
  <c r="AM25" i="60"/>
  <c r="AN24" i="60"/>
  <c r="AT32" i="60"/>
  <c r="AT31" i="60"/>
  <c r="AR31" i="60"/>
  <c r="AS31" i="60" s="1"/>
  <c r="AT30" i="60"/>
  <c r="AU30" i="60"/>
  <c r="AT29" i="60"/>
  <c r="AU29" i="60" s="1"/>
  <c r="AT28" i="60"/>
  <c r="AR28" i="60"/>
  <c r="AT27" i="60"/>
  <c r="AU27" i="60" s="1"/>
  <c r="AT26" i="60"/>
  <c r="AT25" i="60"/>
  <c r="AR25" i="60"/>
  <c r="AT24" i="60"/>
  <c r="AU24" i="60" s="1"/>
  <c r="AR26" i="60"/>
  <c r="AS26" i="60"/>
  <c r="AR456" i="60"/>
  <c r="AR455" i="60"/>
  <c r="AR436" i="60"/>
  <c r="AR435" i="60"/>
  <c r="AR427" i="60"/>
  <c r="AR426" i="60"/>
  <c r="AR425" i="60"/>
  <c r="AR406" i="60"/>
  <c r="AR405" i="60"/>
  <c r="AR397" i="60"/>
  <c r="AR396" i="60"/>
  <c r="AR395" i="60"/>
  <c r="AR394" i="60"/>
  <c r="AR376" i="60"/>
  <c r="AR375" i="60"/>
  <c r="AR367" i="60"/>
  <c r="AR366" i="60"/>
  <c r="AR365" i="60"/>
  <c r="AR346" i="60"/>
  <c r="AR345" i="60"/>
  <c r="AR337" i="60"/>
  <c r="AR336" i="60"/>
  <c r="AR335" i="60"/>
  <c r="AR316" i="60"/>
  <c r="AR315" i="60"/>
  <c r="AR307" i="60"/>
  <c r="AR306" i="60"/>
  <c r="AR305" i="60"/>
  <c r="AR286" i="60"/>
  <c r="AR285" i="60"/>
  <c r="AR277" i="60"/>
  <c r="AR276" i="60"/>
  <c r="AR275" i="60"/>
  <c r="AR256" i="60"/>
  <c r="AR255" i="60"/>
  <c r="AR247" i="60"/>
  <c r="AR246" i="60"/>
  <c r="AR245" i="60"/>
  <c r="AR226" i="60"/>
  <c r="AR225" i="60"/>
  <c r="AR217" i="60"/>
  <c r="AR216" i="60"/>
  <c r="AR215" i="60"/>
  <c r="AR196" i="60"/>
  <c r="AR195" i="60"/>
  <c r="AR187" i="60"/>
  <c r="AR186" i="60"/>
  <c r="AR185" i="60"/>
  <c r="AR166" i="60"/>
  <c r="AR165" i="60"/>
  <c r="AR157" i="60"/>
  <c r="AR156" i="60"/>
  <c r="AR155" i="60"/>
  <c r="AR136" i="60"/>
  <c r="AR135" i="60"/>
  <c r="AR127" i="60"/>
  <c r="AR126" i="60"/>
  <c r="AR125" i="60"/>
  <c r="AR106" i="60"/>
  <c r="AR105" i="60"/>
  <c r="AR97" i="60"/>
  <c r="AR96" i="60"/>
  <c r="AR95" i="60"/>
  <c r="AR76" i="60"/>
  <c r="AR75" i="60"/>
  <c r="AR67" i="60"/>
  <c r="AU66" i="60"/>
  <c r="AR66" i="60"/>
  <c r="AS66" i="60"/>
  <c r="AU65" i="60"/>
  <c r="AR65" i="60"/>
  <c r="AS65" i="60"/>
  <c r="AU64" i="60"/>
  <c r="AU63" i="60"/>
  <c r="AU62" i="60"/>
  <c r="AU61" i="60"/>
  <c r="AU60" i="60"/>
  <c r="AU59" i="60"/>
  <c r="AU58" i="60"/>
  <c r="AU57" i="60"/>
  <c r="AU56" i="60"/>
  <c r="AU55" i="60"/>
  <c r="AU54" i="60"/>
  <c r="AU53" i="60"/>
  <c r="AU52" i="60"/>
  <c r="AU51" i="60"/>
  <c r="AU50" i="60"/>
  <c r="AU49" i="60"/>
  <c r="AU48" i="60"/>
  <c r="AU47" i="60"/>
  <c r="AU46" i="60"/>
  <c r="AR46" i="60"/>
  <c r="AS46" i="60"/>
  <c r="AU45" i="60"/>
  <c r="AR45" i="60"/>
  <c r="AS45" i="60"/>
  <c r="AU44" i="60"/>
  <c r="AU43" i="60"/>
  <c r="AU42" i="60"/>
  <c r="AU41" i="60"/>
  <c r="AU40" i="60"/>
  <c r="AU39" i="60"/>
  <c r="AU38" i="60"/>
  <c r="AR37" i="60"/>
  <c r="AS37" i="60"/>
  <c r="AU36" i="60"/>
  <c r="AR36" i="60"/>
  <c r="AS36" i="60"/>
  <c r="AU35" i="60"/>
  <c r="AR35" i="60"/>
  <c r="AS35" i="60"/>
  <c r="AU34" i="60"/>
  <c r="AU33" i="60"/>
  <c r="AU32" i="60"/>
  <c r="AU31" i="60"/>
  <c r="AU23" i="60"/>
  <c r="AR23" i="60"/>
  <c r="AS23" i="60" s="1"/>
  <c r="AU22" i="60"/>
  <c r="AR22" i="60"/>
  <c r="AS22" i="60"/>
  <c r="AU21" i="60"/>
  <c r="AR21" i="60"/>
  <c r="AS21" i="60"/>
  <c r="AT20" i="60"/>
  <c r="AR20" i="60" s="1"/>
  <c r="AS20" i="60" s="1"/>
  <c r="AT19" i="60"/>
  <c r="AR19" i="60" s="1"/>
  <c r="AS19" i="60" s="1"/>
  <c r="AT18" i="60"/>
  <c r="AR18" i="60"/>
  <c r="AS18" i="60"/>
  <c r="AT17" i="60"/>
  <c r="AR17" i="60"/>
  <c r="AS17" i="60"/>
  <c r="AT16" i="60"/>
  <c r="AR16" i="60" s="1"/>
  <c r="AS16" i="60" s="1"/>
  <c r="AT15" i="60"/>
  <c r="AR15" i="60"/>
  <c r="AS15" i="60" s="1"/>
  <c r="AT14" i="60"/>
  <c r="AT13" i="60"/>
  <c r="AR13" i="60"/>
  <c r="AS13" i="60" s="1"/>
  <c r="AT12" i="60"/>
  <c r="AT11" i="60"/>
  <c r="AU11" i="60" s="1"/>
  <c r="AS11" i="60"/>
  <c r="AU10" i="60"/>
  <c r="AR10" i="60"/>
  <c r="AS10" i="60" s="1"/>
  <c r="AU9" i="60"/>
  <c r="AR9" i="60"/>
  <c r="AS9" i="60"/>
  <c r="AU8" i="60"/>
  <c r="AS8" i="60"/>
  <c r="AL456" i="60"/>
  <c r="AM456" i="60"/>
  <c r="AL455" i="60"/>
  <c r="AM455" i="60" s="1"/>
  <c r="AL436" i="60"/>
  <c r="AM436" i="60"/>
  <c r="AL435" i="60"/>
  <c r="AM435" i="60" s="1"/>
  <c r="AL427" i="60"/>
  <c r="AM427" i="60"/>
  <c r="AL426" i="60"/>
  <c r="AM426" i="60"/>
  <c r="AL425" i="60"/>
  <c r="AM425" i="60"/>
  <c r="AL406" i="60"/>
  <c r="AM406" i="60"/>
  <c r="AL405" i="60"/>
  <c r="AM405" i="60"/>
  <c r="AL397" i="60"/>
  <c r="AM397" i="60"/>
  <c r="AL396" i="60"/>
  <c r="AM396" i="60"/>
  <c r="AL395" i="60"/>
  <c r="AM395" i="60"/>
  <c r="AM386" i="60"/>
  <c r="AL376" i="60"/>
  <c r="AM376" i="60"/>
  <c r="AL375" i="60"/>
  <c r="AM375" i="60"/>
  <c r="AL367" i="60"/>
  <c r="AM367" i="60"/>
  <c r="AL366" i="60"/>
  <c r="AM366" i="60"/>
  <c r="AL365" i="60"/>
  <c r="AM365" i="60"/>
  <c r="AL348" i="60"/>
  <c r="AM348" i="60" s="1"/>
  <c r="AL346" i="60"/>
  <c r="AM346" i="60"/>
  <c r="AL345" i="60"/>
  <c r="AM345" i="60" s="1"/>
  <c r="AL337" i="60"/>
  <c r="AM337" i="60"/>
  <c r="AL336" i="60"/>
  <c r="AM336" i="60"/>
  <c r="AL335" i="60"/>
  <c r="AM335" i="60"/>
  <c r="AL316" i="60"/>
  <c r="AM316" i="60"/>
  <c r="AL315" i="60"/>
  <c r="AM315" i="60"/>
  <c r="AL307" i="60"/>
  <c r="AM307" i="60"/>
  <c r="AL306" i="60"/>
  <c r="AM306" i="60"/>
  <c r="AL305" i="60"/>
  <c r="AM305" i="60"/>
  <c r="AL286" i="60"/>
  <c r="AM286" i="60"/>
  <c r="AL285" i="60"/>
  <c r="AM285" i="60"/>
  <c r="AL277" i="60"/>
  <c r="AM277" i="60"/>
  <c r="AL276" i="60"/>
  <c r="AM276" i="60"/>
  <c r="AL275" i="60"/>
  <c r="AM275" i="60"/>
  <c r="AL256" i="60"/>
  <c r="AM256" i="60"/>
  <c r="AL255" i="60"/>
  <c r="AM255" i="60"/>
  <c r="AL247" i="60"/>
  <c r="AM247" i="60" s="1"/>
  <c r="AL246" i="60"/>
  <c r="AM246" i="60"/>
  <c r="AL245" i="60"/>
  <c r="AM245" i="60" s="1"/>
  <c r="AL226" i="60"/>
  <c r="AM226" i="60"/>
  <c r="AL225" i="60"/>
  <c r="AM225" i="60"/>
  <c r="AL217" i="60"/>
  <c r="AM217" i="60"/>
  <c r="AL216" i="60"/>
  <c r="AM216" i="60"/>
  <c r="AL215" i="60"/>
  <c r="AM215" i="60" s="1"/>
  <c r="AL196" i="60"/>
  <c r="AM196" i="60"/>
  <c r="AL195" i="60"/>
  <c r="AM195" i="60"/>
  <c r="AL187" i="60"/>
  <c r="AM187" i="60"/>
  <c r="AL186" i="60"/>
  <c r="AM186" i="60"/>
  <c r="AL185" i="60"/>
  <c r="AM185" i="60"/>
  <c r="AL166" i="60"/>
  <c r="AM166" i="60"/>
  <c r="AL165" i="60"/>
  <c r="AM165" i="60" s="1"/>
  <c r="AL157" i="60"/>
  <c r="AM157" i="60" s="1"/>
  <c r="AL156" i="60"/>
  <c r="AM156" i="60"/>
  <c r="AL155" i="60"/>
  <c r="AM155" i="60" s="1"/>
  <c r="AL136" i="60"/>
  <c r="AM136" i="60"/>
  <c r="AM135" i="60"/>
  <c r="AL135" i="60"/>
  <c r="AL127" i="60"/>
  <c r="AM127" i="60"/>
  <c r="AL126" i="60"/>
  <c r="AM126" i="60" s="1"/>
  <c r="AL125" i="60"/>
  <c r="AM125" i="60"/>
  <c r="AM106" i="60"/>
  <c r="AL106" i="60"/>
  <c r="AL105" i="60"/>
  <c r="AM105" i="60"/>
  <c r="AL97" i="60"/>
  <c r="AM97" i="60" s="1"/>
  <c r="AL96" i="60"/>
  <c r="AM96" i="60"/>
  <c r="AL95" i="60"/>
  <c r="AM95" i="60" s="1"/>
  <c r="AL76" i="60"/>
  <c r="AM76" i="60"/>
  <c r="AL75" i="60"/>
  <c r="AM75" i="60" s="1"/>
  <c r="AL67" i="60"/>
  <c r="AM67" i="60"/>
  <c r="AO66" i="60"/>
  <c r="AL66" i="60"/>
  <c r="AM66" i="60" s="1"/>
  <c r="AO65" i="60"/>
  <c r="AL65" i="60"/>
  <c r="AM65" i="60"/>
  <c r="AO64" i="60"/>
  <c r="AO63" i="60"/>
  <c r="AO62" i="60"/>
  <c r="AO61" i="60"/>
  <c r="AO60" i="60"/>
  <c r="AO59" i="60"/>
  <c r="AO58" i="60"/>
  <c r="AO57" i="60"/>
  <c r="AO56" i="60"/>
  <c r="AO55" i="60"/>
  <c r="AO54" i="60"/>
  <c r="AO53" i="60"/>
  <c r="AO52" i="60"/>
  <c r="AO51" i="60"/>
  <c r="AO50" i="60"/>
  <c r="AO49" i="60"/>
  <c r="AO48" i="60"/>
  <c r="AO47" i="60"/>
  <c r="AO46" i="60"/>
  <c r="AL46" i="60"/>
  <c r="AM46" i="60" s="1"/>
  <c r="AO45" i="60"/>
  <c r="AL45" i="60"/>
  <c r="AM45" i="60"/>
  <c r="AO44" i="60"/>
  <c r="AO43" i="60"/>
  <c r="AO42" i="60"/>
  <c r="AO41" i="60"/>
  <c r="AO40" i="60"/>
  <c r="AO39" i="60"/>
  <c r="AO38" i="60"/>
  <c r="AL37" i="60"/>
  <c r="AM37" i="60" s="1"/>
  <c r="AO36" i="60"/>
  <c r="AL36" i="60"/>
  <c r="AM36" i="60"/>
  <c r="AO35" i="60"/>
  <c r="AL35" i="60"/>
  <c r="AM35" i="60" s="1"/>
  <c r="AO34" i="60"/>
  <c r="AO33" i="60"/>
  <c r="AL26" i="60"/>
  <c r="AM26" i="60" s="1"/>
  <c r="AO23" i="60"/>
  <c r="AL23" i="60"/>
  <c r="AM23" i="60"/>
  <c r="AO22" i="60"/>
  <c r="AL22" i="60"/>
  <c r="AM22" i="60" s="1"/>
  <c r="AO21" i="60"/>
  <c r="AL21" i="60"/>
  <c r="AM21" i="60" s="1"/>
  <c r="AN20" i="60"/>
  <c r="AL20" i="60"/>
  <c r="AM20" i="60"/>
  <c r="AN19" i="60"/>
  <c r="AL19" i="60" s="1"/>
  <c r="AM19" i="60"/>
  <c r="AN18" i="60"/>
  <c r="AL18" i="60"/>
  <c r="AM18" i="60" s="1"/>
  <c r="AN17" i="60"/>
  <c r="AL17" i="60"/>
  <c r="AM17" i="60"/>
  <c r="AN16" i="60"/>
  <c r="AL16" i="60"/>
  <c r="AM16" i="60"/>
  <c r="AN15" i="60"/>
  <c r="AL15" i="60" s="1"/>
  <c r="AM15" i="60"/>
  <c r="AN14" i="60"/>
  <c r="AL14" i="60"/>
  <c r="AM14" i="60" s="1"/>
  <c r="AN13" i="60"/>
  <c r="AL13" i="60"/>
  <c r="AM13" i="60" s="1"/>
  <c r="AN12" i="60"/>
  <c r="AL12" i="60"/>
  <c r="AM12" i="60"/>
  <c r="AN11" i="60"/>
  <c r="AO11" i="60" s="1"/>
  <c r="AM11" i="60"/>
  <c r="AO10" i="60"/>
  <c r="AL10" i="60"/>
  <c r="AM10" i="60" s="1"/>
  <c r="AO9" i="60"/>
  <c r="AL9" i="60"/>
  <c r="AM9" i="60"/>
  <c r="AO8" i="60"/>
  <c r="AM8" i="60"/>
  <c r="AI66" i="60"/>
  <c r="AI65" i="60"/>
  <c r="AI64" i="60"/>
  <c r="AI63" i="60"/>
  <c r="AI62" i="60"/>
  <c r="AI61" i="60"/>
  <c r="AI60" i="60"/>
  <c r="AI59" i="60"/>
  <c r="AI58" i="60"/>
  <c r="AI57" i="60"/>
  <c r="AI56" i="60"/>
  <c r="AI55" i="60"/>
  <c r="AI54" i="60"/>
  <c r="AI53" i="60"/>
  <c r="AI52" i="60"/>
  <c r="AI51" i="60"/>
  <c r="AI50" i="60"/>
  <c r="AI49" i="60"/>
  <c r="AI48" i="60"/>
  <c r="AI47" i="60"/>
  <c r="AI46" i="60"/>
  <c r="AI45" i="60"/>
  <c r="AI44" i="60"/>
  <c r="AI43" i="60"/>
  <c r="AI42" i="60"/>
  <c r="AI41" i="60"/>
  <c r="AI40" i="60"/>
  <c r="AI39" i="60"/>
  <c r="AI38" i="60"/>
  <c r="W456" i="60"/>
  <c r="B456" i="60"/>
  <c r="W426" i="60"/>
  <c r="B426" i="60"/>
  <c r="W396" i="60"/>
  <c r="B396" i="60"/>
  <c r="W366" i="60"/>
  <c r="B366" i="60"/>
  <c r="W336" i="60"/>
  <c r="B336" i="60"/>
  <c r="W306" i="60"/>
  <c r="B306" i="60"/>
  <c r="W276" i="60"/>
  <c r="B276" i="60"/>
  <c r="W246" i="60"/>
  <c r="B246" i="60"/>
  <c r="W216" i="60"/>
  <c r="B216" i="60"/>
  <c r="W186" i="60"/>
  <c r="B186" i="60"/>
  <c r="W156" i="60"/>
  <c r="B156" i="60"/>
  <c r="W126" i="60"/>
  <c r="B126" i="60"/>
  <c r="W96" i="60"/>
  <c r="B96" i="60"/>
  <c r="B455" i="60"/>
  <c r="R454" i="60"/>
  <c r="AR454" i="60"/>
  <c r="B454" i="60"/>
  <c r="R453" i="60"/>
  <c r="B453" i="60"/>
  <c r="R452" i="60"/>
  <c r="AL452" i="60" s="1"/>
  <c r="AM452" i="60" s="1"/>
  <c r="B452" i="60"/>
  <c r="R451" i="60"/>
  <c r="AL451" i="60" s="1"/>
  <c r="AM451" i="60" s="1"/>
  <c r="B451" i="60"/>
  <c r="R450" i="60"/>
  <c r="B450" i="60"/>
  <c r="R449" i="60"/>
  <c r="AX449" i="60" s="1"/>
  <c r="AY449" i="60" s="1"/>
  <c r="AR449" i="60"/>
  <c r="B449" i="60"/>
  <c r="R448" i="60"/>
  <c r="AX448" i="60"/>
  <c r="AY448" i="60"/>
  <c r="AF448" i="60"/>
  <c r="AG448" i="60" s="1"/>
  <c r="B448" i="60"/>
  <c r="R447" i="60"/>
  <c r="AL447" i="60"/>
  <c r="AM447" i="60" s="1"/>
  <c r="B447" i="60"/>
  <c r="R446" i="60"/>
  <c r="B446" i="60"/>
  <c r="R445" i="60"/>
  <c r="B445" i="60"/>
  <c r="R444" i="60"/>
  <c r="AL444" i="60"/>
  <c r="AM444" i="60" s="1"/>
  <c r="B444" i="60"/>
  <c r="R443" i="60"/>
  <c r="AF443" i="60"/>
  <c r="AG443" i="60" s="1"/>
  <c r="B443" i="60"/>
  <c r="R442" i="60"/>
  <c r="B442" i="60"/>
  <c r="R441" i="60"/>
  <c r="B441" i="60"/>
  <c r="R440" i="60"/>
  <c r="AL440" i="60"/>
  <c r="AM440" i="60" s="1"/>
  <c r="B440" i="60"/>
  <c r="R439" i="60"/>
  <c r="B439" i="60"/>
  <c r="R438" i="60"/>
  <c r="AX438" i="60"/>
  <c r="AY438" i="60"/>
  <c r="B438" i="60"/>
  <c r="R437" i="60"/>
  <c r="B437" i="60"/>
  <c r="B436" i="60"/>
  <c r="B435" i="60"/>
  <c r="R434" i="60"/>
  <c r="B434" i="60"/>
  <c r="R433" i="60"/>
  <c r="B433" i="60"/>
  <c r="R432" i="60"/>
  <c r="B432" i="60"/>
  <c r="R431" i="60"/>
  <c r="AL431" i="60"/>
  <c r="AM431" i="60" s="1"/>
  <c r="B431" i="60"/>
  <c r="R430" i="60"/>
  <c r="B430" i="60"/>
  <c r="R429" i="60"/>
  <c r="AR429" i="60"/>
  <c r="B429" i="60"/>
  <c r="W428" i="60"/>
  <c r="R428" i="60"/>
  <c r="AL428" i="60"/>
  <c r="AM428" i="60" s="1"/>
  <c r="B428" i="60"/>
  <c r="W427" i="60"/>
  <c r="B427" i="60"/>
  <c r="B425" i="60"/>
  <c r="R424" i="60"/>
  <c r="B424" i="60"/>
  <c r="R423" i="60"/>
  <c r="AX423" i="60"/>
  <c r="AY423" i="60"/>
  <c r="B423" i="60"/>
  <c r="R422" i="60"/>
  <c r="B422" i="60"/>
  <c r="R421" i="60"/>
  <c r="B421" i="60"/>
  <c r="R420" i="60"/>
  <c r="B420" i="60"/>
  <c r="R419" i="60"/>
  <c r="AF419" i="60"/>
  <c r="AG419" i="60" s="1"/>
  <c r="B419" i="60"/>
  <c r="R418" i="60"/>
  <c r="B418" i="60"/>
  <c r="R417" i="60"/>
  <c r="B417" i="60"/>
  <c r="R416" i="60"/>
  <c r="AL416" i="60"/>
  <c r="AM416" i="60" s="1"/>
  <c r="B416" i="60"/>
  <c r="R415" i="60"/>
  <c r="B415" i="60"/>
  <c r="R414" i="60"/>
  <c r="AL414" i="60"/>
  <c r="AM414" i="60"/>
  <c r="B414" i="60"/>
  <c r="R413" i="60"/>
  <c r="B413" i="60"/>
  <c r="R412" i="60"/>
  <c r="B412" i="60"/>
  <c r="R411" i="60"/>
  <c r="AF411" i="60"/>
  <c r="AG411" i="60"/>
  <c r="B411" i="60"/>
  <c r="R410" i="60"/>
  <c r="AL410" i="60"/>
  <c r="AM410" i="60"/>
  <c r="B410" i="60"/>
  <c r="R409" i="60"/>
  <c r="AR409" i="60"/>
  <c r="B409" i="60"/>
  <c r="R408" i="60"/>
  <c r="B408" i="60"/>
  <c r="R407" i="60"/>
  <c r="B407" i="60"/>
  <c r="B406" i="60"/>
  <c r="B405" i="60"/>
  <c r="R404" i="60"/>
  <c r="AL404" i="60"/>
  <c r="AM404" i="60"/>
  <c r="B404" i="60"/>
  <c r="R403" i="60"/>
  <c r="B403" i="60"/>
  <c r="R402" i="60"/>
  <c r="AF402" i="60" s="1"/>
  <c r="AG402" i="60" s="1"/>
  <c r="B402" i="60"/>
  <c r="R401" i="60"/>
  <c r="AR401" i="60"/>
  <c r="AF401" i="60"/>
  <c r="AG401" i="60" s="1"/>
  <c r="B401" i="60"/>
  <c r="R400" i="60"/>
  <c r="AR400" i="60"/>
  <c r="B400" i="60"/>
  <c r="R399" i="60"/>
  <c r="B399" i="60"/>
  <c r="W398" i="60"/>
  <c r="R398" i="60"/>
  <c r="B398" i="60"/>
  <c r="W397" i="60"/>
  <c r="B397" i="60"/>
  <c r="B395" i="60"/>
  <c r="R394" i="60"/>
  <c r="AL394" i="60" s="1"/>
  <c r="AM394" i="60" s="1"/>
  <c r="B394" i="60"/>
  <c r="R393" i="60"/>
  <c r="AF393" i="60" s="1"/>
  <c r="AG393" i="60" s="1"/>
  <c r="B393" i="60"/>
  <c r="R392" i="60"/>
  <c r="AF392" i="60" s="1"/>
  <c r="AG392" i="60" s="1"/>
  <c r="B392" i="60"/>
  <c r="R391" i="60"/>
  <c r="B391" i="60"/>
  <c r="R390" i="60"/>
  <c r="B390" i="60"/>
  <c r="R389" i="60"/>
  <c r="B389" i="60"/>
  <c r="R388" i="60"/>
  <c r="B388" i="60"/>
  <c r="R387" i="60"/>
  <c r="B387" i="60"/>
  <c r="R386" i="60"/>
  <c r="AL386" i="60" s="1"/>
  <c r="B386" i="60"/>
  <c r="R385" i="60"/>
  <c r="B385" i="60"/>
  <c r="R384" i="60"/>
  <c r="AR384" i="60"/>
  <c r="B384" i="60"/>
  <c r="R383" i="60"/>
  <c r="B383" i="60"/>
  <c r="R382" i="60"/>
  <c r="AL382" i="60"/>
  <c r="AM382" i="60" s="1"/>
  <c r="B382" i="60"/>
  <c r="R381" i="60"/>
  <c r="B381" i="60"/>
  <c r="R380" i="60"/>
  <c r="B380" i="60"/>
  <c r="R379" i="60"/>
  <c r="B379" i="60"/>
  <c r="R378" i="60"/>
  <c r="AL378" i="60" s="1"/>
  <c r="AM378" i="60" s="1"/>
  <c r="AR378" i="60"/>
  <c r="B378" i="60"/>
  <c r="R377" i="60"/>
  <c r="BJ377" i="60" s="1"/>
  <c r="B377" i="60"/>
  <c r="B376" i="60"/>
  <c r="B375" i="60"/>
  <c r="R374" i="60"/>
  <c r="B374" i="60"/>
  <c r="R373" i="60"/>
  <c r="BD373" i="60"/>
  <c r="BE373" i="60" s="1"/>
  <c r="B373" i="60"/>
  <c r="R372" i="60"/>
  <c r="BJ372" i="60"/>
  <c r="B372" i="60"/>
  <c r="R371" i="60"/>
  <c r="B371" i="60"/>
  <c r="R370" i="60"/>
  <c r="B370" i="60"/>
  <c r="R369" i="60"/>
  <c r="BJ369" i="60"/>
  <c r="BK369" i="60"/>
  <c r="B369" i="60"/>
  <c r="W368" i="60"/>
  <c r="R368" i="60"/>
  <c r="BD368" i="60"/>
  <c r="BE368" i="60" s="1"/>
  <c r="B368" i="60"/>
  <c r="W367" i="60"/>
  <c r="B367" i="60"/>
  <c r="B365" i="60"/>
  <c r="R364" i="60"/>
  <c r="BJ364" i="60"/>
  <c r="B364" i="60"/>
  <c r="R363" i="60"/>
  <c r="B363" i="60"/>
  <c r="R362" i="60"/>
  <c r="AF362" i="60"/>
  <c r="AG362" i="60" s="1"/>
  <c r="B362" i="60"/>
  <c r="R361" i="60"/>
  <c r="B361" i="60"/>
  <c r="R360" i="60"/>
  <c r="AX360" i="60" s="1"/>
  <c r="AY360" i="60" s="1"/>
  <c r="B360" i="60"/>
  <c r="R359" i="60"/>
  <c r="AL359" i="60"/>
  <c r="AM359" i="60" s="1"/>
  <c r="B359" i="60"/>
  <c r="R358" i="60"/>
  <c r="AF358" i="60"/>
  <c r="AG358" i="60" s="1"/>
  <c r="B358" i="60"/>
  <c r="R357" i="60"/>
  <c r="B357" i="60"/>
  <c r="R356" i="60"/>
  <c r="AR356" i="60"/>
  <c r="B356" i="60"/>
  <c r="R355" i="60"/>
  <c r="B355" i="60"/>
  <c r="R354" i="60"/>
  <c r="B354" i="60"/>
  <c r="R353" i="60"/>
  <c r="AX353" i="60"/>
  <c r="AY353" i="60"/>
  <c r="B353" i="60"/>
  <c r="R352" i="60"/>
  <c r="BD352" i="60"/>
  <c r="BE352" i="60"/>
  <c r="B352" i="60"/>
  <c r="R351" i="60"/>
  <c r="AL351" i="60" s="1"/>
  <c r="AM351" i="60" s="1"/>
  <c r="B351" i="60"/>
  <c r="R350" i="60"/>
  <c r="AF350" i="60" s="1"/>
  <c r="AG350" i="60" s="1"/>
  <c r="B350" i="60"/>
  <c r="R349" i="60"/>
  <c r="AR349" i="60" s="1"/>
  <c r="B349" i="60"/>
  <c r="R348" i="60"/>
  <c r="B348" i="60"/>
  <c r="R347" i="60"/>
  <c r="AF347" i="60"/>
  <c r="AG347" i="60"/>
  <c r="B347" i="60"/>
  <c r="B346" i="60"/>
  <c r="B345" i="60"/>
  <c r="R344" i="60"/>
  <c r="B344" i="60"/>
  <c r="R343" i="60"/>
  <c r="B343" i="60"/>
  <c r="R342" i="60"/>
  <c r="AL342" i="60" s="1"/>
  <c r="AM342" i="60" s="1"/>
  <c r="B342" i="60"/>
  <c r="R341" i="60"/>
  <c r="AR341" i="60"/>
  <c r="B341" i="60"/>
  <c r="R340" i="60"/>
  <c r="B340" i="60"/>
  <c r="R339" i="60"/>
  <c r="AL339" i="60"/>
  <c r="AM339" i="60" s="1"/>
  <c r="B339" i="60"/>
  <c r="W338" i="60"/>
  <c r="R338" i="60"/>
  <c r="B338" i="60"/>
  <c r="W337" i="60"/>
  <c r="B337" i="60"/>
  <c r="B335" i="60"/>
  <c r="R334" i="60"/>
  <c r="B334" i="60"/>
  <c r="R333" i="60"/>
  <c r="BD333" i="60"/>
  <c r="BE333" i="60" s="1"/>
  <c r="B333" i="60"/>
  <c r="R332" i="60"/>
  <c r="AL332" i="60"/>
  <c r="AM332" i="60" s="1"/>
  <c r="B332" i="60"/>
  <c r="R331" i="60"/>
  <c r="B331" i="60"/>
  <c r="R330" i="60"/>
  <c r="B330" i="60"/>
  <c r="R329" i="60"/>
  <c r="B329" i="60"/>
  <c r="R328" i="60"/>
  <c r="B328" i="60"/>
  <c r="R327" i="60"/>
  <c r="B327" i="60"/>
  <c r="R326" i="60"/>
  <c r="AX326" i="60"/>
  <c r="AY326" i="60"/>
  <c r="B326" i="60"/>
  <c r="R325" i="60"/>
  <c r="B325" i="60"/>
  <c r="R324" i="60"/>
  <c r="B324" i="60"/>
  <c r="R323" i="60"/>
  <c r="B323" i="60"/>
  <c r="R322" i="60"/>
  <c r="AL322" i="60"/>
  <c r="AM322" i="60" s="1"/>
  <c r="B322" i="60"/>
  <c r="R321" i="60"/>
  <c r="B321" i="60"/>
  <c r="R320" i="60"/>
  <c r="B320" i="60"/>
  <c r="R319" i="60"/>
  <c r="B319" i="60"/>
  <c r="R318" i="60"/>
  <c r="B318" i="60"/>
  <c r="R317" i="60"/>
  <c r="B317" i="60"/>
  <c r="B316" i="60"/>
  <c r="B315" i="60"/>
  <c r="R314" i="60"/>
  <c r="AF314" i="60"/>
  <c r="AG314" i="60" s="1"/>
  <c r="B314" i="60"/>
  <c r="R313" i="60"/>
  <c r="B313" i="60"/>
  <c r="R312" i="60"/>
  <c r="AR312" i="60"/>
  <c r="B312" i="60"/>
  <c r="R311" i="60"/>
  <c r="B311" i="60"/>
  <c r="R310" i="60"/>
  <c r="AL310" i="60" s="1"/>
  <c r="AM310" i="60" s="1"/>
  <c r="AR310" i="60"/>
  <c r="AF310" i="60"/>
  <c r="AG310" i="60" s="1"/>
  <c r="B310" i="60"/>
  <c r="R309" i="60"/>
  <c r="AX309" i="60"/>
  <c r="AY309" i="60" s="1"/>
  <c r="B309" i="60"/>
  <c r="W308" i="60"/>
  <c r="R308" i="60"/>
  <c r="B308" i="60"/>
  <c r="W307" i="60"/>
  <c r="B307" i="60"/>
  <c r="B305" i="60"/>
  <c r="R304" i="60"/>
  <c r="B304" i="60"/>
  <c r="R303" i="60"/>
  <c r="BD303" i="60"/>
  <c r="BE303" i="60" s="1"/>
  <c r="B303" i="60"/>
  <c r="R302" i="60"/>
  <c r="B302" i="60"/>
  <c r="R301" i="60"/>
  <c r="AR301" i="60"/>
  <c r="B301" i="60"/>
  <c r="R300" i="60"/>
  <c r="B300" i="60"/>
  <c r="R299" i="60"/>
  <c r="B299" i="60"/>
  <c r="R298" i="60"/>
  <c r="B298" i="60"/>
  <c r="R297" i="60"/>
  <c r="AR297" i="60"/>
  <c r="B297" i="60"/>
  <c r="R296" i="60"/>
  <c r="AL296" i="60"/>
  <c r="AM296" i="60"/>
  <c r="B296" i="60"/>
  <c r="R295" i="60"/>
  <c r="AL295" i="60"/>
  <c r="AM295" i="60"/>
  <c r="B295" i="60"/>
  <c r="R294" i="60"/>
  <c r="AL294" i="60"/>
  <c r="AM294" i="60"/>
  <c r="B294" i="60"/>
  <c r="R293" i="60"/>
  <c r="B293" i="60"/>
  <c r="R292" i="60"/>
  <c r="AR292" i="60"/>
  <c r="B292" i="60"/>
  <c r="R291" i="60"/>
  <c r="B291" i="60"/>
  <c r="R290" i="60"/>
  <c r="AL290" i="60" s="1"/>
  <c r="AM290" i="60" s="1"/>
  <c r="B290" i="60"/>
  <c r="R289" i="60"/>
  <c r="B289" i="60"/>
  <c r="R288" i="60"/>
  <c r="B288" i="60"/>
  <c r="R287" i="60"/>
  <c r="AL287" i="60" s="1"/>
  <c r="AM287" i="60" s="1"/>
  <c r="B287" i="60"/>
  <c r="B286" i="60"/>
  <c r="B285" i="60"/>
  <c r="R284" i="60"/>
  <c r="BJ284" i="60"/>
  <c r="B284" i="60"/>
  <c r="R283" i="60"/>
  <c r="B283" i="60"/>
  <c r="R282" i="60"/>
  <c r="B282" i="60"/>
  <c r="R281" i="60"/>
  <c r="B281" i="60"/>
  <c r="R280" i="60"/>
  <c r="BD280" i="60"/>
  <c r="BE280" i="60" s="1"/>
  <c r="B280" i="60"/>
  <c r="R279" i="60"/>
  <c r="B279" i="60"/>
  <c r="W278" i="60"/>
  <c r="R278" i="60"/>
  <c r="BD278" i="60"/>
  <c r="BE278" i="60"/>
  <c r="B278" i="60"/>
  <c r="W277" i="60"/>
  <c r="B277" i="60"/>
  <c r="B275" i="60"/>
  <c r="R274" i="60"/>
  <c r="BD274" i="60"/>
  <c r="BE274" i="60"/>
  <c r="B274" i="60"/>
  <c r="R273" i="60"/>
  <c r="AR273" i="60"/>
  <c r="B273" i="60"/>
  <c r="R272" i="60"/>
  <c r="AR272" i="60" s="1"/>
  <c r="B272" i="60"/>
  <c r="R271" i="60"/>
  <c r="AL271" i="60"/>
  <c r="AM271" i="60" s="1"/>
  <c r="B271" i="60"/>
  <c r="R270" i="60"/>
  <c r="B270" i="60"/>
  <c r="R269" i="60"/>
  <c r="BJ269" i="60"/>
  <c r="B269" i="60"/>
  <c r="R268" i="60"/>
  <c r="BJ268" i="60" s="1"/>
  <c r="BK268" i="60" s="1"/>
  <c r="B268" i="60"/>
  <c r="R267" i="60"/>
  <c r="B267" i="60"/>
  <c r="R266" i="60"/>
  <c r="BD266" i="60"/>
  <c r="BE266" i="60"/>
  <c r="B266" i="60"/>
  <c r="R265" i="60"/>
  <c r="B265" i="60"/>
  <c r="R264" i="60"/>
  <c r="B264" i="60"/>
  <c r="R263" i="60"/>
  <c r="B263" i="60"/>
  <c r="R262" i="60"/>
  <c r="AL262" i="60" s="1"/>
  <c r="AM262" i="60" s="1"/>
  <c r="B262" i="60"/>
  <c r="R261" i="60"/>
  <c r="AF261" i="60" s="1"/>
  <c r="AG261" i="60" s="1"/>
  <c r="B261" i="60"/>
  <c r="R260" i="60"/>
  <c r="B260" i="60"/>
  <c r="R259" i="60"/>
  <c r="AF259" i="60" s="1"/>
  <c r="B259" i="60"/>
  <c r="R258" i="60"/>
  <c r="B258" i="60"/>
  <c r="R257" i="60"/>
  <c r="B257" i="60"/>
  <c r="B256" i="60"/>
  <c r="B255" i="60"/>
  <c r="R254" i="60"/>
  <c r="AL254" i="60"/>
  <c r="AM254" i="60"/>
  <c r="B254" i="60"/>
  <c r="R253" i="60"/>
  <c r="B253" i="60"/>
  <c r="R252" i="60"/>
  <c r="B252" i="60"/>
  <c r="R251" i="60"/>
  <c r="B251" i="60"/>
  <c r="R250" i="60"/>
  <c r="AR250" i="60" s="1"/>
  <c r="B250" i="60"/>
  <c r="R249" i="60"/>
  <c r="AL249" i="60"/>
  <c r="AM249" i="60" s="1"/>
  <c r="B249" i="60"/>
  <c r="W248" i="60"/>
  <c r="R248" i="60"/>
  <c r="B248" i="60"/>
  <c r="W247" i="60"/>
  <c r="B247" i="60"/>
  <c r="B245" i="60"/>
  <c r="R244" i="60"/>
  <c r="B244" i="60"/>
  <c r="R243" i="60"/>
  <c r="AR243" i="60"/>
  <c r="B243" i="60"/>
  <c r="R242" i="60"/>
  <c r="AL242" i="60"/>
  <c r="AM242" i="60"/>
  <c r="B242" i="60"/>
  <c r="R241" i="60"/>
  <c r="BD241" i="60"/>
  <c r="BE241" i="60"/>
  <c r="B241" i="60"/>
  <c r="R240" i="60"/>
  <c r="AR240" i="60"/>
  <c r="B240" i="60"/>
  <c r="R239" i="60"/>
  <c r="AL239" i="60"/>
  <c r="AM239" i="60"/>
  <c r="B239" i="60"/>
  <c r="R238" i="60"/>
  <c r="B238" i="60"/>
  <c r="R237" i="60"/>
  <c r="BJ237" i="60"/>
  <c r="B237" i="60"/>
  <c r="R236" i="60"/>
  <c r="AX236" i="60"/>
  <c r="AY236" i="60"/>
  <c r="B236" i="60"/>
  <c r="R235" i="60"/>
  <c r="B235" i="60"/>
  <c r="R234" i="60"/>
  <c r="AR234" i="60" s="1"/>
  <c r="B234" i="60"/>
  <c r="R233" i="60"/>
  <c r="BJ233" i="60"/>
  <c r="B233" i="60"/>
  <c r="R232" i="60"/>
  <c r="B232" i="60"/>
  <c r="R231" i="60"/>
  <c r="BD231" i="60" s="1"/>
  <c r="BE231" i="60" s="1"/>
  <c r="B231" i="60"/>
  <c r="R230" i="60"/>
  <c r="B230" i="60"/>
  <c r="R229" i="60"/>
  <c r="B229" i="60"/>
  <c r="R228" i="60"/>
  <c r="B228" i="60"/>
  <c r="R227" i="60"/>
  <c r="B227" i="60"/>
  <c r="B226" i="60"/>
  <c r="B225" i="60"/>
  <c r="R224" i="60"/>
  <c r="B224" i="60"/>
  <c r="R223" i="60"/>
  <c r="B223" i="60"/>
  <c r="R222" i="60"/>
  <c r="BJ222" i="60"/>
  <c r="B222" i="60"/>
  <c r="R221" i="60"/>
  <c r="BD221" i="60"/>
  <c r="BE221" i="60"/>
  <c r="B221" i="60"/>
  <c r="R220" i="60"/>
  <c r="B220" i="60"/>
  <c r="R219" i="60"/>
  <c r="B219" i="60"/>
  <c r="W218" i="60"/>
  <c r="R218" i="60"/>
  <c r="B218" i="60"/>
  <c r="W217" i="60"/>
  <c r="B217" i="60"/>
  <c r="B215" i="60"/>
  <c r="R214" i="60"/>
  <c r="AL214" i="60"/>
  <c r="AM214" i="60" s="1"/>
  <c r="B214" i="60"/>
  <c r="R213" i="60"/>
  <c r="B213" i="60"/>
  <c r="R212" i="60"/>
  <c r="B212" i="60"/>
  <c r="R211" i="60"/>
  <c r="B211" i="60"/>
  <c r="R210" i="60"/>
  <c r="BD210" i="60"/>
  <c r="BE210" i="60"/>
  <c r="B210" i="60"/>
  <c r="R209" i="60"/>
  <c r="BJ209" i="60"/>
  <c r="B209" i="60"/>
  <c r="R208" i="60"/>
  <c r="B208" i="60"/>
  <c r="R207" i="60"/>
  <c r="AL207" i="60"/>
  <c r="AM207" i="60"/>
  <c r="B207" i="60"/>
  <c r="R206" i="60"/>
  <c r="B206" i="60"/>
  <c r="R205" i="60"/>
  <c r="BJ205" i="60" s="1"/>
  <c r="B205" i="60"/>
  <c r="R204" i="60"/>
  <c r="AL204" i="60" s="1"/>
  <c r="AM204" i="60" s="1"/>
  <c r="B204" i="60"/>
  <c r="R203" i="60"/>
  <c r="B203" i="60"/>
  <c r="R202" i="60"/>
  <c r="B202" i="60"/>
  <c r="R201" i="60"/>
  <c r="AX201" i="60" s="1"/>
  <c r="AY201" i="60" s="1"/>
  <c r="B201" i="60"/>
  <c r="R200" i="60"/>
  <c r="AR200" i="60" s="1"/>
  <c r="B200" i="60"/>
  <c r="R199" i="60"/>
  <c r="AF199" i="60" s="1"/>
  <c r="B199" i="60"/>
  <c r="R198" i="60"/>
  <c r="B198" i="60"/>
  <c r="R197" i="60"/>
  <c r="AX197" i="60" s="1"/>
  <c r="AY197" i="60" s="1"/>
  <c r="B197" i="60"/>
  <c r="B196" i="60"/>
  <c r="B195" i="60"/>
  <c r="R194" i="60"/>
  <c r="B194" i="60"/>
  <c r="R193" i="60"/>
  <c r="B193" i="60"/>
  <c r="R192" i="60"/>
  <c r="BJ192" i="60"/>
  <c r="B192" i="60"/>
  <c r="R191" i="60"/>
  <c r="BJ191" i="60"/>
  <c r="B191" i="60"/>
  <c r="R190" i="60"/>
  <c r="BJ190" i="60"/>
  <c r="B190" i="60"/>
  <c r="R189" i="60"/>
  <c r="B189" i="60"/>
  <c r="W188" i="60"/>
  <c r="R188" i="60"/>
  <c r="AL188" i="60" s="1"/>
  <c r="AM188" i="60" s="1"/>
  <c r="B188" i="60"/>
  <c r="W187" i="60"/>
  <c r="B187" i="60"/>
  <c r="B185" i="60"/>
  <c r="R184" i="60"/>
  <c r="B184" i="60"/>
  <c r="R183" i="60"/>
  <c r="BJ183" i="60"/>
  <c r="B183" i="60"/>
  <c r="R182" i="60"/>
  <c r="AR182" i="60" s="1"/>
  <c r="B182" i="60"/>
  <c r="R181" i="60"/>
  <c r="B181" i="60"/>
  <c r="R180" i="60"/>
  <c r="B180" i="60"/>
  <c r="R179" i="60"/>
  <c r="B179" i="60"/>
  <c r="R178" i="60"/>
  <c r="AF178" i="60"/>
  <c r="AG178" i="60"/>
  <c r="B178" i="60"/>
  <c r="R177" i="60"/>
  <c r="B177" i="60"/>
  <c r="R176" i="60"/>
  <c r="BD176" i="60"/>
  <c r="BE176" i="60" s="1"/>
  <c r="B176" i="60"/>
  <c r="R175" i="60"/>
  <c r="B175" i="60"/>
  <c r="R174" i="60"/>
  <c r="B174" i="60"/>
  <c r="R173" i="60"/>
  <c r="AL173" i="60" s="1"/>
  <c r="AM173" i="60" s="1"/>
  <c r="B173" i="60"/>
  <c r="R172" i="60"/>
  <c r="B172" i="60"/>
  <c r="R171" i="60"/>
  <c r="B171" i="60"/>
  <c r="R170" i="60"/>
  <c r="B170" i="60"/>
  <c r="R169" i="60"/>
  <c r="AL169" i="60"/>
  <c r="AM169" i="60"/>
  <c r="B169" i="60"/>
  <c r="R168" i="60"/>
  <c r="B168" i="60"/>
  <c r="R167" i="60"/>
  <c r="B167" i="60"/>
  <c r="B166" i="60"/>
  <c r="B165" i="60"/>
  <c r="R164" i="60"/>
  <c r="B164" i="60"/>
  <c r="R163" i="60"/>
  <c r="AL163" i="60"/>
  <c r="AM163" i="60" s="1"/>
  <c r="B163" i="60"/>
  <c r="R162" i="60"/>
  <c r="B162" i="60"/>
  <c r="R161" i="60"/>
  <c r="AL161" i="60"/>
  <c r="AM161" i="60"/>
  <c r="B161" i="60"/>
  <c r="R160" i="60"/>
  <c r="AR160" i="60"/>
  <c r="B160" i="60"/>
  <c r="R159" i="60"/>
  <c r="B159" i="60"/>
  <c r="W158" i="60"/>
  <c r="R158" i="60"/>
  <c r="AR158" i="60"/>
  <c r="B158" i="60"/>
  <c r="W157" i="60"/>
  <c r="B157" i="60"/>
  <c r="B155" i="60"/>
  <c r="R154" i="60"/>
  <c r="B154" i="60"/>
  <c r="R153" i="60"/>
  <c r="B153" i="60"/>
  <c r="R152" i="60"/>
  <c r="AL152" i="60"/>
  <c r="AM152" i="60"/>
  <c r="B152" i="60"/>
  <c r="R151" i="60"/>
  <c r="B151" i="60"/>
  <c r="R150" i="60"/>
  <c r="AR150" i="60" s="1"/>
  <c r="AL150" i="60"/>
  <c r="AM150" i="60" s="1"/>
  <c r="B150" i="60"/>
  <c r="R149" i="60"/>
  <c r="AR149" i="60" s="1"/>
  <c r="B149" i="60"/>
  <c r="R148" i="60"/>
  <c r="AF148" i="60"/>
  <c r="AG148" i="60" s="1"/>
  <c r="B148" i="60"/>
  <c r="R147" i="60"/>
  <c r="B147" i="60"/>
  <c r="R146" i="60"/>
  <c r="B146" i="60"/>
  <c r="R145" i="60"/>
  <c r="B145" i="60"/>
  <c r="R144" i="60"/>
  <c r="AR144" i="60"/>
  <c r="B144" i="60"/>
  <c r="R143" i="60"/>
  <c r="BD143" i="60" s="1"/>
  <c r="BE143" i="60" s="1"/>
  <c r="B143" i="60"/>
  <c r="R142" i="60"/>
  <c r="B142" i="60"/>
  <c r="R141" i="60"/>
  <c r="B141" i="60"/>
  <c r="R140" i="60"/>
  <c r="B140" i="60"/>
  <c r="R139" i="60"/>
  <c r="AL139" i="60"/>
  <c r="AM139" i="60" s="1"/>
  <c r="B139" i="60"/>
  <c r="R138" i="60"/>
  <c r="AR138" i="60"/>
  <c r="B138" i="60"/>
  <c r="R137" i="60"/>
  <c r="AL137" i="60"/>
  <c r="AM137" i="60"/>
  <c r="B137" i="60"/>
  <c r="B136" i="60"/>
  <c r="B135" i="60"/>
  <c r="R134" i="60"/>
  <c r="B134" i="60"/>
  <c r="R133" i="60"/>
  <c r="B133" i="60"/>
  <c r="R132" i="60"/>
  <c r="AX132" i="60"/>
  <c r="AY132" i="60"/>
  <c r="B132" i="60"/>
  <c r="R131" i="60"/>
  <c r="B131" i="60"/>
  <c r="R130" i="60"/>
  <c r="AL130" i="60" s="1"/>
  <c r="AM130" i="60" s="1"/>
  <c r="AR130" i="60"/>
  <c r="B130" i="60"/>
  <c r="R129" i="60"/>
  <c r="AR129" i="60" s="1"/>
  <c r="B129" i="60"/>
  <c r="W128" i="60"/>
  <c r="R128" i="60"/>
  <c r="B128" i="60"/>
  <c r="W127" i="60"/>
  <c r="B127" i="60"/>
  <c r="B125" i="60"/>
  <c r="R124" i="60"/>
  <c r="B124" i="60"/>
  <c r="R123" i="60"/>
  <c r="AF123" i="60" s="1"/>
  <c r="B123" i="60"/>
  <c r="R122" i="60"/>
  <c r="B122" i="60"/>
  <c r="R121" i="60"/>
  <c r="AX121" i="60"/>
  <c r="AY121" i="60" s="1"/>
  <c r="B121" i="60"/>
  <c r="R120" i="60"/>
  <c r="AX120" i="60"/>
  <c r="AY120" i="60" s="1"/>
  <c r="B120" i="60"/>
  <c r="R119" i="60"/>
  <c r="B119" i="60"/>
  <c r="R118" i="60"/>
  <c r="AX118" i="60"/>
  <c r="AY118" i="60" s="1"/>
  <c r="B118" i="60"/>
  <c r="R117" i="60"/>
  <c r="AR117" i="60"/>
  <c r="B117" i="60"/>
  <c r="R116" i="60"/>
  <c r="AR116" i="60" s="1"/>
  <c r="B116" i="60"/>
  <c r="R115" i="60"/>
  <c r="B115" i="60"/>
  <c r="R114" i="60"/>
  <c r="B114" i="60"/>
  <c r="R113" i="60"/>
  <c r="B113" i="60"/>
  <c r="R112" i="60"/>
  <c r="BJ112" i="60"/>
  <c r="B112" i="60"/>
  <c r="R111" i="60"/>
  <c r="B111" i="60"/>
  <c r="R110" i="60"/>
  <c r="AF110" i="60" s="1"/>
  <c r="BD110" i="60"/>
  <c r="BE110" i="60" s="1"/>
  <c r="B110" i="60"/>
  <c r="R109" i="60"/>
  <c r="AF109" i="60" s="1"/>
  <c r="AG109" i="60" s="1"/>
  <c r="B109" i="60"/>
  <c r="R108" i="60"/>
  <c r="BJ108" i="60" s="1"/>
  <c r="B108" i="60"/>
  <c r="R107" i="60"/>
  <c r="AF107" i="60" s="1"/>
  <c r="AG107" i="60" s="1"/>
  <c r="B107" i="60"/>
  <c r="B106" i="60"/>
  <c r="B105" i="60"/>
  <c r="R104" i="60"/>
  <c r="AF104" i="60" s="1"/>
  <c r="AG104" i="60" s="1"/>
  <c r="B104" i="60"/>
  <c r="R103" i="60"/>
  <c r="B103" i="60"/>
  <c r="R102" i="60"/>
  <c r="B102" i="60"/>
  <c r="R101" i="60"/>
  <c r="B101" i="60"/>
  <c r="R100" i="60"/>
  <c r="B100" i="60"/>
  <c r="R99" i="60"/>
  <c r="B99" i="60"/>
  <c r="W98" i="60"/>
  <c r="R98" i="60"/>
  <c r="B98" i="60"/>
  <c r="W97" i="60"/>
  <c r="B97" i="60"/>
  <c r="B95" i="60"/>
  <c r="R94" i="60"/>
  <c r="BJ94" i="60"/>
  <c r="B94" i="60"/>
  <c r="R93" i="60"/>
  <c r="B93" i="60"/>
  <c r="R92" i="60"/>
  <c r="BJ92" i="60" s="1"/>
  <c r="B92" i="60"/>
  <c r="R91" i="60"/>
  <c r="B91" i="60"/>
  <c r="R90" i="60"/>
  <c r="BD90" i="60"/>
  <c r="BE90" i="60" s="1"/>
  <c r="B90" i="60"/>
  <c r="R89" i="60"/>
  <c r="AF89" i="60"/>
  <c r="AG89" i="60" s="1"/>
  <c r="B89" i="60"/>
  <c r="R88" i="60"/>
  <c r="AL88" i="60"/>
  <c r="AM88" i="60" s="1"/>
  <c r="B88" i="60"/>
  <c r="R87" i="60"/>
  <c r="BD87" i="60"/>
  <c r="BE87" i="60" s="1"/>
  <c r="B87" i="60"/>
  <c r="R86" i="60"/>
  <c r="B86" i="60"/>
  <c r="R85" i="60"/>
  <c r="B85" i="60"/>
  <c r="R84" i="60"/>
  <c r="AF84" i="60"/>
  <c r="AG84" i="60" s="1"/>
  <c r="B84" i="60"/>
  <c r="R83" i="60"/>
  <c r="AL83" i="60"/>
  <c r="AM83" i="60" s="1"/>
  <c r="B83" i="60"/>
  <c r="R82" i="60"/>
  <c r="AR82" i="60"/>
  <c r="B82" i="60"/>
  <c r="R81" i="60"/>
  <c r="AL81" i="60" s="1"/>
  <c r="AM81" i="60"/>
  <c r="B81" i="60"/>
  <c r="R80" i="60"/>
  <c r="BJ80" i="60" s="1"/>
  <c r="B80" i="60"/>
  <c r="R79" i="60"/>
  <c r="B79" i="60"/>
  <c r="R78" i="60"/>
  <c r="B78" i="60"/>
  <c r="R77" i="60"/>
  <c r="B77" i="60"/>
  <c r="B76" i="60"/>
  <c r="B75" i="60"/>
  <c r="R74" i="60"/>
  <c r="B74" i="60"/>
  <c r="R73" i="60"/>
  <c r="B73" i="60"/>
  <c r="R72" i="60"/>
  <c r="AL72" i="60"/>
  <c r="AM72" i="60"/>
  <c r="AF72" i="60"/>
  <c r="AG72" i="60" s="1"/>
  <c r="B72" i="60"/>
  <c r="R71" i="60"/>
  <c r="B71" i="60"/>
  <c r="R70" i="60"/>
  <c r="B70" i="60"/>
  <c r="R69" i="60"/>
  <c r="B69" i="60"/>
  <c r="W68" i="60"/>
  <c r="R68" i="60"/>
  <c r="B68" i="60"/>
  <c r="W67" i="60"/>
  <c r="B67" i="60"/>
  <c r="W66" i="60"/>
  <c r="B66" i="60"/>
  <c r="B65" i="60"/>
  <c r="R64" i="60"/>
  <c r="AR64" i="60"/>
  <c r="AS64" i="60" s="1"/>
  <c r="B64" i="60"/>
  <c r="R63" i="60"/>
  <c r="AX63" i="60"/>
  <c r="AY63" i="60" s="1"/>
  <c r="B63" i="60"/>
  <c r="R62" i="60"/>
  <c r="AL62" i="60"/>
  <c r="AM62" i="60" s="1"/>
  <c r="AR62" i="60"/>
  <c r="AS62" i="60" s="1"/>
  <c r="B62" i="60"/>
  <c r="R61" i="60"/>
  <c r="AX61" i="60" s="1"/>
  <c r="AY61" i="60" s="1"/>
  <c r="B61" i="60"/>
  <c r="R60" i="60"/>
  <c r="B60" i="60"/>
  <c r="R59" i="60"/>
  <c r="AL59" i="60"/>
  <c r="AM59" i="60"/>
  <c r="B59" i="60"/>
  <c r="R58" i="60"/>
  <c r="B58" i="60"/>
  <c r="R57" i="60"/>
  <c r="B57" i="60"/>
  <c r="R56" i="60"/>
  <c r="B56" i="60"/>
  <c r="R55" i="60"/>
  <c r="BD55" i="60" s="1"/>
  <c r="BE55" i="60" s="1"/>
  <c r="AL55" i="60"/>
  <c r="AM55" i="60" s="1"/>
  <c r="B55" i="60"/>
  <c r="R54" i="60"/>
  <c r="B54" i="60"/>
  <c r="R53" i="60"/>
  <c r="AF53" i="60"/>
  <c r="AG53" i="60" s="1"/>
  <c r="B53" i="60"/>
  <c r="R52" i="60"/>
  <c r="B52" i="60"/>
  <c r="R51" i="60"/>
  <c r="AF51" i="60"/>
  <c r="AG51" i="60" s="1"/>
  <c r="B51" i="60"/>
  <c r="R50" i="60"/>
  <c r="B50" i="60"/>
  <c r="R49" i="60"/>
  <c r="AF49" i="60" s="1"/>
  <c r="AG49" i="60" s="1"/>
  <c r="B49" i="60"/>
  <c r="R48" i="60"/>
  <c r="B48" i="60"/>
  <c r="R47" i="60"/>
  <c r="B47" i="60"/>
  <c r="B46" i="60"/>
  <c r="B45" i="60"/>
  <c r="R44" i="60"/>
  <c r="AF44" i="60" s="1"/>
  <c r="B44" i="60"/>
  <c r="R43" i="60"/>
  <c r="B43" i="60"/>
  <c r="R42" i="60"/>
  <c r="BD42" i="60"/>
  <c r="BE42" i="60" s="1"/>
  <c r="B42" i="60"/>
  <c r="R41" i="60"/>
  <c r="B41" i="60"/>
  <c r="R40" i="60"/>
  <c r="B40" i="60"/>
  <c r="R39" i="60"/>
  <c r="AX39" i="60"/>
  <c r="AY39" i="60" s="1"/>
  <c r="B39" i="60"/>
  <c r="W38" i="60"/>
  <c r="R38" i="60"/>
  <c r="B38" i="60"/>
  <c r="W37" i="60"/>
  <c r="B37" i="60"/>
  <c r="AF456" i="60"/>
  <c r="AG456" i="60" s="1"/>
  <c r="AF455" i="60"/>
  <c r="AG455" i="60"/>
  <c r="AF449" i="60"/>
  <c r="AG449" i="60" s="1"/>
  <c r="AF445" i="60"/>
  <c r="AG445" i="60"/>
  <c r="AF436" i="60"/>
  <c r="AG436" i="60" s="1"/>
  <c r="AF435" i="60"/>
  <c r="AG435" i="60" s="1"/>
  <c r="AF432" i="60"/>
  <c r="AG432" i="60" s="1"/>
  <c r="AF428" i="60"/>
  <c r="AG428" i="60" s="1"/>
  <c r="AG427" i="60"/>
  <c r="AF427" i="60"/>
  <c r="AF426" i="60"/>
  <c r="AG426" i="60" s="1"/>
  <c r="AF425" i="60"/>
  <c r="AG425" i="60" s="1"/>
  <c r="AF422" i="60"/>
  <c r="AG422" i="60"/>
  <c r="AF420" i="60"/>
  <c r="AG420" i="60" s="1"/>
  <c r="AF417" i="60"/>
  <c r="AG417" i="60"/>
  <c r="AF413" i="60"/>
  <c r="AG413" i="60" s="1"/>
  <c r="AF409" i="60"/>
  <c r="AG409" i="60" s="1"/>
  <c r="AF408" i="60"/>
  <c r="AG408" i="60" s="1"/>
  <c r="AF406" i="60"/>
  <c r="AG406" i="60" s="1"/>
  <c r="AF405" i="60"/>
  <c r="AG405" i="60" s="1"/>
  <c r="AF403" i="60"/>
  <c r="AG403" i="60"/>
  <c r="AF397" i="60"/>
  <c r="AG397" i="60"/>
  <c r="AF396" i="60"/>
  <c r="AG396" i="60" s="1"/>
  <c r="AF395" i="60"/>
  <c r="AG395" i="60" s="1"/>
  <c r="AF394" i="60"/>
  <c r="AG394" i="60" s="1"/>
  <c r="AF388" i="60"/>
  <c r="AG388" i="60" s="1"/>
  <c r="AF386" i="60"/>
  <c r="AG386" i="60" s="1"/>
  <c r="AF382" i="60"/>
  <c r="AG382" i="60"/>
  <c r="AF380" i="60"/>
  <c r="AG380" i="60" s="1"/>
  <c r="AF378" i="60"/>
  <c r="AG378" i="60" s="1"/>
  <c r="AF376" i="60"/>
  <c r="AG376" i="60" s="1"/>
  <c r="AF375" i="60"/>
  <c r="AG375" i="60" s="1"/>
  <c r="AF374" i="60"/>
  <c r="AG374" i="60" s="1"/>
  <c r="AF369" i="60"/>
  <c r="AG369" i="60" s="1"/>
  <c r="AF367" i="60"/>
  <c r="AG367" i="60" s="1"/>
  <c r="AF366" i="60"/>
  <c r="AG366" i="60"/>
  <c r="AF365" i="60"/>
  <c r="AG365" i="60" s="1"/>
  <c r="AF364" i="60"/>
  <c r="AG364" i="60"/>
  <c r="AF360" i="60"/>
  <c r="AG360" i="60" s="1"/>
  <c r="AF357" i="60"/>
  <c r="AG357" i="60" s="1"/>
  <c r="AF352" i="60"/>
  <c r="AG352" i="60" s="1"/>
  <c r="AF346" i="60"/>
  <c r="AG346" i="60" s="1"/>
  <c r="AF345" i="60"/>
  <c r="AG345" i="60" s="1"/>
  <c r="AF342" i="60"/>
  <c r="AG342" i="60"/>
  <c r="AF339" i="60"/>
  <c r="AG339" i="60"/>
  <c r="AF337" i="60"/>
  <c r="AG337" i="60" s="1"/>
  <c r="AF336" i="60"/>
  <c r="AG336" i="60" s="1"/>
  <c r="AF335" i="60"/>
  <c r="AG335" i="60" s="1"/>
  <c r="AF334" i="60"/>
  <c r="AG334" i="60" s="1"/>
  <c r="AF333" i="60"/>
  <c r="AG333" i="60" s="1"/>
  <c r="AF329" i="60"/>
  <c r="AG329" i="60"/>
  <c r="AF325" i="60"/>
  <c r="AG325" i="60" s="1"/>
  <c r="AF321" i="60"/>
  <c r="AG321" i="60"/>
  <c r="AF317" i="60"/>
  <c r="AG317" i="60" s="1"/>
  <c r="AF316" i="60"/>
  <c r="AG316" i="60" s="1"/>
  <c r="AF315" i="60"/>
  <c r="AG315" i="60" s="1"/>
  <c r="AF311" i="60"/>
  <c r="AG311" i="60" s="1"/>
  <c r="AF307" i="60"/>
  <c r="AG307" i="60" s="1"/>
  <c r="AF306" i="60"/>
  <c r="AG306" i="60" s="1"/>
  <c r="AF305" i="60"/>
  <c r="AG305" i="60" s="1"/>
  <c r="AF302" i="60"/>
  <c r="AG302" i="60"/>
  <c r="AF301" i="60"/>
  <c r="AG301" i="60" s="1"/>
  <c r="AF299" i="60"/>
  <c r="AG299" i="60" s="1"/>
  <c r="AF298" i="60"/>
  <c r="AG298" i="60" s="1"/>
  <c r="AF295" i="60"/>
  <c r="AG295" i="60" s="1"/>
  <c r="AF291" i="60"/>
  <c r="AG291" i="60" s="1"/>
  <c r="AF287" i="60"/>
  <c r="AG287" i="60"/>
  <c r="AF286" i="60"/>
  <c r="AG286" i="60" s="1"/>
  <c r="AF285" i="60"/>
  <c r="AG285" i="60" s="1"/>
  <c r="AF284" i="60"/>
  <c r="AG284" i="60" s="1"/>
  <c r="AF282" i="60"/>
  <c r="AG282" i="60" s="1"/>
  <c r="AF281" i="60"/>
  <c r="AG281" i="60" s="1"/>
  <c r="AF280" i="60"/>
  <c r="AG280" i="60" s="1"/>
  <c r="AF279" i="60"/>
  <c r="AG279" i="60" s="1"/>
  <c r="AF278" i="60"/>
  <c r="AG278" i="60"/>
  <c r="AF277" i="60"/>
  <c r="AG277" i="60" s="1"/>
  <c r="AF276" i="60"/>
  <c r="AG276" i="60"/>
  <c r="AF275" i="60"/>
  <c r="AG275" i="60" s="1"/>
  <c r="AF274" i="60"/>
  <c r="AG274" i="60" s="1"/>
  <c r="AF269" i="60"/>
  <c r="AG269" i="60" s="1"/>
  <c r="AF267" i="60"/>
  <c r="AG267" i="60" s="1"/>
  <c r="AF265" i="60"/>
  <c r="AG265" i="60" s="1"/>
  <c r="AF263" i="60"/>
  <c r="AG263" i="60"/>
  <c r="AG259" i="60"/>
  <c r="AF258" i="60"/>
  <c r="AG258" i="60" s="1"/>
  <c r="AF256" i="60"/>
  <c r="AG256" i="60" s="1"/>
  <c r="AF255" i="60"/>
  <c r="AG255" i="60" s="1"/>
  <c r="AF249" i="60"/>
  <c r="AG249" i="60"/>
  <c r="AF247" i="60"/>
  <c r="AG247" i="60" s="1"/>
  <c r="AF246" i="60"/>
  <c r="AG246" i="60"/>
  <c r="AF245" i="60"/>
  <c r="AG245" i="60" s="1"/>
  <c r="AF244" i="60"/>
  <c r="AG244" i="60"/>
  <c r="AF243" i="60"/>
  <c r="AG243" i="60" s="1"/>
  <c r="AF241" i="60"/>
  <c r="AG241" i="60"/>
  <c r="AF239" i="60"/>
  <c r="AG239" i="60" s="1"/>
  <c r="AF238" i="60"/>
  <c r="AG238" i="60"/>
  <c r="AF233" i="60"/>
  <c r="AG233" i="60" s="1"/>
  <c r="AF232" i="60"/>
  <c r="AG232" i="60"/>
  <c r="AF230" i="60"/>
  <c r="AG230" i="60" s="1"/>
  <c r="AF226" i="60"/>
  <c r="AG226" i="60"/>
  <c r="AF225" i="60"/>
  <c r="AG225" i="60" s="1"/>
  <c r="AF224" i="60"/>
  <c r="AG224" i="60"/>
  <c r="AF222" i="60"/>
  <c r="AG222" i="60" s="1"/>
  <c r="AF217" i="60"/>
  <c r="AG217" i="60"/>
  <c r="AF216" i="60"/>
  <c r="AG216" i="60" s="1"/>
  <c r="AF215" i="60"/>
  <c r="AG215" i="60"/>
  <c r="AF214" i="60"/>
  <c r="AG214" i="60" s="1"/>
  <c r="AF211" i="60"/>
  <c r="AG211" i="60"/>
  <c r="AF210" i="60"/>
  <c r="AG210" i="60" s="1"/>
  <c r="AF207" i="60"/>
  <c r="AG207" i="60"/>
  <c r="AF203" i="60"/>
  <c r="AG203" i="60" s="1"/>
  <c r="AG199" i="60"/>
  <c r="AF196" i="60"/>
  <c r="AG196" i="60" s="1"/>
  <c r="AF195" i="60"/>
  <c r="AG195" i="60"/>
  <c r="AF194" i="60"/>
  <c r="AG194" i="60" s="1"/>
  <c r="AF187" i="60"/>
  <c r="AG187" i="60" s="1"/>
  <c r="AF186" i="60"/>
  <c r="AG186" i="60"/>
  <c r="AF185" i="60"/>
  <c r="AG185" i="60" s="1"/>
  <c r="AF173" i="60"/>
  <c r="AG173" i="60" s="1"/>
  <c r="AF171" i="60"/>
  <c r="AG171" i="60"/>
  <c r="AF166" i="60"/>
  <c r="AG166" i="60" s="1"/>
  <c r="AF165" i="60"/>
  <c r="AG165" i="60"/>
  <c r="AF160" i="60"/>
  <c r="AG160" i="60" s="1"/>
  <c r="AF157" i="60"/>
  <c r="AG157" i="60"/>
  <c r="AF156" i="60"/>
  <c r="AG156" i="60" s="1"/>
  <c r="AF155" i="60"/>
  <c r="AG155" i="60"/>
  <c r="AF151" i="60"/>
  <c r="AG151" i="60" s="1"/>
  <c r="AF136" i="60"/>
  <c r="AG136" i="60"/>
  <c r="AF135" i="60"/>
  <c r="AG135" i="60" s="1"/>
  <c r="AF128" i="60"/>
  <c r="AG128" i="60" s="1"/>
  <c r="AF127" i="60"/>
  <c r="AG127" i="60"/>
  <c r="AF126" i="60"/>
  <c r="AG126" i="60" s="1"/>
  <c r="AF125" i="60"/>
  <c r="AG125" i="60"/>
  <c r="AF124" i="60"/>
  <c r="AG124" i="60" s="1"/>
  <c r="AG123" i="60"/>
  <c r="AF122" i="60"/>
  <c r="AG122" i="60" s="1"/>
  <c r="AF119" i="60"/>
  <c r="AG119" i="60"/>
  <c r="AF117" i="60"/>
  <c r="AG117" i="60" s="1"/>
  <c r="AF112" i="60"/>
  <c r="AG112" i="60"/>
  <c r="AF111" i="60"/>
  <c r="AG111" i="60" s="1"/>
  <c r="AF106" i="60"/>
  <c r="AG106" i="60"/>
  <c r="AF105" i="60"/>
  <c r="AG105" i="60" s="1"/>
  <c r="AF103" i="60"/>
  <c r="AG103" i="60"/>
  <c r="AF101" i="60"/>
  <c r="AG101" i="60" s="1"/>
  <c r="AF99" i="60"/>
  <c r="AG99" i="60"/>
  <c r="AF97" i="60"/>
  <c r="AG97" i="60" s="1"/>
  <c r="AF96" i="60"/>
  <c r="AG96" i="60"/>
  <c r="AF95" i="60"/>
  <c r="AG95" i="60" s="1"/>
  <c r="AF88" i="60"/>
  <c r="AG88" i="60"/>
  <c r="AF87" i="60"/>
  <c r="AG87" i="60" s="1"/>
  <c r="AF83" i="60"/>
  <c r="AG83" i="60"/>
  <c r="AF82" i="60"/>
  <c r="AG82" i="60" s="1"/>
  <c r="AF79" i="60"/>
  <c r="AG79" i="60"/>
  <c r="AF76" i="60"/>
  <c r="AG76" i="60" s="1"/>
  <c r="AF75" i="60"/>
  <c r="AG75" i="60"/>
  <c r="AF68" i="60"/>
  <c r="AG68" i="60" s="1"/>
  <c r="AF67" i="60"/>
  <c r="AG67" i="60"/>
  <c r="AF66" i="60"/>
  <c r="AG66" i="60" s="1"/>
  <c r="AF65" i="60"/>
  <c r="AG65" i="60"/>
  <c r="AF64" i="60"/>
  <c r="AG64" i="60" s="1"/>
  <c r="AF63" i="60"/>
  <c r="AG63" i="60"/>
  <c r="AF59" i="60"/>
  <c r="AG59" i="60" s="1"/>
  <c r="AF46" i="60"/>
  <c r="AG46" i="60"/>
  <c r="AF45" i="60"/>
  <c r="AG45" i="60" s="1"/>
  <c r="AG44" i="60"/>
  <c r="AF37" i="60"/>
  <c r="AG37" i="60" s="1"/>
  <c r="AI36" i="60"/>
  <c r="AF36" i="60"/>
  <c r="AG36" i="60"/>
  <c r="W36" i="60"/>
  <c r="B36" i="60"/>
  <c r="AI35" i="60"/>
  <c r="AF35" i="60"/>
  <c r="AG35" i="60" s="1"/>
  <c r="W35" i="60"/>
  <c r="B35" i="60"/>
  <c r="AI34" i="60"/>
  <c r="W34" i="60"/>
  <c r="R34" i="60"/>
  <c r="AR34" i="60"/>
  <c r="AS34" i="60"/>
  <c r="B34" i="60"/>
  <c r="AI33" i="60"/>
  <c r="W33" i="60"/>
  <c r="R33" i="60"/>
  <c r="AL33" i="60" s="1"/>
  <c r="AM33" i="60" s="1"/>
  <c r="B33" i="60"/>
  <c r="B32" i="60"/>
  <c r="AF31" i="60"/>
  <c r="AG31" i="60"/>
  <c r="B31" i="60"/>
  <c r="R30" i="60"/>
  <c r="B30" i="60"/>
  <c r="R29" i="60"/>
  <c r="B29" i="60"/>
  <c r="B28" i="60"/>
  <c r="B27" i="60"/>
  <c r="B26" i="60"/>
  <c r="P25" i="60"/>
  <c r="P26" i="60" s="1"/>
  <c r="P27" i="60" s="1"/>
  <c r="P28" i="60" s="1"/>
  <c r="P29" i="60" s="1"/>
  <c r="P30" i="60" s="1"/>
  <c r="P31" i="60" s="1"/>
  <c r="P32" i="60" s="1"/>
  <c r="P33" i="60" s="1"/>
  <c r="P34" i="60" s="1"/>
  <c r="P35" i="60" s="1"/>
  <c r="P36" i="60" s="1"/>
  <c r="P38" i="60" s="1"/>
  <c r="P39" i="60" s="1"/>
  <c r="P40" i="60" s="1"/>
  <c r="P41" i="60" s="1"/>
  <c r="P42" i="60" s="1"/>
  <c r="P43" i="60" s="1"/>
  <c r="P44" i="60" s="1"/>
  <c r="P45" i="60" s="1"/>
  <c r="P46" i="60" s="1"/>
  <c r="P47" i="60" s="1"/>
  <c r="P48" i="60" s="1"/>
  <c r="P49" i="60" s="1"/>
  <c r="P50" i="60" s="1"/>
  <c r="P51" i="60" s="1"/>
  <c r="P52" i="60" s="1"/>
  <c r="P53" i="60" s="1"/>
  <c r="P54" i="60" s="1"/>
  <c r="P55" i="60" s="1"/>
  <c r="P56" i="60" s="1"/>
  <c r="P57" i="60" s="1"/>
  <c r="P58" i="60" s="1"/>
  <c r="P59" i="60" s="1"/>
  <c r="P60" i="60" s="1"/>
  <c r="P61" i="60" s="1"/>
  <c r="P62" i="60" s="1"/>
  <c r="P63" i="60" s="1"/>
  <c r="P64" i="60" s="1"/>
  <c r="P65" i="60" s="1"/>
  <c r="P66" i="60" s="1"/>
  <c r="P68" i="60" s="1"/>
  <c r="P69" i="60" s="1"/>
  <c r="P70" i="60" s="1"/>
  <c r="P71" i="60" s="1"/>
  <c r="P72" i="60" s="1"/>
  <c r="P73" i="60" s="1"/>
  <c r="P74" i="60" s="1"/>
  <c r="P75" i="60" s="1"/>
  <c r="P76" i="60" s="1"/>
  <c r="P77" i="60" s="1"/>
  <c r="P78" i="60" s="1"/>
  <c r="P79" i="60" s="1"/>
  <c r="P80" i="60" s="1"/>
  <c r="P81" i="60" s="1"/>
  <c r="P82" i="60" s="1"/>
  <c r="P83" i="60" s="1"/>
  <c r="P84" i="60" s="1"/>
  <c r="P85" i="60" s="1"/>
  <c r="P86" i="60" s="1"/>
  <c r="P87" i="60" s="1"/>
  <c r="P88" i="60" s="1"/>
  <c r="P89" i="60" s="1"/>
  <c r="P90" i="60" s="1"/>
  <c r="P91" i="60" s="1"/>
  <c r="P92" i="60" s="1"/>
  <c r="P93" i="60" s="1"/>
  <c r="P94" i="60" s="1"/>
  <c r="P95" i="60" s="1"/>
  <c r="P96" i="60" s="1"/>
  <c r="P98" i="60" s="1"/>
  <c r="P99" i="60" s="1"/>
  <c r="P100" i="60" s="1"/>
  <c r="P101" i="60" s="1"/>
  <c r="P102" i="60" s="1"/>
  <c r="P103" i="60" s="1"/>
  <c r="P104" i="60" s="1"/>
  <c r="P105" i="60" s="1"/>
  <c r="P106" i="60" s="1"/>
  <c r="P107" i="60" s="1"/>
  <c r="P108" i="60" s="1"/>
  <c r="P109" i="60" s="1"/>
  <c r="P110" i="60" s="1"/>
  <c r="P111" i="60" s="1"/>
  <c r="P112" i="60" s="1"/>
  <c r="P113" i="60" s="1"/>
  <c r="P114" i="60" s="1"/>
  <c r="P115" i="60" s="1"/>
  <c r="P116" i="60" s="1"/>
  <c r="P117" i="60" s="1"/>
  <c r="P118" i="60" s="1"/>
  <c r="P119" i="60" s="1"/>
  <c r="P120" i="60" s="1"/>
  <c r="P121" i="60" s="1"/>
  <c r="P122" i="60" s="1"/>
  <c r="P123" i="60" s="1"/>
  <c r="P124" i="60" s="1"/>
  <c r="P125" i="60" s="1"/>
  <c r="P126" i="60" s="1"/>
  <c r="P128" i="60" s="1"/>
  <c r="P129" i="60" s="1"/>
  <c r="P130" i="60" s="1"/>
  <c r="P131" i="60" s="1"/>
  <c r="P132" i="60" s="1"/>
  <c r="P133" i="60" s="1"/>
  <c r="P134" i="60" s="1"/>
  <c r="P135" i="60" s="1"/>
  <c r="P136" i="60" s="1"/>
  <c r="P137" i="60" s="1"/>
  <c r="P138" i="60" s="1"/>
  <c r="P139" i="60" s="1"/>
  <c r="P140" i="60" s="1"/>
  <c r="P141" i="60" s="1"/>
  <c r="P142" i="60" s="1"/>
  <c r="P143" i="60" s="1"/>
  <c r="P144" i="60" s="1"/>
  <c r="P145" i="60" s="1"/>
  <c r="P146" i="60" s="1"/>
  <c r="P147" i="60" s="1"/>
  <c r="P148" i="60" s="1"/>
  <c r="P149" i="60" s="1"/>
  <c r="P150" i="60" s="1"/>
  <c r="P151" i="60" s="1"/>
  <c r="P152" i="60" s="1"/>
  <c r="P153" i="60" s="1"/>
  <c r="P154" i="60" s="1"/>
  <c r="P155" i="60" s="1"/>
  <c r="P156" i="60" s="1"/>
  <c r="P158" i="60" s="1"/>
  <c r="P159" i="60" s="1"/>
  <c r="P160" i="60" s="1"/>
  <c r="P161" i="60" s="1"/>
  <c r="P162" i="60" s="1"/>
  <c r="P163" i="60" s="1"/>
  <c r="P164" i="60" s="1"/>
  <c r="P165" i="60" s="1"/>
  <c r="P166" i="60" s="1"/>
  <c r="P167" i="60" s="1"/>
  <c r="P168" i="60" s="1"/>
  <c r="P169" i="60" s="1"/>
  <c r="P170" i="60" s="1"/>
  <c r="P171" i="60" s="1"/>
  <c r="P172" i="60" s="1"/>
  <c r="P173" i="60" s="1"/>
  <c r="P174" i="60" s="1"/>
  <c r="P175" i="60" s="1"/>
  <c r="P176" i="60" s="1"/>
  <c r="P177" i="60" s="1"/>
  <c r="P178" i="60" s="1"/>
  <c r="P179" i="60" s="1"/>
  <c r="P180" i="60" s="1"/>
  <c r="P181" i="60" s="1"/>
  <c r="P182" i="60" s="1"/>
  <c r="P183" i="60" s="1"/>
  <c r="P184" i="60" s="1"/>
  <c r="P185" i="60" s="1"/>
  <c r="P186" i="60" s="1"/>
  <c r="P188" i="60" s="1"/>
  <c r="P189" i="60" s="1"/>
  <c r="P190" i="60" s="1"/>
  <c r="P191" i="60" s="1"/>
  <c r="P192" i="60" s="1"/>
  <c r="P193" i="60" s="1"/>
  <c r="P194" i="60" s="1"/>
  <c r="P195" i="60" s="1"/>
  <c r="P196" i="60" s="1"/>
  <c r="P197" i="60" s="1"/>
  <c r="P198" i="60" s="1"/>
  <c r="P199" i="60" s="1"/>
  <c r="P200" i="60" s="1"/>
  <c r="P201" i="60" s="1"/>
  <c r="P202" i="60" s="1"/>
  <c r="P203" i="60" s="1"/>
  <c r="P204" i="60" s="1"/>
  <c r="P205" i="60" s="1"/>
  <c r="P206" i="60" s="1"/>
  <c r="P207" i="60" s="1"/>
  <c r="P208" i="60" s="1"/>
  <c r="P209" i="60" s="1"/>
  <c r="P210" i="60" s="1"/>
  <c r="P211" i="60" s="1"/>
  <c r="P212" i="60" s="1"/>
  <c r="P213" i="60" s="1"/>
  <c r="P214" i="60" s="1"/>
  <c r="P215" i="60" s="1"/>
  <c r="P216" i="60" s="1"/>
  <c r="P218" i="60" s="1"/>
  <c r="P219" i="60" s="1"/>
  <c r="P220" i="60" s="1"/>
  <c r="P221" i="60" s="1"/>
  <c r="P222" i="60" s="1"/>
  <c r="P223" i="60" s="1"/>
  <c r="P224" i="60" s="1"/>
  <c r="P225" i="60" s="1"/>
  <c r="P226" i="60" s="1"/>
  <c r="P227" i="60" s="1"/>
  <c r="P228" i="60" s="1"/>
  <c r="P229" i="60" s="1"/>
  <c r="P230" i="60" s="1"/>
  <c r="P231" i="60" s="1"/>
  <c r="P232" i="60" s="1"/>
  <c r="P233" i="60" s="1"/>
  <c r="P234" i="60" s="1"/>
  <c r="P235" i="60" s="1"/>
  <c r="P236" i="60" s="1"/>
  <c r="P237" i="60" s="1"/>
  <c r="P238" i="60" s="1"/>
  <c r="P239" i="60" s="1"/>
  <c r="P240" i="60" s="1"/>
  <c r="P241" i="60" s="1"/>
  <c r="P242" i="60" s="1"/>
  <c r="P243" i="60" s="1"/>
  <c r="P244" i="60" s="1"/>
  <c r="P245" i="60" s="1"/>
  <c r="P246" i="60" s="1"/>
  <c r="P248" i="60" s="1"/>
  <c r="P249" i="60" s="1"/>
  <c r="P250" i="60" s="1"/>
  <c r="P251" i="60" s="1"/>
  <c r="P252" i="60" s="1"/>
  <c r="P253" i="60" s="1"/>
  <c r="P254" i="60" s="1"/>
  <c r="P255" i="60" s="1"/>
  <c r="P256" i="60" s="1"/>
  <c r="P257" i="60" s="1"/>
  <c r="P258" i="60" s="1"/>
  <c r="P259" i="60" s="1"/>
  <c r="P260" i="60" s="1"/>
  <c r="P261" i="60" s="1"/>
  <c r="P262" i="60" s="1"/>
  <c r="P263" i="60" s="1"/>
  <c r="P264" i="60" s="1"/>
  <c r="P265" i="60" s="1"/>
  <c r="P266" i="60" s="1"/>
  <c r="P267" i="60" s="1"/>
  <c r="P268" i="60" s="1"/>
  <c r="P269" i="60" s="1"/>
  <c r="P270" i="60" s="1"/>
  <c r="P271" i="60" s="1"/>
  <c r="P272" i="60" s="1"/>
  <c r="P273" i="60" s="1"/>
  <c r="P274" i="60" s="1"/>
  <c r="P275" i="60" s="1"/>
  <c r="P276" i="60" s="1"/>
  <c r="P278" i="60" s="1"/>
  <c r="P279" i="60" s="1"/>
  <c r="P280" i="60" s="1"/>
  <c r="P281" i="60" s="1"/>
  <c r="P282" i="60" s="1"/>
  <c r="P283" i="60" s="1"/>
  <c r="P284" i="60" s="1"/>
  <c r="P285" i="60" s="1"/>
  <c r="P286" i="60" s="1"/>
  <c r="P287" i="60" s="1"/>
  <c r="P288" i="60" s="1"/>
  <c r="P289" i="60" s="1"/>
  <c r="P290" i="60" s="1"/>
  <c r="P291" i="60" s="1"/>
  <c r="P292" i="60" s="1"/>
  <c r="P293" i="60" s="1"/>
  <c r="P294" i="60" s="1"/>
  <c r="P295" i="60" s="1"/>
  <c r="P296" i="60" s="1"/>
  <c r="P297" i="60" s="1"/>
  <c r="P298" i="60" s="1"/>
  <c r="P299" i="60" s="1"/>
  <c r="P300" i="60" s="1"/>
  <c r="P301" i="60" s="1"/>
  <c r="P302" i="60" s="1"/>
  <c r="P303" i="60" s="1"/>
  <c r="P304" i="60" s="1"/>
  <c r="P305" i="60" s="1"/>
  <c r="P306" i="60" s="1"/>
  <c r="P308" i="60" s="1"/>
  <c r="P309" i="60" s="1"/>
  <c r="P310" i="60" s="1"/>
  <c r="P311" i="60" s="1"/>
  <c r="P312" i="60" s="1"/>
  <c r="P313" i="60" s="1"/>
  <c r="P314" i="60" s="1"/>
  <c r="P315" i="60" s="1"/>
  <c r="P316" i="60" s="1"/>
  <c r="P317" i="60" s="1"/>
  <c r="P318" i="60" s="1"/>
  <c r="P319" i="60" s="1"/>
  <c r="P320" i="60" s="1"/>
  <c r="P321" i="60" s="1"/>
  <c r="P322" i="60" s="1"/>
  <c r="P323" i="60" s="1"/>
  <c r="P324" i="60" s="1"/>
  <c r="P325" i="60" s="1"/>
  <c r="P326" i="60" s="1"/>
  <c r="P327" i="60" s="1"/>
  <c r="P328" i="60" s="1"/>
  <c r="P329" i="60" s="1"/>
  <c r="P330" i="60" s="1"/>
  <c r="P331" i="60" s="1"/>
  <c r="P332" i="60" s="1"/>
  <c r="P333" i="60" s="1"/>
  <c r="P334" i="60" s="1"/>
  <c r="P335" i="60" s="1"/>
  <c r="P336" i="60" s="1"/>
  <c r="P338" i="60" s="1"/>
  <c r="P339" i="60" s="1"/>
  <c r="P340" i="60" s="1"/>
  <c r="P341" i="60" s="1"/>
  <c r="P342" i="60" s="1"/>
  <c r="P343" i="60" s="1"/>
  <c r="P344" i="60" s="1"/>
  <c r="P345" i="60" s="1"/>
  <c r="P346" i="60" s="1"/>
  <c r="P347" i="60" s="1"/>
  <c r="P348" i="60" s="1"/>
  <c r="P349" i="60" s="1"/>
  <c r="P350" i="60" s="1"/>
  <c r="P351" i="60" s="1"/>
  <c r="P352" i="60" s="1"/>
  <c r="P353" i="60" s="1"/>
  <c r="P354" i="60" s="1"/>
  <c r="P355" i="60" s="1"/>
  <c r="P356" i="60" s="1"/>
  <c r="P357" i="60" s="1"/>
  <c r="P358" i="60" s="1"/>
  <c r="P359" i="60" s="1"/>
  <c r="P360" i="60" s="1"/>
  <c r="P361" i="60" s="1"/>
  <c r="P362" i="60" s="1"/>
  <c r="P363" i="60" s="1"/>
  <c r="P364" i="60" s="1"/>
  <c r="P365" i="60" s="1"/>
  <c r="P366" i="60" s="1"/>
  <c r="P368" i="60" s="1"/>
  <c r="P369" i="60" s="1"/>
  <c r="P370" i="60" s="1"/>
  <c r="P371" i="60" s="1"/>
  <c r="P372" i="60" s="1"/>
  <c r="P373" i="60" s="1"/>
  <c r="P374" i="60" s="1"/>
  <c r="P375" i="60" s="1"/>
  <c r="P376" i="60" s="1"/>
  <c r="P377" i="60" s="1"/>
  <c r="P378" i="60" s="1"/>
  <c r="P379" i="60" s="1"/>
  <c r="P380" i="60" s="1"/>
  <c r="P381" i="60" s="1"/>
  <c r="P382" i="60" s="1"/>
  <c r="P383" i="60" s="1"/>
  <c r="P384" i="60" s="1"/>
  <c r="P385" i="60" s="1"/>
  <c r="P386" i="60" s="1"/>
  <c r="P387" i="60" s="1"/>
  <c r="P388" i="60" s="1"/>
  <c r="P389" i="60" s="1"/>
  <c r="P390" i="60" s="1"/>
  <c r="P391" i="60" s="1"/>
  <c r="P392" i="60" s="1"/>
  <c r="P393" i="60" s="1"/>
  <c r="P394" i="60" s="1"/>
  <c r="P395" i="60" s="1"/>
  <c r="P396" i="60" s="1"/>
  <c r="P398" i="60" s="1"/>
  <c r="P399" i="60" s="1"/>
  <c r="P400" i="60" s="1"/>
  <c r="P401" i="60" s="1"/>
  <c r="P402" i="60" s="1"/>
  <c r="P403" i="60" s="1"/>
  <c r="P404" i="60" s="1"/>
  <c r="P405" i="60" s="1"/>
  <c r="P406" i="60" s="1"/>
  <c r="P407" i="60" s="1"/>
  <c r="P408" i="60" s="1"/>
  <c r="P409" i="60" s="1"/>
  <c r="P410" i="60" s="1"/>
  <c r="P411" i="60" s="1"/>
  <c r="P412" i="60" s="1"/>
  <c r="P413" i="60" s="1"/>
  <c r="P414" i="60" s="1"/>
  <c r="P415" i="60" s="1"/>
  <c r="P416" i="60" s="1"/>
  <c r="P417" i="60" s="1"/>
  <c r="P418" i="60" s="1"/>
  <c r="P419" i="60" s="1"/>
  <c r="P420" i="60" s="1"/>
  <c r="P421" i="60" s="1"/>
  <c r="P422" i="60" s="1"/>
  <c r="P423" i="60" s="1"/>
  <c r="P424" i="60" s="1"/>
  <c r="P425" i="60" s="1"/>
  <c r="P426" i="60" s="1"/>
  <c r="P428" i="60" s="1"/>
  <c r="P429" i="60" s="1"/>
  <c r="P430" i="60" s="1"/>
  <c r="P431" i="60" s="1"/>
  <c r="P432" i="60" s="1"/>
  <c r="P433" i="60" s="1"/>
  <c r="P434" i="60" s="1"/>
  <c r="P435" i="60" s="1"/>
  <c r="P436" i="60" s="1"/>
  <c r="P437" i="60" s="1"/>
  <c r="P438" i="60" s="1"/>
  <c r="P439" i="60" s="1"/>
  <c r="P440" i="60" s="1"/>
  <c r="P441" i="60" s="1"/>
  <c r="P442" i="60" s="1"/>
  <c r="P443" i="60" s="1"/>
  <c r="P444" i="60" s="1"/>
  <c r="P445" i="60" s="1"/>
  <c r="P446" i="60" s="1"/>
  <c r="P447" i="60" s="1"/>
  <c r="P448" i="60" s="1"/>
  <c r="P449" i="60" s="1"/>
  <c r="P450" i="60" s="1"/>
  <c r="P451" i="60" s="1"/>
  <c r="P452" i="60" s="1"/>
  <c r="P453" i="60" s="1"/>
  <c r="P454" i="60" s="1"/>
  <c r="P455" i="60" s="1"/>
  <c r="P456" i="60" s="1"/>
  <c r="B25" i="60"/>
  <c r="R24" i="60"/>
  <c r="AF24" i="60"/>
  <c r="AG24" i="60"/>
  <c r="B24" i="60"/>
  <c r="AI23" i="60"/>
  <c r="AF23" i="60"/>
  <c r="AG23" i="60"/>
  <c r="B23" i="60"/>
  <c r="AI22" i="60"/>
  <c r="AF22" i="60"/>
  <c r="AG22" i="60"/>
  <c r="W22" i="60"/>
  <c r="AI21" i="60"/>
  <c r="AF21" i="60"/>
  <c r="AG21" i="60"/>
  <c r="W21" i="60"/>
  <c r="AH20" i="60"/>
  <c r="AF20" i="60"/>
  <c r="AG20" i="60"/>
  <c r="AH19" i="60"/>
  <c r="AI19" i="60"/>
  <c r="AH18" i="60"/>
  <c r="AF18" i="60"/>
  <c r="AG18" i="60" s="1"/>
  <c r="W18" i="60"/>
  <c r="AH17" i="60"/>
  <c r="W17" i="60"/>
  <c r="AH16" i="60"/>
  <c r="AF16" i="60"/>
  <c r="AG16" i="60" s="1"/>
  <c r="W16" i="60"/>
  <c r="AH15" i="60"/>
  <c r="AI15" i="60"/>
  <c r="W15" i="60"/>
  <c r="AH14" i="60"/>
  <c r="AI14" i="60" s="1"/>
  <c r="W14" i="60"/>
  <c r="AH13" i="60"/>
  <c r="AF13" i="60" s="1"/>
  <c r="AG13" i="60" s="1"/>
  <c r="W13" i="60"/>
  <c r="AH12" i="60"/>
  <c r="AF12" i="60"/>
  <c r="AG12" i="60" s="1"/>
  <c r="W12" i="60"/>
  <c r="AH11" i="60"/>
  <c r="AI11" i="60"/>
  <c r="AG11" i="60"/>
  <c r="W11" i="60"/>
  <c r="AI10" i="60"/>
  <c r="AF10" i="60"/>
  <c r="AG10" i="60" s="1"/>
  <c r="W10" i="60"/>
  <c r="AI9" i="60"/>
  <c r="AF9" i="60"/>
  <c r="AG9" i="60" s="1"/>
  <c r="W9" i="60"/>
  <c r="AI8" i="60"/>
  <c r="AG8" i="60"/>
  <c r="W8" i="60"/>
  <c r="AI18" i="60"/>
  <c r="AF26" i="60"/>
  <c r="AG26" i="60" s="1"/>
  <c r="AF32" i="60"/>
  <c r="AG32" i="60"/>
  <c r="AI13" i="60"/>
  <c r="AF38" i="60"/>
  <c r="AG38" i="60" s="1"/>
  <c r="AF42" i="60"/>
  <c r="AG42" i="60"/>
  <c r="AF17" i="60"/>
  <c r="AG17" i="60" s="1"/>
  <c r="AI17" i="60"/>
  <c r="AI24" i="60"/>
  <c r="AF85" i="60"/>
  <c r="AG85" i="60" s="1"/>
  <c r="AF116" i="60"/>
  <c r="AG116" i="60" s="1"/>
  <c r="AF121" i="60"/>
  <c r="AG121" i="60" s="1"/>
  <c r="AF138" i="60"/>
  <c r="AG138" i="60"/>
  <c r="AF181" i="60"/>
  <c r="AG181" i="60"/>
  <c r="AF190" i="60"/>
  <c r="AG190" i="60" s="1"/>
  <c r="AF198" i="60"/>
  <c r="AG198" i="60"/>
  <c r="AF205" i="60"/>
  <c r="AG205" i="60" s="1"/>
  <c r="AF209" i="60"/>
  <c r="AG209" i="60" s="1"/>
  <c r="AF50" i="60"/>
  <c r="AG50" i="60" s="1"/>
  <c r="AF69" i="60"/>
  <c r="AG69" i="60"/>
  <c r="AF90" i="60"/>
  <c r="AG90" i="60" s="1"/>
  <c r="AF91" i="60"/>
  <c r="AG91" i="60"/>
  <c r="AF94" i="60"/>
  <c r="AG94" i="60" s="1"/>
  <c r="AF118" i="60"/>
  <c r="AG118" i="60"/>
  <c r="AF131" i="60"/>
  <c r="AG131" i="60" s="1"/>
  <c r="AF132" i="60"/>
  <c r="AG132" i="60" s="1"/>
  <c r="AF141" i="60"/>
  <c r="AG141" i="60" s="1"/>
  <c r="AF145" i="60"/>
  <c r="AG145" i="60"/>
  <c r="AF149" i="60"/>
  <c r="AG149" i="60" s="1"/>
  <c r="AF152" i="60"/>
  <c r="AG152" i="60"/>
  <c r="AF158" i="60"/>
  <c r="AG158" i="60" s="1"/>
  <c r="AF197" i="60"/>
  <c r="AG197" i="60" s="1"/>
  <c r="AF223" i="60"/>
  <c r="AG223" i="60" s="1"/>
  <c r="AF30" i="60"/>
  <c r="AG30" i="60" s="1"/>
  <c r="AF39" i="60"/>
  <c r="AG39" i="60"/>
  <c r="AF70" i="60"/>
  <c r="AG70" i="60" s="1"/>
  <c r="AF81" i="60"/>
  <c r="AG81" i="60"/>
  <c r="AF108" i="60"/>
  <c r="AG108" i="60" s="1"/>
  <c r="AF133" i="60"/>
  <c r="AG133" i="60" s="1"/>
  <c r="AF143" i="60"/>
  <c r="AG143" i="60" s="1"/>
  <c r="AF150" i="60"/>
  <c r="AG150" i="60"/>
  <c r="AF153" i="60"/>
  <c r="AG153" i="60" s="1"/>
  <c r="AF201" i="60"/>
  <c r="AG201" i="60"/>
  <c r="AF208" i="60"/>
  <c r="AG208" i="60" s="1"/>
  <c r="AI30" i="60"/>
  <c r="AG110" i="60"/>
  <c r="AF113" i="60"/>
  <c r="AG113" i="60"/>
  <c r="AF137" i="60"/>
  <c r="AG137" i="60"/>
  <c r="AF161" i="60"/>
  <c r="AG161" i="60"/>
  <c r="AF162" i="60"/>
  <c r="AG162" i="60"/>
  <c r="AF200" i="60"/>
  <c r="AG200" i="60"/>
  <c r="AF206" i="60"/>
  <c r="AG206" i="60"/>
  <c r="AF213" i="60"/>
  <c r="AG213" i="60"/>
  <c r="AF229" i="60"/>
  <c r="AG229" i="60"/>
  <c r="AF231" i="60"/>
  <c r="AG231" i="60"/>
  <c r="AF234" i="60"/>
  <c r="AG234" i="60"/>
  <c r="AF252" i="60"/>
  <c r="AG252" i="60"/>
  <c r="AF100" i="60"/>
  <c r="AG100" i="60"/>
  <c r="AF114" i="60"/>
  <c r="AG114" i="60"/>
  <c r="AF147" i="60"/>
  <c r="AG147" i="60"/>
  <c r="AF154" i="60"/>
  <c r="AG154" i="60"/>
  <c r="AF159" i="60"/>
  <c r="AG159" i="60"/>
  <c r="AF179" i="60"/>
  <c r="AG179" i="60"/>
  <c r="AF220" i="60"/>
  <c r="AG220" i="60"/>
  <c r="AF240" i="60"/>
  <c r="AG240" i="60"/>
  <c r="AF237" i="60"/>
  <c r="AG237" i="60"/>
  <c r="AF250" i="60"/>
  <c r="AG250" i="60"/>
  <c r="AF264" i="60"/>
  <c r="AG264" i="60"/>
  <c r="AF273" i="60"/>
  <c r="AG273" i="60"/>
  <c r="AF318" i="60"/>
  <c r="AG318" i="60"/>
  <c r="AF183" i="60"/>
  <c r="AG183" i="60"/>
  <c r="AF192" i="60"/>
  <c r="AG192" i="60"/>
  <c r="AF289" i="60"/>
  <c r="AG289" i="60"/>
  <c r="AF297" i="60"/>
  <c r="AG297" i="60"/>
  <c r="AF202" i="60"/>
  <c r="AG202" i="60"/>
  <c r="AF221" i="60"/>
  <c r="AG221" i="60"/>
  <c r="AF227" i="60"/>
  <c r="AG227" i="60"/>
  <c r="AF235" i="60"/>
  <c r="AG235" i="60"/>
  <c r="AF271" i="60"/>
  <c r="AG271" i="60"/>
  <c r="AF303" i="60"/>
  <c r="AG303" i="60"/>
  <c r="AF320" i="60"/>
  <c r="AG320" i="60"/>
  <c r="AF356" i="60"/>
  <c r="AG356" i="60"/>
  <c r="AF381" i="60"/>
  <c r="AG381" i="60"/>
  <c r="AF254" i="60"/>
  <c r="AG254" i="60"/>
  <c r="AF260" i="60"/>
  <c r="AG260" i="60"/>
  <c r="AF283" i="60"/>
  <c r="AG283" i="60"/>
  <c r="AF293" i="60"/>
  <c r="AG293" i="60"/>
  <c r="AF312" i="60"/>
  <c r="AG312" i="60"/>
  <c r="AF323" i="60"/>
  <c r="AG323" i="60"/>
  <c r="AF327" i="60"/>
  <c r="AG327" i="60"/>
  <c r="AF351" i="60"/>
  <c r="AG351" i="60"/>
  <c r="AF373" i="60"/>
  <c r="AG373" i="60"/>
  <c r="AF384" i="60"/>
  <c r="AG384" i="60"/>
  <c r="AF348" i="60"/>
  <c r="AG348" i="60"/>
  <c r="AF359" i="60"/>
  <c r="AG359" i="60"/>
  <c r="AF304" i="60"/>
  <c r="AG304" i="60"/>
  <c r="AF328" i="60"/>
  <c r="AG328" i="60"/>
  <c r="AF341" i="60"/>
  <c r="AG341" i="60"/>
  <c r="AF418" i="60"/>
  <c r="AG418" i="60"/>
  <c r="AF438" i="60"/>
  <c r="AG438" i="60"/>
  <c r="AF324" i="60"/>
  <c r="AG324" i="60"/>
  <c r="AF349" i="60"/>
  <c r="AG349" i="60"/>
  <c r="AF331" i="60"/>
  <c r="AG331" i="60"/>
  <c r="AF363" i="60"/>
  <c r="AG363" i="60"/>
  <c r="AF387" i="60"/>
  <c r="AG387" i="60"/>
  <c r="AF400" i="60"/>
  <c r="AG400" i="60"/>
  <c r="AF343" i="60"/>
  <c r="AG343" i="60"/>
  <c r="AF353" i="60"/>
  <c r="AG353" i="60"/>
  <c r="AF424" i="60"/>
  <c r="AG424" i="60"/>
  <c r="AF429" i="60"/>
  <c r="AG429" i="60"/>
  <c r="AF371" i="60"/>
  <c r="AG371" i="60"/>
  <c r="AF377" i="60"/>
  <c r="AG377" i="60"/>
  <c r="AF385" i="60"/>
  <c r="AG385" i="60"/>
  <c r="AF404" i="60"/>
  <c r="AG404" i="60"/>
  <c r="AF414" i="60"/>
  <c r="AG414" i="60"/>
  <c r="AF447" i="60"/>
  <c r="AG447" i="60"/>
  <c r="AF450" i="60"/>
  <c r="AG450" i="60"/>
  <c r="AF453" i="60"/>
  <c r="AG453" i="60"/>
  <c r="AF421" i="60"/>
  <c r="AG421" i="60"/>
  <c r="AL392" i="60"/>
  <c r="AM392" i="60"/>
  <c r="AR176" i="60"/>
  <c r="AX42" i="60"/>
  <c r="AY42" i="60" s="1"/>
  <c r="BM24" i="60"/>
  <c r="BJ24" i="60"/>
  <c r="BK24" i="60"/>
  <c r="BJ452" i="60"/>
  <c r="AI20" i="60"/>
  <c r="AF14" i="60"/>
  <c r="AG14" i="60"/>
  <c r="BJ70" i="60"/>
  <c r="AL70" i="60"/>
  <c r="AM70" i="60"/>
  <c r="BD70" i="60"/>
  <c r="BE70" i="60" s="1"/>
  <c r="AX70" i="60"/>
  <c r="AY70" i="60"/>
  <c r="AR70" i="60"/>
  <c r="BJ89" i="60"/>
  <c r="BD89" i="60"/>
  <c r="BE89" i="60"/>
  <c r="AX89" i="60"/>
  <c r="AY89" i="60" s="1"/>
  <c r="AR89" i="60"/>
  <c r="AL89" i="60"/>
  <c r="AM89" i="60"/>
  <c r="BJ91" i="60"/>
  <c r="AX91" i="60"/>
  <c r="AY91" i="60"/>
  <c r="AR91" i="60"/>
  <c r="BD91" i="60"/>
  <c r="BE91" i="60"/>
  <c r="BD93" i="60"/>
  <c r="BE93" i="60"/>
  <c r="AX93" i="60"/>
  <c r="AY93" i="60"/>
  <c r="AR93" i="60"/>
  <c r="AF93" i="60"/>
  <c r="AG93" i="60" s="1"/>
  <c r="BJ93" i="60"/>
  <c r="AL170" i="60"/>
  <c r="AM170" i="60" s="1"/>
  <c r="AX170" i="60"/>
  <c r="AY170" i="60" s="1"/>
  <c r="AR172" i="60"/>
  <c r="BJ320" i="60"/>
  <c r="BD320" i="60"/>
  <c r="BE320" i="60"/>
  <c r="AX320" i="60"/>
  <c r="AY320" i="60" s="1"/>
  <c r="AR320" i="60"/>
  <c r="AL320" i="60"/>
  <c r="AM320" i="60"/>
  <c r="BJ322" i="60"/>
  <c r="AX322" i="60"/>
  <c r="AY322" i="60"/>
  <c r="AR322" i="60"/>
  <c r="AF322" i="60"/>
  <c r="AG322" i="60"/>
  <c r="BJ324" i="60"/>
  <c r="BD324" i="60"/>
  <c r="BE324" i="60" s="1"/>
  <c r="AX324" i="60"/>
  <c r="AY324" i="60"/>
  <c r="AL324" i="60"/>
  <c r="AM324" i="60" s="1"/>
  <c r="BJ326" i="60"/>
  <c r="BD326" i="60"/>
  <c r="BE326" i="60"/>
  <c r="AF326" i="60"/>
  <c r="AG326" i="60"/>
  <c r="AR326" i="60"/>
  <c r="BJ328" i="60"/>
  <c r="BK328" i="60" s="1"/>
  <c r="AR328" i="60"/>
  <c r="AX328" i="60"/>
  <c r="AY328" i="60"/>
  <c r="BD328" i="60"/>
  <c r="BE328" i="60"/>
  <c r="AL328" i="60"/>
  <c r="AM328" i="60"/>
  <c r="BJ330" i="60"/>
  <c r="AX330" i="60"/>
  <c r="AY330" i="60"/>
  <c r="AF330" i="60"/>
  <c r="AG330" i="60" s="1"/>
  <c r="BD330" i="60"/>
  <c r="BE330" i="60"/>
  <c r="BJ363" i="60"/>
  <c r="AR363" i="60"/>
  <c r="BD363" i="60"/>
  <c r="BE363" i="60"/>
  <c r="AX363" i="60"/>
  <c r="AY363" i="60" s="1"/>
  <c r="AL363" i="60"/>
  <c r="AM363" i="60"/>
  <c r="BD370" i="60"/>
  <c r="BE370" i="60" s="1"/>
  <c r="AX370" i="60"/>
  <c r="AY370" i="60"/>
  <c r="AF370" i="60"/>
  <c r="AG370" i="60" s="1"/>
  <c r="BJ370" i="60"/>
  <c r="AR370" i="60"/>
  <c r="AX372" i="60"/>
  <c r="AY372" i="60" s="1"/>
  <c r="AF372" i="60"/>
  <c r="AG372" i="60"/>
  <c r="BD372" i="60"/>
  <c r="BE372" i="60" s="1"/>
  <c r="AR372" i="60"/>
  <c r="AL372" i="60"/>
  <c r="AM372" i="60"/>
  <c r="BJ374" i="60"/>
  <c r="BD374" i="60"/>
  <c r="BE374" i="60"/>
  <c r="AR374" i="60"/>
  <c r="AX374" i="60"/>
  <c r="AY374" i="60"/>
  <c r="AR377" i="60"/>
  <c r="AL377" i="60"/>
  <c r="AM377" i="60" s="1"/>
  <c r="AX377" i="60"/>
  <c r="AY377" i="60"/>
  <c r="BD377" i="60"/>
  <c r="BE377" i="60" s="1"/>
  <c r="BJ379" i="60"/>
  <c r="AR379" i="60"/>
  <c r="BD379" i="60"/>
  <c r="BE379" i="60" s="1"/>
  <c r="AF379" i="60"/>
  <c r="AG379" i="60"/>
  <c r="AX379" i="60"/>
  <c r="AY379" i="60" s="1"/>
  <c r="BD381" i="60"/>
  <c r="BE381" i="60"/>
  <c r="AL381" i="60"/>
  <c r="AM381" i="60" s="1"/>
  <c r="AX381" i="60"/>
  <c r="AY381" i="60"/>
  <c r="BJ381" i="60"/>
  <c r="AX424" i="60"/>
  <c r="AY424" i="60"/>
  <c r="BJ424" i="60"/>
  <c r="AR424" i="60"/>
  <c r="BD424" i="60"/>
  <c r="BE424" i="60"/>
  <c r="AL429" i="60"/>
  <c r="AM429" i="60"/>
  <c r="BJ429" i="60"/>
  <c r="BK429" i="60"/>
  <c r="AX429" i="60"/>
  <c r="AY429" i="60"/>
  <c r="BD429" i="60"/>
  <c r="BE429" i="60"/>
  <c r="AL445" i="60"/>
  <c r="AM445" i="60"/>
  <c r="BJ445" i="60"/>
  <c r="AX445" i="60"/>
  <c r="AY445" i="60"/>
  <c r="AR445" i="60"/>
  <c r="BD447" i="60"/>
  <c r="BE447" i="60"/>
  <c r="AX447" i="60"/>
  <c r="AY447" i="60"/>
  <c r="AR447" i="60"/>
  <c r="BJ447" i="60"/>
  <c r="AL91" i="60"/>
  <c r="AM91" i="60"/>
  <c r="AL326" i="60"/>
  <c r="AM326" i="60"/>
  <c r="AL370" i="60"/>
  <c r="AM370" i="60"/>
  <c r="AR324" i="60"/>
  <c r="AR381" i="60"/>
  <c r="AL29" i="60"/>
  <c r="AM29" i="60"/>
  <c r="AF28" i="60"/>
  <c r="AG28" i="60"/>
  <c r="AI28" i="60"/>
  <c r="BD33" i="60"/>
  <c r="BE33" i="60" s="1"/>
  <c r="AR33" i="60"/>
  <c r="AS33" i="60"/>
  <c r="BJ33" i="60"/>
  <c r="BK33" i="60" s="1"/>
  <c r="AX33" i="60"/>
  <c r="AY33" i="60"/>
  <c r="BJ34" i="60"/>
  <c r="BK34" i="60" s="1"/>
  <c r="BD34" i="60"/>
  <c r="BE34" i="60"/>
  <c r="AX34" i="60"/>
  <c r="AY34" i="60" s="1"/>
  <c r="BD41" i="60"/>
  <c r="BE41" i="60"/>
  <c r="AX41" i="60"/>
  <c r="AY41" i="60" s="1"/>
  <c r="AR41" i="60"/>
  <c r="AS41" i="60"/>
  <c r="AL41" i="60"/>
  <c r="AM41" i="60" s="1"/>
  <c r="BJ41" i="60"/>
  <c r="BJ43" i="60"/>
  <c r="AR43" i="60"/>
  <c r="AS43" i="60" s="1"/>
  <c r="AL43" i="60"/>
  <c r="AM43" i="60"/>
  <c r="AF43" i="60"/>
  <c r="AG43" i="60" s="1"/>
  <c r="BD43" i="60"/>
  <c r="BE43" i="60"/>
  <c r="AX43" i="60"/>
  <c r="AY43" i="60" s="1"/>
  <c r="AF48" i="60"/>
  <c r="AG48" i="60" s="1"/>
  <c r="BJ50" i="60"/>
  <c r="BD50" i="60"/>
  <c r="BE50" i="60" s="1"/>
  <c r="AR50" i="60"/>
  <c r="AS50" i="60"/>
  <c r="AX50" i="60"/>
  <c r="AY50" i="60" s="1"/>
  <c r="AL50" i="60"/>
  <c r="AM50" i="60"/>
  <c r="BJ52" i="60"/>
  <c r="AF52" i="60"/>
  <c r="AG52" i="60"/>
  <c r="AR52" i="60"/>
  <c r="AS52" i="60"/>
  <c r="BD52" i="60"/>
  <c r="BE52" i="60"/>
  <c r="AL52" i="60"/>
  <c r="AM52" i="60"/>
  <c r="BJ54" i="60"/>
  <c r="BD54" i="60"/>
  <c r="BE54" i="60"/>
  <c r="AX54" i="60"/>
  <c r="AY54" i="60" s="1"/>
  <c r="AR54" i="60"/>
  <c r="AS54" i="60"/>
  <c r="AL54" i="60"/>
  <c r="AM54" i="60" s="1"/>
  <c r="BJ56" i="60"/>
  <c r="AX56" i="60"/>
  <c r="AY56" i="60"/>
  <c r="AR56" i="60"/>
  <c r="AS56" i="60"/>
  <c r="AL56" i="60"/>
  <c r="AM56" i="60"/>
  <c r="BD56" i="60"/>
  <c r="BE56" i="60"/>
  <c r="BJ58" i="60"/>
  <c r="BK58" i="60"/>
  <c r="BD58" i="60"/>
  <c r="BE58" i="60"/>
  <c r="AX58" i="60"/>
  <c r="AY58" i="60"/>
  <c r="AR58" i="60"/>
  <c r="AS58" i="60"/>
  <c r="AF58" i="60"/>
  <c r="AG58" i="60"/>
  <c r="AX60" i="60"/>
  <c r="AY60" i="60"/>
  <c r="AR60" i="60"/>
  <c r="AS60" i="60"/>
  <c r="AF60" i="60"/>
  <c r="AG60" i="60"/>
  <c r="BD60" i="60"/>
  <c r="BE60" i="60"/>
  <c r="BJ60" i="60"/>
  <c r="AX71" i="60"/>
  <c r="AY71" i="60"/>
  <c r="AR71" i="60"/>
  <c r="BJ71" i="60"/>
  <c r="BD71" i="60"/>
  <c r="BE71" i="60"/>
  <c r="AF71" i="60"/>
  <c r="AG71" i="60" s="1"/>
  <c r="AL71" i="60"/>
  <c r="AM71" i="60"/>
  <c r="BJ73" i="60"/>
  <c r="BD73" i="60"/>
  <c r="BE73" i="60"/>
  <c r="AX73" i="60"/>
  <c r="AY73" i="60"/>
  <c r="AR73" i="60"/>
  <c r="AF73" i="60"/>
  <c r="AG73" i="60"/>
  <c r="AL73" i="60"/>
  <c r="AM73" i="60" s="1"/>
  <c r="BJ78" i="60"/>
  <c r="BD78" i="60"/>
  <c r="BE78" i="60"/>
  <c r="AX78" i="60"/>
  <c r="AY78" i="60"/>
  <c r="AL78" i="60"/>
  <c r="AM78" i="60"/>
  <c r="AR78" i="60"/>
  <c r="BJ98" i="60"/>
  <c r="AX98" i="60"/>
  <c r="AY98" i="60"/>
  <c r="AF98" i="60"/>
  <c r="AG98" i="60"/>
  <c r="BD98" i="60"/>
  <c r="BE98" i="60"/>
  <c r="AR98" i="60"/>
  <c r="AL98" i="60"/>
  <c r="AM98" i="60"/>
  <c r="BD140" i="60"/>
  <c r="BE140" i="60" s="1"/>
  <c r="BJ140" i="60"/>
  <c r="AX140" i="60"/>
  <c r="AY140" i="60"/>
  <c r="AR140" i="60"/>
  <c r="AL140" i="60"/>
  <c r="AM140" i="60"/>
  <c r="AF140" i="60"/>
  <c r="AG140" i="60" s="1"/>
  <c r="BJ142" i="60"/>
  <c r="BD142" i="60"/>
  <c r="BE142" i="60"/>
  <c r="AR142" i="60"/>
  <c r="AX142" i="60"/>
  <c r="AY142" i="60"/>
  <c r="AL142" i="60"/>
  <c r="AM142" i="60" s="1"/>
  <c r="AL144" i="60"/>
  <c r="AM144" i="60"/>
  <c r="BD144" i="60"/>
  <c r="BE144" i="60" s="1"/>
  <c r="BJ144" i="60"/>
  <c r="BJ146" i="60"/>
  <c r="BD146" i="60"/>
  <c r="BE146" i="60" s="1"/>
  <c r="AX146" i="60"/>
  <c r="AY146" i="60"/>
  <c r="AR146" i="60"/>
  <c r="AL146" i="60"/>
  <c r="AM146" i="60"/>
  <c r="BJ175" i="60"/>
  <c r="BD175" i="60"/>
  <c r="BE175" i="60" s="1"/>
  <c r="AX175" i="60"/>
  <c r="AY175" i="60"/>
  <c r="AR175" i="60"/>
  <c r="AF175" i="60"/>
  <c r="AG175" i="60"/>
  <c r="AL175" i="60"/>
  <c r="AM175" i="60"/>
  <c r="AX177" i="60"/>
  <c r="AY177" i="60"/>
  <c r="BJ177" i="60"/>
  <c r="BD177" i="60"/>
  <c r="BE177" i="60" s="1"/>
  <c r="AR177" i="60"/>
  <c r="AL177" i="60"/>
  <c r="AM177" i="60"/>
  <c r="BJ313" i="60"/>
  <c r="BD313" i="60"/>
  <c r="BE313" i="60"/>
  <c r="AR313" i="60"/>
  <c r="AL313" i="60"/>
  <c r="AM313" i="60"/>
  <c r="AX313" i="60"/>
  <c r="AY313" i="60"/>
  <c r="AF313" i="60"/>
  <c r="AG313" i="60"/>
  <c r="BD390" i="60"/>
  <c r="BE390" i="60"/>
  <c r="AX390" i="60"/>
  <c r="AY390" i="60"/>
  <c r="BJ390" i="60"/>
  <c r="AF390" i="60"/>
  <c r="AG390" i="60" s="1"/>
  <c r="AR390" i="60"/>
  <c r="BJ392" i="60"/>
  <c r="BD392" i="60"/>
  <c r="BE392" i="60" s="1"/>
  <c r="AX392" i="60"/>
  <c r="AY392" i="60"/>
  <c r="AR392" i="60"/>
  <c r="AX416" i="60"/>
  <c r="AY416" i="60"/>
  <c r="BJ416" i="60"/>
  <c r="AR418" i="60"/>
  <c r="BJ418" i="60"/>
  <c r="BK418" i="60"/>
  <c r="BD418" i="60"/>
  <c r="BE418" i="60"/>
  <c r="AL418" i="60"/>
  <c r="AM418" i="60"/>
  <c r="AX418" i="60"/>
  <c r="AY418" i="60"/>
  <c r="BJ434" i="60"/>
  <c r="AX434" i="60"/>
  <c r="AY434" i="60"/>
  <c r="BD434" i="60"/>
  <c r="BE434" i="60" s="1"/>
  <c r="AR434" i="60"/>
  <c r="AF434" i="60"/>
  <c r="AG434" i="60"/>
  <c r="AL434" i="60"/>
  <c r="AM434" i="60"/>
  <c r="BJ437" i="60"/>
  <c r="BD437" i="60"/>
  <c r="BE437" i="60" s="1"/>
  <c r="AX437" i="60"/>
  <c r="AY437" i="60"/>
  <c r="AR437" i="60"/>
  <c r="AL437" i="60"/>
  <c r="AM437" i="60"/>
  <c r="BJ439" i="60"/>
  <c r="AR439" i="60"/>
  <c r="BD439" i="60"/>
  <c r="BE439" i="60"/>
  <c r="AX439" i="60"/>
  <c r="AY439" i="60"/>
  <c r="AL439" i="60"/>
  <c r="AM439" i="60"/>
  <c r="BJ441" i="60"/>
  <c r="AL441" i="60"/>
  <c r="AM441" i="60" s="1"/>
  <c r="AX441" i="60"/>
  <c r="AY441" i="60"/>
  <c r="BD441" i="60"/>
  <c r="BE441" i="60" s="1"/>
  <c r="BJ443" i="60"/>
  <c r="AX443" i="60"/>
  <c r="AY443" i="60"/>
  <c r="BD443" i="60"/>
  <c r="BE443" i="60"/>
  <c r="AR443" i="60"/>
  <c r="AL443" i="60"/>
  <c r="AM443" i="60" s="1"/>
  <c r="BD452" i="60"/>
  <c r="BE452" i="60"/>
  <c r="AX452" i="60"/>
  <c r="AY452" i="60" s="1"/>
  <c r="AR452" i="60"/>
  <c r="AF452" i="60"/>
  <c r="AG452" i="60"/>
  <c r="BJ454" i="60"/>
  <c r="AX454" i="60"/>
  <c r="AY454" i="60"/>
  <c r="AF454" i="60"/>
  <c r="AG454" i="60" s="1"/>
  <c r="BD454" i="60"/>
  <c r="BE454" i="60"/>
  <c r="AL454" i="60"/>
  <c r="AM454" i="60" s="1"/>
  <c r="AF56" i="60"/>
  <c r="AG56" i="60"/>
  <c r="AF41" i="60"/>
  <c r="AG41" i="60" s="1"/>
  <c r="AF34" i="60"/>
  <c r="AG34" i="60"/>
  <c r="AF144" i="60"/>
  <c r="AG144" i="60" s="1"/>
  <c r="BJ40" i="60"/>
  <c r="AX40" i="60"/>
  <c r="AY40" i="60"/>
  <c r="BD40" i="60"/>
  <c r="BE40" i="60"/>
  <c r="AR40" i="60"/>
  <c r="AS40" i="60"/>
  <c r="AF40" i="60"/>
  <c r="AG40" i="60"/>
  <c r="AL40" i="60"/>
  <c r="AM40" i="60"/>
  <c r="BJ42" i="60"/>
  <c r="AR42" i="60"/>
  <c r="AS42" i="60"/>
  <c r="AL42" i="60"/>
  <c r="AM42" i="60" s="1"/>
  <c r="BJ44" i="60"/>
  <c r="BD44" i="60"/>
  <c r="BE44" i="60"/>
  <c r="AX44" i="60"/>
  <c r="AY44" i="60"/>
  <c r="AR44" i="60"/>
  <c r="AS44" i="60"/>
  <c r="BJ47" i="60"/>
  <c r="AF47" i="60"/>
  <c r="AG47" i="60"/>
  <c r="BD47" i="60"/>
  <c r="BE47" i="60" s="1"/>
  <c r="AX47" i="60"/>
  <c r="AY47" i="60"/>
  <c r="AR47" i="60"/>
  <c r="AS47" i="60" s="1"/>
  <c r="AL47" i="60"/>
  <c r="AM47" i="60"/>
  <c r="BD49" i="60"/>
  <c r="BE49" i="60" s="1"/>
  <c r="AR49" i="60"/>
  <c r="AS49" i="60"/>
  <c r="BJ49" i="60"/>
  <c r="AX49" i="60"/>
  <c r="AY49" i="60"/>
  <c r="AL49" i="60"/>
  <c r="AM49" i="60"/>
  <c r="BJ51" i="60"/>
  <c r="AX51" i="60"/>
  <c r="AY51" i="60"/>
  <c r="BD51" i="60"/>
  <c r="BE51" i="60" s="1"/>
  <c r="AL51" i="60"/>
  <c r="AM51" i="60"/>
  <c r="AR51" i="60"/>
  <c r="AS51" i="60" s="1"/>
  <c r="BD53" i="60"/>
  <c r="BE53" i="60"/>
  <c r="BJ53" i="60"/>
  <c r="AX53" i="60"/>
  <c r="AY53" i="60"/>
  <c r="AL53" i="60"/>
  <c r="AM53" i="60"/>
  <c r="AF55" i="60"/>
  <c r="AG55" i="60"/>
  <c r="BJ55" i="60"/>
  <c r="AX55" i="60"/>
  <c r="AY55" i="60" s="1"/>
  <c r="BD57" i="60"/>
  <c r="BE57" i="60"/>
  <c r="BJ57" i="60"/>
  <c r="AX57" i="60"/>
  <c r="AY57" i="60"/>
  <c r="AR57" i="60"/>
  <c r="AS57" i="60"/>
  <c r="BD59" i="60"/>
  <c r="BE59" i="60"/>
  <c r="BJ59" i="60"/>
  <c r="AR59" i="60"/>
  <c r="AS59" i="60" s="1"/>
  <c r="AX59" i="60"/>
  <c r="AY59" i="60"/>
  <c r="BD72" i="60"/>
  <c r="BE72" i="60" s="1"/>
  <c r="BJ72" i="60"/>
  <c r="AX72" i="60"/>
  <c r="AY72" i="60"/>
  <c r="BJ74" i="60"/>
  <c r="BD74" i="60"/>
  <c r="BE74" i="60"/>
  <c r="AL74" i="60"/>
  <c r="AM74" i="60" s="1"/>
  <c r="AF74" i="60"/>
  <c r="AG74" i="60"/>
  <c r="AX74" i="60"/>
  <c r="AY74" i="60" s="1"/>
  <c r="AR74" i="60"/>
  <c r="BJ77" i="60"/>
  <c r="BD77" i="60"/>
  <c r="BE77" i="60" s="1"/>
  <c r="AX77" i="60"/>
  <c r="AY77" i="60"/>
  <c r="AR77" i="60"/>
  <c r="AF77" i="60"/>
  <c r="AG77" i="60"/>
  <c r="BJ79" i="60"/>
  <c r="BD79" i="60"/>
  <c r="BE79" i="60" s="1"/>
  <c r="AX79" i="60"/>
  <c r="AY79" i="60"/>
  <c r="AR79" i="60"/>
  <c r="AL79" i="60"/>
  <c r="AM79" i="60"/>
  <c r="BD84" i="60"/>
  <c r="BE84" i="60"/>
  <c r="BJ84" i="60"/>
  <c r="AL84" i="60"/>
  <c r="AM84" i="60"/>
  <c r="AR84" i="60"/>
  <c r="BJ86" i="60"/>
  <c r="BD86" i="60"/>
  <c r="BE86" i="60"/>
  <c r="AX86" i="60"/>
  <c r="AY86" i="60" s="1"/>
  <c r="AL86" i="60"/>
  <c r="AM86" i="60"/>
  <c r="AF86" i="60"/>
  <c r="AG86" i="60" s="1"/>
  <c r="AR86" i="60"/>
  <c r="BJ88" i="60"/>
  <c r="BK88" i="60"/>
  <c r="AR88" i="60"/>
  <c r="BD88" i="60"/>
  <c r="BE88" i="60"/>
  <c r="AX88" i="60"/>
  <c r="AY88" i="60" s="1"/>
  <c r="BJ174" i="60"/>
  <c r="BD174" i="60"/>
  <c r="BE174" i="60"/>
  <c r="AR174" i="60"/>
  <c r="AL174" i="60"/>
  <c r="AM174" i="60"/>
  <c r="AF174" i="60"/>
  <c r="AG174" i="60" s="1"/>
  <c r="BJ176" i="60"/>
  <c r="AX176" i="60"/>
  <c r="AY176" i="60"/>
  <c r="AL176" i="60"/>
  <c r="AM176" i="60"/>
  <c r="AF176" i="60"/>
  <c r="AG176" i="60"/>
  <c r="BJ389" i="60"/>
  <c r="AL389" i="60"/>
  <c r="AM389" i="60"/>
  <c r="AF389" i="60"/>
  <c r="AG389" i="60" s="1"/>
  <c r="AX389" i="60"/>
  <c r="AY389" i="60"/>
  <c r="BD389" i="60"/>
  <c r="BE389" i="60" s="1"/>
  <c r="AR391" i="60"/>
  <c r="AX391" i="60"/>
  <c r="AY391" i="60"/>
  <c r="AF391" i="60"/>
  <c r="AG391" i="60"/>
  <c r="BJ391" i="60"/>
  <c r="BD391" i="60"/>
  <c r="BE391" i="60" s="1"/>
  <c r="AL391" i="60"/>
  <c r="AM391" i="60"/>
  <c r="BD398" i="60"/>
  <c r="BE398" i="60" s="1"/>
  <c r="AX398" i="60"/>
  <c r="AY398" i="60"/>
  <c r="BJ398" i="60"/>
  <c r="AR398" i="60"/>
  <c r="AL398" i="60"/>
  <c r="AM398" i="60"/>
  <c r="BD440" i="60"/>
  <c r="BE440" i="60" s="1"/>
  <c r="BJ440" i="60"/>
  <c r="AX440" i="60"/>
  <c r="AY440" i="60"/>
  <c r="AF440" i="60"/>
  <c r="AG440" i="60"/>
  <c r="AR440" i="60"/>
  <c r="BD442" i="60"/>
  <c r="BE442" i="60" s="1"/>
  <c r="AX442" i="60"/>
  <c r="AY442" i="60"/>
  <c r="AR442" i="60"/>
  <c r="AF442" i="60"/>
  <c r="AG442" i="60"/>
  <c r="BJ442" i="60"/>
  <c r="AL442" i="60"/>
  <c r="AM442" i="60" s="1"/>
  <c r="AL44" i="60"/>
  <c r="AM44" i="60"/>
  <c r="AL58" i="60"/>
  <c r="AM58" i="60" s="1"/>
  <c r="AL60" i="60"/>
  <c r="AM60" i="60"/>
  <c r="AR55" i="60"/>
  <c r="AS55" i="60" s="1"/>
  <c r="AR389" i="60"/>
  <c r="AR441" i="60"/>
  <c r="AX52" i="60"/>
  <c r="AY52" i="60" s="1"/>
  <c r="AX84" i="60"/>
  <c r="AY84" i="60"/>
  <c r="AX174" i="60"/>
  <c r="AY174" i="60" s="1"/>
  <c r="BD416" i="60"/>
  <c r="BE416" i="60"/>
  <c r="AF437" i="60"/>
  <c r="AG437" i="60" s="1"/>
  <c r="AF439" i="60"/>
  <c r="AG439" i="60"/>
  <c r="AF416" i="60"/>
  <c r="AG416" i="60" s="1"/>
  <c r="AF54" i="60"/>
  <c r="AG54" i="60"/>
  <c r="AF146" i="60"/>
  <c r="AG146" i="60" s="1"/>
  <c r="AF142" i="60"/>
  <c r="AG142" i="60"/>
  <c r="AI12" i="60"/>
  <c r="AI16" i="60"/>
  <c r="AF19" i="60"/>
  <c r="AG19" i="60"/>
  <c r="AF33" i="60"/>
  <c r="AG33" i="60" s="1"/>
  <c r="AF78" i="60"/>
  <c r="AG78" i="60"/>
  <c r="AF177" i="60"/>
  <c r="AG177" i="60" s="1"/>
  <c r="AF398" i="60"/>
  <c r="AG398" i="60"/>
  <c r="AF441" i="60"/>
  <c r="AG441" i="60" s="1"/>
  <c r="BJ39" i="60"/>
  <c r="BK39" i="60"/>
  <c r="AR39" i="60"/>
  <c r="AS39" i="60" s="1"/>
  <c r="AL39" i="60"/>
  <c r="AM39" i="60"/>
  <c r="BJ61" i="60"/>
  <c r="BD61" i="60"/>
  <c r="BE61" i="60"/>
  <c r="AL61" i="60"/>
  <c r="AM61" i="60"/>
  <c r="AF61" i="60"/>
  <c r="AG61" i="60"/>
  <c r="AR61" i="60"/>
  <c r="AS61" i="60"/>
  <c r="BJ63" i="60"/>
  <c r="AL63" i="60"/>
  <c r="AM63" i="60"/>
  <c r="BD63" i="60"/>
  <c r="BE63" i="60" s="1"/>
  <c r="AR63" i="60"/>
  <c r="AS63" i="60"/>
  <c r="BJ69" i="60"/>
  <c r="BK69" i="60" s="1"/>
  <c r="BD69" i="60"/>
  <c r="BE69" i="60"/>
  <c r="AX69" i="60"/>
  <c r="AY69" i="60" s="1"/>
  <c r="AR69" i="60"/>
  <c r="BJ120" i="60"/>
  <c r="BD120" i="60"/>
  <c r="BE120" i="60" s="1"/>
  <c r="AR120" i="60"/>
  <c r="AL120" i="60"/>
  <c r="AM120" i="60"/>
  <c r="AF120" i="60"/>
  <c r="AG120" i="60"/>
  <c r="BD122" i="60"/>
  <c r="BE122" i="60"/>
  <c r="AL122" i="60"/>
  <c r="AM122" i="60"/>
  <c r="AX122" i="60"/>
  <c r="AY122" i="60"/>
  <c r="BJ124" i="60"/>
  <c r="AX124" i="60"/>
  <c r="AY124" i="60"/>
  <c r="AR124" i="60"/>
  <c r="BD124" i="60"/>
  <c r="BE124" i="60"/>
  <c r="AL124" i="60"/>
  <c r="AM124" i="60"/>
  <c r="BD129" i="60"/>
  <c r="BE129" i="60"/>
  <c r="AX129" i="60"/>
  <c r="AY129" i="60"/>
  <c r="AF129" i="60"/>
  <c r="AG129" i="60"/>
  <c r="BJ129" i="60"/>
  <c r="BK129" i="60"/>
  <c r="AL129" i="60"/>
  <c r="AM129" i="60"/>
  <c r="BJ169" i="60"/>
  <c r="AX169" i="60"/>
  <c r="AY169" i="60" s="1"/>
  <c r="BD169" i="60"/>
  <c r="BE169" i="60"/>
  <c r="AF169" i="60"/>
  <c r="AG169" i="60" s="1"/>
  <c r="BJ171" i="60"/>
  <c r="BD171" i="60"/>
  <c r="BE171" i="60"/>
  <c r="AX171" i="60"/>
  <c r="AY171" i="60"/>
  <c r="AR171" i="60"/>
  <c r="AL171" i="60"/>
  <c r="AM171" i="60" s="1"/>
  <c r="BD173" i="60"/>
  <c r="BE173" i="60"/>
  <c r="AX173" i="60"/>
  <c r="AY173" i="60" s="1"/>
  <c r="BJ173" i="60"/>
  <c r="AR173" i="60"/>
  <c r="BJ180" i="60"/>
  <c r="AL180" i="60"/>
  <c r="AM180" i="60"/>
  <c r="BD180" i="60"/>
  <c r="BE180" i="60"/>
  <c r="AX180" i="60"/>
  <c r="AY180" i="60" s="1"/>
  <c r="AR180" i="60"/>
  <c r="AF180" i="60"/>
  <c r="AG180" i="60"/>
  <c r="BJ182" i="60"/>
  <c r="AF182" i="60"/>
  <c r="AG182" i="60"/>
  <c r="BD182" i="60"/>
  <c r="BE182" i="60" s="1"/>
  <c r="AX182" i="60"/>
  <c r="AY182" i="60"/>
  <c r="AL182" i="60"/>
  <c r="AM182" i="60" s="1"/>
  <c r="BD184" i="60"/>
  <c r="BE184" i="60"/>
  <c r="AR184" i="60"/>
  <c r="AX189" i="60"/>
  <c r="AY189" i="60" s="1"/>
  <c r="BD189" i="60"/>
  <c r="BE189" i="60" s="1"/>
  <c r="BD191" i="60"/>
  <c r="BE191" i="60" s="1"/>
  <c r="AX191" i="60"/>
  <c r="AY191" i="60"/>
  <c r="AR191" i="60"/>
  <c r="AL191" i="60"/>
  <c r="AM191" i="60"/>
  <c r="AF191" i="60"/>
  <c r="AG191" i="60" s="1"/>
  <c r="AR193" i="60"/>
  <c r="BJ198" i="60"/>
  <c r="AX198" i="60"/>
  <c r="AY198" i="60" s="1"/>
  <c r="BD198" i="60"/>
  <c r="BE198" i="60"/>
  <c r="AR198" i="60"/>
  <c r="AL198" i="60"/>
  <c r="AM198" i="60"/>
  <c r="BJ200" i="60"/>
  <c r="BD200" i="60"/>
  <c r="BE200" i="60" s="1"/>
  <c r="AX200" i="60"/>
  <c r="AY200" i="60"/>
  <c r="AL200" i="60"/>
  <c r="AM200" i="60" s="1"/>
  <c r="BJ202" i="60"/>
  <c r="BD202" i="60"/>
  <c r="BE202" i="60"/>
  <c r="AX202" i="60"/>
  <c r="AY202" i="60"/>
  <c r="AR202" i="60"/>
  <c r="AL202" i="60"/>
  <c r="AM202" i="60" s="1"/>
  <c r="AF204" i="60"/>
  <c r="AG204" i="60"/>
  <c r="AX204" i="60"/>
  <c r="AY204" i="60" s="1"/>
  <c r="AR204" i="60"/>
  <c r="BD204" i="60"/>
  <c r="BE204" i="60"/>
  <c r="BJ206" i="60"/>
  <c r="BD206" i="60"/>
  <c r="BE206" i="60"/>
  <c r="AR206" i="60"/>
  <c r="BD208" i="60"/>
  <c r="BE208" i="60"/>
  <c r="AR208" i="60"/>
  <c r="AL208" i="60"/>
  <c r="AM208" i="60" s="1"/>
  <c r="BJ208" i="60"/>
  <c r="BK208" i="60"/>
  <c r="AX208" i="60"/>
  <c r="AY208" i="60" s="1"/>
  <c r="BJ210" i="60"/>
  <c r="AX210" i="60"/>
  <c r="AY210" i="60"/>
  <c r="AR210" i="60"/>
  <c r="BJ212" i="60"/>
  <c r="AX212" i="60"/>
  <c r="AY212" i="60"/>
  <c r="AL212" i="60"/>
  <c r="AM212" i="60"/>
  <c r="BD212" i="60"/>
  <c r="BE212" i="60"/>
  <c r="AR212" i="60"/>
  <c r="AF212" i="60"/>
  <c r="AG212" i="60" s="1"/>
  <c r="BD214" i="60"/>
  <c r="BE214" i="60" s="1"/>
  <c r="AX214" i="60"/>
  <c r="AY214" i="60"/>
  <c r="BJ214" i="60"/>
  <c r="AR214" i="60"/>
  <c r="AR219" i="60"/>
  <c r="AF219" i="60"/>
  <c r="AG219" i="60" s="1"/>
  <c r="BJ219" i="60"/>
  <c r="BK219" i="60"/>
  <c r="AL219" i="60"/>
  <c r="AM219" i="60" s="1"/>
  <c r="BJ221" i="60"/>
  <c r="AX221" i="60"/>
  <c r="AY221" i="60"/>
  <c r="AR221" i="60"/>
  <c r="BJ223" i="60"/>
  <c r="BD223" i="60"/>
  <c r="BE223" i="60"/>
  <c r="AX223" i="60"/>
  <c r="AY223" i="60" s="1"/>
  <c r="AR223" i="60"/>
  <c r="AL223" i="60"/>
  <c r="AM223" i="60"/>
  <c r="BD228" i="60"/>
  <c r="BE228" i="60"/>
  <c r="AX228" i="60"/>
  <c r="AY228" i="60"/>
  <c r="AR228" i="60"/>
  <c r="AL228" i="60"/>
  <c r="AM228" i="60"/>
  <c r="AF228" i="60"/>
  <c r="AG228" i="60" s="1"/>
  <c r="BJ228" i="60"/>
  <c r="BJ230" i="60"/>
  <c r="AR230" i="60"/>
  <c r="BD230" i="60"/>
  <c r="BE230" i="60"/>
  <c r="BD232" i="60"/>
  <c r="BE232" i="60"/>
  <c r="AX232" i="60"/>
  <c r="AY232" i="60"/>
  <c r="BJ232" i="60"/>
  <c r="AR232" i="60"/>
  <c r="AL232" i="60"/>
  <c r="AM232" i="60"/>
  <c r="BJ234" i="60"/>
  <c r="BD234" i="60"/>
  <c r="BE234" i="60" s="1"/>
  <c r="AX234" i="60"/>
  <c r="AY234" i="60" s="1"/>
  <c r="AL234" i="60"/>
  <c r="AM234" i="60" s="1"/>
  <c r="BD236" i="60"/>
  <c r="BE236" i="60"/>
  <c r="AF236" i="60"/>
  <c r="AG236" i="60" s="1"/>
  <c r="BJ236" i="60"/>
  <c r="AR236" i="60"/>
  <c r="AL236" i="60"/>
  <c r="AM236" i="60" s="1"/>
  <c r="BJ238" i="60"/>
  <c r="BK238" i="60"/>
  <c r="AR238" i="60"/>
  <c r="AX238" i="60"/>
  <c r="AY238" i="60"/>
  <c r="BD238" i="60"/>
  <c r="BE238" i="60"/>
  <c r="AL238" i="60"/>
  <c r="AM238" i="60" s="1"/>
  <c r="BJ240" i="60"/>
  <c r="BD240" i="60"/>
  <c r="BE240" i="60"/>
  <c r="AL240" i="60"/>
  <c r="AM240" i="60"/>
  <c r="AX240" i="60"/>
  <c r="AY240" i="60"/>
  <c r="BJ242" i="60"/>
  <c r="AX242" i="60"/>
  <c r="AY242" i="60"/>
  <c r="AF242" i="60"/>
  <c r="AG242" i="60" s="1"/>
  <c r="AR242" i="60"/>
  <c r="BD242" i="60"/>
  <c r="BE242" i="60"/>
  <c r="BD244" i="60"/>
  <c r="BE244" i="60"/>
  <c r="BJ244" i="60"/>
  <c r="AR244" i="60"/>
  <c r="AL244" i="60"/>
  <c r="AM244" i="60"/>
  <c r="AX244" i="60"/>
  <c r="AY244" i="60"/>
  <c r="BJ249" i="60"/>
  <c r="BK249" i="60"/>
  <c r="AX249" i="60"/>
  <c r="AY249" i="60"/>
  <c r="BD249" i="60"/>
  <c r="BE249" i="60"/>
  <c r="AR249" i="60"/>
  <c r="BJ251" i="60"/>
  <c r="AR251" i="60"/>
  <c r="BD251" i="60"/>
  <c r="BE251" i="60"/>
  <c r="AX251" i="60"/>
  <c r="AY251" i="60" s="1"/>
  <c r="AF251" i="60"/>
  <c r="AG251" i="60"/>
  <c r="AL251" i="60"/>
  <c r="AM251" i="60" s="1"/>
  <c r="BD253" i="60"/>
  <c r="BE253" i="60"/>
  <c r="AR253" i="60"/>
  <c r="AF253" i="60"/>
  <c r="AG253" i="60"/>
  <c r="BJ253" i="60"/>
  <c r="AX253" i="60"/>
  <c r="AY253" i="60" s="1"/>
  <c r="AL253" i="60"/>
  <c r="AM253" i="60"/>
  <c r="AX258" i="60"/>
  <c r="AY258" i="60" s="1"/>
  <c r="BJ258" i="60"/>
  <c r="BD258" i="60"/>
  <c r="BE258" i="60"/>
  <c r="BJ260" i="60"/>
  <c r="BD260" i="60"/>
  <c r="BE260" i="60"/>
  <c r="AL260" i="60"/>
  <c r="AM260" i="60" s="1"/>
  <c r="AR260" i="60"/>
  <c r="BJ262" i="60"/>
  <c r="AX262" i="60"/>
  <c r="AY262" i="60" s="1"/>
  <c r="AR262" i="60"/>
  <c r="BD262" i="60"/>
  <c r="BE262" i="60"/>
  <c r="AF262" i="60"/>
  <c r="AG262" i="60"/>
  <c r="BD264" i="60"/>
  <c r="BE264" i="60"/>
  <c r="BJ264" i="60"/>
  <c r="AX264" i="60"/>
  <c r="AY264" i="60"/>
  <c r="AR264" i="60"/>
  <c r="AL264" i="60"/>
  <c r="AM264" i="60"/>
  <c r="BJ266" i="60"/>
  <c r="AX266" i="60"/>
  <c r="AY266" i="60" s="1"/>
  <c r="AF266" i="60"/>
  <c r="AG266" i="60"/>
  <c r="BD268" i="60"/>
  <c r="BE268" i="60" s="1"/>
  <c r="AR268" i="60"/>
  <c r="AF268" i="60"/>
  <c r="AG268" i="60"/>
  <c r="AX268" i="60"/>
  <c r="AY268" i="60"/>
  <c r="AL268" i="60"/>
  <c r="AM268" i="60"/>
  <c r="BJ270" i="60"/>
  <c r="BD270" i="60"/>
  <c r="BE270" i="60"/>
  <c r="AL270" i="60"/>
  <c r="AM270" i="60" s="1"/>
  <c r="AF270" i="60"/>
  <c r="AG270" i="60"/>
  <c r="AR270" i="60"/>
  <c r="AX270" i="60"/>
  <c r="AY270" i="60"/>
  <c r="BJ272" i="60"/>
  <c r="BD272" i="60"/>
  <c r="BE272" i="60" s="1"/>
  <c r="AX272" i="60"/>
  <c r="AY272" i="60"/>
  <c r="AL272" i="60"/>
  <c r="AM272" i="60" s="1"/>
  <c r="AF272" i="60"/>
  <c r="AG272" i="60"/>
  <c r="BJ274" i="60"/>
  <c r="AX274" i="60"/>
  <c r="AY274" i="60"/>
  <c r="AL274" i="60"/>
  <c r="AM274" i="60"/>
  <c r="AR274" i="60"/>
  <c r="AX279" i="60"/>
  <c r="AY279" i="60"/>
  <c r="AR279" i="60"/>
  <c r="BJ279" i="60"/>
  <c r="BK279" i="60"/>
  <c r="BJ281" i="60"/>
  <c r="BD281" i="60"/>
  <c r="BE281" i="60" s="1"/>
  <c r="AL281" i="60"/>
  <c r="AM281" i="60"/>
  <c r="AX281" i="60"/>
  <c r="AY281" i="60" s="1"/>
  <c r="AR281" i="60"/>
  <c r="BJ283" i="60"/>
  <c r="AR283" i="60"/>
  <c r="BD283" i="60"/>
  <c r="BE283" i="60"/>
  <c r="AX283" i="60"/>
  <c r="AY283" i="60"/>
  <c r="AL283" i="60"/>
  <c r="AM283" i="60"/>
  <c r="BJ288" i="60"/>
  <c r="AR288" i="60"/>
  <c r="AF288" i="60"/>
  <c r="AG288" i="60"/>
  <c r="AX288" i="60"/>
  <c r="AY288" i="60"/>
  <c r="AL288" i="60"/>
  <c r="AM288" i="60"/>
  <c r="BD288" i="60"/>
  <c r="BE288" i="60"/>
  <c r="BD290" i="60"/>
  <c r="BE290" i="60"/>
  <c r="AX290" i="60"/>
  <c r="AY290" i="60"/>
  <c r="BJ290" i="60"/>
  <c r="AF290" i="60"/>
  <c r="AG290" i="60"/>
  <c r="AR290" i="60"/>
  <c r="BJ292" i="60"/>
  <c r="AF292" i="60"/>
  <c r="AG292" i="60"/>
  <c r="BD292" i="60"/>
  <c r="BE292" i="60" s="1"/>
  <c r="AX292" i="60"/>
  <c r="AY292" i="60"/>
  <c r="AL292" i="60"/>
  <c r="AM292" i="60" s="1"/>
  <c r="BJ294" i="60"/>
  <c r="BD294" i="60"/>
  <c r="BE294" i="60"/>
  <c r="AX294" i="60"/>
  <c r="AY294" i="60"/>
  <c r="AR294" i="60"/>
  <c r="AF294" i="60"/>
  <c r="AG294" i="60" s="1"/>
  <c r="AF296" i="60"/>
  <c r="AG296" i="60"/>
  <c r="BJ296" i="60"/>
  <c r="BD296" i="60"/>
  <c r="BE296" i="60"/>
  <c r="AR296" i="60"/>
  <c r="AX296" i="60"/>
  <c r="AY296" i="60" s="1"/>
  <c r="AX298" i="60"/>
  <c r="AY298" i="60"/>
  <c r="AR298" i="60"/>
  <c r="BJ298" i="60"/>
  <c r="BK298" i="60"/>
  <c r="AL298" i="60"/>
  <c r="AM298" i="60"/>
  <c r="BD298" i="60"/>
  <c r="BE298" i="60"/>
  <c r="BJ300" i="60"/>
  <c r="BD300" i="60"/>
  <c r="BE300" i="60" s="1"/>
  <c r="AF300" i="60"/>
  <c r="AG300" i="60"/>
  <c r="AX300" i="60"/>
  <c r="AY300" i="60" s="1"/>
  <c r="BJ302" i="60"/>
  <c r="BD302" i="60"/>
  <c r="BE302" i="60"/>
  <c r="AR302" i="60"/>
  <c r="AL302" i="60"/>
  <c r="AM302" i="60"/>
  <c r="AX302" i="60"/>
  <c r="AY302" i="60" s="1"/>
  <c r="BJ304" i="60"/>
  <c r="AR304" i="60"/>
  <c r="AX304" i="60"/>
  <c r="AY304" i="60" s="1"/>
  <c r="BD304" i="60"/>
  <c r="BE304" i="60"/>
  <c r="AL304" i="60"/>
  <c r="AM304" i="60" s="1"/>
  <c r="BD309" i="60"/>
  <c r="BE309" i="60"/>
  <c r="AL309" i="60"/>
  <c r="AM309" i="60" s="1"/>
  <c r="AF309" i="60"/>
  <c r="AG309" i="60"/>
  <c r="BJ309" i="60"/>
  <c r="BK309" i="60" s="1"/>
  <c r="AR309" i="60"/>
  <c r="AX319" i="60"/>
  <c r="AY319" i="60"/>
  <c r="AR319" i="60"/>
  <c r="BJ319" i="60"/>
  <c r="BD319" i="60"/>
  <c r="BE319" i="60"/>
  <c r="AF319" i="60"/>
  <c r="AG319" i="60"/>
  <c r="BJ321" i="60"/>
  <c r="BD321" i="60"/>
  <c r="BE321" i="60" s="1"/>
  <c r="AX321" i="60"/>
  <c r="AY321" i="60"/>
  <c r="AL321" i="60"/>
  <c r="AM321" i="60" s="1"/>
  <c r="AR321" i="60"/>
  <c r="BJ323" i="60"/>
  <c r="AR323" i="60"/>
  <c r="BD323" i="60"/>
  <c r="BE323" i="60"/>
  <c r="AL323" i="60"/>
  <c r="AM323" i="60"/>
  <c r="AX323" i="60"/>
  <c r="AY323" i="60"/>
  <c r="BD325" i="60"/>
  <c r="BE325" i="60"/>
  <c r="AX325" i="60"/>
  <c r="AY325" i="60"/>
  <c r="AL325" i="60"/>
  <c r="AM325" i="60"/>
  <c r="BJ325" i="60"/>
  <c r="AR325" i="60"/>
  <c r="AX327" i="60"/>
  <c r="AY327" i="60"/>
  <c r="AR327" i="60"/>
  <c r="BJ327" i="60"/>
  <c r="BD327" i="60"/>
  <c r="BE327" i="60"/>
  <c r="AL327" i="60"/>
  <c r="AM327" i="60"/>
  <c r="BD329" i="60"/>
  <c r="BE329" i="60"/>
  <c r="BJ329" i="60"/>
  <c r="AL329" i="60"/>
  <c r="AM329" i="60"/>
  <c r="AX329" i="60"/>
  <c r="AY329" i="60" s="1"/>
  <c r="AR329" i="60"/>
  <c r="BJ331" i="60"/>
  <c r="BD331" i="60"/>
  <c r="BE331" i="60" s="1"/>
  <c r="AR331" i="60"/>
  <c r="AX331" i="60"/>
  <c r="AY331" i="60"/>
  <c r="AL331" i="60"/>
  <c r="AM331" i="60"/>
  <c r="AX338" i="60"/>
  <c r="AY338" i="60"/>
  <c r="AF338" i="60"/>
  <c r="AG338" i="60"/>
  <c r="BJ338" i="60"/>
  <c r="AR338" i="60"/>
  <c r="AL338" i="60"/>
  <c r="AM338" i="60"/>
  <c r="BD338" i="60"/>
  <c r="BE338" i="60"/>
  <c r="BJ423" i="60"/>
  <c r="BD423" i="60"/>
  <c r="BE423" i="60"/>
  <c r="AR423" i="60"/>
  <c r="AL423" i="60"/>
  <c r="AM423" i="60"/>
  <c r="AF423" i="60"/>
  <c r="AG423" i="60"/>
  <c r="BD444" i="60"/>
  <c r="BE444" i="60"/>
  <c r="BJ444" i="60"/>
  <c r="AX444" i="60"/>
  <c r="AY444" i="60" s="1"/>
  <c r="AR444" i="60"/>
  <c r="AF444" i="60"/>
  <c r="AG444" i="60"/>
  <c r="BJ446" i="60"/>
  <c r="AX446" i="60"/>
  <c r="AY446" i="60"/>
  <c r="BD446" i="60"/>
  <c r="BE446" i="60" s="1"/>
  <c r="AF446" i="60"/>
  <c r="AG446" i="60"/>
  <c r="AR446" i="60"/>
  <c r="AL446" i="60"/>
  <c r="AM446" i="60"/>
  <c r="AL34" i="60"/>
  <c r="AM34" i="60"/>
  <c r="AL69" i="60"/>
  <c r="AM69" i="60"/>
  <c r="AL77" i="60"/>
  <c r="AM77" i="60"/>
  <c r="AL93" i="60"/>
  <c r="AM93" i="60"/>
  <c r="AL184" i="60"/>
  <c r="AM184" i="60"/>
  <c r="AL206" i="60"/>
  <c r="AM206" i="60"/>
  <c r="AL210" i="60"/>
  <c r="AM210" i="60"/>
  <c r="AL230" i="60"/>
  <c r="AM230" i="60"/>
  <c r="AL266" i="60"/>
  <c r="AM266" i="60"/>
  <c r="AL279" i="60"/>
  <c r="AM279" i="60"/>
  <c r="AL319" i="60"/>
  <c r="AM319" i="60"/>
  <c r="AL374" i="60"/>
  <c r="AM374" i="60"/>
  <c r="AL379" i="60"/>
  <c r="AM379" i="60"/>
  <c r="AL390" i="60"/>
  <c r="AM390" i="60"/>
  <c r="AL424" i="60"/>
  <c r="AM424" i="60"/>
  <c r="AR53" i="60"/>
  <c r="AS53" i="60"/>
  <c r="AR72" i="60"/>
  <c r="AR169" i="60"/>
  <c r="AR266" i="60"/>
  <c r="AR416" i="60"/>
  <c r="AX16" i="60"/>
  <c r="AY16" i="60"/>
  <c r="BA16" i="60"/>
  <c r="AX144" i="60"/>
  <c r="AY144" i="60"/>
  <c r="AX206" i="60"/>
  <c r="AY206" i="60" s="1"/>
  <c r="AX219" i="60"/>
  <c r="AY219" i="60"/>
  <c r="AX230" i="60"/>
  <c r="AY230" i="60" s="1"/>
  <c r="AX260" i="60"/>
  <c r="AY260" i="60"/>
  <c r="BD322" i="60"/>
  <c r="BE322" i="60" s="1"/>
  <c r="BD445" i="60"/>
  <c r="BE445" i="60"/>
  <c r="BM30" i="60"/>
  <c r="BJ30" i="60"/>
  <c r="BK30" i="60"/>
  <c r="BJ100" i="60"/>
  <c r="BD100" i="60"/>
  <c r="BE100" i="60" s="1"/>
  <c r="AL100" i="60"/>
  <c r="AM100" i="60"/>
  <c r="AR100" i="60"/>
  <c r="BD102" i="60"/>
  <c r="BE102" i="60"/>
  <c r="AR102" i="60"/>
  <c r="BJ102" i="60"/>
  <c r="AX102" i="60"/>
  <c r="AY102" i="60"/>
  <c r="BJ104" i="60"/>
  <c r="BD104" i="60"/>
  <c r="BE104" i="60" s="1"/>
  <c r="BJ107" i="60"/>
  <c r="AX107" i="60"/>
  <c r="AY107" i="60"/>
  <c r="AR107" i="60"/>
  <c r="BD107" i="60"/>
  <c r="BE107" i="60"/>
  <c r="BJ109" i="60"/>
  <c r="BD109" i="60"/>
  <c r="BE109" i="60"/>
  <c r="AX109" i="60"/>
  <c r="AY109" i="60"/>
  <c r="BJ111" i="60"/>
  <c r="AX111" i="60"/>
  <c r="AY111" i="60"/>
  <c r="AR111" i="60"/>
  <c r="BD111" i="60"/>
  <c r="BE111" i="60"/>
  <c r="AX113" i="60"/>
  <c r="AY113" i="60"/>
  <c r="AR113" i="60"/>
  <c r="AL113" i="60"/>
  <c r="AM113" i="60"/>
  <c r="BD113" i="60"/>
  <c r="BE113" i="60" s="1"/>
  <c r="BJ113" i="60"/>
  <c r="BD115" i="60"/>
  <c r="BE115" i="60"/>
  <c r="AX115" i="60"/>
  <c r="AY115" i="60"/>
  <c r="AR115" i="60"/>
  <c r="BJ115" i="60"/>
  <c r="AF115" i="60"/>
  <c r="AG115" i="60"/>
  <c r="BJ117" i="60"/>
  <c r="AX117" i="60"/>
  <c r="AY117" i="60" s="1"/>
  <c r="AL117" i="60"/>
  <c r="AM117" i="60"/>
  <c r="BJ119" i="60"/>
  <c r="AX119" i="60"/>
  <c r="AY119" i="60"/>
  <c r="AR119" i="60"/>
  <c r="AL119" i="60"/>
  <c r="AM119" i="60" s="1"/>
  <c r="BD119" i="60"/>
  <c r="BE119" i="60"/>
  <c r="BJ128" i="60"/>
  <c r="AX128" i="60"/>
  <c r="AY128" i="60"/>
  <c r="AR128" i="60"/>
  <c r="AL128" i="60"/>
  <c r="AM128" i="60" s="1"/>
  <c r="BJ149" i="60"/>
  <c r="AX149" i="60"/>
  <c r="AY149" i="60"/>
  <c r="BD149" i="60"/>
  <c r="BE149" i="60"/>
  <c r="BD151" i="60"/>
  <c r="BE151" i="60"/>
  <c r="AX151" i="60"/>
  <c r="AY151" i="60"/>
  <c r="AR151" i="60"/>
  <c r="BJ151" i="60"/>
  <c r="AL151" i="60"/>
  <c r="AM151" i="60"/>
  <c r="BJ153" i="60"/>
  <c r="AX153" i="60"/>
  <c r="AY153" i="60" s="1"/>
  <c r="BD153" i="60"/>
  <c r="BE153" i="60"/>
  <c r="AR153" i="60"/>
  <c r="AL153" i="60"/>
  <c r="AM153" i="60"/>
  <c r="BJ160" i="60"/>
  <c r="BD160" i="60"/>
  <c r="BE160" i="60" s="1"/>
  <c r="AL160" i="60"/>
  <c r="AM160" i="60"/>
  <c r="AX160" i="60"/>
  <c r="AY160" i="60" s="1"/>
  <c r="BD162" i="60"/>
  <c r="BE162" i="60"/>
  <c r="AR162" i="60"/>
  <c r="BJ162" i="60"/>
  <c r="AX162" i="60"/>
  <c r="AY162" i="60"/>
  <c r="AL162" i="60"/>
  <c r="AM162" i="60" s="1"/>
  <c r="BJ164" i="60"/>
  <c r="AL164" i="60"/>
  <c r="AM164" i="60"/>
  <c r="AX164" i="60"/>
  <c r="AY164" i="60"/>
  <c r="AR164" i="60"/>
  <c r="BJ167" i="60"/>
  <c r="BD167" i="60"/>
  <c r="BE167" i="60"/>
  <c r="AX167" i="60"/>
  <c r="AY167" i="60"/>
  <c r="AR167" i="60"/>
  <c r="AL167" i="60"/>
  <c r="AM167" i="60"/>
  <c r="AF167" i="60"/>
  <c r="AG167" i="60" s="1"/>
  <c r="BD179" i="60"/>
  <c r="BE179" i="60"/>
  <c r="AX179" i="60"/>
  <c r="AY179" i="60" s="1"/>
  <c r="AR179" i="60"/>
  <c r="AL179" i="60"/>
  <c r="AM179" i="60"/>
  <c r="BJ188" i="60"/>
  <c r="BD188" i="60"/>
  <c r="BE188" i="60"/>
  <c r="AX188" i="60"/>
  <c r="AY188" i="60" s="1"/>
  <c r="AR188" i="60"/>
  <c r="AF188" i="60"/>
  <c r="AG188" i="60"/>
  <c r="AX218" i="60"/>
  <c r="AY218" i="60"/>
  <c r="BD218" i="60"/>
  <c r="BE218" i="60"/>
  <c r="AL218" i="60"/>
  <c r="AM218" i="60"/>
  <c r="AF218" i="60"/>
  <c r="AG218" i="60"/>
  <c r="BJ218" i="60"/>
  <c r="BD248" i="60"/>
  <c r="BE248" i="60"/>
  <c r="BJ248" i="60"/>
  <c r="AR248" i="60"/>
  <c r="AF248" i="60"/>
  <c r="AG248" i="60"/>
  <c r="AX248" i="60"/>
  <c r="AY248" i="60" s="1"/>
  <c r="BJ278" i="60"/>
  <c r="AL278" i="60"/>
  <c r="AM278" i="60"/>
  <c r="BJ308" i="60"/>
  <c r="AR308" i="60"/>
  <c r="AF308" i="60"/>
  <c r="AG308" i="60"/>
  <c r="BD308" i="60"/>
  <c r="BE308" i="60"/>
  <c r="AX308" i="60"/>
  <c r="AY308" i="60"/>
  <c r="BJ314" i="60"/>
  <c r="AX314" i="60"/>
  <c r="AY314" i="60"/>
  <c r="AR314" i="60"/>
  <c r="BJ317" i="60"/>
  <c r="BD317" i="60"/>
  <c r="BE317" i="60"/>
  <c r="AR317" i="60"/>
  <c r="AL317" i="60"/>
  <c r="AM317" i="60"/>
  <c r="AX317" i="60"/>
  <c r="AY317" i="60"/>
  <c r="BJ332" i="60"/>
  <c r="BD332" i="60"/>
  <c r="BE332" i="60"/>
  <c r="AX332" i="60"/>
  <c r="AY332" i="60" s="1"/>
  <c r="BJ334" i="60"/>
  <c r="AX334" i="60"/>
  <c r="AY334" i="60"/>
  <c r="AR334" i="60"/>
  <c r="AL334" i="60"/>
  <c r="AM334" i="60"/>
  <c r="BJ339" i="60"/>
  <c r="BK339" i="60" s="1"/>
  <c r="AR339" i="60"/>
  <c r="AX339" i="60"/>
  <c r="AY339" i="60"/>
  <c r="BJ341" i="60"/>
  <c r="BD341" i="60"/>
  <c r="BE341" i="60"/>
  <c r="AL341" i="60"/>
  <c r="AM341" i="60" s="1"/>
  <c r="AX341" i="60"/>
  <c r="AY341" i="60"/>
  <c r="AX343" i="60"/>
  <c r="AY343" i="60" s="1"/>
  <c r="AR343" i="60"/>
  <c r="BJ343" i="60"/>
  <c r="BD343" i="60"/>
  <c r="BE343" i="60" s="1"/>
  <c r="AL343" i="60"/>
  <c r="AM343" i="60"/>
  <c r="BJ347" i="60"/>
  <c r="AR347" i="60"/>
  <c r="AX347" i="60"/>
  <c r="AY347" i="60"/>
  <c r="BD347" i="60"/>
  <c r="BE347" i="60" s="1"/>
  <c r="AL347" i="60"/>
  <c r="AM347" i="60"/>
  <c r="AL349" i="60"/>
  <c r="AM349" i="60" s="1"/>
  <c r="BJ349" i="60"/>
  <c r="AX349" i="60"/>
  <c r="AY349" i="60"/>
  <c r="BJ350" i="60"/>
  <c r="BD350" i="60"/>
  <c r="BE350" i="60" s="1"/>
  <c r="AX350" i="60"/>
  <c r="AY350" i="60" s="1"/>
  <c r="BJ352" i="60"/>
  <c r="AX352" i="60"/>
  <c r="AY352" i="60"/>
  <c r="AR352" i="60"/>
  <c r="AL352" i="60"/>
  <c r="AM352" i="60" s="1"/>
  <c r="BJ354" i="60"/>
  <c r="BD354" i="60"/>
  <c r="BE354" i="60"/>
  <c r="AX354" i="60"/>
  <c r="AY354" i="60"/>
  <c r="AF354" i="60"/>
  <c r="AG354" i="60"/>
  <c r="AR354" i="60"/>
  <c r="BJ355" i="60"/>
  <c r="AR355" i="60"/>
  <c r="BD355" i="60"/>
  <c r="BE355" i="60" s="1"/>
  <c r="AX355" i="60"/>
  <c r="AY355" i="60" s="1"/>
  <c r="BJ357" i="60"/>
  <c r="AL357" i="60"/>
  <c r="AM357" i="60"/>
  <c r="AX357" i="60"/>
  <c r="AY357" i="60"/>
  <c r="BD357" i="60"/>
  <c r="BE357" i="60"/>
  <c r="BJ358" i="60"/>
  <c r="BK358" i="60"/>
  <c r="BD358" i="60"/>
  <c r="BE358" i="60"/>
  <c r="AR358" i="60"/>
  <c r="AX358" i="60"/>
  <c r="AY358" i="60" s="1"/>
  <c r="AL358" i="60"/>
  <c r="AM358" i="60" s="1"/>
  <c r="BJ360" i="60"/>
  <c r="BD360" i="60"/>
  <c r="BE360" i="60"/>
  <c r="AR360" i="60"/>
  <c r="AX383" i="60"/>
  <c r="AY383" i="60" s="1"/>
  <c r="AR383" i="60"/>
  <c r="BJ383" i="60"/>
  <c r="AL383" i="60"/>
  <c r="AM383" i="60" s="1"/>
  <c r="BJ385" i="60"/>
  <c r="BD385" i="60"/>
  <c r="BE385" i="60"/>
  <c r="AL385" i="60"/>
  <c r="AM385" i="60"/>
  <c r="AX385" i="60"/>
  <c r="AY385" i="60"/>
  <c r="AR385" i="60"/>
  <c r="AX387" i="60"/>
  <c r="AY387" i="60" s="1"/>
  <c r="BD387" i="60"/>
  <c r="BE387" i="60" s="1"/>
  <c r="AR387" i="60"/>
  <c r="BJ387" i="60"/>
  <c r="AR399" i="60"/>
  <c r="AX399" i="60"/>
  <c r="AY399" i="60"/>
  <c r="AF399" i="60"/>
  <c r="AG399" i="60"/>
  <c r="BJ399" i="60"/>
  <c r="BK399" i="60"/>
  <c r="BJ402" i="60"/>
  <c r="AR402" i="60"/>
  <c r="BJ404" i="60"/>
  <c r="BD404" i="60"/>
  <c r="BE404" i="60" s="1"/>
  <c r="AX404" i="60"/>
  <c r="AY404" i="60" s="1"/>
  <c r="AR404" i="60"/>
  <c r="BJ407" i="60"/>
  <c r="BD407" i="60"/>
  <c r="BE407" i="60" s="1"/>
  <c r="AR407" i="60"/>
  <c r="AX407" i="60"/>
  <c r="AY407" i="60"/>
  <c r="AF407" i="60"/>
  <c r="AG407" i="60"/>
  <c r="AL407" i="60"/>
  <c r="AM407" i="60"/>
  <c r="BJ409" i="60"/>
  <c r="BD409" i="60"/>
  <c r="BE409" i="60" s="1"/>
  <c r="AL409" i="60"/>
  <c r="AM409" i="60" s="1"/>
  <c r="BJ412" i="60"/>
  <c r="AX412" i="60"/>
  <c r="AY412" i="60"/>
  <c r="AF412" i="60"/>
  <c r="AG412" i="60"/>
  <c r="BD412" i="60"/>
  <c r="BE412" i="60"/>
  <c r="AR412" i="60"/>
  <c r="AL412" i="60"/>
  <c r="AM412" i="60" s="1"/>
  <c r="AX414" i="60"/>
  <c r="AY414" i="60" s="1"/>
  <c r="BD414" i="60"/>
  <c r="BE414" i="60" s="1"/>
  <c r="BJ419" i="60"/>
  <c r="BD419" i="60"/>
  <c r="BE419" i="60"/>
  <c r="AX419" i="60"/>
  <c r="AY419" i="60"/>
  <c r="AR419" i="60"/>
  <c r="BJ421" i="60"/>
  <c r="BD421" i="60"/>
  <c r="BE421" i="60"/>
  <c r="AX421" i="60"/>
  <c r="AY421" i="60"/>
  <c r="AL421" i="60"/>
  <c r="AM421" i="60"/>
  <c r="BD428" i="60"/>
  <c r="BE428" i="60"/>
  <c r="BJ428" i="60"/>
  <c r="AR428" i="60"/>
  <c r="AX428" i="60"/>
  <c r="AY428" i="60"/>
  <c r="BJ431" i="60"/>
  <c r="AR431" i="60"/>
  <c r="AF431" i="60"/>
  <c r="AG431" i="60"/>
  <c r="BD431" i="60"/>
  <c r="BE431" i="60"/>
  <c r="AX431" i="60"/>
  <c r="AY431" i="60"/>
  <c r="BJ433" i="60"/>
  <c r="BD433" i="60"/>
  <c r="BE433" i="60" s="1"/>
  <c r="AX433" i="60"/>
  <c r="AY433" i="60" s="1"/>
  <c r="AR433" i="60"/>
  <c r="AL433" i="60"/>
  <c r="AM433" i="60"/>
  <c r="AF433" i="60"/>
  <c r="AG433" i="60"/>
  <c r="AL109" i="60"/>
  <c r="AM109" i="60"/>
  <c r="AL308" i="60"/>
  <c r="AM308" i="60"/>
  <c r="AL354" i="60"/>
  <c r="AM354" i="60"/>
  <c r="AL360" i="60"/>
  <c r="AM360" i="60"/>
  <c r="AL384" i="60"/>
  <c r="AM384" i="60"/>
  <c r="AL402" i="60"/>
  <c r="AM402" i="60"/>
  <c r="AR12" i="60"/>
  <c r="AS12" i="60"/>
  <c r="AU12" i="60"/>
  <c r="AR109" i="60"/>
  <c r="AR218" i="60"/>
  <c r="AR332" i="60"/>
  <c r="AR357" i="60"/>
  <c r="AR414" i="60"/>
  <c r="AR421" i="60"/>
  <c r="AX100" i="60"/>
  <c r="AY100" i="60" s="1"/>
  <c r="AX409" i="60"/>
  <c r="AY409" i="60" s="1"/>
  <c r="BD128" i="60"/>
  <c r="BE128" i="60" s="1"/>
  <c r="BJ414" i="60"/>
  <c r="AX62" i="60"/>
  <c r="AY62" i="60"/>
  <c r="AF62" i="60"/>
  <c r="AG62" i="60"/>
  <c r="BD62" i="60"/>
  <c r="BE62" i="60"/>
  <c r="BJ62" i="60"/>
  <c r="BD64" i="60"/>
  <c r="BE64" i="60" s="1"/>
  <c r="AX64" i="60"/>
  <c r="AY64" i="60" s="1"/>
  <c r="BJ64" i="60"/>
  <c r="BD68" i="60"/>
  <c r="BE68" i="60"/>
  <c r="AX68" i="60"/>
  <c r="AY68" i="60"/>
  <c r="AR68" i="60"/>
  <c r="BJ68" i="60"/>
  <c r="BJ81" i="60"/>
  <c r="BD81" i="60"/>
  <c r="BE81" i="60" s="1"/>
  <c r="AX81" i="60"/>
  <c r="AY81" i="60" s="1"/>
  <c r="AR81" i="60"/>
  <c r="AX83" i="60"/>
  <c r="AY83" i="60"/>
  <c r="AR83" i="60"/>
  <c r="BD83" i="60"/>
  <c r="BE83" i="60" s="1"/>
  <c r="BJ83" i="60"/>
  <c r="BJ130" i="60"/>
  <c r="BD130" i="60"/>
  <c r="BE130" i="60" s="1"/>
  <c r="AX130" i="60"/>
  <c r="AY130" i="60" s="1"/>
  <c r="BJ132" i="60"/>
  <c r="AL132" i="60"/>
  <c r="AM132" i="60"/>
  <c r="BD132" i="60"/>
  <c r="BE132" i="60"/>
  <c r="AR132" i="60"/>
  <c r="BJ134" i="60"/>
  <c r="BD134" i="60"/>
  <c r="BE134" i="60"/>
  <c r="AR134" i="60"/>
  <c r="AX134" i="60"/>
  <c r="AY134" i="60" s="1"/>
  <c r="BJ137" i="60"/>
  <c r="AX137" i="60"/>
  <c r="AY137" i="60"/>
  <c r="AR137" i="60"/>
  <c r="BD137" i="60"/>
  <c r="BE137" i="60" s="1"/>
  <c r="BJ139" i="60"/>
  <c r="AX139" i="60"/>
  <c r="AY139" i="60"/>
  <c r="AR139" i="60"/>
  <c r="BD139" i="60"/>
  <c r="BE139" i="60" s="1"/>
  <c r="AF139" i="60"/>
  <c r="AG139" i="60" s="1"/>
  <c r="BJ148" i="60"/>
  <c r="BK148" i="60" s="1"/>
  <c r="AR148" i="60"/>
  <c r="AL148" i="60"/>
  <c r="AM148" i="60"/>
  <c r="AX148" i="60"/>
  <c r="AY148" i="60"/>
  <c r="BD148" i="60"/>
  <c r="BE148" i="60"/>
  <c r="BD150" i="60"/>
  <c r="BE150" i="60"/>
  <c r="BJ150" i="60"/>
  <c r="BJ152" i="60"/>
  <c r="BD152" i="60"/>
  <c r="BE152" i="60"/>
  <c r="AX152" i="60"/>
  <c r="AY152" i="60"/>
  <c r="AR152" i="60"/>
  <c r="BD154" i="60"/>
  <c r="BE154" i="60" s="1"/>
  <c r="BJ154" i="60"/>
  <c r="AX154" i="60"/>
  <c r="AY154" i="60"/>
  <c r="AL154" i="60"/>
  <c r="AM154" i="60"/>
  <c r="AR154" i="60"/>
  <c r="AX159" i="60"/>
  <c r="AY159" i="60" s="1"/>
  <c r="AR159" i="60"/>
  <c r="BJ159" i="60"/>
  <c r="BK159" i="60"/>
  <c r="BJ161" i="60"/>
  <c r="AX161" i="60"/>
  <c r="AY161" i="60" s="1"/>
  <c r="BD161" i="60"/>
  <c r="BE161" i="60" s="1"/>
  <c r="BD163" i="60"/>
  <c r="BE163" i="60" s="1"/>
  <c r="AX163" i="60"/>
  <c r="AY163" i="60" s="1"/>
  <c r="AR163" i="60"/>
  <c r="AF163" i="60"/>
  <c r="AG163" i="60"/>
  <c r="BJ163" i="60"/>
  <c r="BD168" i="60"/>
  <c r="BE168" i="60" s="1"/>
  <c r="AX168" i="60"/>
  <c r="AY168" i="60" s="1"/>
  <c r="AR168" i="60"/>
  <c r="AF168" i="60"/>
  <c r="AG168" i="60"/>
  <c r="BJ168" i="60"/>
  <c r="BJ310" i="60"/>
  <c r="BD310" i="60"/>
  <c r="BE310" i="60"/>
  <c r="AX310" i="60"/>
  <c r="AY310" i="60"/>
  <c r="BJ312" i="60"/>
  <c r="BD312" i="60"/>
  <c r="BE312" i="60" s="1"/>
  <c r="AL312" i="60"/>
  <c r="AM312" i="60" s="1"/>
  <c r="BJ344" i="60"/>
  <c r="BD344" i="60"/>
  <c r="BE344" i="60"/>
  <c r="AF344" i="60"/>
  <c r="AG344" i="60"/>
  <c r="AX344" i="60"/>
  <c r="AY344" i="60"/>
  <c r="BJ348" i="60"/>
  <c r="BD348" i="60"/>
  <c r="BE348" i="60" s="1"/>
  <c r="AX348" i="60"/>
  <c r="AY348" i="60" s="1"/>
  <c r="AR348" i="60"/>
  <c r="BD351" i="60"/>
  <c r="BE351" i="60"/>
  <c r="AX351" i="60"/>
  <c r="AY351" i="60"/>
  <c r="AR351" i="60"/>
  <c r="BJ351" i="60"/>
  <c r="BJ353" i="60"/>
  <c r="AR353" i="60"/>
  <c r="AL353" i="60"/>
  <c r="AM353" i="60"/>
  <c r="BD353" i="60"/>
  <c r="BE353" i="60"/>
  <c r="BD356" i="60"/>
  <c r="BE356" i="60"/>
  <c r="BJ356" i="60"/>
  <c r="AX356" i="60"/>
  <c r="AY356" i="60" s="1"/>
  <c r="BJ359" i="60"/>
  <c r="AX359" i="60"/>
  <c r="AY359" i="60"/>
  <c r="AR359" i="60"/>
  <c r="BD359" i="60"/>
  <c r="BE359" i="60" s="1"/>
  <c r="BJ361" i="60"/>
  <c r="BD361" i="60"/>
  <c r="BE361" i="60"/>
  <c r="AL361" i="60"/>
  <c r="AM361" i="60"/>
  <c r="AF361" i="60"/>
  <c r="AG361" i="60"/>
  <c r="AX361" i="60"/>
  <c r="AY361" i="60"/>
  <c r="AR361" i="60"/>
  <c r="BJ368" i="60"/>
  <c r="AR368" i="60"/>
  <c r="AF368" i="60"/>
  <c r="AG368" i="60" s="1"/>
  <c r="AX368" i="60"/>
  <c r="AY368" i="60" s="1"/>
  <c r="BJ384" i="60"/>
  <c r="BD384" i="60"/>
  <c r="BE384" i="60"/>
  <c r="AX384" i="60"/>
  <c r="AY384" i="60"/>
  <c r="BJ386" i="60"/>
  <c r="BD386" i="60"/>
  <c r="BE386" i="60" s="1"/>
  <c r="AX386" i="60"/>
  <c r="AY386" i="60" s="1"/>
  <c r="AR386" i="60"/>
  <c r="BJ388" i="60"/>
  <c r="BK388" i="60"/>
  <c r="AR388" i="60"/>
  <c r="BD388" i="60"/>
  <c r="BE388" i="60" s="1"/>
  <c r="AL388" i="60"/>
  <c r="AM388" i="60" s="1"/>
  <c r="BJ393" i="60"/>
  <c r="BD393" i="60"/>
  <c r="BE393" i="60"/>
  <c r="AR393" i="60"/>
  <c r="AL393" i="60"/>
  <c r="AM393" i="60" s="1"/>
  <c r="AX393" i="60"/>
  <c r="AY393" i="60" s="1"/>
  <c r="BJ400" i="60"/>
  <c r="AX400" i="60"/>
  <c r="AY400" i="60"/>
  <c r="BD400" i="60"/>
  <c r="BE400" i="60"/>
  <c r="BJ401" i="60"/>
  <c r="AL401" i="60"/>
  <c r="AM401" i="60" s="1"/>
  <c r="BD401" i="60"/>
  <c r="BE401" i="60" s="1"/>
  <c r="AX401" i="60"/>
  <c r="AY401" i="60" s="1"/>
  <c r="BD403" i="60"/>
  <c r="BE403" i="60" s="1"/>
  <c r="AX403" i="60"/>
  <c r="AY403" i="60" s="1"/>
  <c r="BJ403" i="60"/>
  <c r="AR403" i="60"/>
  <c r="AL403" i="60"/>
  <c r="AM403" i="60" s="1"/>
  <c r="BJ408" i="60"/>
  <c r="AR408" i="60"/>
  <c r="BD408" i="60"/>
  <c r="BE408" i="60" s="1"/>
  <c r="AX410" i="60"/>
  <c r="AY410" i="60" s="1"/>
  <c r="BJ410" i="60"/>
  <c r="AF410" i="60"/>
  <c r="AG410" i="60"/>
  <c r="AR410" i="60"/>
  <c r="BD411" i="60"/>
  <c r="BE411" i="60" s="1"/>
  <c r="AX411" i="60"/>
  <c r="AY411" i="60" s="1"/>
  <c r="BJ411" i="60"/>
  <c r="AR411" i="60"/>
  <c r="BJ413" i="60"/>
  <c r="AX413" i="60"/>
  <c r="AY413" i="60"/>
  <c r="BD413" i="60"/>
  <c r="BE413" i="60"/>
  <c r="AR413" i="60"/>
  <c r="AL413" i="60"/>
  <c r="AM413" i="60" s="1"/>
  <c r="AX430" i="60"/>
  <c r="AY430" i="60" s="1"/>
  <c r="BD430" i="60"/>
  <c r="BE430" i="60" s="1"/>
  <c r="AF430" i="60"/>
  <c r="AG430" i="60" s="1"/>
  <c r="BJ430" i="60"/>
  <c r="AR430" i="60"/>
  <c r="BJ432" i="60"/>
  <c r="BD432" i="60"/>
  <c r="BE432" i="60"/>
  <c r="AX432" i="60"/>
  <c r="AY432" i="60"/>
  <c r="AR432" i="60"/>
  <c r="AL432" i="60"/>
  <c r="AM432" i="60" s="1"/>
  <c r="BJ449" i="60"/>
  <c r="BD449" i="60"/>
  <c r="BE449" i="60"/>
  <c r="AL449" i="60"/>
  <c r="AM449" i="60"/>
  <c r="BJ451" i="60"/>
  <c r="AX451" i="60"/>
  <c r="AY451" i="60" s="1"/>
  <c r="AR451" i="60"/>
  <c r="AF451" i="60"/>
  <c r="AG451" i="60"/>
  <c r="BD451" i="60"/>
  <c r="BE451" i="60"/>
  <c r="AL64" i="60"/>
  <c r="AM64" i="60"/>
  <c r="AL68" i="60"/>
  <c r="AM68" i="60"/>
  <c r="AL107" i="60"/>
  <c r="AM107" i="60"/>
  <c r="AL111" i="60"/>
  <c r="AM111" i="60"/>
  <c r="AL115" i="60"/>
  <c r="AM115" i="60"/>
  <c r="AL149" i="60"/>
  <c r="AM149" i="60"/>
  <c r="AL159" i="60"/>
  <c r="AM159" i="60"/>
  <c r="AL168" i="60"/>
  <c r="AM168" i="60"/>
  <c r="AL248" i="60"/>
  <c r="AM248" i="60"/>
  <c r="AL344" i="60"/>
  <c r="AM344" i="60"/>
  <c r="AL350" i="60"/>
  <c r="AM350" i="60"/>
  <c r="AL356" i="60"/>
  <c r="AM356" i="60"/>
  <c r="AL368" i="60"/>
  <c r="AM368" i="60"/>
  <c r="AL387" i="60"/>
  <c r="AM387" i="60"/>
  <c r="AL399" i="60"/>
  <c r="AM399" i="60"/>
  <c r="AL411" i="60"/>
  <c r="AM411" i="60"/>
  <c r="AL419" i="60"/>
  <c r="AM419" i="60"/>
  <c r="AL430" i="60"/>
  <c r="AM430" i="60"/>
  <c r="AR161" i="60"/>
  <c r="AR278" i="60"/>
  <c r="AR344" i="60"/>
  <c r="AR350" i="60"/>
  <c r="AX104" i="60"/>
  <c r="AY104" i="60"/>
  <c r="AX150" i="60"/>
  <c r="AY150" i="60"/>
  <c r="AX278" i="60"/>
  <c r="AY278" i="60"/>
  <c r="AX312" i="60"/>
  <c r="AY312" i="60"/>
  <c r="AX388" i="60"/>
  <c r="AY388" i="60"/>
  <c r="BD117" i="60"/>
  <c r="BE117" i="60"/>
  <c r="BD334" i="60"/>
  <c r="BE334" i="60"/>
  <c r="BD349" i="60"/>
  <c r="BE349" i="60"/>
  <c r="BJ179" i="60"/>
  <c r="BJ16" i="60"/>
  <c r="BK16" i="60" s="1"/>
  <c r="BJ18" i="60"/>
  <c r="BK18" i="60" s="1"/>
  <c r="BM18" i="60"/>
  <c r="BD38" i="60"/>
  <c r="BE38" i="60"/>
  <c r="AX38" i="60"/>
  <c r="AY38" i="60"/>
  <c r="BJ85" i="60"/>
  <c r="BD85" i="60"/>
  <c r="BE85" i="60" s="1"/>
  <c r="AX85" i="60"/>
  <c r="AY85" i="60" s="1"/>
  <c r="BJ87" i="60"/>
  <c r="AX87" i="60"/>
  <c r="AY87" i="60"/>
  <c r="AR87" i="60"/>
  <c r="AX99" i="60"/>
  <c r="AY99" i="60" s="1"/>
  <c r="AR99" i="60"/>
  <c r="BJ101" i="60"/>
  <c r="AX101" i="60"/>
  <c r="AY101" i="60" s="1"/>
  <c r="BJ103" i="60"/>
  <c r="AX103" i="60"/>
  <c r="AY103" i="60"/>
  <c r="AR103" i="60"/>
  <c r="BJ114" i="60"/>
  <c r="BD114" i="60"/>
  <c r="BE114" i="60"/>
  <c r="BJ118" i="60"/>
  <c r="BK118" i="60"/>
  <c r="BD118" i="60"/>
  <c r="BE118" i="60"/>
  <c r="AX123" i="60"/>
  <c r="AY123" i="60"/>
  <c r="AR123" i="60"/>
  <c r="BJ131" i="60"/>
  <c r="AX131" i="60"/>
  <c r="AY131" i="60"/>
  <c r="AR131" i="60"/>
  <c r="BJ138" i="60"/>
  <c r="BD138" i="60"/>
  <c r="BE138" i="60"/>
  <c r="BJ141" i="60"/>
  <c r="AX141" i="60"/>
  <c r="AY141" i="60" s="1"/>
  <c r="BJ143" i="60"/>
  <c r="AX143" i="60"/>
  <c r="AY143" i="60"/>
  <c r="AR143" i="60"/>
  <c r="BJ145" i="60"/>
  <c r="BD145" i="60"/>
  <c r="BE145" i="60"/>
  <c r="AX145" i="60"/>
  <c r="AY145" i="60"/>
  <c r="AX147" i="60"/>
  <c r="AY147" i="60"/>
  <c r="AR147" i="60"/>
  <c r="BJ158" i="60"/>
  <c r="BD158" i="60"/>
  <c r="BE158" i="60"/>
  <c r="BJ178" i="60"/>
  <c r="BK178" i="60"/>
  <c r="BD178" i="60"/>
  <c r="BE178" i="60"/>
  <c r="BJ181" i="60"/>
  <c r="AX181" i="60"/>
  <c r="AY181" i="60" s="1"/>
  <c r="BD183" i="60"/>
  <c r="BE183" i="60" s="1"/>
  <c r="AX183" i="60"/>
  <c r="AY183" i="60" s="1"/>
  <c r="AR183" i="60"/>
  <c r="BJ194" i="60"/>
  <c r="AX194" i="60"/>
  <c r="AY194" i="60" s="1"/>
  <c r="BJ197" i="60"/>
  <c r="BD197" i="60"/>
  <c r="BE197" i="60"/>
  <c r="BJ199" i="60"/>
  <c r="BD199" i="60"/>
  <c r="BE199" i="60" s="1"/>
  <c r="AX199" i="60"/>
  <c r="AY199" i="60" s="1"/>
  <c r="AR199" i="60"/>
  <c r="BJ203" i="60"/>
  <c r="BD203" i="60"/>
  <c r="BE203" i="60" s="1"/>
  <c r="AR203" i="60"/>
  <c r="BJ207" i="60"/>
  <c r="BD207" i="60"/>
  <c r="BE207" i="60" s="1"/>
  <c r="AX207" i="60"/>
  <c r="AY207" i="60" s="1"/>
  <c r="AR207" i="60"/>
  <c r="BD211" i="60"/>
  <c r="BE211" i="60"/>
  <c r="BJ211" i="60"/>
  <c r="AR211" i="60"/>
  <c r="BJ213" i="60"/>
  <c r="BD213" i="60"/>
  <c r="BE213" i="60" s="1"/>
  <c r="BJ220" i="60"/>
  <c r="BD220" i="60"/>
  <c r="BE220" i="60"/>
  <c r="BJ224" i="60"/>
  <c r="BD224" i="60"/>
  <c r="BE224" i="60" s="1"/>
  <c r="BJ227" i="60"/>
  <c r="AR227" i="60"/>
  <c r="BJ229" i="60"/>
  <c r="BD229" i="60"/>
  <c r="BE229" i="60"/>
  <c r="BJ231" i="60"/>
  <c r="AX231" i="60"/>
  <c r="AY231" i="60" s="1"/>
  <c r="AR231" i="60"/>
  <c r="BJ235" i="60"/>
  <c r="AR235" i="60"/>
  <c r="BJ239" i="60"/>
  <c r="BD239" i="60"/>
  <c r="BE239" i="60" s="1"/>
  <c r="AX239" i="60"/>
  <c r="AY239" i="60" s="1"/>
  <c r="AR239" i="60"/>
  <c r="BJ250" i="60"/>
  <c r="BD250" i="60"/>
  <c r="BE250" i="60" s="1"/>
  <c r="AX250" i="60"/>
  <c r="AY250" i="60" s="1"/>
  <c r="BJ252" i="60"/>
  <c r="BD252" i="60"/>
  <c r="BE252" i="60"/>
  <c r="BJ259" i="60"/>
  <c r="BD259" i="60"/>
  <c r="BE259" i="60" s="1"/>
  <c r="AR259" i="60"/>
  <c r="BJ263" i="60"/>
  <c r="AX263" i="60"/>
  <c r="AY263" i="60" s="1"/>
  <c r="AR263" i="60"/>
  <c r="BJ265" i="60"/>
  <c r="BD265" i="60"/>
  <c r="BE265" i="60" s="1"/>
  <c r="BJ267" i="60"/>
  <c r="AR267" i="60"/>
  <c r="BJ271" i="60"/>
  <c r="AX271" i="60"/>
  <c r="AY271" i="60"/>
  <c r="AR271" i="60"/>
  <c r="BJ282" i="60"/>
  <c r="AX282" i="60"/>
  <c r="AY282" i="60"/>
  <c r="BJ287" i="60"/>
  <c r="AX287" i="60"/>
  <c r="AY287" i="60" s="1"/>
  <c r="AR287" i="60"/>
  <c r="BJ289" i="60"/>
  <c r="BD289" i="60"/>
  <c r="BE289" i="60" s="1"/>
  <c r="BJ291" i="60"/>
  <c r="AR291" i="60"/>
  <c r="BJ295" i="60"/>
  <c r="BD295" i="60"/>
  <c r="BE295" i="60"/>
  <c r="AX295" i="60"/>
  <c r="AY295" i="60"/>
  <c r="AR295" i="60"/>
  <c r="BJ297" i="60"/>
  <c r="BD297" i="60"/>
  <c r="BE297" i="60"/>
  <c r="BJ299" i="60"/>
  <c r="AR299" i="60"/>
  <c r="BJ301" i="60"/>
  <c r="BD301" i="60"/>
  <c r="BE301" i="60" s="1"/>
  <c r="BJ303" i="60"/>
  <c r="AX303" i="60"/>
  <c r="AY303" i="60"/>
  <c r="AR303" i="60"/>
  <c r="BJ311" i="60"/>
  <c r="AX311" i="60"/>
  <c r="AY311" i="60"/>
  <c r="AR311" i="60"/>
  <c r="BD342" i="60"/>
  <c r="BE342" i="60" s="1"/>
  <c r="BJ342" i="60"/>
  <c r="BD362" i="60"/>
  <c r="BE362" i="60"/>
  <c r="AX362" i="60"/>
  <c r="AY362" i="60"/>
  <c r="BJ371" i="60"/>
  <c r="BD371" i="60"/>
  <c r="BE371" i="60" s="1"/>
  <c r="AR371" i="60"/>
  <c r="BJ378" i="60"/>
  <c r="BD378" i="60"/>
  <c r="BE378" i="60" s="1"/>
  <c r="AX378" i="60"/>
  <c r="AY378" i="60" s="1"/>
  <c r="BD382" i="60"/>
  <c r="BE382" i="60" s="1"/>
  <c r="BJ382" i="60"/>
  <c r="BD394" i="60"/>
  <c r="BE394" i="60"/>
  <c r="AX394" i="60"/>
  <c r="AY394" i="60"/>
  <c r="BJ415" i="60"/>
  <c r="BD415" i="60"/>
  <c r="BE415" i="60" s="1"/>
  <c r="AR415" i="60"/>
  <c r="BJ417" i="60"/>
  <c r="AX417" i="60"/>
  <c r="AY417" i="60" s="1"/>
  <c r="BJ420" i="60"/>
  <c r="BD420" i="60"/>
  <c r="BE420" i="60"/>
  <c r="BJ422" i="60"/>
  <c r="AX422" i="60"/>
  <c r="AY422" i="60" s="1"/>
  <c r="BD448" i="60"/>
  <c r="BE448" i="60" s="1"/>
  <c r="BJ448" i="60"/>
  <c r="BK448" i="60" s="1"/>
  <c r="BJ450" i="60"/>
  <c r="BD450" i="60"/>
  <c r="BE450" i="60"/>
  <c r="AL82" i="60"/>
  <c r="AM82" i="60"/>
  <c r="AL90" i="60"/>
  <c r="AM90" i="60"/>
  <c r="AL94" i="60"/>
  <c r="AM94" i="60"/>
  <c r="AL108" i="60"/>
  <c r="AM108" i="60"/>
  <c r="AL116" i="60"/>
  <c r="AM116" i="60"/>
  <c r="AL138" i="60"/>
  <c r="AM138" i="60"/>
  <c r="AL183" i="60"/>
  <c r="AM183" i="60"/>
  <c r="AL192" i="60"/>
  <c r="AM192" i="60"/>
  <c r="AL199" i="60"/>
  <c r="AM199" i="60"/>
  <c r="AL224" i="60"/>
  <c r="AM224" i="60"/>
  <c r="AL231" i="60"/>
  <c r="AM231" i="60"/>
  <c r="AL250" i="60"/>
  <c r="AM250" i="60"/>
  <c r="AL263" i="60"/>
  <c r="AM263" i="60"/>
  <c r="AL267" i="60"/>
  <c r="AM267" i="60"/>
  <c r="AL289" i="60"/>
  <c r="AM289" i="60"/>
  <c r="AL293" i="60"/>
  <c r="AM293" i="60"/>
  <c r="AL297" i="60"/>
  <c r="AM297" i="60"/>
  <c r="AL301" i="60"/>
  <c r="AM301" i="60"/>
  <c r="AL333" i="60"/>
  <c r="AM333" i="60"/>
  <c r="AL369" i="60"/>
  <c r="AM369" i="60"/>
  <c r="AL373" i="60"/>
  <c r="AM373" i="60"/>
  <c r="AL417" i="60"/>
  <c r="AM417" i="60"/>
  <c r="AL453" i="60"/>
  <c r="AM453" i="60"/>
  <c r="AR108" i="60"/>
  <c r="AR118" i="60"/>
  <c r="AR133" i="60"/>
  <c r="AR178" i="60"/>
  <c r="AR197" i="60"/>
  <c r="AR213" i="60"/>
  <c r="AR222" i="60"/>
  <c r="AR233" i="60"/>
  <c r="AR257" i="60"/>
  <c r="AR282" i="60"/>
  <c r="AR293" i="60"/>
  <c r="AR333" i="60"/>
  <c r="AR342" i="60"/>
  <c r="AR364" i="60"/>
  <c r="AR373" i="60"/>
  <c r="AR382" i="60"/>
  <c r="AR448" i="60"/>
  <c r="AR453" i="60"/>
  <c r="AX94" i="60"/>
  <c r="AY94" i="60"/>
  <c r="AX108" i="60"/>
  <c r="AY108" i="60"/>
  <c r="AX116" i="60"/>
  <c r="AY116" i="60"/>
  <c r="AX138" i="60"/>
  <c r="AY138" i="60"/>
  <c r="AX158" i="60"/>
  <c r="AY158" i="60"/>
  <c r="AX205" i="60"/>
  <c r="AY205" i="60"/>
  <c r="AX222" i="60"/>
  <c r="AY222" i="60"/>
  <c r="AX235" i="60"/>
  <c r="AY235" i="60"/>
  <c r="AX252" i="60"/>
  <c r="AY252" i="60"/>
  <c r="AX265" i="60"/>
  <c r="AY265" i="60"/>
  <c r="AX269" i="60"/>
  <c r="AY269" i="60"/>
  <c r="AX280" i="60"/>
  <c r="AY280" i="60"/>
  <c r="AX297" i="60"/>
  <c r="AY297" i="60"/>
  <c r="AX301" i="60"/>
  <c r="AY301" i="60"/>
  <c r="AX318" i="60"/>
  <c r="AY318" i="60"/>
  <c r="AX342" i="60"/>
  <c r="AY342" i="60"/>
  <c r="AX382" i="60"/>
  <c r="AY382" i="60"/>
  <c r="BG17" i="60"/>
  <c r="BD92" i="60"/>
  <c r="BE92" i="60" s="1"/>
  <c r="BD108" i="60"/>
  <c r="BE108" i="60" s="1"/>
  <c r="BD116" i="60"/>
  <c r="BE116" i="60" s="1"/>
  <c r="BD123" i="60"/>
  <c r="BE123" i="60" s="1"/>
  <c r="BD133" i="60"/>
  <c r="BE133" i="60" s="1"/>
  <c r="BD147" i="60"/>
  <c r="BE147" i="60" s="1"/>
  <c r="BD181" i="60"/>
  <c r="BE181" i="60" s="1"/>
  <c r="BD194" i="60"/>
  <c r="BE194" i="60" s="1"/>
  <c r="BD233" i="60"/>
  <c r="BE233" i="60" s="1"/>
  <c r="BD263" i="60"/>
  <c r="BE263" i="60" s="1"/>
  <c r="BD271" i="60"/>
  <c r="BE271" i="60" s="1"/>
  <c r="BD287" i="60"/>
  <c r="BE287" i="60" s="1"/>
  <c r="BD318" i="60"/>
  <c r="BE318" i="60" s="1"/>
  <c r="BJ133" i="60"/>
  <c r="BJ362" i="60"/>
  <c r="BJ394" i="60"/>
  <c r="AL30" i="60"/>
  <c r="AM30" i="60"/>
  <c r="AF29" i="60"/>
  <c r="AG29" i="60"/>
  <c r="BG30" i="60"/>
  <c r="BD30" i="60"/>
  <c r="BE30" i="60" s="1"/>
  <c r="BM32" i="60"/>
  <c r="BJ32" i="60"/>
  <c r="BK32" i="60"/>
  <c r="BM26" i="60"/>
  <c r="BJ26" i="60"/>
  <c r="BK26" i="60" s="1"/>
  <c r="BJ25" i="60"/>
  <c r="BK25" i="60" s="1"/>
  <c r="BJ27" i="60"/>
  <c r="BK27" i="60" s="1"/>
  <c r="BJ29" i="60"/>
  <c r="BK29" i="60" s="1"/>
  <c r="BJ31" i="60"/>
  <c r="BK31" i="60" s="1"/>
  <c r="BD39" i="60"/>
  <c r="BE39" i="60" s="1"/>
  <c r="BD99" i="60"/>
  <c r="BE99" i="60" s="1"/>
  <c r="BD159" i="60"/>
  <c r="BE159" i="60" s="1"/>
  <c r="BD219" i="60"/>
  <c r="BE219" i="60" s="1"/>
  <c r="BD279" i="60"/>
  <c r="BE279" i="60" s="1"/>
  <c r="BD339" i="60"/>
  <c r="BE339" i="60" s="1"/>
  <c r="BD399" i="60"/>
  <c r="BE399" i="60" s="1"/>
  <c r="BD29" i="60"/>
  <c r="BE29" i="60" s="1"/>
  <c r="BG20" i="60"/>
  <c r="BG16" i="60"/>
  <c r="BG15" i="60"/>
  <c r="BG19" i="60"/>
  <c r="BD24" i="60"/>
  <c r="BE24" i="60" s="1"/>
  <c r="BD28" i="60"/>
  <c r="BE28" i="60" s="1"/>
  <c r="BD32" i="60"/>
  <c r="BE32" i="60" s="1"/>
  <c r="BG12" i="60"/>
  <c r="BG14" i="60"/>
  <c r="BG18" i="60"/>
  <c r="BD27" i="60"/>
  <c r="BE27" i="60"/>
  <c r="BD31" i="60"/>
  <c r="BE31" i="60"/>
  <c r="BA20" i="60"/>
  <c r="AX24" i="60"/>
  <c r="AY24" i="60"/>
  <c r="AX28" i="60"/>
  <c r="AY28" i="60"/>
  <c r="AX31" i="60"/>
  <c r="AY31" i="60"/>
  <c r="AX27" i="60"/>
  <c r="AY27" i="60"/>
  <c r="AX32" i="60"/>
  <c r="AY32" i="60"/>
  <c r="AX13" i="60"/>
  <c r="AY13" i="60"/>
  <c r="BA13" i="60"/>
  <c r="BA15" i="60"/>
  <c r="BA18" i="60"/>
  <c r="BA26" i="60"/>
  <c r="AX26" i="60"/>
  <c r="AY26" i="60"/>
  <c r="AX17" i="60"/>
  <c r="AY17" i="60"/>
  <c r="BA17" i="60"/>
  <c r="BA14" i="60"/>
  <c r="BA19" i="60"/>
  <c r="AX29" i="60"/>
  <c r="AY29" i="60" s="1"/>
  <c r="BA30" i="60"/>
  <c r="AX30" i="60"/>
  <c r="AY30" i="60"/>
  <c r="AU25" i="60"/>
  <c r="AU26" i="60"/>
  <c r="AR27" i="60"/>
  <c r="AS27" i="60"/>
  <c r="AR29" i="60"/>
  <c r="AS29" i="60"/>
  <c r="AU28" i="60"/>
  <c r="AR30" i="60"/>
  <c r="AS30" i="60" s="1"/>
  <c r="AU18" i="60"/>
  <c r="AU20" i="60"/>
  <c r="AU13" i="60"/>
  <c r="AU17" i="60"/>
  <c r="AS25" i="60"/>
  <c r="AU15" i="60"/>
  <c r="AU19" i="60"/>
  <c r="AR24" i="60"/>
  <c r="AS24" i="60"/>
  <c r="AS28" i="60"/>
  <c r="AR32" i="60"/>
  <c r="AS32" i="60" s="1"/>
  <c r="AO12" i="60"/>
  <c r="AO13" i="60"/>
  <c r="AO14" i="60"/>
  <c r="AO15" i="60"/>
  <c r="AO16" i="60"/>
  <c r="AO17" i="60"/>
  <c r="AO18" i="60"/>
  <c r="AO19" i="60"/>
  <c r="AO20" i="60"/>
  <c r="AO24" i="60"/>
  <c r="AO25" i="60"/>
  <c r="AO26" i="60"/>
  <c r="AO27" i="60"/>
  <c r="AO28" i="60"/>
  <c r="AO29" i="60"/>
  <c r="AO30" i="60"/>
  <c r="AO31" i="60"/>
  <c r="AO32" i="60"/>
  <c r="AI29" i="60"/>
  <c r="AF15" i="60"/>
  <c r="AG15" i="60"/>
  <c r="BJ38" i="60"/>
  <c r="AR38" i="60"/>
  <c r="AS38" i="60" s="1"/>
  <c r="AL38" i="60"/>
  <c r="AM38" i="60" s="1"/>
  <c r="BD82" i="60"/>
  <c r="BE82" i="60" s="1"/>
  <c r="AX82" i="60"/>
  <c r="AY82" i="60" s="1"/>
  <c r="BJ82" i="60"/>
  <c r="AR85" i="60"/>
  <c r="AL85" i="60"/>
  <c r="AM85" i="60" s="1"/>
  <c r="BD94" i="60"/>
  <c r="BE94" i="60" s="1"/>
  <c r="AR94" i="60"/>
  <c r="BJ99" i="60"/>
  <c r="BK99" i="60"/>
  <c r="AL99" i="60"/>
  <c r="AM99" i="60"/>
  <c r="BD101" i="60"/>
  <c r="BE101" i="60"/>
  <c r="AR101" i="60"/>
  <c r="AL101" i="60"/>
  <c r="AM101" i="60" s="1"/>
  <c r="BD103" i="60"/>
  <c r="BE103" i="60"/>
  <c r="AL103" i="60"/>
  <c r="AM103" i="60" s="1"/>
  <c r="AX112" i="60"/>
  <c r="AY112" i="60"/>
  <c r="AL112" i="60"/>
  <c r="AM112" i="60" s="1"/>
  <c r="BD112" i="60"/>
  <c r="BE112" i="60"/>
  <c r="AR112" i="60"/>
  <c r="AX114" i="60"/>
  <c r="AY114" i="60"/>
  <c r="AR114" i="60"/>
  <c r="AL114" i="60"/>
  <c r="AM114" i="60" s="1"/>
  <c r="BJ116" i="60"/>
  <c r="AF130" i="60"/>
  <c r="AG130" i="60"/>
  <c r="BD131" i="60"/>
  <c r="BE131" i="60"/>
  <c r="AL131" i="60"/>
  <c r="AM131" i="60"/>
  <c r="AX178" i="60"/>
  <c r="AY178" i="60"/>
  <c r="AL178" i="60"/>
  <c r="AM178" i="60"/>
  <c r="BD192" i="60"/>
  <c r="BE192" i="60"/>
  <c r="AR192" i="60"/>
  <c r="AX192" i="60"/>
  <c r="AY192" i="60" s="1"/>
  <c r="BJ201" i="60"/>
  <c r="BD201" i="60"/>
  <c r="BE201" i="60"/>
  <c r="AR201" i="60"/>
  <c r="AL201" i="60"/>
  <c r="AM201" i="60"/>
  <c r="AX203" i="60"/>
  <c r="AY203" i="60" s="1"/>
  <c r="AL203" i="60"/>
  <c r="AM203" i="60"/>
  <c r="BD209" i="60"/>
  <c r="BE209" i="60" s="1"/>
  <c r="AX209" i="60"/>
  <c r="AY209" i="60"/>
  <c r="AR209" i="60"/>
  <c r="AL209" i="60"/>
  <c r="AM209" i="60"/>
  <c r="AX211" i="60"/>
  <c r="AY211" i="60"/>
  <c r="AL211" i="60"/>
  <c r="AM211" i="60"/>
  <c r="AX213" i="60"/>
  <c r="AY213" i="60"/>
  <c r="AL213" i="60"/>
  <c r="AM213" i="60"/>
  <c r="AX220" i="60"/>
  <c r="AY220" i="60"/>
  <c r="AR220" i="60"/>
  <c r="AL220" i="60"/>
  <c r="AM220" i="60"/>
  <c r="BJ257" i="60"/>
  <c r="AX257" i="60"/>
  <c r="AY257" i="60"/>
  <c r="AX259" i="60"/>
  <c r="AY259" i="60"/>
  <c r="AL259" i="60"/>
  <c r="AM259" i="60"/>
  <c r="BJ261" i="60"/>
  <c r="AX261" i="60"/>
  <c r="AY261" i="60" s="1"/>
  <c r="AL261" i="60"/>
  <c r="AM261" i="60"/>
  <c r="BD261" i="60"/>
  <c r="BE261" i="60" s="1"/>
  <c r="AR261" i="60"/>
  <c r="AX284" i="60"/>
  <c r="AY284" i="60"/>
  <c r="AR284" i="60"/>
  <c r="BD284" i="60"/>
  <c r="BE284" i="60"/>
  <c r="AR289" i="60"/>
  <c r="AX289" i="60"/>
  <c r="AY289" i="60"/>
  <c r="AX291" i="60"/>
  <c r="AY291" i="60"/>
  <c r="BD291" i="60"/>
  <c r="BE291" i="60"/>
  <c r="AL291" i="60"/>
  <c r="AM291" i="60"/>
  <c r="AF332" i="60"/>
  <c r="AG332" i="60"/>
  <c r="AR362" i="60"/>
  <c r="AL362" i="60"/>
  <c r="AM362" i="60" s="1"/>
  <c r="AL87" i="60"/>
  <c r="AM87" i="60"/>
  <c r="AL257" i="60"/>
  <c r="AM257" i="60" s="1"/>
  <c r="AX80" i="60"/>
  <c r="AY80" i="60"/>
  <c r="AR80" i="60"/>
  <c r="BD80" i="60"/>
  <c r="BE80" i="60"/>
  <c r="AL80" i="60"/>
  <c r="AM80" i="60"/>
  <c r="BJ122" i="60"/>
  <c r="AR122" i="60"/>
  <c r="BD222" i="60"/>
  <c r="BE222" i="60"/>
  <c r="AL222" i="60"/>
  <c r="AM222" i="60"/>
  <c r="AR224" i="60"/>
  <c r="AX224" i="60"/>
  <c r="AY224" i="60" s="1"/>
  <c r="AX227" i="60"/>
  <c r="AY227" i="60"/>
  <c r="BD227" i="60"/>
  <c r="BE227" i="60" s="1"/>
  <c r="AL227" i="60"/>
  <c r="AM227" i="60"/>
  <c r="AR229" i="60"/>
  <c r="AX229" i="60"/>
  <c r="AY229" i="60"/>
  <c r="AX237" i="60"/>
  <c r="AY237" i="60"/>
  <c r="BD237" i="60"/>
  <c r="BE237" i="60"/>
  <c r="AR237" i="60"/>
  <c r="BJ273" i="60"/>
  <c r="BD273" i="60"/>
  <c r="BE273" i="60"/>
  <c r="AX273" i="60"/>
  <c r="AY273" i="60"/>
  <c r="AL273" i="60"/>
  <c r="AM273" i="60"/>
  <c r="AX293" i="60"/>
  <c r="AY293" i="60"/>
  <c r="BD293" i="60"/>
  <c r="BE293" i="60"/>
  <c r="BJ293" i="60"/>
  <c r="BD299" i="60"/>
  <c r="BE299" i="60" s="1"/>
  <c r="AX299" i="60"/>
  <c r="AY299" i="60"/>
  <c r="AL299" i="60"/>
  <c r="AM299" i="60" s="1"/>
  <c r="AL314" i="60"/>
  <c r="AM314" i="60"/>
  <c r="BD314" i="60"/>
  <c r="BE314" i="60" s="1"/>
  <c r="BJ333" i="60"/>
  <c r="AX333" i="60"/>
  <c r="AY333" i="60"/>
  <c r="BD364" i="60"/>
  <c r="BE364" i="60"/>
  <c r="AX364" i="60"/>
  <c r="AY364" i="60"/>
  <c r="AL364" i="60"/>
  <c r="AM364" i="60"/>
  <c r="BD380" i="60"/>
  <c r="BE380" i="60"/>
  <c r="BJ380" i="60"/>
  <c r="AX380" i="60"/>
  <c r="AY380" i="60"/>
  <c r="AL380" i="60"/>
  <c r="AM380" i="60" s="1"/>
  <c r="AR380" i="60"/>
  <c r="AX408" i="60"/>
  <c r="AY408" i="60"/>
  <c r="AL408" i="60"/>
  <c r="AM408" i="60"/>
  <c r="BD417" i="60"/>
  <c r="BE417" i="60"/>
  <c r="AR417" i="60"/>
  <c r="BJ453" i="60"/>
  <c r="BD453" i="60"/>
  <c r="BE453" i="60"/>
  <c r="AX453" i="60"/>
  <c r="AY453" i="60"/>
  <c r="AL158" i="60"/>
  <c r="AM158" i="60"/>
  <c r="BJ90" i="60"/>
  <c r="AR90" i="60"/>
  <c r="AX90" i="60"/>
  <c r="AY90" i="60"/>
  <c r="AL104" i="60"/>
  <c r="AM104" i="60"/>
  <c r="AR104" i="60"/>
  <c r="AR141" i="60"/>
  <c r="BD141" i="60"/>
  <c r="BE141" i="60"/>
  <c r="AL141" i="60"/>
  <c r="AM141" i="60"/>
  <c r="AL181" i="60"/>
  <c r="AM181" i="60"/>
  <c r="AR181" i="60"/>
  <c r="AR194" i="60"/>
  <c r="AL194" i="60"/>
  <c r="AM194" i="60"/>
  <c r="AX233" i="60"/>
  <c r="AY233" i="60"/>
  <c r="AL233" i="60"/>
  <c r="AM233" i="60"/>
  <c r="BD235" i="60"/>
  <c r="BE235" i="60"/>
  <c r="AL235" i="60"/>
  <c r="AM235" i="60"/>
  <c r="BJ243" i="60"/>
  <c r="BD243" i="60"/>
  <c r="BE243" i="60" s="1"/>
  <c r="AX243" i="60"/>
  <c r="AY243" i="60"/>
  <c r="AL243" i="60"/>
  <c r="AM243" i="60" s="1"/>
  <c r="AR252" i="60"/>
  <c r="AL252" i="60"/>
  <c r="AM252" i="60"/>
  <c r="BJ254" i="60"/>
  <c r="BD254" i="60"/>
  <c r="BE254" i="60"/>
  <c r="AR254" i="60"/>
  <c r="AX254" i="60"/>
  <c r="AY254" i="60"/>
  <c r="AR258" i="60"/>
  <c r="AL258" i="60"/>
  <c r="AM258" i="60" s="1"/>
  <c r="AR265" i="60"/>
  <c r="AL265" i="60"/>
  <c r="AM265" i="60"/>
  <c r="BD267" i="60"/>
  <c r="BE267" i="60"/>
  <c r="AX267" i="60"/>
  <c r="AY267" i="60"/>
  <c r="BD311" i="60"/>
  <c r="BE311" i="60"/>
  <c r="AL311" i="60"/>
  <c r="AM311" i="60"/>
  <c r="BD410" i="60"/>
  <c r="BE410" i="60"/>
  <c r="AL118" i="60"/>
  <c r="AM118" i="60"/>
  <c r="AL197" i="60"/>
  <c r="AM197" i="60"/>
  <c r="AL221" i="60"/>
  <c r="AM221" i="60"/>
  <c r="AL229" i="60"/>
  <c r="AM229" i="60"/>
  <c r="AL303" i="60"/>
  <c r="AM303" i="60"/>
  <c r="AX92" i="60"/>
  <c r="AY92" i="60"/>
  <c r="AR92" i="60"/>
  <c r="AL92" i="60"/>
  <c r="AM92" i="60" s="1"/>
  <c r="BJ110" i="60"/>
  <c r="AX110" i="60"/>
  <c r="AY110" i="60"/>
  <c r="AR110" i="60"/>
  <c r="AL110" i="60"/>
  <c r="AM110" i="60"/>
  <c r="BJ121" i="60"/>
  <c r="BD121" i="60"/>
  <c r="BE121" i="60"/>
  <c r="AR121" i="60"/>
  <c r="AL121" i="60"/>
  <c r="AM121" i="60" s="1"/>
  <c r="BJ123" i="60"/>
  <c r="AL123" i="60"/>
  <c r="AM123" i="60"/>
  <c r="AR145" i="60"/>
  <c r="AL145" i="60"/>
  <c r="AM145" i="60"/>
  <c r="BJ147" i="60"/>
  <c r="AL147" i="60"/>
  <c r="AM147" i="60"/>
  <c r="AX190" i="60"/>
  <c r="AY190" i="60"/>
  <c r="BD190" i="60"/>
  <c r="BE190" i="60"/>
  <c r="AR190" i="60"/>
  <c r="AL190" i="60"/>
  <c r="AM190" i="60" s="1"/>
  <c r="BD205" i="60"/>
  <c r="BE205" i="60"/>
  <c r="AR205" i="60"/>
  <c r="BJ241" i="60"/>
  <c r="AX241" i="60"/>
  <c r="AY241" i="60"/>
  <c r="AR241" i="60"/>
  <c r="AL241" i="60"/>
  <c r="AM241" i="60"/>
  <c r="AR269" i="60"/>
  <c r="BD269" i="60"/>
  <c r="BE269" i="60" s="1"/>
  <c r="AL269" i="60"/>
  <c r="AM269" i="60"/>
  <c r="BJ280" i="60"/>
  <c r="AR280" i="60"/>
  <c r="AL280" i="60"/>
  <c r="AM280" i="60"/>
  <c r="BD282" i="60"/>
  <c r="BE282" i="60" s="1"/>
  <c r="AL282" i="60"/>
  <c r="AM282" i="60"/>
  <c r="AR300" i="60"/>
  <c r="AL300" i="60"/>
  <c r="AM300" i="60"/>
  <c r="BJ318" i="60"/>
  <c r="AR318" i="60"/>
  <c r="AL318" i="60"/>
  <c r="AM318" i="60"/>
  <c r="AR330" i="60"/>
  <c r="AL330" i="60"/>
  <c r="AM330" i="60" s="1"/>
  <c r="AX369" i="60"/>
  <c r="AY369" i="60"/>
  <c r="BD369" i="60"/>
  <c r="BE369" i="60" s="1"/>
  <c r="AR369" i="60"/>
  <c r="AL371" i="60"/>
  <c r="AM371" i="60"/>
  <c r="AX371" i="60"/>
  <c r="AY371" i="60"/>
  <c r="BD383" i="60"/>
  <c r="BE383" i="60"/>
  <c r="AF383" i="60"/>
  <c r="AG383" i="60"/>
  <c r="BD402" i="60"/>
  <c r="BE402" i="60"/>
  <c r="AX402" i="60"/>
  <c r="AY402" i="60"/>
  <c r="AL143" i="60"/>
  <c r="AM143" i="60"/>
  <c r="AL205" i="60"/>
  <c r="AM205" i="60"/>
  <c r="AL237" i="60"/>
  <c r="AM237" i="60"/>
  <c r="AL284" i="60"/>
  <c r="AM284" i="60"/>
  <c r="AL400" i="60"/>
  <c r="AM400" i="60"/>
  <c r="BM19" i="60"/>
  <c r="BJ19" i="60"/>
  <c r="BK19" i="60"/>
  <c r="AL415" i="60"/>
  <c r="AM415" i="60" s="1"/>
  <c r="AX415" i="60"/>
  <c r="AY415" i="60"/>
  <c r="AF415" i="60"/>
  <c r="AG415" i="60" s="1"/>
  <c r="AX420" i="60"/>
  <c r="AY420" i="60"/>
  <c r="AR420" i="60"/>
  <c r="AR422" i="60"/>
  <c r="AL422" i="60"/>
  <c r="AM422" i="60"/>
  <c r="AL420" i="60"/>
  <c r="AM420" i="60" s="1"/>
  <c r="AL448" i="60"/>
  <c r="AM448" i="60"/>
  <c r="AU14" i="60"/>
  <c r="AR14" i="60"/>
  <c r="AS14" i="60"/>
  <c r="BJ17" i="60"/>
  <c r="BK17" i="60"/>
  <c r="BM17" i="60"/>
  <c r="AL450" i="60"/>
  <c r="AM450" i="60"/>
  <c r="AX450" i="60"/>
  <c r="AY450" i="60" s="1"/>
  <c r="AR450" i="60"/>
  <c r="BD422" i="60"/>
  <c r="BE422" i="60"/>
  <c r="AX340" i="60"/>
  <c r="AY340" i="60"/>
  <c r="AR340" i="60"/>
  <c r="BJ373" i="60"/>
  <c r="AX373" i="60"/>
  <c r="AY373" i="60"/>
  <c r="BJ438" i="60"/>
  <c r="AL438" i="60"/>
  <c r="AM438" i="60" s="1"/>
  <c r="BD438" i="60"/>
  <c r="BE438" i="60"/>
  <c r="AR438" i="60"/>
  <c r="AL24" i="60"/>
  <c r="AM24" i="60"/>
  <c r="AI27" i="60" l="1"/>
  <c r="AF27" i="60"/>
  <c r="AG27" i="60" s="1"/>
  <c r="BA25" i="60"/>
  <c r="AX25" i="60"/>
  <c r="AY25" i="60" s="1"/>
  <c r="BM20" i="60"/>
  <c r="BJ20" i="60"/>
  <c r="BK20" i="60" s="1"/>
  <c r="AF193" i="60"/>
  <c r="AG193" i="60" s="1"/>
  <c r="AL193" i="60"/>
  <c r="AM193" i="60" s="1"/>
  <c r="BJ193" i="60"/>
  <c r="AX193" i="60"/>
  <c r="AY193" i="60" s="1"/>
  <c r="BD193" i="60"/>
  <c r="BE193" i="60" s="1"/>
  <c r="AX48" i="60"/>
  <c r="AY48" i="60" s="1"/>
  <c r="AL48" i="60"/>
  <c r="AM48" i="60" s="1"/>
  <c r="BD48" i="60"/>
  <c r="BE48" i="60" s="1"/>
  <c r="BJ48" i="60"/>
  <c r="AR48" i="60"/>
  <c r="AS48" i="60" s="1"/>
  <c r="AX133" i="60"/>
  <c r="AY133" i="60" s="1"/>
  <c r="AL133" i="60"/>
  <c r="AM133" i="60" s="1"/>
  <c r="BD164" i="60"/>
  <c r="BE164" i="60" s="1"/>
  <c r="AF164" i="60"/>
  <c r="AG164" i="60" s="1"/>
  <c r="AF170" i="60"/>
  <c r="AG170" i="60" s="1"/>
  <c r="AR170" i="60"/>
  <c r="BJ170" i="60"/>
  <c r="BD170" i="60"/>
  <c r="BE170" i="60" s="1"/>
  <c r="AF172" i="60"/>
  <c r="AG172" i="60" s="1"/>
  <c r="BJ172" i="60"/>
  <c r="AX172" i="60"/>
  <c r="AY172" i="60" s="1"/>
  <c r="BD172" i="60"/>
  <c r="BE172" i="60" s="1"/>
  <c r="AL172" i="60"/>
  <c r="AM172" i="60" s="1"/>
  <c r="AF184" i="60"/>
  <c r="AG184" i="60" s="1"/>
  <c r="AX184" i="60"/>
  <c r="AY184" i="60" s="1"/>
  <c r="BJ184" i="60"/>
  <c r="AR189" i="60"/>
  <c r="AF189" i="60"/>
  <c r="AG189" i="60" s="1"/>
  <c r="BJ189" i="60"/>
  <c r="BK189" i="60" s="1"/>
  <c r="AL189" i="60"/>
  <c r="AM189" i="60" s="1"/>
  <c r="AU16" i="60"/>
  <c r="AF92" i="60"/>
  <c r="AG92" i="60" s="1"/>
  <c r="AL102" i="60"/>
  <c r="AM102" i="60" s="1"/>
  <c r="AF102" i="60"/>
  <c r="AG102" i="60" s="1"/>
  <c r="AL355" i="60"/>
  <c r="AM355" i="60" s="1"/>
  <c r="AF355" i="60"/>
  <c r="AG355" i="60" s="1"/>
  <c r="AI25" i="60"/>
  <c r="AF25" i="60"/>
  <c r="AG25" i="60" s="1"/>
  <c r="AL57" i="60"/>
  <c r="AM57" i="60" s="1"/>
  <c r="AF57" i="60"/>
  <c r="AG57" i="60" s="1"/>
  <c r="AL134" i="60"/>
  <c r="AM134" i="60" s="1"/>
  <c r="AF134" i="60"/>
  <c r="AG134" i="60" s="1"/>
  <c r="BD257" i="60"/>
  <c r="BE257" i="60" s="1"/>
  <c r="AF257" i="60"/>
  <c r="AG257" i="60" s="1"/>
  <c r="BD340" i="60"/>
  <c r="BE340" i="60" s="1"/>
  <c r="BJ340" i="60"/>
  <c r="AL340" i="60"/>
  <c r="AM340" i="60" s="1"/>
  <c r="AF340" i="60"/>
  <c r="AG340" i="60" s="1"/>
  <c r="AF80" i="60"/>
  <c r="AG80" i="60" s="1"/>
  <c r="BJ204" i="60"/>
</calcChain>
</file>

<file path=xl/sharedStrings.xml><?xml version="1.0" encoding="utf-8"?>
<sst xmlns="http://schemas.openxmlformats.org/spreadsheetml/2006/main" count="7014" uniqueCount="594">
  <si>
    <t>申込受付中。</t>
    <phoneticPr fontId="3"/>
  </si>
  <si>
    <t>ORANGE</t>
    <phoneticPr fontId="3"/>
  </si>
  <si>
    <t>要求名前空間（URI）</t>
    <rPh sb="0" eb="2">
      <t>ヨウキュウ</t>
    </rPh>
    <phoneticPr fontId="3"/>
  </si>
  <si>
    <t>応答名前空間（URI）</t>
    <rPh sb="0" eb="2">
      <t>オウトウ</t>
    </rPh>
    <phoneticPr fontId="3"/>
  </si>
  <si>
    <t>pattern</t>
  </si>
  <si>
    <t>項目名（要素名）</t>
    <rPh sb="0" eb="2">
      <t>コウモク</t>
    </rPh>
    <rPh sb="2" eb="3">
      <t>メイ</t>
    </rPh>
    <rPh sb="4" eb="6">
      <t>ヨウソ</t>
    </rPh>
    <rPh sb="6" eb="7">
      <t>メイ</t>
    </rPh>
    <phoneticPr fontId="3"/>
  </si>
  <si>
    <t>min桁</t>
    <rPh sb="3" eb="4">
      <t>ケタ</t>
    </rPh>
    <phoneticPr fontId="3"/>
  </si>
  <si>
    <t>max桁</t>
    <rPh sb="3" eb="4">
      <t>ケタ</t>
    </rPh>
    <phoneticPr fontId="3"/>
  </si>
  <si>
    <t>相関</t>
    <rPh sb="0" eb="2">
      <t>ソウカン</t>
    </rPh>
    <phoneticPr fontId="3"/>
  </si>
  <si>
    <t>API名称</t>
    <rPh sb="3" eb="5">
      <t>メイショウ</t>
    </rPh>
    <phoneticPr fontId="3"/>
  </si>
  <si>
    <t>API名称(英名)</t>
    <rPh sb="3" eb="5">
      <t>メイショウ</t>
    </rPh>
    <rPh sb="6" eb="8">
      <t>エイメイ</t>
    </rPh>
    <phoneticPr fontId="3"/>
  </si>
  <si>
    <t>項番</t>
    <rPh sb="0" eb="1">
      <t>コウ</t>
    </rPh>
    <rPh sb="1" eb="2">
      <t>バン</t>
    </rPh>
    <phoneticPr fontId="3"/>
  </si>
  <si>
    <t>階層</t>
    <rPh sb="0" eb="2">
      <t>カイソウ</t>
    </rPh>
    <phoneticPr fontId="3"/>
  </si>
  <si>
    <t>繰返</t>
    <rPh sb="0" eb="1">
      <t>ク</t>
    </rPh>
    <rPh sb="1" eb="2">
      <t>カエ</t>
    </rPh>
    <phoneticPr fontId="3"/>
  </si>
  <si>
    <t>必須</t>
    <rPh sb="0" eb="2">
      <t>ヒッス</t>
    </rPh>
    <phoneticPr fontId="3"/>
  </si>
  <si>
    <t>タグ名</t>
    <rPh sb="2" eb="3">
      <t>メイ</t>
    </rPh>
    <phoneticPr fontId="3"/>
  </si>
  <si>
    <t>内容説明</t>
    <rPh sb="0" eb="2">
      <t>ナイヨウ</t>
    </rPh>
    <rPh sb="2" eb="4">
      <t>セツメイ</t>
    </rPh>
    <phoneticPr fontId="3"/>
  </si>
  <si>
    <t>備考</t>
    <rPh sb="0" eb="2">
      <t>ビコウ</t>
    </rPh>
    <phoneticPr fontId="3"/>
  </si>
  <si>
    <t>result2</t>
  </si>
  <si>
    <t>O</t>
  </si>
  <si>
    <t>共通</t>
    <rPh sb="0" eb="2">
      <t>キョウツウ</t>
    </rPh>
    <phoneticPr fontId="3"/>
  </si>
  <si>
    <t>固定長形式</t>
    <rPh sb="0" eb="3">
      <t>コテイチョウ</t>
    </rPh>
    <rPh sb="3" eb="5">
      <t>ケイシキ</t>
    </rPh>
    <phoneticPr fontId="3"/>
  </si>
  <si>
    <t>XML形式</t>
    <rPh sb="3" eb="5">
      <t>ケイシキ</t>
    </rPh>
    <phoneticPr fontId="3"/>
  </si>
  <si>
    <t>相関
2</t>
    <rPh sb="0" eb="2">
      <t>ソウカン</t>
    </rPh>
    <phoneticPr fontId="3"/>
  </si>
  <si>
    <t>項目順</t>
    <rPh sb="0" eb="2">
      <t>コウモク</t>
    </rPh>
    <rPh sb="2" eb="3">
      <t>ジュン</t>
    </rPh>
    <phoneticPr fontId="3"/>
  </si>
  <si>
    <t>繰返グループ</t>
    <rPh sb="0" eb="2">
      <t>クリカエ</t>
    </rPh>
    <phoneticPr fontId="3"/>
  </si>
  <si>
    <t>最大繰返回数</t>
    <rPh sb="0" eb="2">
      <t>サイダイ</t>
    </rPh>
    <rPh sb="2" eb="4">
      <t>クリカエ</t>
    </rPh>
    <rPh sb="4" eb="6">
      <t>カイスウ</t>
    </rPh>
    <phoneticPr fontId="3"/>
  </si>
  <si>
    <t>I</t>
  </si>
  <si>
    <t>*Default path is current path.</t>
  </si>
  <si>
    <t>○</t>
  </si>
  <si>
    <t>*If not be up, the macro should be modified.</t>
  </si>
  <si>
    <t>api-response</t>
  </si>
  <si>
    <t>About Generate-IN:</t>
  </si>
  <si>
    <t>The SheetName input is required.</t>
  </si>
  <si>
    <t>Please copy response stream here↓</t>
  </si>
  <si>
    <t xml:space="preserve"> </t>
  </si>
  <si>
    <t>Analyze the response data from Response filepath or ResponseStream to CaseNo column.</t>
  </si>
  <si>
    <t>API（入力）</t>
    <rPh sb="4" eb="6">
      <t>ニュウリョク</t>
    </rPh>
    <phoneticPr fontId="3"/>
  </si>
  <si>
    <t>API（出力）</t>
    <rPh sb="4" eb="6">
      <t>シュツリョク</t>
    </rPh>
    <phoneticPr fontId="3"/>
  </si>
  <si>
    <t>ルート（出力）</t>
    <rPh sb="4" eb="6">
      <t>シュツリョク</t>
    </rPh>
    <phoneticPr fontId="3"/>
  </si>
  <si>
    <t>API共通情報</t>
    <rPh sb="3" eb="5">
      <t>キョウツウ</t>
    </rPh>
    <phoneticPr fontId="3"/>
  </si>
  <si>
    <t>API-IDは4桁</t>
    <rPh sb="8" eb="9">
      <t>ケタ</t>
    </rPh>
    <phoneticPr fontId="3"/>
  </si>
  <si>
    <t>API処理日時</t>
    <rPh sb="3" eb="5">
      <t>ショリ</t>
    </rPh>
    <rPh sb="5" eb="7">
      <t>ニチジ</t>
    </rPh>
    <phoneticPr fontId="3"/>
  </si>
  <si>
    <t>API呼出元情報</t>
    <rPh sb="3" eb="5">
      <t>ヨビダシ</t>
    </rPh>
    <rPh sb="5" eb="6">
      <t>モト</t>
    </rPh>
    <rPh sb="6" eb="8">
      <t>ジョウホウ</t>
    </rPh>
    <phoneticPr fontId="3"/>
  </si>
  <si>
    <t>呼出元システムID</t>
    <rPh sb="0" eb="2">
      <t>ヨビダシ</t>
    </rPh>
    <rPh sb="2" eb="3">
      <t>モト</t>
    </rPh>
    <phoneticPr fontId="3"/>
  </si>
  <si>
    <t>API呼出側のシステムID("FMC")を設定。</t>
    <rPh sb="5" eb="6">
      <t>ガワ</t>
    </rPh>
    <rPh sb="21" eb="23">
      <t>セッテイ</t>
    </rPh>
    <phoneticPr fontId="3"/>
  </si>
  <si>
    <t>au代理店コード</t>
    <rPh sb="2" eb="5">
      <t>ダイリテン</t>
    </rPh>
    <phoneticPr fontId="3"/>
  </si>
  <si>
    <t>担当者ID</t>
    <rPh sb="0" eb="3">
      <t>タントウシャ</t>
    </rPh>
    <phoneticPr fontId="3"/>
  </si>
  <si>
    <t>au代理店コードの受付担当者ID</t>
    <rPh sb="9" eb="11">
      <t>ウケツケ</t>
    </rPh>
    <rPh sb="11" eb="14">
      <t>タントウシャ</t>
    </rPh>
    <phoneticPr fontId="3"/>
  </si>
  <si>
    <t>ショップ端末IPアドレス</t>
    <rPh sb="4" eb="6">
      <t>タンマツ</t>
    </rPh>
    <phoneticPr fontId="3"/>
  </si>
  <si>
    <t>呼出元システム</t>
    <rPh sb="0" eb="2">
      <t>ヨビダシ</t>
    </rPh>
    <rPh sb="2" eb="3">
      <t>モト</t>
    </rPh>
    <phoneticPr fontId="3"/>
  </si>
  <si>
    <t>画面名</t>
    <rPh sb="0" eb="2">
      <t>ガメン</t>
    </rPh>
    <rPh sb="2" eb="3">
      <t>メイ</t>
    </rPh>
    <phoneticPr fontId="3"/>
  </si>
  <si>
    <t>API処理状態</t>
    <rPh sb="3" eb="5">
      <t>ショリ</t>
    </rPh>
    <rPh sb="5" eb="7">
      <t>ジョウタイ</t>
    </rPh>
    <phoneticPr fontId="3"/>
  </si>
  <si>
    <t xml:space="preserve">入力時：初期値を設定
出力時：各APIの応答内容を設定
　※リファレンスについては、「マッピング一覧」シート参照。
</t>
    <rPh sb="0" eb="2">
      <t>ニュウリョク</t>
    </rPh>
    <rPh sb="11" eb="13">
      <t>シュツリョク</t>
    </rPh>
    <rPh sb="15" eb="16">
      <t>カク</t>
    </rPh>
    <rPh sb="20" eb="22">
      <t>オウトウ</t>
    </rPh>
    <rPh sb="22" eb="24">
      <t>ナイヨウ</t>
    </rPh>
    <rPh sb="25" eb="27">
      <t>セッテイ</t>
    </rPh>
    <rPh sb="48" eb="50">
      <t>イチラン</t>
    </rPh>
    <rPh sb="54" eb="56">
      <t>サンショウ</t>
    </rPh>
    <phoneticPr fontId="3"/>
  </si>
  <si>
    <r>
      <t xml:space="preserve">*The start point of ATOM fix-size cell must be </t>
    </r>
    <r>
      <rPr>
        <b/>
        <sz val="11"/>
        <rFont val="ＭＳ Ｐゴシック"/>
        <family val="3"/>
        <charset val="128"/>
      </rPr>
      <t>P8</t>
    </r>
    <r>
      <rPr>
        <sz val="11"/>
        <rFont val="ＭＳ Ｐゴシック"/>
        <family val="3"/>
        <charset val="128"/>
      </rPr>
      <t xml:space="preserve"> and the xml's must be </t>
    </r>
    <r>
      <rPr>
        <b/>
        <sz val="11"/>
        <rFont val="ＭＳ Ｐゴシック"/>
        <family val="3"/>
        <charset val="128"/>
      </rPr>
      <t>W8</t>
    </r>
  </si>
  <si>
    <t>10</t>
  </si>
  <si>
    <t>The response filename must be API-ID_out_CaseNo.txt</t>
  </si>
  <si>
    <t>エラーコードは8行目で固定表示。</t>
  </si>
  <si>
    <t>00</t>
  </si>
  <si>
    <t>About Analyze-OUT、Analyze-OUTXML</t>
  </si>
  <si>
    <t xml:space="preserve"> システム名</t>
    <phoneticPr fontId="33"/>
  </si>
  <si>
    <t>試験項目</t>
    <rPh sb="0" eb="2">
      <t>シケン</t>
    </rPh>
    <rPh sb="2" eb="4">
      <t>コウモク</t>
    </rPh>
    <phoneticPr fontId="33"/>
  </si>
  <si>
    <t>大</t>
    <rPh sb="0" eb="1">
      <t>ダイ</t>
    </rPh>
    <phoneticPr fontId="33"/>
  </si>
  <si>
    <t xml:space="preserve"> 試験名</t>
    <rPh sb="1" eb="3">
      <t>シケン</t>
    </rPh>
    <phoneticPr fontId="33"/>
  </si>
  <si>
    <t>中</t>
    <rPh sb="0" eb="1">
      <t>チュウ</t>
    </rPh>
    <phoneticPr fontId="33"/>
  </si>
  <si>
    <t xml:space="preserve"> ブロック名</t>
    <rPh sb="5" eb="6">
      <t>メイ</t>
    </rPh>
    <phoneticPr fontId="33"/>
  </si>
  <si>
    <t>小</t>
    <rPh sb="0" eb="1">
      <t>ショウ</t>
    </rPh>
    <phoneticPr fontId="33"/>
  </si>
  <si>
    <t xml:space="preserve"> 試験項番</t>
    <phoneticPr fontId="33"/>
  </si>
  <si>
    <t>チェック項目</t>
    <phoneticPr fontId="3"/>
  </si>
  <si>
    <t>連携方式</t>
    <rPh sb="0" eb="2">
      <t>レンケイ</t>
    </rPh>
    <rPh sb="2" eb="4">
      <t>ホウシキ</t>
    </rPh>
    <phoneticPr fontId="3"/>
  </si>
  <si>
    <t>ATOM連携</t>
    <rPh sb="4" eb="6">
      <t>レンケイ</t>
    </rPh>
    <phoneticPr fontId="3"/>
  </si>
  <si>
    <t>直接連携</t>
    <rPh sb="0" eb="2">
      <t>チョクセツ</t>
    </rPh>
    <rPh sb="2" eb="4">
      <t>レンケイ</t>
    </rPh>
    <phoneticPr fontId="3"/>
  </si>
  <si>
    <t>API共通情報</t>
    <rPh sb="3" eb="5">
      <t>キョウツウ</t>
    </rPh>
    <rPh sb="5" eb="7">
      <t>ジョウホウ</t>
    </rPh>
    <phoneticPr fontId="3"/>
  </si>
  <si>
    <t>API識別</t>
    <rPh sb="3" eb="5">
      <t>シキベツ</t>
    </rPh>
    <phoneticPr fontId="3"/>
  </si>
  <si>
    <t>"B004"：エリア検索結果API</t>
    <rPh sb="10" eb="12">
      <t>ケンサク</t>
    </rPh>
    <rPh sb="12" eb="14">
      <t>ケッカ</t>
    </rPh>
    <phoneticPr fontId="3"/>
  </si>
  <si>
    <t>API固有情報</t>
    <rPh sb="3" eb="5">
      <t>コユウ</t>
    </rPh>
    <rPh sb="5" eb="7">
      <t>ジョウホウ</t>
    </rPh>
    <phoneticPr fontId="3"/>
  </si>
  <si>
    <t>住居種別</t>
    <rPh sb="0" eb="2">
      <t>ジュウキョ</t>
    </rPh>
    <rPh sb="2" eb="4">
      <t>シュベツ</t>
    </rPh>
    <phoneticPr fontId="3"/>
  </si>
  <si>
    <t>"0"：一戸建て</t>
    <rPh sb="4" eb="6">
      <t>イッコ</t>
    </rPh>
    <rPh sb="6" eb="7">
      <t>ダ</t>
    </rPh>
    <phoneticPr fontId="3"/>
  </si>
  <si>
    <t>申込サービス区分</t>
    <rPh sb="0" eb="2">
      <t>モウシコミ</t>
    </rPh>
    <rPh sb="6" eb="8">
      <t>クブン</t>
    </rPh>
    <phoneticPr fontId="3"/>
  </si>
  <si>
    <t>未設定</t>
    <rPh sb="0" eb="3">
      <t>ミセッテイ</t>
    </rPh>
    <phoneticPr fontId="3"/>
  </si>
  <si>
    <t>共通マンションID</t>
    <rPh sb="0" eb="2">
      <t>キョウツウ</t>
    </rPh>
    <phoneticPr fontId="3"/>
  </si>
  <si>
    <t>外部API</t>
    <rPh sb="0" eb="2">
      <t>ガイブ</t>
    </rPh>
    <phoneticPr fontId="3"/>
  </si>
  <si>
    <t>3Mエリア提供状況照会-戸建API</t>
    <rPh sb="5" eb="7">
      <t>テイキョウ</t>
    </rPh>
    <rPh sb="7" eb="9">
      <t>ジョウキョウ</t>
    </rPh>
    <rPh sb="9" eb="11">
      <t>ショウカイ</t>
    </rPh>
    <rPh sb="12" eb="14">
      <t>コダテ</t>
    </rPh>
    <phoneticPr fontId="3"/>
  </si>
  <si>
    <t>3Mエリア提供状況照会-マンションAPI</t>
    <rPh sb="5" eb="7">
      <t>テイキョウ</t>
    </rPh>
    <rPh sb="7" eb="9">
      <t>ジョウキョウ</t>
    </rPh>
    <rPh sb="9" eb="11">
      <t>ショウカイ</t>
    </rPh>
    <phoneticPr fontId="3"/>
  </si>
  <si>
    <t xml:space="preserve"> 確認内容概要</t>
    <rPh sb="1" eb="3">
      <t>カクニン</t>
    </rPh>
    <rPh sb="3" eb="5">
      <t>ナイヨウ</t>
    </rPh>
    <rPh sb="5" eb="7">
      <t>ガイヨウ</t>
    </rPh>
    <phoneticPr fontId="33"/>
  </si>
  <si>
    <t>応答電文の詳細はデータシート参照</t>
    <rPh sb="0" eb="2">
      <t>オウトウ</t>
    </rPh>
    <rPh sb="2" eb="4">
      <t>デンブン</t>
    </rPh>
    <rPh sb="5" eb="7">
      <t>ショウサイ</t>
    </rPh>
    <rPh sb="14" eb="16">
      <t>サンショウ</t>
    </rPh>
    <phoneticPr fontId="3"/>
  </si>
  <si>
    <t>応答電文</t>
    <rPh sb="0" eb="2">
      <t>オウトウ</t>
    </rPh>
    <rPh sb="2" eb="4">
      <t>デンブン</t>
    </rPh>
    <phoneticPr fontId="3"/>
  </si>
  <si>
    <t>販売状況コード</t>
    <rPh sb="0" eb="2">
      <t>ハンバイ</t>
    </rPh>
    <rPh sb="2" eb="4">
      <t>ジョウキョウ</t>
    </rPh>
    <phoneticPr fontId="3"/>
  </si>
  <si>
    <t>試行回数</t>
    <rPh sb="0" eb="2">
      <t>シコウ</t>
    </rPh>
    <rPh sb="2" eb="4">
      <t>カイスウ</t>
    </rPh>
    <phoneticPr fontId="33"/>
  </si>
  <si>
    <t xml:space="preserve"> 障害連絡票番号</t>
    <rPh sb="1" eb="3">
      <t>ショウガイ</t>
    </rPh>
    <rPh sb="3" eb="5">
      <t>レンラク</t>
    </rPh>
    <rPh sb="5" eb="6">
      <t>ヒョウ</t>
    </rPh>
    <rPh sb="6" eb="8">
      <t>バンゴウ</t>
    </rPh>
    <phoneticPr fontId="33"/>
  </si>
  <si>
    <t>(回目)</t>
    <rPh sb="1" eb="3">
      <t>カイメ</t>
    </rPh>
    <phoneticPr fontId="33"/>
  </si>
  <si>
    <t>試験実施日</t>
    <rPh sb="0" eb="2">
      <t>シケン</t>
    </rPh>
    <rPh sb="2" eb="5">
      <t>ジッシビ</t>
    </rPh>
    <phoneticPr fontId="33"/>
  </si>
  <si>
    <t>月</t>
    <rPh sb="0" eb="1">
      <t>ツキ</t>
    </rPh>
    <phoneticPr fontId="33"/>
  </si>
  <si>
    <t>日</t>
    <rPh sb="0" eb="1">
      <t>ヒ</t>
    </rPh>
    <phoneticPr fontId="33"/>
  </si>
  <si>
    <t>試験結果</t>
    <rPh sb="0" eb="2">
      <t>シケン</t>
    </rPh>
    <rPh sb="2" eb="4">
      <t>ケッカ</t>
    </rPh>
    <phoneticPr fontId="33"/>
  </si>
  <si>
    <t>担当者名</t>
    <rPh sb="0" eb="2">
      <t>タントウ</t>
    </rPh>
    <rPh sb="2" eb="3">
      <t>シャ</t>
    </rPh>
    <rPh sb="3" eb="4">
      <t>メイ</t>
    </rPh>
    <phoneticPr fontId="33"/>
  </si>
  <si>
    <t>FMCオンラインAPIパラメータ</t>
  </si>
  <si>
    <t>01</t>
  </si>
  <si>
    <t>APIパラメータ</t>
  </si>
  <si>
    <t>api-prm</t>
  </si>
  <si>
    <t>address-code</t>
  </si>
  <si>
    <t>電話番号</t>
  </si>
  <si>
    <t>"-"（ハイフン）抜きの電話番号</t>
    <rPh sb="12" eb="14">
      <t>デンワ</t>
    </rPh>
    <rPh sb="14" eb="16">
      <t>バンゴウ</t>
    </rPh>
    <phoneticPr fontId="3"/>
  </si>
  <si>
    <t>tel</t>
  </si>
  <si>
    <t>郵便番号</t>
  </si>
  <si>
    <t>"-"（ハイフン）抜きの郵便番号</t>
    <rPh sb="9" eb="10">
      <t>ヌ</t>
    </rPh>
    <rPh sb="12" eb="16">
      <t>ユウビンバンゴウ</t>
    </rPh>
    <phoneticPr fontId="3"/>
  </si>
  <si>
    <t>post</t>
  </si>
  <si>
    <t>building-type</t>
  </si>
  <si>
    <t>customer-type</t>
  </si>
  <si>
    <t>X</t>
  </si>
  <si>
    <t>02</t>
  </si>
  <si>
    <t>C0</t>
  </si>
  <si>
    <t>B1</t>
  </si>
  <si>
    <t>マニュアル表示ボタンのフラグ</t>
  </si>
  <si>
    <t>exp-button</t>
  </si>
  <si>
    <t>サービス情報繰返し回数</t>
    <rPh sb="6" eb="8">
      <t>クリカエ</t>
    </rPh>
    <rPh sb="9" eb="11">
      <t>カイスウ</t>
    </rPh>
    <phoneticPr fontId="3"/>
  </si>
  <si>
    <t>サービス情報リストの繰返し回数を設定</t>
    <rPh sb="4" eb="6">
      <t>ジョウホウ</t>
    </rPh>
    <rPh sb="10" eb="12">
      <t>クリカエ</t>
    </rPh>
    <rPh sb="13" eb="15">
      <t>カイスウ</t>
    </rPh>
    <rPh sb="16" eb="18">
      <t>セッテイ</t>
    </rPh>
    <phoneticPr fontId="3"/>
  </si>
  <si>
    <t>auservicelist</t>
  </si>
  <si>
    <t>0-3</t>
  </si>
  <si>
    <t>service-kbn-detail</t>
  </si>
  <si>
    <t>サービス名</t>
  </si>
  <si>
    <t>各エリア検索結果に対応するサービス名</t>
    <rPh sb="0" eb="1">
      <t>カク</t>
    </rPh>
    <rPh sb="4" eb="6">
      <t>ケンサク</t>
    </rPh>
    <rPh sb="6" eb="8">
      <t>ケッカ</t>
    </rPh>
    <rPh sb="9" eb="11">
      <t>タイオウ</t>
    </rPh>
    <rPh sb="17" eb="18">
      <t>メイ</t>
    </rPh>
    <phoneticPr fontId="3"/>
  </si>
  <si>
    <t>0-4</t>
  </si>
  <si>
    <t>M</t>
  </si>
  <si>
    <t>サービス名補足</t>
    <rPh sb="4" eb="5">
      <t>メイ</t>
    </rPh>
    <rPh sb="5" eb="7">
      <t>ホソク</t>
    </rPh>
    <phoneticPr fontId="3"/>
  </si>
  <si>
    <t>サービス名直下に表示する文言を設定</t>
    <rPh sb="4" eb="5">
      <t>メイ</t>
    </rPh>
    <rPh sb="5" eb="7">
      <t>チョッカ</t>
    </rPh>
    <rPh sb="8" eb="10">
      <t>ヒョウジ</t>
    </rPh>
    <rPh sb="12" eb="14">
      <t>モンゴン</t>
    </rPh>
    <rPh sb="15" eb="17">
      <t>セッテイ</t>
    </rPh>
    <phoneticPr fontId="3"/>
  </si>
  <si>
    <t>0-5</t>
  </si>
  <si>
    <t>提供サービス①</t>
  </si>
  <si>
    <t>0-6</t>
  </si>
  <si>
    <t>supplyServiceName1</t>
  </si>
  <si>
    <t>提供サービス②</t>
  </si>
  <si>
    <t>0-7</t>
  </si>
  <si>
    <t>supplyServiceName2</t>
  </si>
  <si>
    <t>0-8</t>
  </si>
  <si>
    <t>result1</t>
  </si>
  <si>
    <t>結果②</t>
  </si>
  <si>
    <t>0-9</t>
  </si>
  <si>
    <t>3M割提携</t>
    <rPh sb="2" eb="3">
      <t>ワリ</t>
    </rPh>
    <rPh sb="3" eb="5">
      <t>テイケイ</t>
    </rPh>
    <phoneticPr fontId="3"/>
  </si>
  <si>
    <t>備考①-1</t>
  </si>
  <si>
    <t>申込サービス区分毎の販売状況の文言を設定。</t>
    <rPh sb="0" eb="2">
      <t>モウシコミ</t>
    </rPh>
    <rPh sb="6" eb="8">
      <t>クブン</t>
    </rPh>
    <rPh sb="8" eb="9">
      <t>ゴト</t>
    </rPh>
    <rPh sb="10" eb="12">
      <t>ハンバイ</t>
    </rPh>
    <rPh sb="12" eb="14">
      <t>ジョウキョウ</t>
    </rPh>
    <rPh sb="15" eb="17">
      <t>モンゴン</t>
    </rPh>
    <rPh sb="18" eb="20">
      <t>セッテイ</t>
    </rPh>
    <phoneticPr fontId="3"/>
  </si>
  <si>
    <t>0-11</t>
  </si>
  <si>
    <t>memo1-1</t>
  </si>
  <si>
    <t>備考①-2</t>
  </si>
  <si>
    <t>0-12</t>
  </si>
  <si>
    <t>memo1-2</t>
  </si>
  <si>
    <t>備考①-3</t>
  </si>
  <si>
    <t>予備項目</t>
    <rPh sb="0" eb="2">
      <t>ヨビ</t>
    </rPh>
    <rPh sb="2" eb="4">
      <t>コウモク</t>
    </rPh>
    <phoneticPr fontId="3"/>
  </si>
  <si>
    <t>0-13</t>
  </si>
  <si>
    <t>memo1-3</t>
  </si>
  <si>
    <t>備考②-1</t>
  </si>
  <si>
    <t>0-14</t>
  </si>
  <si>
    <t>memo2-1</t>
  </si>
  <si>
    <t>備考②-2</t>
  </si>
  <si>
    <t>0-15</t>
  </si>
  <si>
    <t>memo2-2</t>
  </si>
  <si>
    <t>備考②-3</t>
  </si>
  <si>
    <t>0-16</t>
  </si>
  <si>
    <t>memo2-3</t>
  </si>
  <si>
    <t>備考フラグ</t>
  </si>
  <si>
    <t>0-17</t>
  </si>
  <si>
    <t>マニュアルURL</t>
  </si>
  <si>
    <t>0-18</t>
  </si>
  <si>
    <t>番号ポータビリティ可能フラグ</t>
    <rPh sb="0" eb="2">
      <t>バンゴウ</t>
    </rPh>
    <rPh sb="9" eb="11">
      <t>カノウ</t>
    </rPh>
    <phoneticPr fontId="3"/>
  </si>
  <si>
    <t>0-19</t>
  </si>
  <si>
    <t>表示可否フラグ</t>
    <rPh sb="0" eb="2">
      <t>ヒョウジ</t>
    </rPh>
    <rPh sb="2" eb="4">
      <t>カヒ</t>
    </rPh>
    <phoneticPr fontId="3"/>
  </si>
  <si>
    <t>0-20</t>
  </si>
  <si>
    <t>0-21</t>
  </si>
  <si>
    <t>マンション棟ID</t>
    <rPh sb="5" eb="6">
      <t>トウ</t>
    </rPh>
    <phoneticPr fontId="3"/>
  </si>
  <si>
    <t>0-22</t>
  </si>
  <si>
    <t>0-23</t>
  </si>
  <si>
    <t>gr-no</t>
  </si>
  <si>
    <t>サービス種別コード</t>
  </si>
  <si>
    <t>0-24</t>
  </si>
  <si>
    <t>service-code</t>
  </si>
  <si>
    <t>回線速度区分</t>
    <rPh sb="0" eb="2">
      <t>カイセン</t>
    </rPh>
    <rPh sb="2" eb="4">
      <t>ソクド</t>
    </rPh>
    <rPh sb="4" eb="6">
      <t>クブン</t>
    </rPh>
    <phoneticPr fontId="3"/>
  </si>
  <si>
    <t>0-25</t>
  </si>
  <si>
    <t>kaisen-speed</t>
  </si>
  <si>
    <t>事業者コード</t>
    <rPh sb="0" eb="3">
      <t>ジギョウシャ</t>
    </rPh>
    <phoneticPr fontId="3"/>
  </si>
  <si>
    <t>3Mエリア提供状況照会－戸建API、または3Mエリア提供状況照会－マンションAPI結果に事業者コードが存在する場合、その事業者コードを設定</t>
    <rPh sb="44" eb="47">
      <t>ジギョウシャ</t>
    </rPh>
    <rPh sb="51" eb="53">
      <t>ソンザイ</t>
    </rPh>
    <rPh sb="55" eb="57">
      <t>バアイ</t>
    </rPh>
    <rPh sb="60" eb="63">
      <t>ジギョウシャ</t>
    </rPh>
    <rPh sb="67" eb="69">
      <t>セッテイ</t>
    </rPh>
    <phoneticPr fontId="3"/>
  </si>
  <si>
    <t>0-26</t>
  </si>
  <si>
    <t>事業者名</t>
    <rPh sb="0" eb="3">
      <t>ジギョウシャ</t>
    </rPh>
    <rPh sb="3" eb="4">
      <t>メイ</t>
    </rPh>
    <phoneticPr fontId="3"/>
  </si>
  <si>
    <t>3Mエリア提供状況照会－戸建API、または3Mエリア提供状況照会－マンションAPI結果に事業者名が存在する場合、その事業者名を設定</t>
    <rPh sb="44" eb="47">
      <t>ジギョウシャ</t>
    </rPh>
    <rPh sb="47" eb="48">
      <t>メイ</t>
    </rPh>
    <rPh sb="49" eb="51">
      <t>ソンザイ</t>
    </rPh>
    <rPh sb="53" eb="55">
      <t>バアイ</t>
    </rPh>
    <rPh sb="58" eb="61">
      <t>ジギョウシャ</t>
    </rPh>
    <rPh sb="61" eb="62">
      <t>メイ</t>
    </rPh>
    <rPh sb="63" eb="65">
      <t>セッテイ</t>
    </rPh>
    <phoneticPr fontId="3"/>
  </si>
  <si>
    <t>0-27</t>
  </si>
  <si>
    <t>0-10</t>
  </si>
  <si>
    <t>04</t>
  </si>
  <si>
    <t>A1</t>
  </si>
  <si>
    <t>A2</t>
  </si>
  <si>
    <t>A0</t>
  </si>
  <si>
    <t>pc-res</t>
  </si>
  <si>
    <t>外部APIの返却値が1桁の場合、先頭に「0」を付加</t>
    <rPh sb="0" eb="2">
      <t>ガイブ</t>
    </rPh>
    <rPh sb="6" eb="8">
      <t>ヘンキャク</t>
    </rPh>
    <rPh sb="8" eb="9">
      <t>チ</t>
    </rPh>
    <rPh sb="11" eb="12">
      <t>ケタ</t>
    </rPh>
    <rPh sb="13" eb="15">
      <t>バアイ</t>
    </rPh>
    <rPh sb="16" eb="18">
      <t>セントウ</t>
    </rPh>
    <rPh sb="23" eb="25">
      <t>フカ</t>
    </rPh>
    <phoneticPr fontId="3"/>
  </si>
  <si>
    <r>
      <t>ルート</t>
    </r>
    <r>
      <rPr>
        <sz val="11"/>
        <rFont val="ＭＳ Ｐゴシック"/>
        <family val="3"/>
        <charset val="128"/>
      </rPr>
      <t>（入力）</t>
    </r>
    <rPh sb="4" eb="6">
      <t>ニュウリョク</t>
    </rPh>
    <phoneticPr fontId="3"/>
  </si>
  <si>
    <r>
      <t>APIを識別するコード</t>
    </r>
    <r>
      <rPr>
        <sz val="11"/>
        <rFont val="ＭＳ Ｐゴシック"/>
        <family val="3"/>
        <charset val="128"/>
      </rPr>
      <t>（API-ID）を設定。
設定内容は「付録C FMCオンラインAPI補足資料」を参照。</t>
    </r>
    <rPh sb="4" eb="6">
      <t>シキベツ</t>
    </rPh>
    <rPh sb="20" eb="22">
      <t>セッテイ</t>
    </rPh>
    <phoneticPr fontId="3"/>
  </si>
  <si>
    <r>
      <t xml:space="preserve">APIのバージョンを設定。
</t>
    </r>
    <r>
      <rPr>
        <sz val="11"/>
        <rFont val="ＭＳ Ｐゴシック"/>
        <family val="3"/>
        <charset val="128"/>
      </rPr>
      <t>「10」固定。</t>
    </r>
    <rPh sb="10" eb="12">
      <t>セッテイ</t>
    </rPh>
    <rPh sb="18" eb="20">
      <t>コテイ</t>
    </rPh>
    <phoneticPr fontId="3"/>
  </si>
  <si>
    <r>
      <t xml:space="preserve">au代理店コードを設定。
</t>
    </r>
    <r>
      <rPr>
        <sz val="11"/>
        <rFont val="ＭＳ Ｐゴシック"/>
        <family val="3"/>
        <charset val="128"/>
      </rPr>
      <t xml:space="preserve">下記の条件を全て満たす場合のみ非必須。
満たさない場合は、必須。
API識別：H001（申込情報照会API）
呼出元：EKIDEN（絵喜伝）
</t>
    </r>
    <rPh sb="9" eb="11">
      <t>セッテイ</t>
    </rPh>
    <rPh sb="14" eb="16">
      <t>カキ</t>
    </rPh>
    <rPh sb="17" eb="19">
      <t>ジョウケン</t>
    </rPh>
    <rPh sb="20" eb="21">
      <t>スベ</t>
    </rPh>
    <rPh sb="22" eb="23">
      <t>ミ</t>
    </rPh>
    <rPh sb="25" eb="27">
      <t>バアイ</t>
    </rPh>
    <rPh sb="29" eb="30">
      <t>ヒ</t>
    </rPh>
    <rPh sb="30" eb="32">
      <t>ヒッス</t>
    </rPh>
    <rPh sb="34" eb="35">
      <t>ミ</t>
    </rPh>
    <rPh sb="39" eb="41">
      <t>バアイ</t>
    </rPh>
    <rPh sb="43" eb="45">
      <t>ヒッス</t>
    </rPh>
    <rPh sb="58" eb="60">
      <t>モウシコミ</t>
    </rPh>
    <rPh sb="60" eb="62">
      <t>ジョウホウ</t>
    </rPh>
    <rPh sb="62" eb="64">
      <t>ショウカイ</t>
    </rPh>
    <rPh sb="69" eb="71">
      <t>ヨビダ</t>
    </rPh>
    <rPh sb="71" eb="72">
      <t>モト</t>
    </rPh>
    <rPh sb="80" eb="81">
      <t>エ</t>
    </rPh>
    <rPh sb="81" eb="82">
      <t>キ</t>
    </rPh>
    <rPh sb="82" eb="83">
      <t>デン</t>
    </rPh>
    <phoneticPr fontId="3"/>
  </si>
  <si>
    <t>G1</t>
  </si>
  <si>
    <t>A4</t>
  </si>
  <si>
    <t xml:space="preserve"> チェック条件</t>
    <phoneticPr fontId="33"/>
  </si>
  <si>
    <t>APIパラメータ(INPUT)</t>
    <phoneticPr fontId="3"/>
  </si>
  <si>
    <t>PASCAL</t>
    <phoneticPr fontId="3"/>
  </si>
  <si>
    <t>EKIDEN</t>
    <phoneticPr fontId="3"/>
  </si>
  <si>
    <t>"1"：マンション・アパートなど</t>
    <phoneticPr fontId="3"/>
  </si>
  <si>
    <t>番地</t>
    <rPh sb="0" eb="2">
      <t>バンチ</t>
    </rPh>
    <phoneticPr fontId="3"/>
  </si>
  <si>
    <t>申込サービス区分が「02:ひかりoneホーム(S)」の場合、番地を設定。</t>
    <rPh sb="0" eb="2">
      <t>モウシコミ</t>
    </rPh>
    <rPh sb="6" eb="8">
      <t>クブン</t>
    </rPh>
    <rPh sb="27" eb="29">
      <t>バアイ</t>
    </rPh>
    <rPh sb="30" eb="32">
      <t>バンチ</t>
    </rPh>
    <rPh sb="33" eb="35">
      <t>セッテイ</t>
    </rPh>
    <phoneticPr fontId="3"/>
  </si>
  <si>
    <t>号</t>
    <rPh sb="0" eb="1">
      <t>ゴウ</t>
    </rPh>
    <phoneticPr fontId="3"/>
  </si>
  <si>
    <t>申込サービス区分が「02:ひかりoneホーム(S)」の場合、号を設定。</t>
    <rPh sb="30" eb="31">
      <t>ゴウ</t>
    </rPh>
    <rPh sb="32" eb="34">
      <t>セッテイ</t>
    </rPh>
    <phoneticPr fontId="3"/>
  </si>
  <si>
    <t>※1311案件より未使用項目</t>
    <rPh sb="5" eb="7">
      <t>アンケン</t>
    </rPh>
    <rPh sb="9" eb="12">
      <t>ミシヨウ</t>
    </rPh>
    <rPh sb="12" eb="14">
      <t>コウモク</t>
    </rPh>
    <phoneticPr fontId="3"/>
  </si>
  <si>
    <r>
      <t>1：○　</t>
    </r>
    <r>
      <rPr>
        <sz val="11"/>
        <rFont val="ＭＳ Ｐゴシック"/>
        <family val="3"/>
        <charset val="128"/>
      </rPr>
      <t xml:space="preserve">(サービス提供可能)
2：△　(サービス提供予定)
3：×　(サービス提供不可)
5：×　(緊急呼提供可)
サービス区分＝"00"または"02"または"04"または"10"または"11"の場合のみ、「5：×(緊急呼提供可)」は設定される。
</t>
    </r>
    <rPh sb="50" eb="52">
      <t>キンキュウ</t>
    </rPh>
    <rPh sb="52" eb="53">
      <t>ヨ</t>
    </rPh>
    <rPh sb="53" eb="55">
      <t>テイキョウ</t>
    </rPh>
    <rPh sb="55" eb="56">
      <t>カ</t>
    </rPh>
    <phoneticPr fontId="3"/>
  </si>
  <si>
    <t>申込サービス区分に応じて呼び出したAPIから、下記の項目値が設定されて返却された場合、その値を設定する
　3Mエリア提供状況照会－戸建API
　　・・・ auひかりGCコード
　3Mエリア提供状況照会－マンションAPI
　　・・・ auひかりGCコード</t>
    <rPh sb="0" eb="2">
      <t>モウシコミ</t>
    </rPh>
    <rPh sb="6" eb="8">
      <t>クブン</t>
    </rPh>
    <rPh sb="9" eb="10">
      <t>オウ</t>
    </rPh>
    <rPh sb="12" eb="13">
      <t>ヨ</t>
    </rPh>
    <rPh sb="14" eb="15">
      <t>ダ</t>
    </rPh>
    <rPh sb="23" eb="25">
      <t>カキ</t>
    </rPh>
    <rPh sb="26" eb="28">
      <t>コウモク</t>
    </rPh>
    <rPh sb="28" eb="29">
      <t>アタイ</t>
    </rPh>
    <rPh sb="30" eb="32">
      <t>セッテイ</t>
    </rPh>
    <rPh sb="35" eb="37">
      <t>ヘンキャク</t>
    </rPh>
    <rPh sb="40" eb="42">
      <t>バアイ</t>
    </rPh>
    <rPh sb="45" eb="46">
      <t>アタイ</t>
    </rPh>
    <rPh sb="47" eb="49">
      <t>セッテイ</t>
    </rPh>
    <phoneticPr fontId="3"/>
  </si>
  <si>
    <t>A5</t>
  </si>
  <si>
    <t>OK／</t>
    <phoneticPr fontId="33"/>
  </si>
  <si>
    <t>／NG</t>
    <phoneticPr fontId="33"/>
  </si>
  <si>
    <t>B004</t>
    <phoneticPr fontId="3"/>
  </si>
  <si>
    <t>エリア検索結果取得</t>
    <phoneticPr fontId="3"/>
  </si>
  <si>
    <t>I/O</t>
    <phoneticPr fontId="3"/>
  </si>
  <si>
    <t xml:space="preserve">  </t>
    <phoneticPr fontId="3"/>
  </si>
  <si>
    <t>-</t>
    <phoneticPr fontId="3"/>
  </si>
  <si>
    <t>NW系エリア検索</t>
    <rPh sb="2" eb="3">
      <t>ケイ</t>
    </rPh>
    <rPh sb="6" eb="8">
      <t>ケンサク</t>
    </rPh>
    <phoneticPr fontId="3"/>
  </si>
  <si>
    <t>C1</t>
  </si>
  <si>
    <t>D1</t>
  </si>
  <si>
    <t>E1</t>
  </si>
  <si>
    <t>H1</t>
  </si>
  <si>
    <t>チェック条件／確認内容</t>
    <phoneticPr fontId="3"/>
  </si>
  <si>
    <t>総合試験項目票No</t>
    <phoneticPr fontId="3"/>
  </si>
  <si>
    <t>○</t>
    <phoneticPr fontId="3"/>
  </si>
  <si>
    <t>api-request</t>
    <phoneticPr fontId="3"/>
  </si>
  <si>
    <t>I</t>
    <phoneticPr fontId="3"/>
  </si>
  <si>
    <t>O</t>
    <phoneticPr fontId="3"/>
  </si>
  <si>
    <t>api-com-info</t>
    <phoneticPr fontId="3"/>
  </si>
  <si>
    <t>API識別</t>
    <phoneticPr fontId="3"/>
  </si>
  <si>
    <t>X</t>
    <phoneticPr fontId="3"/>
  </si>
  <si>
    <t>api-id</t>
    <phoneticPr fontId="3"/>
  </si>
  <si>
    <t>△</t>
    <phoneticPr fontId="3"/>
  </si>
  <si>
    <r>
      <t>API呼出を行ったPASCAL、絵喜伝</t>
    </r>
    <r>
      <rPr>
        <sz val="11"/>
        <rFont val="ＭＳ Ｐゴシック"/>
        <family val="3"/>
        <charset val="128"/>
      </rPr>
      <t>、ORANGE端末のIPアドレスを設定。</t>
    </r>
    <r>
      <rPr>
        <sz val="11"/>
        <rFont val="ＭＳ Ｐゴシック"/>
        <family val="3"/>
        <charset val="128"/>
      </rPr>
      <t xml:space="preserve">
</t>
    </r>
    <rPh sb="6" eb="7">
      <t>オコナ</t>
    </rPh>
    <rPh sb="16" eb="19">
      <t>エキデン</t>
    </rPh>
    <rPh sb="26" eb="28">
      <t>タンマツ</t>
    </rPh>
    <rPh sb="36" eb="38">
      <t>セッテイ</t>
    </rPh>
    <phoneticPr fontId="3"/>
  </si>
  <si>
    <r>
      <t>各FMCオンライン呼出元のシステム名
タブレット端末："PASCAL"</t>
    </r>
    <r>
      <rPr>
        <sz val="11"/>
        <rFont val="ＭＳ Ｐゴシック"/>
        <family val="3"/>
        <charset val="128"/>
      </rPr>
      <t xml:space="preserve">
絵喜伝："EKIDEN"
ORANGE："ORANGE"</t>
    </r>
    <r>
      <rPr>
        <sz val="11"/>
        <rFont val="ＭＳ Ｐゴシック"/>
        <family val="3"/>
        <charset val="128"/>
      </rPr>
      <t xml:space="preserve">
</t>
    </r>
    <rPh sb="0" eb="1">
      <t>カク</t>
    </rPh>
    <rPh sb="9" eb="11">
      <t>ヨビダシ</t>
    </rPh>
    <rPh sb="11" eb="12">
      <t>モト</t>
    </rPh>
    <rPh sb="17" eb="18">
      <t>メイ</t>
    </rPh>
    <rPh sb="24" eb="26">
      <t>タンマツ</t>
    </rPh>
    <rPh sb="36" eb="37">
      <t>エ</t>
    </rPh>
    <rPh sb="37" eb="38">
      <t>キ</t>
    </rPh>
    <rPh sb="38" eb="39">
      <t>デン</t>
    </rPh>
    <phoneticPr fontId="3"/>
  </si>
  <si>
    <r>
      <t>各FMCオンライン呼出元の画面名（ID)</t>
    </r>
    <r>
      <rPr>
        <strike/>
        <sz val="11"/>
        <color indexed="10"/>
        <rFont val="ＭＳ Ｐゴシック"/>
        <family val="3"/>
        <charset val="128"/>
      </rPr>
      <t/>
    </r>
    <rPh sb="0" eb="1">
      <t>カク</t>
    </rPh>
    <rPh sb="9" eb="11">
      <t>ヨビダシ</t>
    </rPh>
    <rPh sb="11" eb="12">
      <t>モト</t>
    </rPh>
    <rPh sb="13" eb="15">
      <t>ガメン</t>
    </rPh>
    <rPh sb="15" eb="16">
      <t>メイ</t>
    </rPh>
    <phoneticPr fontId="3"/>
  </si>
  <si>
    <r>
      <t xml:space="preserve">絵喜伝：8桁
PASCAL：6桁
</t>
    </r>
    <r>
      <rPr>
        <sz val="11"/>
        <rFont val="ＭＳ Ｐゴシック"/>
        <family val="3"/>
        <charset val="128"/>
      </rPr>
      <t>ORANGE：8桁</t>
    </r>
    <r>
      <rPr>
        <sz val="11"/>
        <rFont val="ＭＳ Ｐゴシック"/>
        <family val="3"/>
        <charset val="128"/>
      </rPr>
      <t xml:space="preserve">
</t>
    </r>
    <rPh sb="25" eb="26">
      <t>ケタ</t>
    </rPh>
    <phoneticPr fontId="3"/>
  </si>
  <si>
    <t>要求項目（初期値スペース）だが応答時に応答内容を設定して返す</t>
    <phoneticPr fontId="3"/>
  </si>
  <si>
    <t>api-status</t>
    <phoneticPr fontId="3"/>
  </si>
  <si>
    <t>エラーフラグ</t>
    <phoneticPr fontId="3"/>
  </si>
  <si>
    <t>err-flg</t>
    <phoneticPr fontId="3"/>
  </si>
  <si>
    <t>0,1</t>
    <phoneticPr fontId="3"/>
  </si>
  <si>
    <t>顧客種別</t>
    <phoneticPr fontId="3"/>
  </si>
  <si>
    <t xml:space="preserve">0：個人
1：法人
</t>
    <phoneticPr fontId="3"/>
  </si>
  <si>
    <t>service-kbn</t>
    <phoneticPr fontId="3"/>
  </si>
  <si>
    <t>common-mansion-id</t>
    <phoneticPr fontId="3"/>
  </si>
  <si>
    <r>
      <t>3Mエリア提供状況照会（外部API）</t>
    </r>
    <r>
      <rPr>
        <sz val="11"/>
        <rFont val="ＭＳ Ｐゴシック"/>
        <family val="3"/>
        <charset val="128"/>
      </rPr>
      <t xml:space="preserve">、ホームＳ一部エリアサービス提供可否返却（外部API）にて返却されたエラーコードを設定
</t>
    </r>
    <rPh sb="5" eb="7">
      <t>テイキョウ</t>
    </rPh>
    <rPh sb="7" eb="9">
      <t>ジョウキョウ</t>
    </rPh>
    <rPh sb="9" eb="11">
      <t>ショウカイ</t>
    </rPh>
    <rPh sb="12" eb="14">
      <t>ガイブ</t>
    </rPh>
    <rPh sb="39" eb="41">
      <t>ガイブ</t>
    </rPh>
    <rPh sb="47" eb="49">
      <t>ヘンキャク</t>
    </rPh>
    <rPh sb="59" eb="61">
      <t>セッテイ</t>
    </rPh>
    <phoneticPr fontId="3"/>
  </si>
  <si>
    <t>dabi-err-code</t>
    <phoneticPr fontId="3"/>
  </si>
  <si>
    <t>auservicelist-loop-cnt</t>
    <phoneticPr fontId="3"/>
  </si>
  <si>
    <r>
      <t>3Mエリア提供状況照会（外部API）</t>
    </r>
    <r>
      <rPr>
        <sz val="11"/>
        <rFont val="ＭＳ Ｐゴシック"/>
        <family val="3"/>
        <charset val="128"/>
      </rPr>
      <t xml:space="preserve">、ホームＳ一部エリアサービス提供可否返却（外部API）にて返却されたサービス提供状況を設定
</t>
    </r>
    <rPh sb="56" eb="58">
      <t>テイキョウ</t>
    </rPh>
    <rPh sb="58" eb="60">
      <t>ジョウキョウ</t>
    </rPh>
    <rPh sb="61" eb="63">
      <t>セッテイ</t>
    </rPh>
    <phoneticPr fontId="3"/>
  </si>
  <si>
    <t>sale-code</t>
    <phoneticPr fontId="3"/>
  </si>
  <si>
    <t>service-name</t>
    <phoneticPr fontId="3"/>
  </si>
  <si>
    <t>service-name-note</t>
    <phoneticPr fontId="3"/>
  </si>
  <si>
    <t>M</t>
    <phoneticPr fontId="3"/>
  </si>
  <si>
    <r>
      <t>1：○　</t>
    </r>
    <r>
      <rPr>
        <sz val="11"/>
        <rFont val="ＭＳ Ｐゴシック"/>
        <family val="3"/>
        <charset val="128"/>
      </rPr>
      <t>(サービス提供可能)
2：△　(サービス提供予定)
3：×　(サービス提供不可)
9：（データ無）</t>
    </r>
    <rPh sb="51" eb="52">
      <t>ナ</t>
    </rPh>
    <phoneticPr fontId="3"/>
  </si>
  <si>
    <t>three-m-discnt-kbn</t>
    <phoneticPr fontId="3"/>
  </si>
  <si>
    <t>bikou-flg</t>
    <phoneticPr fontId="3"/>
  </si>
  <si>
    <t>manual-url</t>
    <phoneticPr fontId="3"/>
  </si>
  <si>
    <t>num_portability_flg</t>
    <phoneticPr fontId="3"/>
  </si>
  <si>
    <t>show_flg</t>
    <phoneticPr fontId="3"/>
  </si>
  <si>
    <t>サービス種別</t>
    <phoneticPr fontId="3"/>
  </si>
  <si>
    <t>service-type</t>
    <phoneticPr fontId="3"/>
  </si>
  <si>
    <t>mansion-tou-id</t>
    <phoneticPr fontId="3"/>
  </si>
  <si>
    <t>carrier-cd</t>
    <phoneticPr fontId="3"/>
  </si>
  <si>
    <t>返却する半角文字は「?」のみ</t>
    <phoneticPr fontId="3"/>
  </si>
  <si>
    <t>carrier-name</t>
    <phoneticPr fontId="3"/>
  </si>
  <si>
    <t>0-28</t>
    <phoneticPr fontId="3"/>
  </si>
  <si>
    <t>gc-cd</t>
    <phoneticPr fontId="3"/>
  </si>
  <si>
    <t>NET/TEL/TV提供区分</t>
    <rPh sb="10" eb="12">
      <t>テイキョウ</t>
    </rPh>
    <rPh sb="12" eb="14">
      <t>クブン</t>
    </rPh>
    <phoneticPr fontId="3"/>
  </si>
  <si>
    <t>0-29</t>
    <phoneticPr fontId="3"/>
  </si>
  <si>
    <t>net-tel-tv-kbn</t>
    <phoneticPr fontId="3"/>
  </si>
  <si>
    <t>0334439999</t>
    <phoneticPr fontId="3"/>
  </si>
  <si>
    <t>住居種別</t>
    <phoneticPr fontId="3"/>
  </si>
  <si>
    <t>サービス種別の昇順で設定</t>
    <rPh sb="4" eb="6">
      <t>シュベツ</t>
    </rPh>
    <rPh sb="7" eb="9">
      <t>ショウジュン</t>
    </rPh>
    <rPh sb="10" eb="12">
      <t>セッテイ</t>
    </rPh>
    <phoneticPr fontId="3"/>
  </si>
  <si>
    <t>申込サービス区分詳細</t>
    <phoneticPr fontId="3"/>
  </si>
  <si>
    <t>この項目が設定されるサービスは「11:ａｕひかりちゅらマンション」の場合のみ</t>
    <phoneticPr fontId="3"/>
  </si>
  <si>
    <t>契約Gr番号</t>
    <phoneticPr fontId="3"/>
  </si>
  <si>
    <t>GCコード</t>
    <phoneticPr fontId="3"/>
  </si>
  <si>
    <t xml:space="preserve">NET/TEL/TV提供区分を設定
1：NET＋TEL
2：NETのみ
3：TELのみ
4：TVのみ
5：NET+TEL+TV
6：NET+TV
7：TEL+TV
9：その他
</t>
    <phoneticPr fontId="3"/>
  </si>
  <si>
    <t>ID002</t>
    <phoneticPr fontId="3"/>
  </si>
  <si>
    <t>ID003</t>
    <phoneticPr fontId="3"/>
  </si>
  <si>
    <t>3Mエリア提供状況照会(マンション)API</t>
    <phoneticPr fontId="3"/>
  </si>
  <si>
    <t>3Mエリア提供状況照会(戸建)API</t>
    <rPh sb="12" eb="14">
      <t>コダテ</t>
    </rPh>
    <phoneticPr fontId="3"/>
  </si>
  <si>
    <t>0000</t>
  </si>
  <si>
    <t>0</t>
  </si>
  <si>
    <t>J1</t>
  </si>
  <si>
    <t xml:space="preserve">B004 </t>
    <phoneticPr fontId="3"/>
  </si>
  <si>
    <t>判定対象外</t>
    <rPh sb="0" eb="1">
      <t>ハンテイ</t>
    </rPh>
    <rPh sb="1" eb="3">
      <t>タイショウ</t>
    </rPh>
    <rPh sb="3" eb="4">
      <t>ガイ</t>
    </rPh>
    <phoneticPr fontId="3"/>
  </si>
  <si>
    <t>07</t>
  </si>
  <si>
    <t>A3</t>
  </si>
  <si>
    <t>F1</t>
  </si>
  <si>
    <t>下記外部APIが呼び出されていること</t>
    <rPh sb="0" eb="2">
      <t>カキ</t>
    </rPh>
    <rPh sb="2" eb="4">
      <t>ガイブ</t>
    </rPh>
    <rPh sb="8" eb="9">
      <t>ヨ</t>
    </rPh>
    <rPh sb="10" eb="11">
      <t>ダ</t>
    </rPh>
    <phoneticPr fontId="3"/>
  </si>
  <si>
    <t>ID001</t>
    <phoneticPr fontId="3"/>
  </si>
  <si>
    <t>home_3m_area_chk.cgi</t>
    <phoneticPr fontId="3"/>
  </si>
  <si>
    <t>mansion_3m_area_chk.cgi</t>
    <phoneticPr fontId="3"/>
  </si>
  <si>
    <r>
      <t xml:space="preserve">0:番号ポータビリティ不可
1:番号ポータビリティ可能
</t>
    </r>
    <r>
      <rPr>
        <sz val="11"/>
        <rFont val="ＭＳ Ｐゴシック"/>
        <family val="3"/>
        <charset val="128"/>
      </rPr>
      <t xml:space="preserve">この項目が設定されるサービスは「00:ひかりoneホーム」、「02:ひかりoneホーム(S)」、「04:ａｕひかりちゅらホーム」、「10:ひかりoneマンション」、「11:ａｕひかりちゅらマンション」、「C1:ホームプラス」
の場合のみ。
</t>
    </r>
    <rPh sb="11" eb="13">
      <t>フカ</t>
    </rPh>
    <rPh sb="16" eb="18">
      <t>バンゴウ</t>
    </rPh>
    <rPh sb="25" eb="27">
      <t>カノウ</t>
    </rPh>
    <phoneticPr fontId="3"/>
  </si>
  <si>
    <t xml:space="preserve">入力時：初期値を設定
出力時：下記、API呼出結果を設定
　"00"：正常終了
　"01"：フォーマットエラー(入力XML不正)
　"02"：APIバージョン不正
　"03"：呼び出し元システムID不正
　"04"：設定ファイルエラー
　"05"：データ不正
　"80"：メンテナンス中(内部)
　"81"：システム利用時間外エラー
　"82"：メンテナンス中(外部)
　"90"：DBエラー(GATE内部)
　"91"：DBエラー(GATE外部)
　"92"：内部連携エラー
　"93"：外部連携エラー
　"99"：システムエラー(その他エラー)
</t>
    <phoneticPr fontId="3"/>
  </si>
  <si>
    <t>FMC</t>
    <phoneticPr fontId="33"/>
  </si>
  <si>
    <t>オンライン</t>
    <phoneticPr fontId="3"/>
  </si>
  <si>
    <t>ID001</t>
    <phoneticPr fontId="3"/>
  </si>
  <si>
    <t>ID004</t>
  </si>
  <si>
    <t>ID005</t>
  </si>
  <si>
    <t>ID006</t>
  </si>
  <si>
    <t>アプリログ</t>
    <phoneticPr fontId="3"/>
  </si>
  <si>
    <t xml:space="preserve">0：一戸建て
1：マンション・アパートなど
</t>
    <phoneticPr fontId="3"/>
  </si>
  <si>
    <t>申込サービス区分</t>
    <phoneticPr fontId="3"/>
  </si>
  <si>
    <t>DABINCIエラーコード</t>
    <phoneticPr fontId="3"/>
  </si>
  <si>
    <t xml:space="preserve">1：「マニュアル」カラム表示、「表示」ボタン表示
0：「マニュアル」カラム非表示、「表示」ボタン非表示
</t>
    <phoneticPr fontId="3"/>
  </si>
  <si>
    <t>0-0</t>
    <phoneticPr fontId="3"/>
  </si>
  <si>
    <t>サービス情報リスト</t>
    <phoneticPr fontId="3"/>
  </si>
  <si>
    <t>0-1</t>
    <phoneticPr fontId="3"/>
  </si>
  <si>
    <t>0-2</t>
    <phoneticPr fontId="3"/>
  </si>
  <si>
    <r>
      <t>申込サービス区分が「00:ひかりone ホーム」</t>
    </r>
    <r>
      <rPr>
        <sz val="11"/>
        <rFont val="ＭＳ Ｐゴシック"/>
        <family val="3"/>
        <charset val="128"/>
      </rPr>
      <t xml:space="preserve">、「02:ひかりoneホーム(S)」、「04:ａｕひかりちゅらホーム」、「10:ひかりone マンション」、「11:ａｕひかりちゅらマンション」の場合、
「インターネット/TV」を表す文言を設定。
</t>
    </r>
    <rPh sb="114" eb="115">
      <t>アラワ</t>
    </rPh>
    <rPh sb="116" eb="118">
      <t>モンゴン</t>
    </rPh>
    <rPh sb="119" eb="121">
      <t>セッテイ</t>
    </rPh>
    <phoneticPr fontId="3"/>
  </si>
  <si>
    <r>
      <t>申込サービス区分が「00:ひかりone ホーム」、「02:ひかりoneホーム(S)」、</t>
    </r>
    <r>
      <rPr>
        <sz val="11"/>
        <rFont val="ＭＳ Ｐゴシック"/>
        <family val="3"/>
        <charset val="128"/>
      </rPr>
      <t xml:space="preserve">「04:ａｕひかりちゅらホーム」、「10:ひかりone マンション」、「11:ａｕひかりちゅらマンション」の場合、
「電話」を表す文言を設定。
</t>
    </r>
    <rPh sb="102" eb="104">
      <t>デンワ</t>
    </rPh>
    <rPh sb="106" eb="107">
      <t>アラワ</t>
    </rPh>
    <rPh sb="108" eb="110">
      <t>モンゴン</t>
    </rPh>
    <rPh sb="111" eb="113">
      <t>セッテイ</t>
    </rPh>
    <phoneticPr fontId="3"/>
  </si>
  <si>
    <t>結果①</t>
    <phoneticPr fontId="3"/>
  </si>
  <si>
    <r>
      <t>・申込サービス区分が「00:ひかりone ホーム」</t>
    </r>
    <r>
      <rPr>
        <sz val="11"/>
        <rFont val="ＭＳ Ｐゴシック"/>
        <family val="3"/>
        <charset val="128"/>
      </rPr>
      <t xml:space="preserve">で、かつ3Mエリア提供状況照会－戸建API結果の備考フラグが1の場合、固定文言を設定。
</t>
    </r>
    <rPh sb="34" eb="36">
      <t>テイキョウ</t>
    </rPh>
    <rPh sb="36" eb="38">
      <t>ジョウキョウ</t>
    </rPh>
    <rPh sb="38" eb="40">
      <t>ショウカイ</t>
    </rPh>
    <rPh sb="41" eb="43">
      <t>コダテ</t>
    </rPh>
    <rPh sb="46" eb="48">
      <t>ケッカ</t>
    </rPh>
    <rPh sb="49" eb="51">
      <t>ビコウ</t>
    </rPh>
    <rPh sb="57" eb="59">
      <t>バアイ</t>
    </rPh>
    <rPh sb="60" eb="62">
      <t>コテイ</t>
    </rPh>
    <rPh sb="62" eb="64">
      <t>モンゴン</t>
    </rPh>
    <rPh sb="65" eb="67">
      <t>セッテイ</t>
    </rPh>
    <phoneticPr fontId="3"/>
  </si>
  <si>
    <r>
      <t>申込サービス区分が「00:ひかりone ホーム」、「02:ひかりoneホーム(S)」、</t>
    </r>
    <r>
      <rPr>
        <sz val="11"/>
        <rFont val="ＭＳ Ｐゴシック"/>
        <family val="3"/>
        <charset val="128"/>
      </rPr>
      <t>「04:ａｕひかりちゅらホーム」、「10:ひかりone マンション」、「11:ａｕひかりちゅらマンション」の場合で、且つ結果①が「○」または「△」の場合で、且つ緊急呼提供エリアが提供不可の場合、電話サービスが提供できないことを表す文言を設定。</t>
    </r>
    <rPh sb="101" eb="102">
      <t>カ</t>
    </rPh>
    <rPh sb="121" eb="122">
      <t>カ</t>
    </rPh>
    <rPh sb="147" eb="149">
      <t>テイキョウ</t>
    </rPh>
    <phoneticPr fontId="3"/>
  </si>
  <si>
    <r>
      <t>3Mエリア提供状況照会－戸建API</t>
    </r>
    <r>
      <rPr>
        <sz val="11"/>
        <rFont val="ＭＳ Ｐゴシック"/>
        <family val="3"/>
        <charset val="128"/>
      </rPr>
      <t xml:space="preserve">結果の備考フラグ
0:なし
1:あり
この項目が設定されるサービスは「00:ひかりoneホーム」、「02:ひかりoneホーム(S)」の場合のみ。
</t>
    </r>
    <phoneticPr fontId="3"/>
  </si>
  <si>
    <r>
      <rPr>
        <sz val="11"/>
        <rFont val="ＭＳ Ｐゴシック"/>
        <family val="3"/>
        <charset val="128"/>
      </rPr>
      <t>当該サービス情報を画面に表示するか否かを示す。
0:表示しない
1:表示する
「呼び出し元システム名」と外部API（3Ｍエリア提供状況照会－戸建/3Mエリア提供状況照会－マンション</t>
    </r>
    <r>
      <rPr>
        <sz val="11"/>
        <rFont val="ＭＳ Ｐゴシック"/>
        <family val="3"/>
        <charset val="128"/>
      </rPr>
      <t xml:space="preserve">)から返却される、サービス種別に紐付く申込サービス区分、申込サービス詳細区分を元に、エリア検索結果表示制御マスタから表示有無を取得し、設定する。
</t>
    </r>
    <rPh sb="26" eb="28">
      <t>ヒョウジ</t>
    </rPh>
    <rPh sb="34" eb="36">
      <t>ヒョウジ</t>
    </rPh>
    <phoneticPr fontId="3"/>
  </si>
  <si>
    <t>未設定（値なし）</t>
    <rPh sb="0" eb="3">
      <t>ミセッテイ</t>
    </rPh>
    <rPh sb="4" eb="5">
      <t>アタイ</t>
    </rPh>
    <phoneticPr fontId="3"/>
  </si>
  <si>
    <t>サービス提供状況</t>
    <phoneticPr fontId="3"/>
  </si>
  <si>
    <t>エラーコード　（※ATOM設定項目）</t>
    <rPh sb="13" eb="15">
      <t>セッテイ</t>
    </rPh>
    <rPh sb="15" eb="17">
      <t>コウモク</t>
    </rPh>
    <phoneticPr fontId="3"/>
  </si>
  <si>
    <t>"00"：正常終了</t>
    <phoneticPr fontId="3"/>
  </si>
  <si>
    <t>任意</t>
    <rPh sb="0" eb="2">
      <t>ニンイ</t>
    </rPh>
    <phoneticPr fontId="3"/>
  </si>
  <si>
    <t>個別結果コード</t>
    <rPh sb="0" eb="2">
      <t>コベツ</t>
    </rPh>
    <rPh sb="2" eb="4">
      <t>ケッカ</t>
    </rPh>
    <phoneticPr fontId="3"/>
  </si>
  <si>
    <t>サービス情報リスト</t>
    <rPh sb="4" eb="6">
      <t>ジョウホウ</t>
    </rPh>
    <phoneticPr fontId="3"/>
  </si>
  <si>
    <t>サービス名</t>
    <rPh sb="4" eb="5">
      <t>メイ</t>
    </rPh>
    <phoneticPr fontId="3"/>
  </si>
  <si>
    <t>結果①</t>
    <rPh sb="0" eb="2">
      <t>ケッカ</t>
    </rPh>
    <phoneticPr fontId="3"/>
  </si>
  <si>
    <t>備考①-1</t>
    <rPh sb="0" eb="2">
      <t>ビコウ</t>
    </rPh>
    <phoneticPr fontId="3"/>
  </si>
  <si>
    <t>予約受付中。\※YYYY/MM頃より開通手続きを受付順に開始します。</t>
    <phoneticPr fontId="3"/>
  </si>
  <si>
    <t>外部APIより取得した提供時期に変換されていること</t>
    <rPh sb="0" eb="2">
      <t>ガイブ</t>
    </rPh>
    <rPh sb="7" eb="9">
      <t>シュトク</t>
    </rPh>
    <rPh sb="11" eb="13">
      <t>テイキョウ</t>
    </rPh>
    <rPh sb="13" eb="15">
      <t>ジキ</t>
    </rPh>
    <rPh sb="16" eb="18">
      <t>ヘンカン</t>
    </rPh>
    <phoneticPr fontId="3"/>
  </si>
  <si>
    <t>現在提供しておりません。</t>
    <phoneticPr fontId="3"/>
  </si>
  <si>
    <t>3M割提携</t>
    <phoneticPr fontId="3"/>
  </si>
  <si>
    <t>外部APIにて取得した3M提供可否判定が設定されること</t>
    <rPh sb="0" eb="2">
      <t>ガイブ</t>
    </rPh>
    <rPh sb="7" eb="9">
      <t>シュトク</t>
    </rPh>
    <rPh sb="20" eb="22">
      <t>セッテイ</t>
    </rPh>
    <phoneticPr fontId="3"/>
  </si>
  <si>
    <t>0：未提供</t>
    <phoneticPr fontId="3"/>
  </si>
  <si>
    <t>NET/TEL/TV提供区分</t>
    <phoneticPr fontId="3"/>
  </si>
  <si>
    <t>外部APIにて取得したNET/TEL/TV提供区分が設定されること</t>
    <rPh sb="0" eb="2">
      <t>ガイブ</t>
    </rPh>
    <rPh sb="7" eb="9">
      <t>シュトク</t>
    </rPh>
    <rPh sb="21" eb="23">
      <t>テイキョウ</t>
    </rPh>
    <rPh sb="23" eb="25">
      <t>クブン</t>
    </rPh>
    <rPh sb="26" eb="28">
      <t>セッテイ</t>
    </rPh>
    <phoneticPr fontId="3"/>
  </si>
  <si>
    <t>呼出元</t>
    <rPh sb="0" eb="2">
      <t>ヨビダシ</t>
    </rPh>
    <rPh sb="2" eb="3">
      <t>モト</t>
    </rPh>
    <phoneticPr fontId="3"/>
  </si>
  <si>
    <t>提供時期</t>
    <phoneticPr fontId="3"/>
  </si>
  <si>
    <t>任意（YYYY/MM）</t>
    <rPh sb="0" eb="2">
      <t>ニンイ</t>
    </rPh>
    <phoneticPr fontId="3"/>
  </si>
  <si>
    <t>3M提供可否判定</t>
    <phoneticPr fontId="3"/>
  </si>
  <si>
    <t>任意</t>
    <rPh sb="0" eb="1">
      <t>ニンイ</t>
    </rPh>
    <phoneticPr fontId="3"/>
  </si>
  <si>
    <t>未設定</t>
    <rPh sb="0" eb="2">
      <t>ミセッテイ</t>
    </rPh>
    <phoneticPr fontId="3"/>
  </si>
  <si>
    <t>マンション</t>
    <phoneticPr fontId="3"/>
  </si>
  <si>
    <t>3MエリアマンションAPI</t>
    <phoneticPr fontId="3"/>
  </si>
  <si>
    <t>"01"：提供中</t>
    <rPh sb="5" eb="7">
      <t>テイキョウ</t>
    </rPh>
    <rPh sb="7" eb="8">
      <t>チュウ</t>
    </rPh>
    <phoneticPr fontId="3"/>
  </si>
  <si>
    <t>"d5"：予約受付</t>
    <phoneticPr fontId="3"/>
  </si>
  <si>
    <t>"06"：未提供</t>
    <rPh sb="5" eb="6">
      <t>ミ</t>
    </rPh>
    <rPh sb="6" eb="8">
      <t>テイキョウ</t>
    </rPh>
    <phoneticPr fontId="3"/>
  </si>
  <si>
    <t>3MエリアマンションAPI
3Mエリア戸建API</t>
    <phoneticPr fontId="3"/>
  </si>
  <si>
    <t>3Mエリア戸建API</t>
    <phoneticPr fontId="3"/>
  </si>
  <si>
    <t>試験No</t>
    <rPh sb="0" eb="2">
      <t>シケン</t>
    </rPh>
    <phoneticPr fontId="3"/>
  </si>
  <si>
    <t>呼出パターン</t>
    <rPh sb="0" eb="2">
      <t>ヨビダシ</t>
    </rPh>
    <phoneticPr fontId="3"/>
  </si>
  <si>
    <t>主要な確認観点</t>
    <rPh sb="0" eb="2">
      <t>シュヨウ</t>
    </rPh>
    <rPh sb="3" eb="5">
      <t>カクニン</t>
    </rPh>
    <rPh sb="5" eb="7">
      <t>カンテン</t>
    </rPh>
    <phoneticPr fontId="3"/>
  </si>
  <si>
    <t>"01"：提供中</t>
    <phoneticPr fontId="3"/>
  </si>
  <si>
    <t>"06"：未提供</t>
    <phoneticPr fontId="3"/>
  </si>
  <si>
    <t>サービス種別の昇順で設定されていること</t>
  </si>
  <si>
    <t>サービス情報繰返し回数（※ATOM設定項目）</t>
    <phoneticPr fontId="3"/>
  </si>
  <si>
    <t>「0」（ATOM初期値）が設定されること</t>
    <rPh sb="8" eb="11">
      <t>ショキチ</t>
    </rPh>
    <rPh sb="11" eb="12">
      <t>ダシネ</t>
    </rPh>
    <rPh sb="13" eb="15">
      <t>セッテイ</t>
    </rPh>
    <phoneticPr fontId="3"/>
  </si>
  <si>
    <t>未設定（タグ無し）</t>
    <rPh sb="0" eb="3">
      <t>ミセッテイ</t>
    </rPh>
    <rPh sb="6" eb="7">
      <t>ナシ</t>
    </rPh>
    <phoneticPr fontId="3"/>
  </si>
  <si>
    <t>戸建</t>
    <phoneticPr fontId="3"/>
  </si>
  <si>
    <t>"0000"：正常</t>
    <rPh sb="7" eb="9">
      <t>セイジョウ</t>
    </rPh>
    <phoneticPr fontId="3"/>
  </si>
  <si>
    <t>"0000"：正常</t>
    <phoneticPr fontId="3"/>
  </si>
  <si>
    <t>"1"：○</t>
    <phoneticPr fontId="3"/>
  </si>
  <si>
    <t>"2"：△</t>
    <phoneticPr fontId="3"/>
  </si>
  <si>
    <t>"3"：×</t>
    <phoneticPr fontId="3"/>
  </si>
  <si>
    <t>A7</t>
  </si>
  <si>
    <t>K1</t>
  </si>
  <si>
    <t>外部APIにて取得したサービス提供状況(任意の値)に応じ設定されていること</t>
    <rPh sb="0" eb="2">
      <t>ガイブ</t>
    </rPh>
    <rPh sb="7" eb="9">
      <t>シュトク</t>
    </rPh>
    <rPh sb="15" eb="17">
      <t>テイキョウ</t>
    </rPh>
    <rPh sb="17" eb="19">
      <t>ジョウキョウ</t>
    </rPh>
    <rPh sb="20" eb="22">
      <t>ニンイ</t>
    </rPh>
    <rPh sb="23" eb="24">
      <t>アタイ</t>
    </rPh>
    <rPh sb="26" eb="27">
      <t>オウ</t>
    </rPh>
    <rPh sb="28" eb="30">
      <t>セッテイ</t>
    </rPh>
    <phoneticPr fontId="3"/>
  </si>
  <si>
    <t>サービス種別</t>
  </si>
  <si>
    <t>03963</t>
    <phoneticPr fontId="72"/>
  </si>
  <si>
    <t>沖縄通信ネットワーク株式会社</t>
    <phoneticPr fontId="72"/>
  </si>
  <si>
    <t>サービス種別コード</t>
    <rPh sb="4" eb="6">
      <t>シュベツ</t>
    </rPh>
    <phoneticPr fontId="72"/>
  </si>
  <si>
    <t>サービス種別名称</t>
    <rPh sb="4" eb="6">
      <t>シュベツ</t>
    </rPh>
    <rPh sb="6" eb="8">
      <t>メイショウ</t>
    </rPh>
    <phoneticPr fontId="72"/>
  </si>
  <si>
    <t>事業者コード</t>
    <phoneticPr fontId="72"/>
  </si>
  <si>
    <t>事業者名</t>
    <phoneticPr fontId="72"/>
  </si>
  <si>
    <t>※NWサービスマスタ</t>
    <phoneticPr fontId="3"/>
  </si>
  <si>
    <t>※CTC返却値</t>
    <phoneticPr fontId="3"/>
  </si>
  <si>
    <t>光コラボ通信事業者</t>
    <rPh sb="0" eb="1">
      <t>ヒカリ</t>
    </rPh>
    <rPh sb="4" eb="6">
      <t>ツウシン</t>
    </rPh>
    <rPh sb="6" eb="9">
      <t>ジギョウシャ</t>
    </rPh>
    <phoneticPr fontId="72"/>
  </si>
  <si>
    <t>＜試験時の注意事項＞</t>
    <rPh sb="1" eb="3">
      <t>シケン</t>
    </rPh>
    <rPh sb="3" eb="4">
      <t>ジ</t>
    </rPh>
    <rPh sb="5" eb="7">
      <t>チュウイ</t>
    </rPh>
    <rPh sb="7" eb="9">
      <t>ジコウ</t>
    </rPh>
    <phoneticPr fontId="3"/>
  </si>
  <si>
    <t>ひかりゆいまーる　ホーム</t>
    <phoneticPr fontId="3"/>
  </si>
  <si>
    <t>ひかりゆいまーる　マンション</t>
    <phoneticPr fontId="3"/>
  </si>
  <si>
    <t>光コラボ　ホーム</t>
    <rPh sb="0" eb="1">
      <t>ヒカリ</t>
    </rPh>
    <phoneticPr fontId="3"/>
  </si>
  <si>
    <t>光コラボ　マンション</t>
    <rPh sb="0" eb="1">
      <t>ヒカリ</t>
    </rPh>
    <phoneticPr fontId="3"/>
  </si>
  <si>
    <t>マスタ設定値や事業者情報等はダミー値として以下を想定しています。</t>
    <rPh sb="3" eb="5">
      <t>セッテイ</t>
    </rPh>
    <rPh sb="5" eb="6">
      <t>チ</t>
    </rPh>
    <rPh sb="7" eb="10">
      <t>ジギョウシャ</t>
    </rPh>
    <rPh sb="10" eb="12">
      <t>ジョウホウ</t>
    </rPh>
    <rPh sb="12" eb="13">
      <t>トウ</t>
    </rPh>
    <rPh sb="17" eb="18">
      <t>チ</t>
    </rPh>
    <rPh sb="21" eb="23">
      <t>イカ</t>
    </rPh>
    <rPh sb="24" eb="26">
      <t>ソウテイ</t>
    </rPh>
    <phoneticPr fontId="3"/>
  </si>
  <si>
    <t>A8：光コラボホーム</t>
    <phoneticPr fontId="3"/>
  </si>
  <si>
    <t>B8：光コラボマンション</t>
    <phoneticPr fontId="3"/>
  </si>
  <si>
    <t>A9：ひかりゆいまーるホーム</t>
    <phoneticPr fontId="3"/>
  </si>
  <si>
    <t>B9：ひかりゆいまーるマンション</t>
    <phoneticPr fontId="3"/>
  </si>
  <si>
    <t>ID003</t>
  </si>
  <si>
    <t xml:space="preserve">L1：光コラボホーム </t>
    <phoneticPr fontId="3"/>
  </si>
  <si>
    <t>・任意の設定値</t>
    <phoneticPr fontId="3"/>
  </si>
  <si>
    <t>・提供時期に設定あり（YYYYMM）
・NET/TEL/TV提供区分が未設定
・3M提供可否判定が未設定</t>
    <phoneticPr fontId="3"/>
  </si>
  <si>
    <t>・外部APIの返却値に応じた内容であること</t>
    <phoneticPr fontId="3"/>
  </si>
  <si>
    <t>・外部APIの返却値に応じた内容であること
　-提供時期が変換されること
　-NET/TEL/TV提供区分⇒未設定
　-3M割提携⇒「0:未提供」</t>
    <phoneticPr fontId="3"/>
  </si>
  <si>
    <t>・事業者コード、事業者名が未設定
・NET/TEL/TV提供区分が未設定
・3M提供可否判定が未設定</t>
    <phoneticPr fontId="3"/>
  </si>
  <si>
    <t>・外部APIの返却値に応じた内容であること
　-事業者コード・名⇒未設定
　-NET/TEL/TV提供区分⇒「0（ATOM初期値）」
　-3M割提携⇒「0:未提供」
（サービス提供状況が未提供の場合、事業者コード・名が未設定でもエラーとならない）</t>
    <phoneticPr fontId="3"/>
  </si>
  <si>
    <t>・全サービス設定されること
・返却順が正しいこと</t>
    <phoneticPr fontId="3"/>
  </si>
  <si>
    <t>呼出API</t>
    <phoneticPr fontId="3"/>
  </si>
  <si>
    <t>返却内容</t>
    <phoneticPr fontId="3"/>
  </si>
  <si>
    <t>CTCAPI返却値（シミュレータ）</t>
    <rPh sb="6" eb="8">
      <t>ヘンキャク</t>
    </rPh>
    <rPh sb="8" eb="9">
      <t>チ</t>
    </rPh>
    <phoneticPr fontId="3"/>
  </si>
  <si>
    <t>"B8"：光コラボマンション</t>
    <phoneticPr fontId="3"/>
  </si>
  <si>
    <t>"A9"：ひかりゆいまーるホーム</t>
    <phoneticPr fontId="3"/>
  </si>
  <si>
    <t>"B9"：ひかりゆいまーるマンション</t>
    <phoneticPr fontId="3"/>
  </si>
  <si>
    <t>"A8"：光コラボホーム</t>
    <phoneticPr fontId="3"/>
  </si>
  <si>
    <t>設定あり</t>
    <rPh sb="0" eb="2">
      <t>セッテイ</t>
    </rPh>
    <phoneticPr fontId="3"/>
  </si>
  <si>
    <t>03961</t>
    <phoneticPr fontId="72"/>
  </si>
  <si>
    <t xml:space="preserve">"L1"：光コラボホーム </t>
    <phoneticPr fontId="3"/>
  </si>
  <si>
    <t xml:space="preserve">L2：光コラボマンション </t>
    <phoneticPr fontId="3"/>
  </si>
  <si>
    <t xml:space="preserve">"L2"：光コラボマンション </t>
    <phoneticPr fontId="3"/>
  </si>
  <si>
    <t>"M2"：光コラボマンション ゆいまーるひかり</t>
    <phoneticPr fontId="3"/>
  </si>
  <si>
    <t>"光コラボ　ホーム"</t>
    <rPh sb="1" eb="2">
      <t>ヒカリ</t>
    </rPh>
    <phoneticPr fontId="3"/>
  </si>
  <si>
    <t>"光コラボ　マンション"</t>
    <rPh sb="1" eb="2">
      <t>ヒカリ</t>
    </rPh>
    <phoneticPr fontId="3"/>
  </si>
  <si>
    <t>"ひかりゆいまーる　ホーム"</t>
    <phoneticPr fontId="3"/>
  </si>
  <si>
    <t>"ひかりゆいまーる　マンション"</t>
    <phoneticPr fontId="3"/>
  </si>
  <si>
    <t>1707要件確認試験</t>
    <rPh sb="4" eb="6">
      <t>ヨウケン</t>
    </rPh>
    <rPh sb="6" eb="8">
      <t>カクニン</t>
    </rPh>
    <rPh sb="8" eb="10">
      <t>シケン</t>
    </rPh>
    <phoneticPr fontId="33"/>
  </si>
  <si>
    <t>要件確認-16d1769</t>
    <rPh sb="0" eb="2">
      <t>ヨウケン</t>
    </rPh>
    <rPh sb="2" eb="4">
      <t>カクニン</t>
    </rPh>
    <phoneticPr fontId="3"/>
  </si>
  <si>
    <t>要件確認-16d1769</t>
    <phoneticPr fontId="3"/>
  </si>
  <si>
    <t>　※用意するファイル</t>
    <phoneticPr fontId="3"/>
  </si>
  <si>
    <t>API-ID</t>
    <phoneticPr fontId="3"/>
  </si>
  <si>
    <t>B004</t>
    <phoneticPr fontId="3"/>
  </si>
  <si>
    <t>エリア検索結果取得</t>
    <phoneticPr fontId="3"/>
  </si>
  <si>
    <t>search_area</t>
    <phoneticPr fontId="3"/>
  </si>
  <si>
    <t>http://kddi.com/smc/fmconline/nwarea/schema/search_area_request</t>
    <phoneticPr fontId="3"/>
  </si>
  <si>
    <t>http://kddi.com/smc/fmconline/nwarea/schema/search_area_response</t>
    <phoneticPr fontId="3"/>
  </si>
  <si>
    <t>Ref</t>
    <phoneticPr fontId="3"/>
  </si>
  <si>
    <t>ﾊﾞｲﾄ</t>
    <phoneticPr fontId="3"/>
  </si>
  <si>
    <t>ﾀｲﾌﾟ</t>
    <phoneticPr fontId="3"/>
  </si>
  <si>
    <t>I/O</t>
    <phoneticPr fontId="3"/>
  </si>
  <si>
    <t>ﾀｲﾌﾟ</t>
    <phoneticPr fontId="3"/>
  </si>
  <si>
    <t>I/O</t>
    <phoneticPr fontId="3"/>
  </si>
  <si>
    <t>1_in</t>
    <phoneticPr fontId="3"/>
  </si>
  <si>
    <t>1_out</t>
    <phoneticPr fontId="3"/>
  </si>
  <si>
    <t>期待値
（固定長）</t>
    <phoneticPr fontId="3"/>
  </si>
  <si>
    <t>OK/NG
（固定）</t>
    <phoneticPr fontId="3"/>
  </si>
  <si>
    <t>期待値</t>
    <phoneticPr fontId="3"/>
  </si>
  <si>
    <t>OK/NG</t>
    <phoneticPr fontId="3"/>
  </si>
  <si>
    <t>APIバージョン</t>
    <phoneticPr fontId="3"/>
  </si>
  <si>
    <t>○</t>
    <phoneticPr fontId="3"/>
  </si>
  <si>
    <t>X</t>
    <phoneticPr fontId="3"/>
  </si>
  <si>
    <t>I/O</t>
    <phoneticPr fontId="3"/>
  </si>
  <si>
    <t>api-var</t>
    <phoneticPr fontId="3"/>
  </si>
  <si>
    <t>API呼出日時を設定　形式：yyyymmddhhmmss</t>
    <phoneticPr fontId="3"/>
  </si>
  <si>
    <t>api-dtime</t>
    <phoneticPr fontId="3"/>
  </si>
  <si>
    <t>20170707120000</t>
    <phoneticPr fontId="3"/>
  </si>
  <si>
    <t>api-caller-info</t>
    <phoneticPr fontId="3"/>
  </si>
  <si>
    <t>api-sys-id</t>
    <phoneticPr fontId="3"/>
  </si>
  <si>
    <t>FMC</t>
    <phoneticPr fontId="3"/>
  </si>
  <si>
    <t>△</t>
    <phoneticPr fontId="3"/>
  </si>
  <si>
    <r>
      <t>api-</t>
    </r>
    <r>
      <rPr>
        <sz val="11"/>
        <rFont val="ＭＳ Ｐゴシック"/>
        <family val="3"/>
        <charset val="128"/>
      </rPr>
      <t>agency-cd</t>
    </r>
    <phoneticPr fontId="3"/>
  </si>
  <si>
    <t>E845001</t>
    <phoneticPr fontId="3"/>
  </si>
  <si>
    <r>
      <t>api-pson-chg-</t>
    </r>
    <r>
      <rPr>
        <sz val="11"/>
        <rFont val="ＭＳ Ｐゴシック"/>
        <family val="3"/>
        <charset val="128"/>
      </rPr>
      <t>id</t>
    </r>
    <phoneticPr fontId="3"/>
  </si>
  <si>
    <t>CASE0010</t>
    <phoneticPr fontId="3"/>
  </si>
  <si>
    <t>\d{1,3}\.\d{1,3}\.\d{1,3}\.\d{1,3}</t>
    <phoneticPr fontId="3"/>
  </si>
  <si>
    <t>api-ip-add</t>
    <phoneticPr fontId="3"/>
  </si>
  <si>
    <t>192.168.134.174</t>
    <phoneticPr fontId="3"/>
  </si>
  <si>
    <r>
      <t>PASCAL,EKIDEN</t>
    </r>
    <r>
      <rPr>
        <sz val="11"/>
        <rFont val="ＭＳ Ｐゴシック"/>
        <family val="3"/>
        <charset val="128"/>
      </rPr>
      <t>,ORANGE</t>
    </r>
    <phoneticPr fontId="3"/>
  </si>
  <si>
    <t>api-sys-name</t>
    <phoneticPr fontId="3"/>
  </si>
  <si>
    <t>ORANGE</t>
    <phoneticPr fontId="3"/>
  </si>
  <si>
    <t>○</t>
    <phoneticPr fontId="3"/>
  </si>
  <si>
    <t>X</t>
    <phoneticPr fontId="3"/>
  </si>
  <si>
    <t>I/O</t>
    <phoneticPr fontId="3"/>
  </si>
  <si>
    <t>api-title-name</t>
    <phoneticPr fontId="3"/>
  </si>
  <si>
    <t>ORANGE01</t>
    <phoneticPr fontId="3"/>
  </si>
  <si>
    <t>住所コード</t>
    <phoneticPr fontId="3"/>
  </si>
  <si>
    <r>
      <t xml:space="preserve">検索対象とするサービス区分を設定
00:ひかりone ホーム
02:ひかりoneホーム(S)
04:ａｕひかりちゅらホーム
A0:CTCサービスホーム
A1:K-Opticomサービスホーム
A2:CATVサービスホーム
A3:STNetサービスホーム
A4:ENECOMサービスホーム
</t>
    </r>
    <r>
      <rPr>
        <sz val="11"/>
        <rFont val="ＭＳ Ｐゴシック"/>
        <family val="3"/>
        <charset val="128"/>
      </rPr>
      <t xml:space="preserve">A5：QTNetサービスホーム
A7：ひかりJホーム
</t>
    </r>
    <r>
      <rPr>
        <sz val="11"/>
        <color indexed="10"/>
        <rFont val="ＭＳ Ｐゴシック"/>
        <family val="3"/>
        <charset val="128"/>
      </rPr>
      <t>A8：光コラボホーム
A9：光コラボホーム ゆいまーるひかり</t>
    </r>
    <r>
      <rPr>
        <sz val="11"/>
        <rFont val="ＭＳ Ｐゴシック"/>
        <family val="3"/>
        <charset val="128"/>
      </rPr>
      <t xml:space="preserve">
10:ひかりone マンション
11:ａｕひかりちゅらマンション
B0:CTCサービスマンション
B1:K-Opticomサービスマンション
B2:CATVサービスマンション
B3:STNetサービスマンション
B4:ENECOMサービスマンション
B5：QTNetサービスマンション
B6:マンションISPサービス
B7:ひかりJマンション
</t>
    </r>
    <r>
      <rPr>
        <sz val="11"/>
        <color indexed="10"/>
        <rFont val="ＭＳ Ｐゴシック"/>
        <family val="3"/>
        <charset val="128"/>
      </rPr>
      <t>B8：光コラボマンション
B9：光コラボマンション  ゆいまーるひかり</t>
    </r>
    <r>
      <rPr>
        <sz val="11"/>
        <rFont val="ＭＳ Ｐゴシック"/>
        <family val="3"/>
        <charset val="128"/>
      </rPr>
      <t xml:space="preserve">
C0:WiMAXハイブリッドルータ
C1:ホームプラス</t>
    </r>
    <r>
      <rPr>
        <strike/>
        <sz val="11"/>
        <rFont val="ＭＳ Ｐゴシック"/>
        <family val="3"/>
        <charset val="128"/>
      </rPr>
      <t xml:space="preserve">
</t>
    </r>
    <phoneticPr fontId="3"/>
  </si>
  <si>
    <r>
      <t>00,02,04,A0,A1,A2,A3,</t>
    </r>
    <r>
      <rPr>
        <sz val="11"/>
        <rFont val="ＭＳ Ｐゴシック"/>
        <family val="3"/>
        <charset val="128"/>
      </rPr>
      <t>A4,A5,A7,</t>
    </r>
    <r>
      <rPr>
        <sz val="11"/>
        <color indexed="10"/>
        <rFont val="ＭＳ Ｐゴシック"/>
        <family val="3"/>
        <charset val="128"/>
      </rPr>
      <t>A8,A9,</t>
    </r>
    <r>
      <rPr>
        <sz val="11"/>
        <rFont val="ＭＳ Ｐゴシック"/>
        <family val="3"/>
        <charset val="128"/>
      </rPr>
      <t>10,11,B0,B1,B2,B3,B4,B5,B6,B7,</t>
    </r>
    <r>
      <rPr>
        <sz val="11"/>
        <color indexed="10"/>
        <rFont val="ＭＳ Ｐゴシック"/>
        <family val="3"/>
        <charset val="128"/>
      </rPr>
      <t>B8,B9,</t>
    </r>
    <r>
      <rPr>
        <sz val="11"/>
        <rFont val="ＭＳ Ｐゴシック"/>
        <family val="3"/>
        <charset val="128"/>
      </rPr>
      <t>C0,C1</t>
    </r>
    <phoneticPr fontId="3"/>
  </si>
  <si>
    <r>
      <t>マンション一覧結果取得API(B005)の返却値を設定
・住居種別が"1"、かつ申込サービス区分が未設定、「10:ひかりone マンション」、「11:ａｕひかりちゅらマンション」、「B0:CTCサービスマンション」、「B1:K-Opticomサービスマンション」、「B2:CATVサービスマンション」、「B3:STNetサービスマンション」、「B4:ENECOMサービスマンション」、｢B5：QTNetサービスマンション｣</t>
    </r>
    <r>
      <rPr>
        <sz val="11"/>
        <rFont val="ＭＳ Ｐゴシック"/>
        <family val="3"/>
        <charset val="128"/>
      </rPr>
      <t>、「B6:マンションISPサービス」、「B7:ひかりJマンション」、</t>
    </r>
    <r>
      <rPr>
        <sz val="11"/>
        <color indexed="10"/>
        <rFont val="ＭＳ Ｐゴシック"/>
        <family val="3"/>
        <charset val="128"/>
      </rPr>
      <t>「B8：光コラボマンション」、「B9：光コラボマンション  ゆいまーるひかり」、</t>
    </r>
    <r>
      <rPr>
        <sz val="11"/>
        <rFont val="ＭＳ Ｐゴシック"/>
        <family val="3"/>
        <charset val="128"/>
      </rPr>
      <t xml:space="preserve">「C0:WiMAXハイブリッドルータ」の場合、必須
</t>
    </r>
    <phoneticPr fontId="3"/>
  </si>
  <si>
    <t>N</t>
    <phoneticPr fontId="3"/>
  </si>
  <si>
    <t>I/O</t>
    <phoneticPr fontId="3"/>
  </si>
  <si>
    <t>banchi</t>
    <phoneticPr fontId="3"/>
  </si>
  <si>
    <t>I</t>
    <phoneticPr fontId="3"/>
  </si>
  <si>
    <t>N</t>
    <phoneticPr fontId="3"/>
  </si>
  <si>
    <t>I/O</t>
    <phoneticPr fontId="3"/>
  </si>
  <si>
    <t>gou</t>
    <phoneticPr fontId="3"/>
  </si>
  <si>
    <t>I</t>
    <phoneticPr fontId="3"/>
  </si>
  <si>
    <t>個別結果コード</t>
    <phoneticPr fontId="3"/>
  </si>
  <si>
    <t>△</t>
    <phoneticPr fontId="3"/>
  </si>
  <si>
    <r>
      <t>API呼出結果を設定。
呼出元システムが「ORANGE」</t>
    </r>
    <r>
      <rPr>
        <sz val="11"/>
        <rFont val="ＭＳ Ｐゴシック"/>
        <family val="3"/>
        <charset val="128"/>
      </rPr>
      <t>または「EKIDEN」の場合、
　”0000”：正常
　”0001”：データ非存在
　”0100”：外部APIエラー
呼出元システムが「PASCAL」の場合、
　”0000”：正常
　”0100”：不正住所エラー
　”0101”：番号区画不一致エラー</t>
    </r>
    <phoneticPr fontId="3"/>
  </si>
  <si>
    <t>O</t>
    <phoneticPr fontId="3"/>
  </si>
  <si>
    <r>
      <t xml:space="preserve">00:ひかりone ホーム
02:ひかりoneホーム(S)
04:ａｕひかりちゅらホーム
A0:CTCサービスホーム
A1:K-Opticomサービスホーム
A2:CATVサービスホーム
A3:STNetサービスホーム
A4:ENECOMサービスホーム
</t>
    </r>
    <r>
      <rPr>
        <sz val="11"/>
        <rFont val="ＭＳ Ｐゴシック"/>
        <family val="3"/>
        <charset val="128"/>
      </rPr>
      <t xml:space="preserve">A5：QTNetサービスホーム
A7：ひかりJホーム
</t>
    </r>
    <r>
      <rPr>
        <sz val="11"/>
        <color indexed="10"/>
        <rFont val="ＭＳ Ｐゴシック"/>
        <family val="3"/>
        <charset val="128"/>
      </rPr>
      <t>A8：光コラボホーム
A9：光コラボホーム ゆいまーるひかり</t>
    </r>
    <r>
      <rPr>
        <sz val="11"/>
        <rFont val="ＭＳ Ｐゴシック"/>
        <family val="3"/>
        <charset val="128"/>
      </rPr>
      <t xml:space="preserve">
10:ひかりone マンション
11:ａｕひかりちゅらマンション
B0:CTCサービスマンション
B1:K-Opticomサービスマンション
B2:CATVサービスマンション
B3:STNetサービスマンション
B4:ENECOMサービスマンション
B5：QTNetサービスマンション
B6:マンションISPサービス
B7：ひかりJマンション
</t>
    </r>
    <r>
      <rPr>
        <sz val="11"/>
        <color indexed="10"/>
        <rFont val="ＭＳ Ｐゴシック"/>
        <family val="3"/>
        <charset val="128"/>
      </rPr>
      <t>B8：光コラボマンション
B9：光コラボマンション ゆいまーるひかり</t>
    </r>
    <r>
      <rPr>
        <sz val="11"/>
        <rFont val="ＭＳ Ｐゴシック"/>
        <family val="3"/>
        <charset val="128"/>
      </rPr>
      <t xml:space="preserve">
C0:WiMAXハイブリッドルータ
C1:ホームプラス
</t>
    </r>
    <phoneticPr fontId="3"/>
  </si>
  <si>
    <t xml:space="preserve">0:未提供
1:NET+TEL / NET+TV / TEL+TV
2:NET+TEL / NET+TV
3:NET+TEL / TEL +TV
4:NET+TV / TEL+TV
5:NET+TEL
6:NET+TV
7:TEL+TV
</t>
    <phoneticPr fontId="3"/>
  </si>
  <si>
    <t>O</t>
    <phoneticPr fontId="3"/>
  </si>
  <si>
    <t>-</t>
    <phoneticPr fontId="3"/>
  </si>
  <si>
    <t>サービス情報リスト</t>
    <phoneticPr fontId="3"/>
  </si>
  <si>
    <t>0-1</t>
    <phoneticPr fontId="3"/>
  </si>
  <si>
    <t>sale-code</t>
    <phoneticPr fontId="3"/>
  </si>
  <si>
    <t>申込サービス区分</t>
    <phoneticPr fontId="3"/>
  </si>
  <si>
    <r>
      <t xml:space="preserve">00:ひかりone ホーム
02:ひかりoneホーム(S)
04:ａｕひかりちゅらホーム
A0:CTCサービスホーム
A1:K-Opticomサービスホーム
A2:CATVサービスホーム
A3:STNetサービスホーム
A4:ENECOMサービスホーム
</t>
    </r>
    <r>
      <rPr>
        <sz val="11"/>
        <rFont val="ＭＳ Ｐゴシック"/>
        <family val="3"/>
        <charset val="128"/>
      </rPr>
      <t xml:space="preserve">A5：QTNetサービスホーム
A7：ひかりJホーム
</t>
    </r>
    <r>
      <rPr>
        <sz val="11"/>
        <color indexed="10"/>
        <rFont val="ＭＳ Ｐゴシック"/>
        <family val="3"/>
        <charset val="128"/>
      </rPr>
      <t>A8：光コラボホーム
A9：光コラボホーム ゆいまーるひかり</t>
    </r>
    <r>
      <rPr>
        <sz val="11"/>
        <rFont val="ＭＳ Ｐゴシック"/>
        <family val="3"/>
        <charset val="128"/>
      </rPr>
      <t xml:space="preserve">
10:ひかりone マンション
11:ａｕひかりちゅらマンション
B0:CTCサービスマンション
B1:K-Opticomサービスマンション
B2:CATVサービスマンション
B3:STNetサービスマンション
B4:ENECOMサービスマンション
B5：QTNetサービスマンション
B6:マンションISPサービス
B7：ひかりJマンション
</t>
    </r>
    <r>
      <rPr>
        <sz val="11"/>
        <color indexed="10"/>
        <rFont val="ＭＳ Ｐゴシック"/>
        <family val="3"/>
        <charset val="128"/>
      </rPr>
      <t>B8：光コラボマンション
B9：光コラボマンション ゆいまーるひかり</t>
    </r>
    <r>
      <rPr>
        <sz val="11"/>
        <rFont val="ＭＳ Ｐゴシック"/>
        <family val="3"/>
        <charset val="128"/>
      </rPr>
      <t xml:space="preserve">
C0:WiMAXハイブリッドルータ
C1:ホームプラス
</t>
    </r>
    <phoneticPr fontId="3"/>
  </si>
  <si>
    <t>0-2</t>
    <phoneticPr fontId="3"/>
  </si>
  <si>
    <t>service-kbn</t>
    <phoneticPr fontId="3"/>
  </si>
  <si>
    <t>N1：光コラボホーム ゆいまーるひかり</t>
    <phoneticPr fontId="3"/>
  </si>
  <si>
    <t>N2：光コラボマンション ゆいまーるひかり</t>
    <phoneticPr fontId="3"/>
  </si>
  <si>
    <t>"N1"：光コラボホーム ゆいまーるひかり</t>
    <phoneticPr fontId="3"/>
  </si>
  <si>
    <t>"N2"：光コラボマンション ゆいまーるひかり</t>
    <phoneticPr fontId="3"/>
  </si>
  <si>
    <r>
      <t xml:space="preserve">00：ひかりｏｎｅマンション
01：ひかりｏｎｅホームＮ、
　　　ひかりoneホーム(S)
07：ひかりｏｎｅホーム
A1：ａｕひかりちゅらホーム
A2：ａｕひかりちゅらマンション
B1：CATVホーム
B2：CATVマンション
C1：FTTH(K-Opticom)ホーム
C2：FTTH(K-Opticom)マンション
D1：FTTH(CTC)ホーム
D2：FTTH(CTC)マンション
E1：WiMAXハイブリッドルータ
F1：FTTH(STNet)ホーム
F2：FTTH(STNet)マンション
G1：FTTH(ENECOM)ホーム
G2：FTTH(ENECOM)マンション
</t>
    </r>
    <r>
      <rPr>
        <sz val="11"/>
        <rFont val="ＭＳ Ｐゴシック"/>
        <family val="3"/>
        <charset val="128"/>
      </rPr>
      <t xml:space="preserve">H1：FTTH(QTNet)ホーム
H2：FTTH(QTNet)マンション
K1：ひかりJホーム
K2：ひかりJマンション
J1:ホームプラス
</t>
    </r>
    <r>
      <rPr>
        <sz val="11"/>
        <color indexed="10"/>
        <rFont val="ＭＳ Ｐゴシック"/>
        <family val="3"/>
        <charset val="128"/>
      </rPr>
      <t xml:space="preserve">L1：光コラボホーム 
L2：光コラボマンション 
N1：光コラボホーム ゆいまーるひかり
N2：光コラボマンション ゆいまーるひかり
</t>
    </r>
    <r>
      <rPr>
        <sz val="11"/>
        <rFont val="ＭＳ Ｐゴシック"/>
        <family val="3"/>
        <charset val="128"/>
      </rPr>
      <t xml:space="preserve">Z2：マンションISP
ZZ：※エリア検索を実施しないサービスのサービス種別
</t>
    </r>
    <phoneticPr fontId="3"/>
  </si>
  <si>
    <t>サービス情報リスト</t>
    <phoneticPr fontId="3"/>
  </si>
  <si>
    <t>△</t>
    <phoneticPr fontId="3"/>
  </si>
  <si>
    <t>O</t>
    <phoneticPr fontId="3"/>
  </si>
  <si>
    <t>0-1</t>
    <phoneticPr fontId="3"/>
  </si>
  <si>
    <t>sale-code</t>
    <phoneticPr fontId="3"/>
  </si>
  <si>
    <t>service-name</t>
    <phoneticPr fontId="3"/>
  </si>
  <si>
    <t>service-name-note</t>
    <phoneticPr fontId="3"/>
  </si>
  <si>
    <t>M</t>
    <phoneticPr fontId="3"/>
  </si>
  <si>
    <t>carrier-cd</t>
    <phoneticPr fontId="3"/>
  </si>
  <si>
    <t>返却する半角文字は「?」のみ</t>
    <phoneticPr fontId="3"/>
  </si>
  <si>
    <t>carrier-name</t>
    <phoneticPr fontId="3"/>
  </si>
  <si>
    <t>GCコード</t>
    <phoneticPr fontId="3"/>
  </si>
  <si>
    <t>X</t>
    <phoneticPr fontId="3"/>
  </si>
  <si>
    <t>0-28</t>
    <phoneticPr fontId="3"/>
  </si>
  <si>
    <t>gc-cd</t>
    <phoneticPr fontId="3"/>
  </si>
  <si>
    <t>事業者コード/事業者名</t>
    <rPh sb="0" eb="3">
      <t>ジギョウシャ</t>
    </rPh>
    <rPh sb="7" eb="10">
      <t>ジギョウシャ</t>
    </rPh>
    <rPh sb="10" eb="11">
      <t>メイ</t>
    </rPh>
    <phoneticPr fontId="3"/>
  </si>
  <si>
    <t>"03961"/"光コラボ通信事業者"</t>
    <phoneticPr fontId="3"/>
  </si>
  <si>
    <t>"03963"/"沖縄通信ネットワーク株式会社"</t>
    <phoneticPr fontId="3"/>
  </si>
  <si>
    <t>全サービス情報が設定されていること（14件）</t>
    <rPh sb="0" eb="1">
      <t>ゼン</t>
    </rPh>
    <rPh sb="5" eb="7">
      <t>ジョウホウ</t>
    </rPh>
    <rPh sb="8" eb="10">
      <t>セッテイ</t>
    </rPh>
    <rPh sb="20" eb="21">
      <t>ケン</t>
    </rPh>
    <phoneticPr fontId="3"/>
  </si>
  <si>
    <t>全サービス情報が設定されていること（13件）</t>
    <rPh sb="0" eb="1">
      <t>ゼン</t>
    </rPh>
    <rPh sb="5" eb="7">
      <t>ジョウホウ</t>
    </rPh>
    <rPh sb="8" eb="10">
      <t>セッテイ</t>
    </rPh>
    <rPh sb="20" eb="21">
      <t>ケン</t>
    </rPh>
    <phoneticPr fontId="3"/>
  </si>
  <si>
    <t>・全サービス返却有（ホーム14件）</t>
    <phoneticPr fontId="3"/>
  </si>
  <si>
    <t>・全サービス返却有（ホーム14件）
・全サービス返却有（マンション13件）</t>
    <phoneticPr fontId="3"/>
  </si>
  <si>
    <t>・全サービス設定されること
・返却順が正しいこと
・サービス繰り返し回数が正しいこと（14件＝マンション13件+ホームプラス1件）</t>
    <rPh sb="45" eb="46">
      <t>ケン</t>
    </rPh>
    <rPh sb="54" eb="55">
      <t>ケン</t>
    </rPh>
    <rPh sb="63" eb="64">
      <t>ケン</t>
    </rPh>
    <phoneticPr fontId="3"/>
  </si>
  <si>
    <r>
      <t>シミュレータは下記をキーに外部</t>
    </r>
    <r>
      <rPr>
        <sz val="11"/>
        <rFont val="ＭＳ Ｐゴシック"/>
        <family val="3"/>
        <charset val="128"/>
      </rPr>
      <t>APIを呼出します。</t>
    </r>
    <phoneticPr fontId="3"/>
  </si>
  <si>
    <r>
      <t>　・</t>
    </r>
    <r>
      <rPr>
        <sz val="11"/>
        <rFont val="ＭＳ Ｐゴシック"/>
        <family val="3"/>
        <charset val="128"/>
      </rPr>
      <t>3M戸建API　　　　⇒住所コード</t>
    </r>
    <phoneticPr fontId="3"/>
  </si>
  <si>
    <r>
      <t>　・</t>
    </r>
    <r>
      <rPr>
        <sz val="11"/>
        <rFont val="ＭＳ Ｐゴシック"/>
        <family val="3"/>
        <charset val="128"/>
      </rPr>
      <t>3MマンションAPI　⇒共通マンションID</t>
    </r>
    <phoneticPr fontId="3"/>
  </si>
  <si>
    <r>
      <rPr>
        <sz val="11"/>
        <rFont val="ＭＳ Ｐゴシック"/>
        <family val="3"/>
        <charset val="128"/>
      </rPr>
      <t>　home_3m_area_chk.cgi-（住所コード）.xml</t>
    </r>
    <phoneticPr fontId="3"/>
  </si>
  <si>
    <r>
      <rPr>
        <sz val="11"/>
        <rFont val="ＭＳ Ｐゴシック"/>
        <family val="3"/>
        <charset val="128"/>
      </rPr>
      <t>　mansion_3m_area_chk.cgi-（共通マンションID）.xml</t>
    </r>
    <phoneticPr fontId="3"/>
  </si>
  <si>
    <t>"14"</t>
    <phoneticPr fontId="3"/>
  </si>
  <si>
    <t>"1"</t>
    <phoneticPr fontId="3"/>
  </si>
  <si>
    <t>外部APIにて取得したサービス提供状況が設定されること</t>
    <rPh sb="0" eb="2">
      <t>ガイブ</t>
    </rPh>
    <rPh sb="7" eb="9">
      <t>シュトク</t>
    </rPh>
    <rPh sb="15" eb="17">
      <t>テイキョウ</t>
    </rPh>
    <rPh sb="17" eb="19">
      <t>ジョウキョウ</t>
    </rPh>
    <rPh sb="20" eb="22">
      <t>セッテイ</t>
    </rPh>
    <phoneticPr fontId="3"/>
  </si>
  <si>
    <t>A8</t>
    <phoneticPr fontId="3"/>
  </si>
  <si>
    <t>01</t>
    <phoneticPr fontId="3"/>
  </si>
  <si>
    <t>光コラボ　ホーム</t>
    <phoneticPr fontId="3"/>
  </si>
  <si>
    <t>申込受付中。</t>
    <phoneticPr fontId="3"/>
  </si>
  <si>
    <t>L1</t>
    <phoneticPr fontId="3"/>
  </si>
  <si>
    <r>
      <rPr>
        <sz val="11"/>
        <rFont val="ＭＳ Ｐゴシック"/>
        <family val="3"/>
        <charset val="128"/>
      </rPr>
      <t>03961</t>
    </r>
    <phoneticPr fontId="3"/>
  </si>
  <si>
    <t>光コラボ通信事業者</t>
    <phoneticPr fontId="3"/>
  </si>
  <si>
    <t>-</t>
  </si>
  <si>
    <t>2_in</t>
    <phoneticPr fontId="3"/>
  </si>
  <si>
    <t>2_out</t>
    <phoneticPr fontId="3"/>
  </si>
  <si>
    <t>A9</t>
    <phoneticPr fontId="3"/>
  </si>
  <si>
    <t>B8</t>
    <phoneticPr fontId="3"/>
  </si>
  <si>
    <t>C1707001</t>
    <phoneticPr fontId="3"/>
  </si>
  <si>
    <t>光コラボ　マンション</t>
    <phoneticPr fontId="3"/>
  </si>
  <si>
    <t>予約受付中。\※2017年12月頃より開通手続きを受付順に開始します。</t>
    <rPh sb="12" eb="13">
      <t>ネン</t>
    </rPh>
    <rPh sb="15" eb="16">
      <t>ガツ</t>
    </rPh>
    <phoneticPr fontId="3"/>
  </si>
  <si>
    <t>L2</t>
    <phoneticPr fontId="3"/>
  </si>
  <si>
    <t>PASCAL</t>
    <phoneticPr fontId="3"/>
  </si>
  <si>
    <t>※光コラボ マンション</t>
    <rPh sb="1" eb="2">
      <t>ヒカリ</t>
    </rPh>
    <phoneticPr fontId="3"/>
  </si>
  <si>
    <t>※光コラボ ホーム</t>
    <rPh sb="1" eb="2">
      <t>ヒカリ</t>
    </rPh>
    <phoneticPr fontId="3"/>
  </si>
  <si>
    <t>3_in</t>
    <phoneticPr fontId="3"/>
  </si>
  <si>
    <t>3_out</t>
    <phoneticPr fontId="3"/>
  </si>
  <si>
    <t>172.24.1.1</t>
    <phoneticPr fontId="3"/>
  </si>
  <si>
    <t>EKIDEN</t>
    <phoneticPr fontId="3"/>
  </si>
  <si>
    <t>EKIDEN01</t>
    <phoneticPr fontId="3"/>
  </si>
  <si>
    <t>※ゆいまーる マンション</t>
    <phoneticPr fontId="3"/>
  </si>
  <si>
    <t>※ゆいまーる ホーム</t>
    <phoneticPr fontId="3"/>
  </si>
  <si>
    <t>N1</t>
    <phoneticPr fontId="3"/>
  </si>
  <si>
    <t>エラーが発生していないこと</t>
    <rPh sb="4" eb="6">
      <t>ハッセイ</t>
    </rPh>
    <phoneticPr fontId="3"/>
  </si>
  <si>
    <t>0000</t>
    <phoneticPr fontId="3"/>
  </si>
  <si>
    <t>判定対象外</t>
    <rPh sb="0" eb="1">
      <t>ハンテイ</t>
    </rPh>
    <rPh sb="1" eb="3">
      <t>タイショウ</t>
    </rPh>
    <rPh sb="4" eb="5">
      <t>ソト</t>
    </rPh>
    <phoneticPr fontId="3"/>
  </si>
  <si>
    <t>4_in</t>
    <phoneticPr fontId="3"/>
  </si>
  <si>
    <t>4_out</t>
    <phoneticPr fontId="3"/>
  </si>
  <si>
    <t>A080601</t>
    <phoneticPr fontId="3"/>
  </si>
  <si>
    <t>B9</t>
    <phoneticPr fontId="3"/>
  </si>
  <si>
    <t xml:space="preserve">現在提供しておりません。  </t>
    <phoneticPr fontId="3"/>
  </si>
  <si>
    <t>N2</t>
    <phoneticPr fontId="3"/>
  </si>
  <si>
    <t>沖縄通信ネットワーク株式会社</t>
    <phoneticPr fontId="3"/>
  </si>
  <si>
    <t>03963</t>
    <phoneticPr fontId="3"/>
  </si>
  <si>
    <t>※home_3m_area_chk.cgi-17070000001.xml</t>
    <phoneticPr fontId="3"/>
  </si>
  <si>
    <t>※mansion_3m_area_chk.cgi-C1707001.xml</t>
    <phoneticPr fontId="3"/>
  </si>
  <si>
    <t>5_in</t>
    <phoneticPr fontId="3"/>
  </si>
  <si>
    <t>5_out</t>
    <phoneticPr fontId="3"/>
  </si>
  <si>
    <t>判定対象外</t>
    <rPh sb="0" eb="1">
      <t>ハンテイ</t>
    </rPh>
    <rPh sb="1" eb="4">
      <t>タイショウガイ</t>
    </rPh>
    <phoneticPr fontId="3"/>
  </si>
  <si>
    <t>-</t>
    <phoneticPr fontId="3"/>
  </si>
  <si>
    <t>6_in</t>
    <phoneticPr fontId="3"/>
  </si>
  <si>
    <t>6_out</t>
    <phoneticPr fontId="3"/>
  </si>
  <si>
    <t>11</t>
  </si>
  <si>
    <t>B2</t>
  </si>
  <si>
    <t>C2</t>
  </si>
  <si>
    <t>B0</t>
  </si>
  <si>
    <t>D2</t>
  </si>
  <si>
    <t>B3</t>
  </si>
  <si>
    <t>F2</t>
  </si>
  <si>
    <t>B4</t>
  </si>
  <si>
    <t>G2</t>
  </si>
  <si>
    <t>B5</t>
  </si>
  <si>
    <t>H2</t>
  </si>
  <si>
    <t>B7</t>
    <phoneticPr fontId="3"/>
  </si>
  <si>
    <t>K2</t>
    <phoneticPr fontId="3"/>
  </si>
  <si>
    <t>B6</t>
  </si>
  <si>
    <t>Z2</t>
  </si>
  <si>
    <t>14</t>
    <phoneticPr fontId="3"/>
  </si>
  <si>
    <t>※ホーム全件</t>
    <rPh sb="4" eb="6">
      <t>ゼンケン</t>
    </rPh>
    <phoneticPr fontId="3"/>
  </si>
  <si>
    <t>※マンション全件</t>
    <rPh sb="6" eb="8">
      <t>ゼンケン</t>
    </rPh>
    <phoneticPr fontId="3"/>
  </si>
  <si>
    <t>1-2-11
1-2-12
1-2-13</t>
    <phoneticPr fontId="3"/>
  </si>
  <si>
    <t>1-2-1
1-2-2
1-2-4
1-2-12</t>
    <phoneticPr fontId="3"/>
  </si>
  <si>
    <t>1-2-1
1-2-3
1-2-5
1-2-12</t>
    <phoneticPr fontId="3"/>
  </si>
  <si>
    <t>1-2-12
1-2-13</t>
    <phoneticPr fontId="3"/>
  </si>
  <si>
    <t>1-2-1
1-2-3
1-2-5
1-2-12
1-2-16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</si>
</sst>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6" formatCode="&quot;¥&quot;#,##0;[Red]&quot;¥&quot;\-#,##0"/>
    <numFmt numFmtId="41" formatCode="_ * #,##0_ ;_ * \-#,##0_ ;_ * &quot;-&quot;_ ;_ @_ "/>
    <numFmt numFmtId="43" formatCode="_ * #,##0.00_ ;_ * \-#,##0.00_ ;_ * &quot;-&quot;??_ ;_ @_ "/>
    <numFmt numFmtId="176" formatCode="#,##0_ "/>
    <numFmt numFmtId="177" formatCode="#,##0.0&quot;人月&quot;"/>
    <numFmt numFmtId="178" formatCode="&quot;¥&quot;\$#,##0.00_);[Red]&quot;¥&quot;\(&quot;¥&quot;\$#,##0.00&quot;¥&quot;\)"/>
    <numFmt numFmtId="179" formatCode="&quot;$&quot;#,##0_);[Red]&quot;¥&quot;&quot;¥&quot;&quot;¥&quot;\(&quot;$&quot;#,##0&quot;¥&quot;&quot;¥&quot;&quot;¥&quot;\)"/>
    <numFmt numFmtId="180" formatCode="&quot;$&quot;#,##0.00_);[Red]&quot;¥&quot;&quot;¥&quot;&quot;¥&quot;\(&quot;$&quot;#,##0.00&quot;¥&quot;&quot;¥&quot;&quot;¥&quot;\)"/>
    <numFmt numFmtId="181" formatCode="000"/>
    <numFmt numFmtId="182" formatCode="00000"/>
    <numFmt numFmtId="183" formatCode="_(* #,##0.00000_);_(* \(#,##0.00000\);_(* &quot;-&quot;??_);_(@_)"/>
    <numFmt numFmtId="184" formatCode="_(* #,##0.000000_);_(* \(#,##0.000000\);_(* &quot;-&quot;??_);_(@_)"/>
    <numFmt numFmtId="185" formatCode="0.00000%"/>
    <numFmt numFmtId="186" formatCode="0%\);[Red]\(0%\)"/>
    <numFmt numFmtId="187" formatCode="#,##0_ ;[Red]&quot;¥&quot;\!\-#,##0&quot;¥&quot;\!\ "/>
    <numFmt numFmtId="188" formatCode="0_ ;[Red]&quot;¥&quot;\!\-0&quot;¥&quot;\!\ "/>
    <numFmt numFmtId="189" formatCode="&quot;¥&quot;#,##0.0;[Red]&quot;¥&quot;\-#,##0.0"/>
    <numFmt numFmtId="190" formatCode="0_)"/>
  </numFmts>
  <fonts count="8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??"/>
      <family val="3"/>
    </font>
    <font>
      <sz val="10"/>
      <name val="，iA¶"/>
      <family val="3"/>
      <charset val="128"/>
    </font>
    <font>
      <sz val="10"/>
      <name val="Helv"/>
      <family val="2"/>
    </font>
    <font>
      <sz val="11"/>
      <name val="??"/>
      <family val="3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20"/>
      <name val="HP Logo LG"/>
      <family val="3"/>
      <charset val="128"/>
    </font>
    <font>
      <b/>
      <sz val="11"/>
      <name val="Helv"/>
      <family val="2"/>
    </font>
    <font>
      <sz val="11"/>
      <name val="1UAAA?"/>
      <family val="3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b/>
      <sz val="10"/>
      <color indexed="12"/>
      <name val="Times New Roman"/>
      <family val="1"/>
    </font>
    <font>
      <sz val="10"/>
      <color indexed="12"/>
      <name val="Arial"/>
      <family val="2"/>
    </font>
    <font>
      <b/>
      <sz val="8"/>
      <name val="Arial"/>
      <family val="2"/>
    </font>
    <font>
      <sz val="11"/>
      <name val="明朝"/>
      <family val="1"/>
      <charset val="128"/>
    </font>
    <font>
      <b/>
      <sz val="16"/>
      <name val="丸ｺﾞｼｯｸ"/>
      <family val="3"/>
      <charset val="128"/>
    </font>
    <font>
      <b/>
      <sz val="11"/>
      <color indexed="10"/>
      <name val="ＭＳ Ｐゴシック"/>
      <family val="3"/>
      <charset val="128"/>
    </font>
    <font>
      <u/>
      <sz val="9.35"/>
      <color indexed="12"/>
      <name val="ＭＳ Ｐゴシック"/>
      <family val="3"/>
      <charset val="128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9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name val="ＭＳ ゴシック"/>
      <family val="3"/>
      <charset val="128"/>
    </font>
    <font>
      <b/>
      <sz val="10"/>
      <name val="ＭＳ Ｐゴシック"/>
      <family val="3"/>
      <charset val="128"/>
    </font>
    <font>
      <sz val="8"/>
      <name val="ＭＳ Ｐゴシック"/>
      <family val="3"/>
      <charset val="128"/>
    </font>
    <font>
      <strike/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ＭＳ Ｐ明朝"/>
      <family val="1"/>
      <charset val="128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8"/>
      <name val="Times New Roman"/>
      <family val="1"/>
    </font>
    <font>
      <sz val="14"/>
      <name val="?? ??"/>
      <family val="1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sz val="8"/>
      <name val="Helv"/>
      <family val="2"/>
    </font>
    <font>
      <b/>
      <i/>
      <sz val="10"/>
      <name val="Times New Roman"/>
      <family val="1"/>
    </font>
    <font>
      <sz val="10"/>
      <name val="Times New Roman"/>
      <family val="1"/>
    </font>
    <font>
      <b/>
      <sz val="18"/>
      <color indexed="56"/>
      <name val="Cambria"/>
      <family val="1"/>
    </font>
    <font>
      <sz val="11"/>
      <color indexed="10"/>
      <name val="Calibri"/>
      <family val="2"/>
    </font>
    <font>
      <u/>
      <sz val="10"/>
      <color indexed="12"/>
      <name val="Arial"/>
      <family val="2"/>
    </font>
    <font>
      <b/>
      <sz val="12"/>
      <name val="標準ゴシック"/>
      <family val="3"/>
      <charset val="128"/>
    </font>
    <font>
      <b/>
      <sz val="15"/>
      <color indexed="56"/>
      <name val="ＭＳ Ｐゴシック"/>
      <family val="3"/>
      <charset val="128"/>
    </font>
    <font>
      <sz val="14"/>
      <name val="ＭＳ 明朝"/>
      <family val="1"/>
      <charset val="128"/>
    </font>
    <font>
      <sz val="10"/>
      <name val="Courier"/>
      <family val="3"/>
    </font>
    <font>
      <sz val="10"/>
      <name val="ＭＳ 明朝"/>
      <family val="1"/>
      <charset val="128"/>
    </font>
    <font>
      <strike/>
      <sz val="11"/>
      <color indexed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</font>
    <font>
      <sz val="9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</font>
    <font>
      <strike/>
      <sz val="9"/>
      <color rgb="FFFF0000"/>
      <name val="ＭＳ Ｐゴシック"/>
      <family val="3"/>
      <charset val="128"/>
    </font>
    <font>
      <sz val="11"/>
      <color theme="0" tint="-0.499984740745262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9"/>
      <color theme="0" tint="-0.499984740745262"/>
      <name val="ＭＳ Ｐゴシック"/>
      <family val="3"/>
      <charset val="128"/>
    </font>
    <font>
      <sz val="8"/>
      <color rgb="FFFF0000"/>
      <name val="ＭＳ Ｐゴシック"/>
      <family val="3"/>
      <charset val="128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42"/>
      </patternFill>
    </fill>
    <fill>
      <patternFill patternType="lightGray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4FF6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249977111117893"/>
        <bgColor indexed="64"/>
      </patternFill>
    </fill>
  </fills>
  <borders count="132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00">
    <xf numFmtId="0" fontId="0" fillId="0" borderId="0">
      <alignment vertical="center"/>
    </xf>
    <xf numFmtId="0" fontId="6" fillId="0" borderId="1"/>
    <xf numFmtId="0" fontId="6" fillId="0" borderId="0"/>
    <xf numFmtId="0" fontId="7" fillId="0" borderId="1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8" fillId="12" borderId="0" applyNumberFormat="0" applyBorder="0" applyAlignment="0" applyProtection="0"/>
    <xf numFmtId="0" fontId="38" fillId="9" borderId="0" applyNumberFormat="0" applyBorder="0" applyAlignment="0" applyProtection="0"/>
    <xf numFmtId="0" fontId="38" fillId="10" borderId="0" applyNumberFormat="0" applyBorder="0" applyAlignment="0" applyProtection="0"/>
    <xf numFmtId="0" fontId="38" fillId="13" borderId="0" applyNumberFormat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8" borderId="0" applyNumberFormat="0" applyBorder="0" applyAlignment="0" applyProtection="0"/>
    <xf numFmtId="0" fontId="38" fillId="13" borderId="0" applyNumberFormat="0" applyBorder="0" applyAlignment="0" applyProtection="0"/>
    <xf numFmtId="0" fontId="38" fillId="14" borderId="0" applyNumberFormat="0" applyBorder="0" applyAlignment="0" applyProtection="0"/>
    <xf numFmtId="0" fontId="38" fillId="19" borderId="0" applyNumberFormat="0" applyBorder="0" applyAlignment="0" applyProtection="0"/>
    <xf numFmtId="179" fontId="8" fillId="0" borderId="0" applyFont="0" applyFill="0" applyBorder="0" applyAlignment="0" applyProtection="0"/>
    <xf numFmtId="180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0" fontId="39" fillId="3" borderId="0" applyNumberFormat="0" applyBorder="0" applyAlignment="0" applyProtection="0"/>
    <xf numFmtId="0" fontId="40" fillId="0" borderId="0">
      <alignment vertical="center" wrapText="1"/>
    </xf>
    <xf numFmtId="0" fontId="8" fillId="0" borderId="0"/>
    <xf numFmtId="0" fontId="9" fillId="0" borderId="0" applyFill="0" applyBorder="0" applyAlignment="0"/>
    <xf numFmtId="0" fontId="41" fillId="20" borderId="2" applyNumberFormat="0" applyAlignment="0" applyProtection="0"/>
    <xf numFmtId="0" fontId="10" fillId="0" borderId="0"/>
    <xf numFmtId="0" fontId="42" fillId="21" borderId="3" applyNumberFormat="0" applyAlignment="0" applyProtection="0"/>
    <xf numFmtId="41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43" fillId="0" borderId="0"/>
    <xf numFmtId="0" fontId="8" fillId="0" borderId="0"/>
    <xf numFmtId="0" fontId="43" fillId="0" borderId="0"/>
    <xf numFmtId="0" fontId="8" fillId="0" borderId="0"/>
    <xf numFmtId="181" fontId="19" fillId="0" borderId="0" applyFont="0" applyFill="0" applyBorder="0" applyAlignment="0" applyProtection="0"/>
    <xf numFmtId="182" fontId="19" fillId="0" borderId="0" applyFont="0" applyFill="0" applyBorder="0" applyAlignment="0" applyProtection="0"/>
    <xf numFmtId="0" fontId="44" fillId="0" borderId="0">
      <protection locked="0"/>
    </xf>
    <xf numFmtId="0" fontId="45" fillId="0" borderId="0">
      <protection locked="0"/>
    </xf>
    <xf numFmtId="0" fontId="45" fillId="0" borderId="0">
      <protection locked="0"/>
    </xf>
    <xf numFmtId="0" fontId="46" fillId="0" borderId="0">
      <alignment horizontal="left"/>
    </xf>
    <xf numFmtId="0" fontId="47" fillId="0" borderId="0" applyNumberFormat="0" applyFill="0" applyBorder="0" applyAlignment="0" applyProtection="0"/>
    <xf numFmtId="0" fontId="44" fillId="0" borderId="0">
      <protection locked="0"/>
    </xf>
    <xf numFmtId="0" fontId="44" fillId="0" borderId="0">
      <protection locked="0"/>
    </xf>
    <xf numFmtId="0" fontId="44" fillId="0" borderId="0">
      <protection locked="0"/>
    </xf>
    <xf numFmtId="0" fontId="44" fillId="0" borderId="0">
      <protection locked="0"/>
    </xf>
    <xf numFmtId="0" fontId="44" fillId="0" borderId="0">
      <protection locked="0"/>
    </xf>
    <xf numFmtId="0" fontId="44" fillId="0" borderId="0">
      <protection locked="0"/>
    </xf>
    <xf numFmtId="0" fontId="44" fillId="0" borderId="0">
      <protection locked="0"/>
    </xf>
    <xf numFmtId="0" fontId="44" fillId="0" borderId="0">
      <protection locked="0"/>
    </xf>
    <xf numFmtId="0" fontId="44" fillId="0" borderId="0">
      <protection locked="0"/>
    </xf>
    <xf numFmtId="0" fontId="48" fillId="4" borderId="0" applyNumberFormat="0" applyBorder="0" applyAlignment="0" applyProtection="0"/>
    <xf numFmtId="38" fontId="11" fillId="22" borderId="0" applyNumberFormat="0" applyBorder="0" applyAlignment="0" applyProtection="0"/>
    <xf numFmtId="0" fontId="12" fillId="0" borderId="0">
      <alignment horizontal="left"/>
    </xf>
    <xf numFmtId="0" fontId="13" fillId="0" borderId="4" applyFill="0" applyBorder="0"/>
    <xf numFmtId="0" fontId="11" fillId="0" borderId="4" applyBorder="0">
      <alignment horizontal="center" vertical="center"/>
    </xf>
    <xf numFmtId="0" fontId="14" fillId="0" borderId="4" applyBorder="0">
      <alignment horizontal="center" vertical="center"/>
    </xf>
    <xf numFmtId="0" fontId="15" fillId="0" borderId="5" applyNumberFormat="0" applyAlignment="0" applyProtection="0">
      <alignment horizontal="left" vertical="center"/>
    </xf>
    <xf numFmtId="0" fontId="15" fillId="0" borderId="6">
      <alignment horizontal="left" vertical="center"/>
    </xf>
    <xf numFmtId="0" fontId="15" fillId="0" borderId="0" applyFill="0" applyBorder="0" applyAlignment="0">
      <alignment vertical="center"/>
    </xf>
    <xf numFmtId="0" fontId="49" fillId="0" borderId="7" applyNumberFormat="0" applyFill="0" applyAlignment="0" applyProtection="0"/>
    <xf numFmtId="0" fontId="50" fillId="0" borderId="8" applyNumberFormat="0" applyFill="0" applyAlignment="0" applyProtection="0"/>
    <xf numFmtId="0" fontId="50" fillId="0" borderId="0" applyNumberFormat="0" applyFill="0" applyBorder="0" applyAlignment="0" applyProtection="0"/>
    <xf numFmtId="0" fontId="16" fillId="0" borderId="4" applyBorder="0">
      <alignment horizontal="center" vertical="center"/>
    </xf>
    <xf numFmtId="0" fontId="28" fillId="0" borderId="0" applyNumberFormat="0" applyFill="0" applyBorder="0" applyAlignment="0" applyProtection="0">
      <alignment vertical="top"/>
      <protection locked="0"/>
    </xf>
    <xf numFmtId="0" fontId="37" fillId="0" borderId="0" applyBorder="0"/>
    <xf numFmtId="0" fontId="51" fillId="7" borderId="2" applyNumberFormat="0" applyAlignment="0" applyProtection="0"/>
    <xf numFmtId="10" fontId="11" fillId="22" borderId="9" applyNumberFormat="0" applyBorder="0" applyAlignment="0" applyProtection="0"/>
    <xf numFmtId="0" fontId="37" fillId="0" borderId="0"/>
    <xf numFmtId="0" fontId="52" fillId="0" borderId="10" applyNumberFormat="0" applyFill="0" applyAlignment="0" applyProtection="0"/>
    <xf numFmtId="0" fontId="25" fillId="23" borderId="0" applyNumberFormat="0" applyFont="0" applyBorder="0" applyAlignment="0" applyProtection="0"/>
    <xf numFmtId="183" fontId="1" fillId="0" borderId="0" applyFont="0" applyFill="0" applyBorder="0" applyAlignment="0" applyProtection="0"/>
    <xf numFmtId="183" fontId="1" fillId="0" borderId="0" applyFont="0" applyFill="0" applyBorder="0" applyAlignment="0" applyProtection="0"/>
    <xf numFmtId="0" fontId="17" fillId="0" borderId="11"/>
    <xf numFmtId="184" fontId="1" fillId="0" borderId="0" applyFont="0" applyFill="0" applyBorder="0" applyAlignment="0" applyProtection="0"/>
    <xf numFmtId="185" fontId="1" fillId="0" borderId="0" applyFont="0" applyFill="0" applyBorder="0" applyAlignment="0" applyProtection="0"/>
    <xf numFmtId="0" fontId="44" fillId="0" borderId="0">
      <protection locked="0"/>
    </xf>
    <xf numFmtId="0" fontId="53" fillId="24" borderId="0" applyNumberFormat="0" applyBorder="0" applyAlignment="0" applyProtection="0"/>
    <xf numFmtId="37" fontId="54" fillId="0" borderId="0"/>
    <xf numFmtId="178" fontId="18" fillId="0" borderId="0"/>
    <xf numFmtId="0" fontId="73" fillId="0" borderId="0">
      <alignment vertical="center"/>
    </xf>
    <xf numFmtId="0" fontId="55" fillId="0" borderId="0"/>
    <xf numFmtId="0" fontId="56" fillId="0" borderId="0"/>
    <xf numFmtId="0" fontId="1" fillId="25" borderId="12" applyNumberFormat="0" applyFont="0" applyAlignment="0" applyProtection="0"/>
    <xf numFmtId="186" fontId="19" fillId="0" borderId="0" applyFont="0" applyFill="0" applyBorder="0" applyAlignment="0" applyProtection="0">
      <alignment horizontal="center"/>
      <protection locked="0"/>
    </xf>
    <xf numFmtId="0" fontId="57" fillId="20" borderId="13" applyNumberFormat="0" applyAlignment="0" applyProtection="0"/>
    <xf numFmtId="10" fontId="19" fillId="0" borderId="0" applyFont="0" applyFill="0" applyBorder="0" applyAlignment="0" applyProtection="0"/>
    <xf numFmtId="0" fontId="44" fillId="0" borderId="0">
      <protection locked="0"/>
    </xf>
    <xf numFmtId="4" fontId="46" fillId="0" borderId="0">
      <alignment horizontal="right"/>
    </xf>
    <xf numFmtId="0" fontId="20" fillId="0" borderId="0" applyNumberFormat="0" applyFont="0" applyFill="0" applyBorder="0" applyAlignment="0" applyProtection="0">
      <alignment horizontal="left"/>
    </xf>
    <xf numFmtId="0" fontId="21" fillId="0" borderId="11">
      <alignment horizontal="center"/>
    </xf>
    <xf numFmtId="4" fontId="58" fillId="0" borderId="0">
      <alignment horizontal="right"/>
    </xf>
    <xf numFmtId="38" fontId="59" fillId="0" borderId="0"/>
    <xf numFmtId="0" fontId="60" fillId="0" borderId="0">
      <alignment horizontal="left"/>
    </xf>
    <xf numFmtId="1" fontId="61" fillId="0" borderId="0" applyBorder="0">
      <alignment horizontal="left" vertical="top" wrapText="1"/>
    </xf>
    <xf numFmtId="0" fontId="17" fillId="0" borderId="0"/>
    <xf numFmtId="0" fontId="22" fillId="0" borderId="14" applyNumberFormat="0" applyFill="0" applyBorder="0">
      <alignment horizontal="centerContinuous" vertical="center" wrapText="1"/>
      <protection locked="0"/>
    </xf>
    <xf numFmtId="0" fontId="13" fillId="26" borderId="15" applyFill="0" applyBorder="0">
      <alignment horizontal="left" vertical="center"/>
    </xf>
    <xf numFmtId="0" fontId="13" fillId="26" borderId="15" applyFill="0" applyBorder="0">
      <alignment horizontal="center" vertical="center"/>
    </xf>
    <xf numFmtId="0" fontId="13" fillId="26" borderId="16" applyNumberFormat="0" applyFill="0" applyBorder="0" applyProtection="0">
      <alignment horizontal="centerContinuous"/>
    </xf>
    <xf numFmtId="0" fontId="23" fillId="0" borderId="14" applyFill="0" applyBorder="0" applyProtection="0">
      <alignment vertical="center"/>
      <protection locked="0"/>
    </xf>
    <xf numFmtId="0" fontId="11" fillId="0" borderId="0" applyFill="0" applyBorder="0">
      <alignment vertical="center"/>
    </xf>
    <xf numFmtId="0" fontId="24" fillId="26" borderId="17" applyFill="0" applyBorder="0" applyAlignment="0">
      <alignment horizontal="center" vertical="center"/>
    </xf>
    <xf numFmtId="0" fontId="11" fillId="0" borderId="0" applyFill="0" applyBorder="0">
      <alignment horizontal="centerContinuous" vertical="center"/>
    </xf>
    <xf numFmtId="0" fontId="13" fillId="0" borderId="0" applyNumberFormat="0" applyFill="0" applyBorder="0">
      <alignment vertical="center"/>
    </xf>
    <xf numFmtId="0" fontId="62" fillId="0" borderId="0" applyNumberFormat="0" applyFill="0" applyBorder="0" applyAlignment="0" applyProtection="0"/>
    <xf numFmtId="0" fontId="29" fillId="0" borderId="18" applyNumberFormat="0" applyFill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1" fillId="0" borderId="19"/>
    <xf numFmtId="187" fontId="4" fillId="0" borderId="0" applyBorder="0">
      <alignment horizontal="right"/>
    </xf>
    <xf numFmtId="0" fontId="37" fillId="0" borderId="0">
      <alignment vertical="center"/>
    </xf>
    <xf numFmtId="49" fontId="1" fillId="0" borderId="0" applyFont="0"/>
    <xf numFmtId="38" fontId="25" fillId="0" borderId="0"/>
    <xf numFmtId="0" fontId="65" fillId="0" borderId="0"/>
    <xf numFmtId="0" fontId="66" fillId="0" borderId="20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77" fontId="25" fillId="0" borderId="0"/>
    <xf numFmtId="188" fontId="4" fillId="0" borderId="0" applyFill="0" applyBorder="0"/>
    <xf numFmtId="187" fontId="4" fillId="0" borderId="0" applyFill="0" applyBorder="0"/>
    <xf numFmtId="189" fontId="1" fillId="0" borderId="0" applyFill="0" applyBorder="0"/>
    <xf numFmtId="49" fontId="4" fillId="22" borderId="21">
      <alignment horizontal="center"/>
    </xf>
    <xf numFmtId="176" fontId="4" fillId="22" borderId="21">
      <alignment horizontal="right"/>
    </xf>
    <xf numFmtId="14" fontId="4" fillId="22" borderId="0" applyBorder="0">
      <alignment horizontal="center"/>
    </xf>
    <xf numFmtId="49" fontId="4" fillId="0" borderId="21"/>
    <xf numFmtId="6" fontId="1" fillId="0" borderId="0" applyFont="0" applyFill="0" applyBorder="0" applyAlignment="0" applyProtection="0"/>
    <xf numFmtId="14" fontId="4" fillId="0" borderId="22" applyBorder="0">
      <alignment horizontal="left"/>
    </xf>
    <xf numFmtId="14" fontId="4" fillId="0" borderId="0" applyFill="0" applyBorder="0"/>
    <xf numFmtId="0" fontId="67" fillId="0" borderId="0"/>
    <xf numFmtId="0" fontId="1" fillId="0" borderId="0"/>
    <xf numFmtId="0" fontId="73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73" fillId="0" borderId="0">
      <alignment vertical="center"/>
    </xf>
    <xf numFmtId="0" fontId="1" fillId="0" borderId="0"/>
    <xf numFmtId="0" fontId="1" fillId="0" borderId="0">
      <alignment vertical="center"/>
    </xf>
    <xf numFmtId="0" fontId="73" fillId="0" borderId="0">
      <alignment vertical="center"/>
    </xf>
    <xf numFmtId="0" fontId="1" fillId="0" borderId="0"/>
    <xf numFmtId="0" fontId="73" fillId="0" borderId="0">
      <alignment vertical="center"/>
    </xf>
    <xf numFmtId="0" fontId="1" fillId="0" borderId="0">
      <alignment vertical="center"/>
    </xf>
    <xf numFmtId="0" fontId="33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11">
      <alignment horizontal="centerContinuous" vertical="center" wrapText="1"/>
    </xf>
    <xf numFmtId="49" fontId="4" fillId="0" borderId="0" applyFill="0" applyBorder="0"/>
    <xf numFmtId="190" fontId="68" fillId="0" borderId="0"/>
    <xf numFmtId="0" fontId="1" fillId="27" borderId="0" applyNumberFormat="0" applyFont="0" applyBorder="0" applyAlignment="0" applyProtection="0"/>
    <xf numFmtId="0" fontId="31" fillId="27" borderId="23">
      <alignment horizontal="left" vertical="center" wrapText="1"/>
    </xf>
    <xf numFmtId="0" fontId="69" fillId="0" borderId="0"/>
  </cellStyleXfs>
  <cellXfs count="571">
    <xf numFmtId="0" fontId="0" fillId="0" borderId="0" xfId="0">
      <alignment vertical="center"/>
    </xf>
    <xf numFmtId="0" fontId="0" fillId="0" borderId="9" xfId="0" applyFont="1" applyFill="1" applyBorder="1" applyAlignment="1">
      <alignment vertical="top"/>
    </xf>
    <xf numFmtId="0" fontId="0" fillId="0" borderId="24" xfId="0" applyFont="1" applyFill="1" applyBorder="1" applyAlignment="1">
      <alignment horizontal="center" vertical="top" shrinkToFit="1"/>
    </xf>
    <xf numFmtId="0" fontId="0" fillId="0" borderId="25" xfId="0" applyFont="1" applyFill="1" applyBorder="1" applyAlignment="1">
      <alignment vertical="top"/>
    </xf>
    <xf numFmtId="0" fontId="0" fillId="0" borderId="22" xfId="0" applyFont="1" applyFill="1" applyBorder="1" applyAlignment="1">
      <alignment vertical="top"/>
    </xf>
    <xf numFmtId="0" fontId="0" fillId="0" borderId="26" xfId="0" applyFont="1" applyFill="1" applyBorder="1" applyAlignment="1">
      <alignment vertical="top"/>
    </xf>
    <xf numFmtId="0" fontId="0" fillId="0" borderId="26" xfId="0" applyFont="1" applyFill="1" applyBorder="1" applyAlignment="1">
      <alignment horizontal="center" vertical="top"/>
    </xf>
    <xf numFmtId="0" fontId="0" fillId="0" borderId="27" xfId="0" applyFont="1" applyFill="1" applyBorder="1" applyAlignment="1">
      <alignment vertical="top"/>
    </xf>
    <xf numFmtId="0" fontId="0" fillId="0" borderId="9" xfId="0" applyFont="1" applyFill="1" applyBorder="1" applyAlignment="1">
      <alignment horizontal="center" vertical="top"/>
    </xf>
    <xf numFmtId="0" fontId="0" fillId="0" borderId="9" xfId="0" applyFont="1" applyFill="1" applyBorder="1" applyAlignment="1">
      <alignment vertical="center" wrapText="1"/>
    </xf>
    <xf numFmtId="0" fontId="0" fillId="0" borderId="28" xfId="0" applyFont="1" applyFill="1" applyBorder="1">
      <alignment vertical="center"/>
    </xf>
    <xf numFmtId="0" fontId="0" fillId="0" borderId="9" xfId="0" applyFont="1" applyFill="1" applyBorder="1" applyAlignment="1">
      <alignment vertical="top" wrapText="1"/>
    </xf>
    <xf numFmtId="0" fontId="0" fillId="0" borderId="29" xfId="0" applyFont="1" applyFill="1" applyBorder="1">
      <alignment vertical="center"/>
    </xf>
    <xf numFmtId="0" fontId="0" fillId="0" borderId="30" xfId="0" applyFont="1" applyFill="1" applyBorder="1" applyAlignment="1">
      <alignment vertical="top"/>
    </xf>
    <xf numFmtId="0" fontId="0" fillId="0" borderId="6" xfId="130" applyFont="1" applyFill="1" applyBorder="1" applyAlignment="1">
      <alignment vertical="top"/>
    </xf>
    <xf numFmtId="0" fontId="0" fillId="0" borderId="31" xfId="0" applyFont="1" applyFill="1" applyBorder="1" applyAlignment="1">
      <alignment vertical="top"/>
    </xf>
    <xf numFmtId="0" fontId="0" fillId="0" borderId="6" xfId="0" applyFont="1" applyFill="1" applyBorder="1" applyAlignment="1">
      <alignment vertical="top"/>
    </xf>
    <xf numFmtId="0" fontId="0" fillId="0" borderId="31" xfId="0" applyFont="1" applyFill="1" applyBorder="1" applyAlignment="1">
      <alignment horizontal="center" vertical="top"/>
    </xf>
    <xf numFmtId="0" fontId="5" fillId="0" borderId="32" xfId="0" applyFont="1" applyFill="1" applyBorder="1" applyAlignment="1">
      <alignment vertical="center"/>
    </xf>
    <xf numFmtId="0" fontId="0" fillId="0" borderId="33" xfId="0" applyFont="1" applyFill="1" applyBorder="1" applyAlignment="1">
      <alignment horizontal="center" vertical="top" shrinkToFit="1"/>
    </xf>
    <xf numFmtId="0" fontId="0" fillId="22" borderId="0" xfId="0" applyFont="1" applyFill="1">
      <alignment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vertical="top"/>
    </xf>
    <xf numFmtId="0" fontId="0" fillId="0" borderId="26" xfId="0" applyFont="1" applyFill="1" applyBorder="1" applyAlignment="1">
      <alignment vertical="top" wrapText="1"/>
    </xf>
    <xf numFmtId="0" fontId="0" fillId="0" borderId="0" xfId="0" applyNumberFormat="1">
      <alignment vertical="center"/>
    </xf>
    <xf numFmtId="0" fontId="0" fillId="0" borderId="30" xfId="0" applyFont="1" applyFill="1" applyBorder="1" applyAlignment="1">
      <alignment horizontal="center" vertical="top" shrinkToFit="1"/>
    </xf>
    <xf numFmtId="0" fontId="0" fillId="0" borderId="0" xfId="0" applyFont="1" applyFill="1">
      <alignment vertical="center"/>
    </xf>
    <xf numFmtId="0" fontId="0" fillId="0" borderId="34" xfId="0" applyFont="1" applyFill="1" applyBorder="1">
      <alignment vertical="center"/>
    </xf>
    <xf numFmtId="0" fontId="0" fillId="0" borderId="22" xfId="0" applyFont="1" applyFill="1" applyBorder="1" applyAlignment="1">
      <alignment horizontal="center" vertical="top" shrinkToFit="1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5" fillId="29" borderId="0" xfId="0" applyFont="1" applyFill="1">
      <alignment vertical="center"/>
    </xf>
    <xf numFmtId="0" fontId="0" fillId="0" borderId="0" xfId="0" applyFont="1">
      <alignment vertical="center"/>
    </xf>
    <xf numFmtId="0" fontId="0" fillId="22" borderId="0" xfId="0" applyFont="1" applyFill="1" applyAlignment="1">
      <alignment horizontal="center" vertical="center" shrinkToFit="1"/>
    </xf>
    <xf numFmtId="0" fontId="0" fillId="22" borderId="0" xfId="0" applyFont="1" applyFill="1" applyAlignment="1">
      <alignment horizontal="center" vertical="center"/>
    </xf>
    <xf numFmtId="0" fontId="0" fillId="22" borderId="27" xfId="0" applyFont="1" applyFill="1" applyBorder="1" applyAlignment="1">
      <alignment vertical="top"/>
    </xf>
    <xf numFmtId="0" fontId="0" fillId="0" borderId="26" xfId="0" applyFont="1" applyFill="1" applyBorder="1" applyAlignment="1">
      <alignment horizontal="center" vertical="center"/>
    </xf>
    <xf numFmtId="0" fontId="0" fillId="22" borderId="0" xfId="0" applyFont="1" applyFill="1" applyAlignment="1">
      <alignment horizontal="left" vertical="center"/>
    </xf>
    <xf numFmtId="0" fontId="5" fillId="22" borderId="0" xfId="0" applyFont="1" applyFill="1" applyBorder="1" applyAlignment="1">
      <alignment vertical="center"/>
    </xf>
    <xf numFmtId="0" fontId="27" fillId="0" borderId="32" xfId="0" applyFont="1" applyBorder="1" applyAlignment="1">
      <alignment vertical="center"/>
    </xf>
    <xf numFmtId="0" fontId="27" fillId="0" borderId="0" xfId="0" applyFont="1" applyBorder="1" applyAlignment="1">
      <alignment vertical="center"/>
    </xf>
    <xf numFmtId="0" fontId="5" fillId="28" borderId="0" xfId="0" applyFont="1" applyFill="1">
      <alignment vertical="center"/>
    </xf>
    <xf numFmtId="0" fontId="5" fillId="30" borderId="0" xfId="0" applyFont="1" applyFill="1">
      <alignment vertical="center"/>
    </xf>
    <xf numFmtId="0" fontId="5" fillId="22" borderId="0" xfId="0" applyFont="1" applyFill="1" applyAlignment="1">
      <alignment horizontal="left" vertical="center" shrinkToFit="1"/>
    </xf>
    <xf numFmtId="0" fontId="31" fillId="0" borderId="0" xfId="169" applyNumberFormat="1" applyFont="1" applyFill="1" applyBorder="1" applyAlignment="1"/>
    <xf numFmtId="0" fontId="4" fillId="0" borderId="6" xfId="169" applyNumberFormat="1" applyFont="1" applyFill="1" applyBorder="1" applyAlignment="1"/>
    <xf numFmtId="0" fontId="31" fillId="0" borderId="21" xfId="169" applyNumberFormat="1" applyFont="1" applyFill="1" applyBorder="1" applyAlignment="1">
      <alignment horizontal="center" vertical="center"/>
    </xf>
    <xf numFmtId="0" fontId="31" fillId="0" borderId="25" xfId="169" applyNumberFormat="1" applyFont="1" applyFill="1" applyBorder="1" applyAlignment="1">
      <alignment vertical="center"/>
    </xf>
    <xf numFmtId="0" fontId="31" fillId="0" borderId="35" xfId="169" applyNumberFormat="1" applyFont="1" applyFill="1" applyBorder="1" applyAlignment="1">
      <alignment vertical="center"/>
    </xf>
    <xf numFmtId="0" fontId="5" fillId="22" borderId="0" xfId="0" applyFont="1" applyFill="1" applyAlignment="1">
      <alignment horizontal="left" vertical="center"/>
    </xf>
    <xf numFmtId="0" fontId="0" fillId="22" borderId="24" xfId="0" applyFont="1" applyFill="1" applyBorder="1" applyAlignment="1">
      <alignment horizontal="left" vertical="center"/>
    </xf>
    <xf numFmtId="0" fontId="0" fillId="0" borderId="25" xfId="0" applyFill="1" applyBorder="1" applyAlignment="1">
      <alignment vertical="top"/>
    </xf>
    <xf numFmtId="0" fontId="0" fillId="0" borderId="36" xfId="0" applyFont="1" applyFill="1" applyBorder="1" applyAlignment="1">
      <alignment vertical="top"/>
    </xf>
    <xf numFmtId="0" fontId="0" fillId="0" borderId="34" xfId="0" applyFont="1" applyFill="1" applyBorder="1" applyAlignment="1">
      <alignment vertical="center"/>
    </xf>
    <xf numFmtId="0" fontId="0" fillId="0" borderId="9" xfId="130" applyFont="1" applyFill="1" applyBorder="1" applyAlignment="1">
      <alignment vertical="top"/>
    </xf>
    <xf numFmtId="0" fontId="0" fillId="0" borderId="28" xfId="0" applyFont="1" applyFill="1" applyBorder="1" applyAlignment="1">
      <alignment vertical="center"/>
    </xf>
    <xf numFmtId="0" fontId="0" fillId="0" borderId="9" xfId="129" applyFont="1" applyFill="1" applyBorder="1" applyAlignment="1">
      <alignment vertical="top"/>
    </xf>
    <xf numFmtId="0" fontId="0" fillId="0" borderId="9" xfId="129" applyFont="1" applyFill="1" applyBorder="1" applyAlignment="1">
      <alignment horizontal="center" vertical="top"/>
    </xf>
    <xf numFmtId="0" fontId="0" fillId="0" borderId="24" xfId="0" applyFont="1" applyFill="1" applyBorder="1" applyAlignment="1">
      <alignment horizontal="left" vertical="center"/>
    </xf>
    <xf numFmtId="0" fontId="0" fillId="0" borderId="9" xfId="0" applyFont="1" applyFill="1" applyBorder="1" applyAlignment="1">
      <alignment horizontal="left" vertical="center"/>
    </xf>
    <xf numFmtId="0" fontId="0" fillId="0" borderId="37" xfId="0" applyFont="1" applyFill="1" applyBorder="1" applyAlignment="1">
      <alignment vertical="top"/>
    </xf>
    <xf numFmtId="0" fontId="0" fillId="0" borderId="29" xfId="0" applyFont="1" applyFill="1" applyBorder="1" applyAlignment="1">
      <alignment vertical="center" wrapText="1"/>
    </xf>
    <xf numFmtId="0" fontId="36" fillId="0" borderId="35" xfId="0" applyFont="1" applyFill="1" applyBorder="1" applyAlignment="1">
      <alignment vertical="top" wrapText="1"/>
    </xf>
    <xf numFmtId="0" fontId="0" fillId="0" borderId="24" xfId="130" applyFont="1" applyFill="1" applyBorder="1" applyAlignment="1">
      <alignment horizontal="center" vertical="top" shrinkToFit="1"/>
    </xf>
    <xf numFmtId="0" fontId="0" fillId="0" borderId="38" xfId="0" applyFont="1" applyFill="1" applyBorder="1" applyAlignment="1">
      <alignment vertical="top"/>
    </xf>
    <xf numFmtId="0" fontId="0" fillId="0" borderId="39" xfId="0" applyFont="1" applyFill="1" applyBorder="1" applyAlignment="1">
      <alignment vertical="top"/>
    </xf>
    <xf numFmtId="0" fontId="0" fillId="0" borderId="29" xfId="0" applyFont="1" applyFill="1" applyBorder="1" applyAlignment="1">
      <alignment vertical="top" wrapText="1"/>
    </xf>
    <xf numFmtId="0" fontId="0" fillId="0" borderId="27" xfId="130" applyFont="1" applyFill="1" applyBorder="1" applyAlignment="1">
      <alignment vertical="top"/>
    </xf>
    <xf numFmtId="0" fontId="0" fillId="0" borderId="36" xfId="130" applyFont="1" applyFill="1" applyBorder="1" applyAlignment="1">
      <alignment vertical="top"/>
    </xf>
    <xf numFmtId="0" fontId="0" fillId="0" borderId="38" xfId="130" applyFont="1" applyFill="1" applyBorder="1" applyAlignment="1">
      <alignment vertical="top"/>
    </xf>
    <xf numFmtId="0" fontId="0" fillId="0" borderId="39" xfId="130" applyFont="1" applyFill="1" applyBorder="1" applyAlignment="1">
      <alignment vertical="top"/>
    </xf>
    <xf numFmtId="0" fontId="0" fillId="0" borderId="37" xfId="130" applyFont="1" applyFill="1" applyBorder="1" applyAlignment="1">
      <alignment vertical="top"/>
    </xf>
    <xf numFmtId="0" fontId="0" fillId="0" borderId="9" xfId="130" applyFont="1" applyFill="1" applyBorder="1" applyAlignment="1">
      <alignment horizontal="center" vertical="top"/>
    </xf>
    <xf numFmtId="0" fontId="0" fillId="0" borderId="9" xfId="130" applyFont="1" applyFill="1" applyBorder="1" applyAlignment="1">
      <alignment horizontal="center" vertical="center"/>
    </xf>
    <xf numFmtId="0" fontId="0" fillId="0" borderId="6" xfId="130" applyFont="1" applyFill="1" applyBorder="1" applyAlignment="1">
      <alignment vertical="center"/>
    </xf>
    <xf numFmtId="0" fontId="0" fillId="0" borderId="28" xfId="130" applyFont="1" applyFill="1" applyBorder="1" applyAlignment="1">
      <alignment vertical="top" wrapText="1"/>
    </xf>
    <xf numFmtId="0" fontId="0" fillId="0" borderId="30" xfId="130" applyFont="1" applyFill="1" applyBorder="1" applyAlignment="1">
      <alignment horizontal="center" vertical="top" shrinkToFit="1"/>
    </xf>
    <xf numFmtId="0" fontId="0" fillId="0" borderId="24" xfId="130" applyFont="1" applyFill="1" applyBorder="1" applyAlignment="1">
      <alignment horizontal="left" vertical="center"/>
    </xf>
    <xf numFmtId="0" fontId="0" fillId="0" borderId="9" xfId="130" applyFont="1" applyFill="1" applyBorder="1" applyAlignment="1">
      <alignment horizontal="left" vertical="center"/>
    </xf>
    <xf numFmtId="0" fontId="0" fillId="0" borderId="0" xfId="130" applyFont="1" applyFill="1">
      <alignment vertical="center"/>
    </xf>
    <xf numFmtId="0" fontId="0" fillId="0" borderId="29" xfId="130" applyFont="1" applyFill="1" applyBorder="1" applyAlignment="1">
      <alignment vertical="top"/>
    </xf>
    <xf numFmtId="0" fontId="0" fillId="0" borderId="30" xfId="130" applyFont="1" applyFill="1" applyBorder="1" applyAlignment="1">
      <alignment vertical="top"/>
    </xf>
    <xf numFmtId="0" fontId="0" fillId="0" borderId="9" xfId="130" applyFont="1" applyFill="1" applyBorder="1" applyAlignment="1">
      <alignment vertical="center" wrapText="1"/>
    </xf>
    <xf numFmtId="0" fontId="0" fillId="0" borderId="29" xfId="130" applyFont="1" applyFill="1" applyBorder="1" applyAlignment="1">
      <alignment vertical="top" wrapText="1"/>
    </xf>
    <xf numFmtId="0" fontId="0" fillId="0" borderId="40" xfId="0" applyFont="1" applyFill="1" applyBorder="1" applyAlignment="1">
      <alignment vertical="top"/>
    </xf>
    <xf numFmtId="0" fontId="0" fillId="0" borderId="41" xfId="0" applyFont="1" applyFill="1" applyBorder="1" applyAlignment="1">
      <alignment vertical="top"/>
    </xf>
    <xf numFmtId="0" fontId="0" fillId="0" borderId="42" xfId="0" applyFont="1" applyFill="1" applyBorder="1" applyAlignment="1">
      <alignment horizontal="center" vertical="top"/>
    </xf>
    <xf numFmtId="0" fontId="0" fillId="0" borderId="42" xfId="0" applyFont="1" applyFill="1" applyBorder="1" applyAlignment="1">
      <alignment vertical="top"/>
    </xf>
    <xf numFmtId="0" fontId="0" fillId="0" borderId="42" xfId="0" applyFont="1" applyFill="1" applyBorder="1" applyAlignment="1">
      <alignment horizontal="left" vertical="center"/>
    </xf>
    <xf numFmtId="0" fontId="0" fillId="0" borderId="9" xfId="0" applyNumberFormat="1" applyFont="1" applyFill="1" applyBorder="1" applyAlignment="1">
      <alignment horizontal="left" vertical="center"/>
    </xf>
    <xf numFmtId="49" fontId="0" fillId="0" borderId="24" xfId="0" applyNumberFormat="1" applyFont="1" applyFill="1" applyBorder="1" applyAlignment="1">
      <alignment horizontal="left" vertical="center"/>
    </xf>
    <xf numFmtId="49" fontId="0" fillId="0" borderId="24" xfId="0" applyNumberFormat="1" applyFill="1" applyBorder="1" applyAlignment="1">
      <alignment horizontal="left" vertical="center"/>
    </xf>
    <xf numFmtId="0" fontId="0" fillId="0" borderId="24" xfId="0" applyFont="1" applyFill="1" applyBorder="1">
      <alignment vertical="center"/>
    </xf>
    <xf numFmtId="0" fontId="0" fillId="0" borderId="9" xfId="0" applyFont="1" applyFill="1" applyBorder="1">
      <alignment vertical="center"/>
    </xf>
    <xf numFmtId="0" fontId="0" fillId="0" borderId="43" xfId="0" applyFont="1" applyFill="1" applyBorder="1">
      <alignment vertical="center"/>
    </xf>
    <xf numFmtId="49" fontId="0" fillId="0" borderId="9" xfId="0" applyNumberFormat="1" applyFont="1" applyFill="1" applyBorder="1" applyAlignment="1">
      <alignment horizontal="center" vertical="center"/>
    </xf>
    <xf numFmtId="0" fontId="36" fillId="0" borderId="35" xfId="0" applyFont="1" applyFill="1" applyBorder="1" applyAlignment="1">
      <alignment vertical="center" wrapText="1"/>
    </xf>
    <xf numFmtId="0" fontId="0" fillId="0" borderId="28" xfId="0" applyFont="1" applyFill="1" applyBorder="1" applyAlignment="1">
      <alignment vertical="center" wrapText="1"/>
    </xf>
    <xf numFmtId="0" fontId="0" fillId="0" borderId="31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vertical="top"/>
    </xf>
    <xf numFmtId="0" fontId="36" fillId="0" borderId="29" xfId="0" applyFont="1" applyFill="1" applyBorder="1" applyAlignment="1">
      <alignment vertical="center" wrapText="1"/>
    </xf>
    <xf numFmtId="0" fontId="36" fillId="0" borderId="29" xfId="0" applyFont="1" applyFill="1" applyBorder="1" applyAlignment="1">
      <alignment vertical="top" wrapText="1"/>
    </xf>
    <xf numFmtId="0" fontId="36" fillId="0" borderId="29" xfId="130" applyFont="1" applyFill="1" applyBorder="1" applyAlignment="1">
      <alignment vertical="top" wrapText="1"/>
    </xf>
    <xf numFmtId="0" fontId="0" fillId="0" borderId="9" xfId="130" applyFont="1" applyFill="1" applyBorder="1" applyAlignment="1">
      <alignment vertical="top" wrapText="1"/>
    </xf>
    <xf numFmtId="0" fontId="0" fillId="0" borderId="42" xfId="0" applyFont="1" applyFill="1" applyBorder="1" applyAlignment="1">
      <alignment horizontal="center" vertical="center"/>
    </xf>
    <xf numFmtId="0" fontId="0" fillId="0" borderId="31" xfId="0" applyFont="1" applyFill="1" applyBorder="1">
      <alignment vertical="center"/>
    </xf>
    <xf numFmtId="0" fontId="0" fillId="0" borderId="31" xfId="0" applyFont="1" applyFill="1" applyBorder="1" applyAlignment="1">
      <alignment horizontal="center" vertical="center"/>
    </xf>
    <xf numFmtId="0" fontId="0" fillId="0" borderId="44" xfId="0" applyFont="1" applyFill="1" applyBorder="1">
      <alignment vertical="center"/>
    </xf>
    <xf numFmtId="0" fontId="0" fillId="0" borderId="45" xfId="0" applyFont="1" applyFill="1" applyBorder="1" applyAlignment="1">
      <alignment vertical="top"/>
    </xf>
    <xf numFmtId="0" fontId="0" fillId="0" borderId="29" xfId="0" applyFill="1" applyBorder="1" applyAlignment="1">
      <alignment vertical="top"/>
    </xf>
    <xf numFmtId="0" fontId="0" fillId="0" borderId="38" xfId="0" applyFill="1" applyBorder="1" applyAlignment="1">
      <alignment vertical="top"/>
    </xf>
    <xf numFmtId="0" fontId="0" fillId="0" borderId="42" xfId="0" applyFont="1" applyFill="1" applyBorder="1">
      <alignment vertical="center"/>
    </xf>
    <xf numFmtId="0" fontId="0" fillId="0" borderId="9" xfId="0" applyFont="1" applyFill="1" applyBorder="1" applyAlignment="1">
      <alignment vertical="center"/>
    </xf>
    <xf numFmtId="0" fontId="0" fillId="0" borderId="26" xfId="0" applyFont="1" applyFill="1" applyBorder="1" applyAlignment="1">
      <alignment vertical="center"/>
    </xf>
    <xf numFmtId="0" fontId="0" fillId="0" borderId="9" xfId="129" applyFont="1" applyFill="1" applyBorder="1" applyAlignment="1">
      <alignment vertical="center"/>
    </xf>
    <xf numFmtId="0" fontId="0" fillId="0" borderId="28" xfId="0" applyFont="1" applyFill="1" applyBorder="1" applyAlignment="1">
      <alignment vertical="top" wrapText="1"/>
    </xf>
    <xf numFmtId="0" fontId="0" fillId="0" borderId="9" xfId="130" applyFont="1" applyFill="1" applyBorder="1" applyAlignment="1">
      <alignment vertical="center"/>
    </xf>
    <xf numFmtId="0" fontId="0" fillId="0" borderId="46" xfId="0" applyFont="1" applyFill="1" applyBorder="1" applyAlignment="1">
      <alignment horizontal="left" vertical="center"/>
    </xf>
    <xf numFmtId="0" fontId="0" fillId="0" borderId="42" xfId="0" applyFont="1" applyFill="1" applyBorder="1" applyAlignment="1">
      <alignment vertical="center"/>
    </xf>
    <xf numFmtId="0" fontId="0" fillId="0" borderId="47" xfId="0" applyFont="1" applyFill="1" applyBorder="1">
      <alignment vertical="center"/>
    </xf>
    <xf numFmtId="0" fontId="0" fillId="0" borderId="35" xfId="0" applyFont="1" applyFill="1" applyBorder="1" applyAlignment="1">
      <alignment vertical="top"/>
    </xf>
    <xf numFmtId="0" fontId="0" fillId="0" borderId="9" xfId="0" applyFill="1" applyBorder="1">
      <alignment vertical="center"/>
    </xf>
    <xf numFmtId="0" fontId="0" fillId="0" borderId="48" xfId="0" applyFont="1" applyFill="1" applyBorder="1" applyAlignment="1">
      <alignment vertical="top"/>
    </xf>
    <xf numFmtId="0" fontId="0" fillId="0" borderId="31" xfId="0" applyFont="1" applyFill="1" applyBorder="1" applyAlignment="1">
      <alignment vertical="center"/>
    </xf>
    <xf numFmtId="49" fontId="0" fillId="0" borderId="33" xfId="0" applyNumberFormat="1" applyFont="1" applyFill="1" applyBorder="1" applyAlignment="1">
      <alignment horizontal="left" vertical="center" wrapText="1"/>
    </xf>
    <xf numFmtId="0" fontId="31" fillId="0" borderId="49" xfId="169" applyNumberFormat="1" applyFont="1" applyFill="1" applyBorder="1" applyAlignment="1">
      <alignment horizontal="center" vertical="center"/>
    </xf>
    <xf numFmtId="0" fontId="74" fillId="0" borderId="27" xfId="0" applyFont="1" applyFill="1" applyBorder="1" applyAlignment="1">
      <alignment vertical="top"/>
    </xf>
    <xf numFmtId="0" fontId="0" fillId="0" borderId="44" xfId="0" applyFont="1" applyFill="1" applyBorder="1" applyAlignment="1">
      <alignment vertical="center"/>
    </xf>
    <xf numFmtId="0" fontId="0" fillId="0" borderId="46" xfId="0" applyFont="1" applyFill="1" applyBorder="1">
      <alignment vertical="center"/>
    </xf>
    <xf numFmtId="0" fontId="0" fillId="0" borderId="50" xfId="0" applyFont="1" applyFill="1" applyBorder="1" applyAlignment="1">
      <alignment horizontal="center" vertical="top" shrinkToFit="1"/>
    </xf>
    <xf numFmtId="0" fontId="0" fillId="0" borderId="51" xfId="0" applyFont="1" applyFill="1" applyBorder="1" applyAlignment="1">
      <alignment vertical="top"/>
    </xf>
    <xf numFmtId="0" fontId="0" fillId="0" borderId="52" xfId="0" applyFont="1" applyFill="1" applyBorder="1" applyAlignment="1">
      <alignment vertical="top"/>
    </xf>
    <xf numFmtId="0" fontId="0" fillId="0" borderId="53" xfId="0" applyFont="1" applyFill="1" applyBorder="1" applyAlignment="1">
      <alignment vertical="top"/>
    </xf>
    <xf numFmtId="0" fontId="0" fillId="0" borderId="54" xfId="0" applyFont="1" applyFill="1" applyBorder="1" applyAlignment="1">
      <alignment vertical="top"/>
    </xf>
    <xf numFmtId="0" fontId="0" fillId="0" borderId="55" xfId="0" applyFont="1" applyFill="1" applyBorder="1" applyAlignment="1">
      <alignment horizontal="center" vertical="top"/>
    </xf>
    <xf numFmtId="0" fontId="0" fillId="0" borderId="55" xfId="0" applyFont="1" applyFill="1" applyBorder="1" applyAlignment="1">
      <alignment vertical="center" wrapText="1"/>
    </xf>
    <xf numFmtId="0" fontId="0" fillId="0" borderId="50" xfId="0" applyFont="1" applyFill="1" applyBorder="1">
      <alignment vertical="center"/>
    </xf>
    <xf numFmtId="0" fontId="0" fillId="0" borderId="55" xfId="0" applyFont="1" applyFill="1" applyBorder="1" applyAlignment="1">
      <alignment vertical="center"/>
    </xf>
    <xf numFmtId="0" fontId="0" fillId="0" borderId="55" xfId="0" applyFont="1" applyFill="1" applyBorder="1" applyAlignment="1">
      <alignment horizontal="center" vertical="center"/>
    </xf>
    <xf numFmtId="0" fontId="0" fillId="0" borderId="55" xfId="0" applyFont="1" applyFill="1" applyBorder="1">
      <alignment vertical="center"/>
    </xf>
    <xf numFmtId="0" fontId="0" fillId="0" borderId="56" xfId="0" applyFont="1" applyFill="1" applyBorder="1" applyAlignment="1">
      <alignment vertical="center" wrapText="1"/>
    </xf>
    <xf numFmtId="0" fontId="0" fillId="0" borderId="55" xfId="0" applyFont="1" applyFill="1" applyBorder="1" applyAlignment="1">
      <alignment vertical="top"/>
    </xf>
    <xf numFmtId="0" fontId="0" fillId="0" borderId="57" xfId="0" applyFont="1" applyFill="1" applyBorder="1" applyAlignment="1">
      <alignment horizontal="center" vertical="center" shrinkToFit="1"/>
    </xf>
    <xf numFmtId="0" fontId="0" fillId="0" borderId="46" xfId="0" applyFont="1" applyFill="1" applyBorder="1" applyAlignment="1">
      <alignment horizontal="center" vertical="center" shrinkToFit="1"/>
    </xf>
    <xf numFmtId="0" fontId="0" fillId="0" borderId="24" xfId="0" applyFont="1" applyFill="1" applyBorder="1" applyAlignment="1">
      <alignment horizontal="center" vertical="center" shrinkToFit="1"/>
    </xf>
    <xf numFmtId="0" fontId="31" fillId="0" borderId="32" xfId="169" applyNumberFormat="1" applyFont="1" applyFill="1" applyBorder="1" applyAlignment="1">
      <alignment vertical="center"/>
    </xf>
    <xf numFmtId="0" fontId="31" fillId="0" borderId="6" xfId="169" applyNumberFormat="1" applyFont="1" applyFill="1" applyBorder="1" applyAlignment="1">
      <alignment horizontal="left" vertical="center"/>
    </xf>
    <xf numFmtId="0" fontId="31" fillId="0" borderId="29" xfId="169" applyNumberFormat="1" applyFont="1" applyFill="1" applyBorder="1" applyAlignment="1">
      <alignment vertical="center"/>
    </xf>
    <xf numFmtId="0" fontId="31" fillId="0" borderId="6" xfId="169" applyNumberFormat="1" applyFont="1" applyFill="1" applyBorder="1" applyAlignment="1">
      <alignment vertical="center"/>
    </xf>
    <xf numFmtId="0" fontId="4" fillId="0" borderId="43" xfId="169" applyNumberFormat="1" applyFont="1" applyFill="1" applyBorder="1" applyAlignment="1"/>
    <xf numFmtId="0" fontId="31" fillId="0" borderId="0" xfId="169" applyNumberFormat="1" applyFont="1" applyFill="1" applyBorder="1" applyAlignment="1">
      <alignment vertical="center"/>
    </xf>
    <xf numFmtId="0" fontId="0" fillId="32" borderId="58" xfId="0" applyFont="1" applyFill="1" applyBorder="1" applyAlignment="1">
      <alignment horizontal="center" vertical="center" textRotation="255" shrinkToFit="1"/>
    </xf>
    <xf numFmtId="0" fontId="0" fillId="32" borderId="52" xfId="0" applyFont="1" applyFill="1" applyBorder="1" applyAlignment="1">
      <alignment horizontal="center" vertical="center" textRotation="255"/>
    </xf>
    <xf numFmtId="0" fontId="0" fillId="32" borderId="52" xfId="0" applyFont="1" applyFill="1" applyBorder="1" applyAlignment="1">
      <alignment horizontal="center" vertical="center" wrapText="1"/>
    </xf>
    <xf numFmtId="0" fontId="0" fillId="32" borderId="52" xfId="0" applyFont="1" applyFill="1" applyBorder="1" applyAlignment="1">
      <alignment horizontal="center" vertical="center"/>
    </xf>
    <xf numFmtId="0" fontId="0" fillId="33" borderId="50" xfId="0" applyFont="1" applyFill="1" applyBorder="1" applyAlignment="1">
      <alignment horizontal="center" vertical="center" textRotation="255" shrinkToFit="1"/>
    </xf>
    <xf numFmtId="0" fontId="0" fillId="33" borderId="55" xfId="0" applyFont="1" applyFill="1" applyBorder="1" applyAlignment="1">
      <alignment horizontal="center" vertical="center" shrinkToFit="1"/>
    </xf>
    <xf numFmtId="0" fontId="0" fillId="33" borderId="55" xfId="0" applyFont="1" applyFill="1" applyBorder="1" applyAlignment="1">
      <alignment horizontal="center" vertical="center"/>
    </xf>
    <xf numFmtId="0" fontId="0" fillId="33" borderId="55" xfId="0" applyFont="1" applyFill="1" applyBorder="1" applyAlignment="1">
      <alignment horizontal="center" vertical="center" textRotation="255" shrinkToFit="1"/>
    </xf>
    <xf numFmtId="0" fontId="0" fillId="33" borderId="55" xfId="0" applyFont="1" applyFill="1" applyBorder="1" applyAlignment="1">
      <alignment horizontal="center" vertical="center" wrapText="1"/>
    </xf>
    <xf numFmtId="0" fontId="0" fillId="33" borderId="59" xfId="0" applyFont="1" applyFill="1" applyBorder="1" applyAlignment="1">
      <alignment horizontal="center" vertical="center"/>
    </xf>
    <xf numFmtId="0" fontId="0" fillId="34" borderId="50" xfId="0" applyFont="1" applyFill="1" applyBorder="1" applyAlignment="1">
      <alignment horizontal="center" vertical="center" textRotation="255" shrinkToFit="1"/>
    </xf>
    <xf numFmtId="0" fontId="0" fillId="34" borderId="52" xfId="0" applyFont="1" applyFill="1" applyBorder="1" applyAlignment="1">
      <alignment horizontal="center" vertical="center"/>
    </xf>
    <xf numFmtId="0" fontId="0" fillId="34" borderId="52" xfId="0" applyFont="1" applyFill="1" applyBorder="1" applyAlignment="1">
      <alignment horizontal="center" vertical="center" wrapText="1"/>
    </xf>
    <xf numFmtId="0" fontId="0" fillId="34" borderId="60" xfId="0" applyFont="1" applyFill="1" applyBorder="1" applyAlignment="1">
      <alignment horizontal="center" vertical="center" wrapText="1"/>
    </xf>
    <xf numFmtId="0" fontId="0" fillId="34" borderId="51" xfId="0" applyFont="1" applyFill="1" applyBorder="1" applyAlignment="1">
      <alignment horizontal="center" vertical="center" wrapText="1"/>
    </xf>
    <xf numFmtId="0" fontId="0" fillId="35" borderId="9" xfId="0" applyFont="1" applyFill="1" applyBorder="1" applyAlignment="1">
      <alignment horizontal="left" vertical="center"/>
    </xf>
    <xf numFmtId="49" fontId="0" fillId="35" borderId="9" xfId="0" quotePrefix="1" applyNumberFormat="1" applyFont="1" applyFill="1" applyBorder="1" applyAlignment="1">
      <alignment horizontal="left" vertical="center"/>
    </xf>
    <xf numFmtId="49" fontId="0" fillId="35" borderId="9" xfId="0" quotePrefix="1" applyNumberFormat="1" applyFill="1" applyBorder="1" applyAlignment="1">
      <alignment horizontal="left" vertical="center"/>
    </xf>
    <xf numFmtId="49" fontId="0" fillId="35" borderId="9" xfId="0" applyNumberFormat="1" applyFont="1" applyFill="1" applyBorder="1" applyAlignment="1">
      <alignment horizontal="left" vertical="center"/>
    </xf>
    <xf numFmtId="0" fontId="0" fillId="35" borderId="31" xfId="0" applyFont="1" applyFill="1" applyBorder="1" applyAlignment="1">
      <alignment horizontal="left" vertical="center"/>
    </xf>
    <xf numFmtId="0" fontId="0" fillId="35" borderId="9" xfId="0" quotePrefix="1" applyFont="1" applyFill="1" applyBorder="1" applyAlignment="1">
      <alignment horizontal="left" vertical="center"/>
    </xf>
    <xf numFmtId="0" fontId="0" fillId="0" borderId="26" xfId="130" applyFont="1" applyFill="1" applyBorder="1" applyAlignment="1">
      <alignment vertical="top"/>
    </xf>
    <xf numFmtId="0" fontId="31" fillId="0" borderId="27" xfId="169" applyNumberFormat="1" applyFont="1" applyFill="1" applyBorder="1" applyAlignment="1">
      <alignment vertical="center"/>
    </xf>
    <xf numFmtId="0" fontId="31" fillId="0" borderId="31" xfId="169" applyNumberFormat="1" applyFont="1" applyFill="1" applyBorder="1" applyAlignment="1">
      <alignment vertical="center"/>
    </xf>
    <xf numFmtId="0" fontId="31" fillId="0" borderId="25" xfId="169" applyNumberFormat="1" applyFont="1" applyFill="1" applyBorder="1" applyAlignment="1">
      <alignment horizontal="left" vertical="center"/>
    </xf>
    <xf numFmtId="0" fontId="31" fillId="0" borderId="0" xfId="169" applyNumberFormat="1" applyFont="1" applyFill="1" applyBorder="1" applyAlignment="1">
      <alignment horizontal="center"/>
    </xf>
    <xf numFmtId="0" fontId="31" fillId="0" borderId="25" xfId="169" applyNumberFormat="1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left" vertical="top"/>
    </xf>
    <xf numFmtId="0" fontId="0" fillId="0" borderId="30" xfId="0" applyFont="1" applyFill="1" applyBorder="1" applyAlignment="1">
      <alignment horizontal="left" vertical="top"/>
    </xf>
    <xf numFmtId="0" fontId="0" fillId="0" borderId="57" xfId="0" applyFont="1" applyFill="1" applyBorder="1">
      <alignment vertical="center"/>
    </xf>
    <xf numFmtId="0" fontId="0" fillId="0" borderId="9" xfId="0" applyFill="1" applyBorder="1" applyAlignment="1">
      <alignment vertical="center" wrapText="1"/>
    </xf>
    <xf numFmtId="0" fontId="0" fillId="0" borderId="26" xfId="0" applyFill="1" applyBorder="1" applyAlignment="1">
      <alignment vertical="center" wrapText="1"/>
    </xf>
    <xf numFmtId="0" fontId="0" fillId="0" borderId="26" xfId="0" applyFont="1" applyFill="1" applyBorder="1" applyAlignment="1">
      <alignment vertical="center" wrapText="1"/>
    </xf>
    <xf numFmtId="0" fontId="0" fillId="0" borderId="41" xfId="0" applyFont="1" applyFill="1" applyBorder="1" applyAlignment="1">
      <alignment horizontal="center" vertical="top" shrinkToFit="1"/>
    </xf>
    <xf numFmtId="0" fontId="0" fillId="0" borderId="47" xfId="0" applyFont="1" applyFill="1" applyBorder="1" applyAlignment="1">
      <alignment vertical="center"/>
    </xf>
    <xf numFmtId="0" fontId="0" fillId="0" borderId="34" xfId="0" applyFill="1" applyBorder="1" applyAlignment="1">
      <alignment vertical="center" wrapText="1"/>
    </xf>
    <xf numFmtId="0" fontId="0" fillId="0" borderId="61" xfId="0" applyFont="1" applyFill="1" applyBorder="1">
      <alignment vertical="center"/>
    </xf>
    <xf numFmtId="0" fontId="0" fillId="0" borderId="54" xfId="0" applyFont="1" applyFill="1" applyBorder="1" applyAlignment="1">
      <alignment horizontal="center" vertical="top" shrinkToFit="1"/>
    </xf>
    <xf numFmtId="0" fontId="0" fillId="22" borderId="62" xfId="0" applyFont="1" applyFill="1" applyBorder="1" applyAlignment="1">
      <alignment vertical="top"/>
    </xf>
    <xf numFmtId="49" fontId="0" fillId="0" borderId="42" xfId="0" applyNumberFormat="1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left" vertical="top"/>
    </xf>
    <xf numFmtId="0" fontId="4" fillId="0" borderId="63" xfId="169" applyNumberFormat="1" applyFont="1" applyFill="1" applyBorder="1" applyAlignment="1">
      <alignment vertical="center" wrapText="1"/>
    </xf>
    <xf numFmtId="0" fontId="31" fillId="0" borderId="64" xfId="169" applyNumberFormat="1" applyFont="1" applyFill="1" applyBorder="1" applyAlignment="1">
      <alignment horizontal="center" vertical="center"/>
    </xf>
    <xf numFmtId="0" fontId="31" fillId="0" borderId="36" xfId="169" applyNumberFormat="1" applyFont="1" applyFill="1" applyBorder="1" applyAlignment="1">
      <alignment vertical="center"/>
    </xf>
    <xf numFmtId="0" fontId="31" fillId="0" borderId="45" xfId="169" applyNumberFormat="1" applyFont="1" applyFill="1" applyBorder="1" applyAlignment="1">
      <alignment vertical="center"/>
    </xf>
    <xf numFmtId="0" fontId="31" fillId="0" borderId="0" xfId="169" applyNumberFormat="1" applyFont="1" applyFill="1" applyBorder="1" applyAlignment="1">
      <alignment horizontal="left" vertical="center"/>
    </xf>
    <xf numFmtId="0" fontId="31" fillId="0" borderId="29" xfId="169" applyNumberFormat="1" applyFont="1" applyFill="1" applyBorder="1" applyAlignment="1">
      <alignment horizontal="left" vertical="center"/>
    </xf>
    <xf numFmtId="0" fontId="31" fillId="0" borderId="35" xfId="169" applyNumberFormat="1" applyFont="1" applyFill="1" applyBorder="1" applyAlignment="1">
      <alignment horizontal="left" vertical="center"/>
    </xf>
    <xf numFmtId="0" fontId="31" fillId="0" borderId="51" xfId="169" applyNumberFormat="1" applyFont="1" applyFill="1" applyBorder="1" applyAlignment="1">
      <alignment vertical="center"/>
    </xf>
    <xf numFmtId="0" fontId="31" fillId="0" borderId="65" xfId="169" applyNumberFormat="1" applyFont="1" applyFill="1" applyBorder="1" applyAlignment="1">
      <alignment horizontal="right" vertical="center"/>
    </xf>
    <xf numFmtId="0" fontId="31" fillId="0" borderId="65" xfId="169" applyNumberFormat="1" applyFont="1" applyFill="1" applyBorder="1" applyAlignment="1">
      <alignment vertical="center"/>
    </xf>
    <xf numFmtId="0" fontId="31" fillId="0" borderId="66" xfId="169" applyNumberFormat="1" applyFont="1" applyFill="1" applyBorder="1" applyAlignment="1" applyProtection="1">
      <alignment vertical="center"/>
      <protection locked="0"/>
    </xf>
    <xf numFmtId="0" fontId="31" fillId="0" borderId="67" xfId="169" applyNumberFormat="1" applyFont="1" applyFill="1" applyBorder="1" applyAlignment="1">
      <alignment vertical="center"/>
    </xf>
    <xf numFmtId="0" fontId="31" fillId="0" borderId="40" xfId="169" applyNumberFormat="1" applyFont="1" applyFill="1" applyBorder="1" applyAlignment="1">
      <alignment vertical="center"/>
    </xf>
    <xf numFmtId="0" fontId="31" fillId="0" borderId="40" xfId="169" applyNumberFormat="1" applyFont="1" applyFill="1" applyBorder="1" applyAlignment="1">
      <alignment horizontal="center" vertical="center"/>
    </xf>
    <xf numFmtId="0" fontId="31" fillId="0" borderId="32" xfId="169" applyNumberFormat="1" applyFont="1" applyFill="1" applyBorder="1" applyAlignment="1" applyProtection="1">
      <alignment vertical="center"/>
      <protection locked="0"/>
    </xf>
    <xf numFmtId="0" fontId="31" fillId="0" borderId="6" xfId="169" applyNumberFormat="1" applyFont="1" applyFill="1" applyBorder="1" applyAlignment="1">
      <alignment horizontal="center" vertical="center"/>
    </xf>
    <xf numFmtId="0" fontId="31" fillId="0" borderId="39" xfId="169" applyNumberFormat="1" applyFont="1" applyFill="1" applyBorder="1" applyAlignment="1">
      <alignment vertical="center"/>
    </xf>
    <xf numFmtId="0" fontId="31" fillId="0" borderId="0" xfId="169" applyNumberFormat="1" applyFont="1" applyFill="1" applyBorder="1" applyAlignment="1">
      <alignment horizontal="right" vertical="center"/>
    </xf>
    <xf numFmtId="0" fontId="0" fillId="0" borderId="58" xfId="130" applyFont="1" applyFill="1" applyBorder="1" applyAlignment="1">
      <alignment horizontal="left" vertical="center"/>
    </xf>
    <xf numFmtId="0" fontId="0" fillId="0" borderId="52" xfId="130" applyFont="1" applyFill="1" applyBorder="1" applyAlignment="1">
      <alignment horizontal="left" vertical="center"/>
    </xf>
    <xf numFmtId="0" fontId="0" fillId="0" borderId="9" xfId="0" applyNumberFormat="1" applyFill="1" applyBorder="1" applyAlignment="1">
      <alignment horizontal="left" vertical="center"/>
    </xf>
    <xf numFmtId="49" fontId="0" fillId="0" borderId="50" xfId="0" applyNumberFormat="1" applyFont="1" applyFill="1" applyBorder="1" applyAlignment="1">
      <alignment horizontal="left" vertical="center"/>
    </xf>
    <xf numFmtId="49" fontId="0" fillId="35" borderId="55" xfId="0" applyNumberFormat="1" applyFont="1" applyFill="1" applyBorder="1" applyAlignment="1">
      <alignment horizontal="left" vertical="center"/>
    </xf>
    <xf numFmtId="0" fontId="0" fillId="0" borderId="65" xfId="130" applyFont="1" applyFill="1" applyBorder="1">
      <alignment vertical="center"/>
    </xf>
    <xf numFmtId="49" fontId="0" fillId="35" borderId="26" xfId="0" quotePrefix="1" applyNumberFormat="1" applyFill="1" applyBorder="1" applyAlignment="1">
      <alignment horizontal="left" vertical="center" wrapText="1"/>
    </xf>
    <xf numFmtId="49" fontId="0" fillId="0" borderId="55" xfId="0" applyNumberFormat="1" applyFont="1" applyFill="1" applyBorder="1" applyAlignment="1">
      <alignment horizontal="left" vertical="center"/>
    </xf>
    <xf numFmtId="0" fontId="0" fillId="22" borderId="46" xfId="0" applyFont="1" applyFill="1" applyBorder="1" applyAlignment="1">
      <alignment horizontal="left" vertical="center"/>
    </xf>
    <xf numFmtId="0" fontId="0" fillId="36" borderId="50" xfId="0" applyFill="1" applyBorder="1" applyAlignment="1">
      <alignment horizontal="left" vertical="center"/>
    </xf>
    <xf numFmtId="0" fontId="0" fillId="36" borderId="55" xfId="0" applyFill="1" applyBorder="1" applyAlignment="1">
      <alignment horizontal="left" vertical="center"/>
    </xf>
    <xf numFmtId="0" fontId="0" fillId="36" borderId="55" xfId="0" applyFill="1" applyBorder="1" applyAlignment="1">
      <alignment horizontal="left" vertical="center" wrapText="1"/>
    </xf>
    <xf numFmtId="0" fontId="0" fillId="0" borderId="9" xfId="0" quotePrefix="1" applyFont="1" applyFill="1" applyBorder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31" xfId="0" applyNumberFormat="1" applyFill="1" applyBorder="1" applyAlignment="1">
      <alignment horizontal="left" vertical="center"/>
    </xf>
    <xf numFmtId="0" fontId="0" fillId="0" borderId="55" xfId="0" applyNumberFormat="1" applyFill="1" applyBorder="1" applyAlignment="1">
      <alignment horizontal="left" vertical="center"/>
    </xf>
    <xf numFmtId="0" fontId="0" fillId="0" borderId="24" xfId="0" quotePrefix="1" applyFill="1" applyBorder="1" applyAlignment="1">
      <alignment horizontal="left" vertical="center"/>
    </xf>
    <xf numFmtId="0" fontId="1" fillId="0" borderId="29" xfId="130" applyFont="1" applyFill="1" applyBorder="1" applyAlignment="1">
      <alignment vertical="top"/>
    </xf>
    <xf numFmtId="0" fontId="1" fillId="0" borderId="6" xfId="130" applyFont="1" applyFill="1" applyBorder="1" applyAlignment="1">
      <alignment vertical="top"/>
    </xf>
    <xf numFmtId="0" fontId="1" fillId="0" borderId="30" xfId="130" applyFont="1" applyFill="1" applyBorder="1" applyAlignment="1">
      <alignment vertical="top"/>
    </xf>
    <xf numFmtId="0" fontId="1" fillId="0" borderId="50" xfId="130" applyFont="1" applyFill="1" applyBorder="1" applyAlignment="1">
      <alignment horizontal="center" vertical="top" shrinkToFit="1"/>
    </xf>
    <xf numFmtId="0" fontId="1" fillId="0" borderId="52" xfId="130" applyFont="1" applyFill="1" applyBorder="1" applyAlignment="1">
      <alignment vertical="top"/>
    </xf>
    <xf numFmtId="0" fontId="0" fillId="0" borderId="46" xfId="0" applyFont="1" applyFill="1" applyBorder="1" applyAlignment="1">
      <alignment horizontal="center" vertical="top" shrinkToFit="1"/>
    </xf>
    <xf numFmtId="0" fontId="1" fillId="0" borderId="59" xfId="0" applyFont="1" applyFill="1" applyBorder="1" applyAlignment="1">
      <alignment horizontal="left" vertical="top"/>
    </xf>
    <xf numFmtId="0" fontId="1" fillId="0" borderId="53" xfId="0" applyFont="1" applyFill="1" applyBorder="1" applyAlignment="1">
      <alignment horizontal="left" vertical="top"/>
    </xf>
    <xf numFmtId="0" fontId="1" fillId="0" borderId="54" xfId="0" applyFont="1" applyFill="1" applyBorder="1" applyAlignment="1">
      <alignment horizontal="left" vertical="top"/>
    </xf>
    <xf numFmtId="0" fontId="1" fillId="0" borderId="55" xfId="0" applyFont="1" applyFill="1" applyBorder="1" applyAlignment="1">
      <alignment horizontal="center" vertical="top"/>
    </xf>
    <xf numFmtId="49" fontId="75" fillId="0" borderId="25" xfId="155" applyNumberFormat="1" applyFont="1" applyFill="1" applyBorder="1" applyAlignment="1">
      <alignment vertical="center"/>
    </xf>
    <xf numFmtId="0" fontId="31" fillId="0" borderId="36" xfId="169" applyNumberFormat="1" applyFont="1" applyFill="1" applyBorder="1" applyAlignment="1">
      <alignment horizontal="right" vertical="center"/>
    </xf>
    <xf numFmtId="0" fontId="31" fillId="0" borderId="68" xfId="169" applyNumberFormat="1" applyFont="1" applyFill="1" applyBorder="1" applyAlignment="1">
      <alignment horizontal="center" vertical="center"/>
    </xf>
    <xf numFmtId="0" fontId="31" fillId="0" borderId="69" xfId="169" applyNumberFormat="1" applyFont="1" applyFill="1" applyBorder="1" applyAlignment="1">
      <alignment horizontal="center" vertical="center"/>
    </xf>
    <xf numFmtId="0" fontId="31" fillId="0" borderId="70" xfId="169" applyNumberFormat="1" applyFont="1" applyFill="1" applyBorder="1" applyAlignment="1">
      <alignment horizontal="center" vertical="center"/>
    </xf>
    <xf numFmtId="0" fontId="31" fillId="0" borderId="71" xfId="169" applyNumberFormat="1" applyFont="1" applyFill="1" applyBorder="1" applyAlignment="1">
      <alignment horizontal="center" vertical="center"/>
    </xf>
    <xf numFmtId="0" fontId="31" fillId="0" borderId="49" xfId="169" applyNumberFormat="1" applyFont="1" applyFill="1" applyBorder="1" applyAlignment="1">
      <alignment horizontal="center" vertical="center" shrinkToFit="1"/>
    </xf>
    <xf numFmtId="0" fontId="31" fillId="0" borderId="72" xfId="169" applyNumberFormat="1" applyFont="1" applyFill="1" applyBorder="1" applyAlignment="1">
      <alignment horizontal="center" vertical="center" shrinkToFit="1"/>
    </xf>
    <xf numFmtId="0" fontId="31" fillId="0" borderId="73" xfId="169" applyNumberFormat="1" applyFont="1" applyFill="1" applyBorder="1" applyAlignment="1">
      <alignment horizontal="center" vertical="center"/>
    </xf>
    <xf numFmtId="0" fontId="31" fillId="0" borderId="65" xfId="169" applyNumberFormat="1" applyFont="1" applyFill="1" applyBorder="1" applyAlignment="1">
      <alignment horizontal="center" vertical="center"/>
    </xf>
    <xf numFmtId="49" fontId="0" fillId="0" borderId="24" xfId="0" quotePrefix="1" applyNumberFormat="1" applyFont="1" applyFill="1" applyBorder="1" applyAlignment="1">
      <alignment horizontal="left" vertical="center"/>
    </xf>
    <xf numFmtId="0" fontId="0" fillId="36" borderId="55" xfId="0" applyFont="1" applyFill="1" applyBorder="1" applyAlignment="1">
      <alignment horizontal="left" vertical="center"/>
    </xf>
    <xf numFmtId="0" fontId="0" fillId="36" borderId="56" xfId="0" applyFont="1" applyFill="1" applyBorder="1" applyAlignment="1">
      <alignment horizontal="left" vertical="center"/>
    </xf>
    <xf numFmtId="0" fontId="0" fillId="36" borderId="55" xfId="0" applyFont="1" applyFill="1" applyBorder="1" applyAlignment="1">
      <alignment horizontal="left" vertical="center" wrapText="1"/>
    </xf>
    <xf numFmtId="0" fontId="0" fillId="0" borderId="9" xfId="0" quotePrefix="1" applyNumberFormat="1" applyFont="1" applyFill="1" applyBorder="1" applyAlignment="1">
      <alignment horizontal="left" vertical="center"/>
    </xf>
    <xf numFmtId="49" fontId="0" fillId="35" borderId="26" xfId="0" quotePrefix="1" applyNumberFormat="1" applyFont="1" applyFill="1" applyBorder="1" applyAlignment="1">
      <alignment horizontal="left" vertical="center" wrapText="1"/>
    </xf>
    <xf numFmtId="49" fontId="0" fillId="0" borderId="9" xfId="0" quotePrefix="1" applyNumberFormat="1" applyFont="1" applyFill="1" applyBorder="1" applyAlignment="1">
      <alignment horizontal="left" vertical="center"/>
    </xf>
    <xf numFmtId="0" fontId="31" fillId="0" borderId="66" xfId="169" applyNumberFormat="1" applyFont="1" applyFill="1" applyBorder="1" applyAlignment="1">
      <alignment vertical="center"/>
    </xf>
    <xf numFmtId="0" fontId="0" fillId="35" borderId="27" xfId="0" applyFont="1" applyFill="1" applyBorder="1" applyAlignment="1">
      <alignment horizontal="left" vertical="center"/>
    </xf>
    <xf numFmtId="0" fontId="0" fillId="0" borderId="26" xfId="0" applyNumberFormat="1" applyFill="1" applyBorder="1" applyAlignment="1">
      <alignment horizontal="left" vertical="center"/>
    </xf>
    <xf numFmtId="49" fontId="0" fillId="0" borderId="26" xfId="0" quotePrefix="1" applyNumberFormat="1" applyFont="1" applyFill="1" applyBorder="1" applyAlignment="1">
      <alignment horizontal="left" vertical="center"/>
    </xf>
    <xf numFmtId="0" fontId="0" fillId="35" borderId="42" xfId="0" applyFont="1" applyFill="1" applyBorder="1" applyAlignment="1">
      <alignment horizontal="left" vertical="center"/>
    </xf>
    <xf numFmtId="0" fontId="0" fillId="0" borderId="42" xfId="0" applyNumberFormat="1" applyFill="1" applyBorder="1" applyAlignment="1">
      <alignment horizontal="left" vertical="center"/>
    </xf>
    <xf numFmtId="0" fontId="0" fillId="37" borderId="31" xfId="0" quotePrefix="1" applyNumberFormat="1" applyFont="1" applyFill="1" applyBorder="1" applyAlignment="1">
      <alignment horizontal="left" vertical="center"/>
    </xf>
    <xf numFmtId="0" fontId="4" fillId="0" borderId="74" xfId="169" applyNumberFormat="1" applyFont="1" applyFill="1" applyBorder="1" applyAlignment="1"/>
    <xf numFmtId="0" fontId="4" fillId="0" borderId="29" xfId="169" applyNumberFormat="1" applyFont="1" applyFill="1" applyBorder="1" applyAlignment="1"/>
    <xf numFmtId="0" fontId="31" fillId="0" borderId="75" xfId="169" applyNumberFormat="1" applyFont="1" applyFill="1" applyBorder="1" applyAlignment="1">
      <alignment horizontal="center" vertical="center"/>
    </xf>
    <xf numFmtId="0" fontId="31" fillId="0" borderId="76" xfId="169" applyNumberFormat="1" applyFont="1" applyFill="1" applyBorder="1" applyAlignment="1">
      <alignment horizontal="center" vertical="center"/>
    </xf>
    <xf numFmtId="0" fontId="31" fillId="0" borderId="77" xfId="169" applyNumberFormat="1" applyFont="1" applyFill="1" applyBorder="1" applyAlignment="1">
      <alignment horizontal="center" vertical="center"/>
    </xf>
    <xf numFmtId="0" fontId="31" fillId="0" borderId="78" xfId="169" applyNumberFormat="1" applyFont="1" applyFill="1" applyBorder="1" applyAlignment="1">
      <alignment horizontal="center" vertical="center"/>
    </xf>
    <xf numFmtId="0" fontId="31" fillId="0" borderId="75" xfId="169" applyNumberFormat="1" applyFont="1" applyFill="1" applyBorder="1" applyAlignment="1">
      <alignment horizontal="center" vertical="center" shrinkToFit="1"/>
    </xf>
    <xf numFmtId="0" fontId="31" fillId="0" borderId="79" xfId="169" applyNumberFormat="1" applyFont="1" applyFill="1" applyBorder="1" applyAlignment="1">
      <alignment horizontal="center" vertical="center" shrinkToFit="1"/>
    </xf>
    <xf numFmtId="0" fontId="31" fillId="0" borderId="80" xfId="169" applyNumberFormat="1" applyFont="1" applyFill="1" applyBorder="1" applyAlignment="1">
      <alignment horizontal="center" vertical="center"/>
    </xf>
    <xf numFmtId="0" fontId="31" fillId="0" borderId="81" xfId="169" applyNumberFormat="1" applyFont="1" applyFill="1" applyBorder="1" applyAlignment="1">
      <alignment horizontal="center" vertical="center"/>
    </xf>
    <xf numFmtId="0" fontId="4" fillId="0" borderId="82" xfId="169" applyNumberFormat="1" applyFont="1" applyFill="1" applyBorder="1" applyAlignment="1">
      <alignment vertical="center" wrapText="1"/>
    </xf>
    <xf numFmtId="0" fontId="31" fillId="0" borderId="83" xfId="169" applyNumberFormat="1" applyFont="1" applyFill="1" applyBorder="1" applyAlignment="1">
      <alignment horizontal="center" vertical="center" wrapText="1"/>
    </xf>
    <xf numFmtId="0" fontId="32" fillId="0" borderId="84" xfId="169" applyNumberFormat="1" applyFont="1" applyFill="1" applyBorder="1" applyAlignment="1"/>
    <xf numFmtId="0" fontId="32" fillId="0" borderId="63" xfId="169" applyNumberFormat="1" applyFont="1" applyFill="1" applyBorder="1" applyAlignment="1"/>
    <xf numFmtId="0" fontId="32" fillId="0" borderId="85" xfId="169" applyNumberFormat="1" applyFont="1" applyFill="1" applyBorder="1" applyAlignment="1"/>
    <xf numFmtId="0" fontId="34" fillId="0" borderId="63" xfId="169" applyNumberFormat="1" applyFont="1" applyFill="1" applyBorder="1" applyAlignment="1"/>
    <xf numFmtId="0" fontId="31" fillId="0" borderId="63" xfId="169" applyNumberFormat="1" applyFont="1" applyFill="1" applyBorder="1" applyAlignment="1"/>
    <xf numFmtId="0" fontId="31" fillId="0" borderId="85" xfId="169" applyNumberFormat="1" applyFont="1" applyFill="1" applyBorder="1" applyAlignment="1"/>
    <xf numFmtId="0" fontId="32" fillId="0" borderId="85" xfId="169" applyNumberFormat="1" applyFont="1" applyFill="1" applyBorder="1" applyAlignment="1">
      <alignment horizontal="center"/>
    </xf>
    <xf numFmtId="0" fontId="32" fillId="0" borderId="86" xfId="169" applyNumberFormat="1" applyFont="1" applyFill="1" applyBorder="1" applyAlignment="1"/>
    <xf numFmtId="0" fontId="32" fillId="0" borderId="6" xfId="169" applyNumberFormat="1" applyFont="1" applyFill="1" applyBorder="1" applyAlignment="1"/>
    <xf numFmtId="0" fontId="32" fillId="0" borderId="30" xfId="169" applyNumberFormat="1" applyFont="1" applyFill="1" applyBorder="1" applyAlignment="1"/>
    <xf numFmtId="0" fontId="31" fillId="0" borderId="6" xfId="169" applyNumberFormat="1" applyFont="1" applyFill="1" applyBorder="1" applyAlignment="1"/>
    <xf numFmtId="0" fontId="31" fillId="0" borderId="30" xfId="169" applyNumberFormat="1" applyFont="1" applyFill="1" applyBorder="1" applyAlignment="1"/>
    <xf numFmtId="0" fontId="32" fillId="0" borderId="37" xfId="169" applyNumberFormat="1" applyFont="1" applyFill="1" applyBorder="1" applyAlignment="1">
      <alignment horizontal="center"/>
    </xf>
    <xf numFmtId="0" fontId="32" fillId="0" borderId="87" xfId="169" applyNumberFormat="1" applyFont="1" applyFill="1" applyBorder="1" applyAlignment="1"/>
    <xf numFmtId="0" fontId="32" fillId="0" borderId="11" xfId="169" applyNumberFormat="1" applyFont="1" applyFill="1" applyBorder="1" applyAlignment="1"/>
    <xf numFmtId="0" fontId="32" fillId="0" borderId="88" xfId="169" applyNumberFormat="1" applyFont="1" applyFill="1" applyBorder="1" applyAlignment="1"/>
    <xf numFmtId="49" fontId="35" fillId="0" borderId="89" xfId="139" applyNumberFormat="1" applyFont="1" applyFill="1" applyBorder="1" applyAlignment="1">
      <alignment horizontal="center" vertical="center" wrapText="1" shrinkToFit="1"/>
    </xf>
    <xf numFmtId="49" fontId="35" fillId="0" borderId="73" xfId="139" applyNumberFormat="1" applyFont="1" applyFill="1" applyBorder="1" applyAlignment="1">
      <alignment horizontal="center" vertical="center" wrapText="1" shrinkToFit="1"/>
    </xf>
    <xf numFmtId="0" fontId="31" fillId="0" borderId="90" xfId="169" applyNumberFormat="1" applyFont="1" applyFill="1" applyBorder="1" applyAlignment="1">
      <alignment horizontal="center" vertical="center"/>
    </xf>
    <xf numFmtId="0" fontId="31" fillId="0" borderId="91" xfId="169" applyNumberFormat="1" applyFont="1" applyFill="1" applyBorder="1" applyAlignment="1">
      <alignment vertical="center"/>
    </xf>
    <xf numFmtId="0" fontId="31" fillId="0" borderId="83" xfId="169" applyNumberFormat="1" applyFont="1" applyFill="1" applyBorder="1" applyAlignment="1">
      <alignment vertical="center"/>
    </xf>
    <xf numFmtId="0" fontId="31" fillId="0" borderId="83" xfId="169" applyNumberFormat="1" applyFont="1" applyFill="1" applyBorder="1" applyAlignment="1">
      <alignment horizontal="right" vertical="center"/>
    </xf>
    <xf numFmtId="0" fontId="31" fillId="0" borderId="83" xfId="169" applyNumberFormat="1" applyFont="1" applyFill="1" applyBorder="1" applyAlignment="1">
      <alignment vertical="center" wrapText="1"/>
    </xf>
    <xf numFmtId="0" fontId="31" fillId="0" borderId="92" xfId="169" applyNumberFormat="1" applyFont="1" applyFill="1" applyBorder="1" applyAlignment="1">
      <alignment horizontal="center" vertical="center"/>
    </xf>
    <xf numFmtId="0" fontId="31" fillId="0" borderId="93" xfId="169" applyNumberFormat="1" applyFont="1" applyFill="1" applyBorder="1" applyAlignment="1" applyProtection="1">
      <alignment vertical="center"/>
      <protection locked="0"/>
    </xf>
    <xf numFmtId="0" fontId="31" fillId="0" borderId="94" xfId="169" applyNumberFormat="1" applyFont="1" applyFill="1" applyBorder="1" applyAlignment="1">
      <alignment vertical="center"/>
    </xf>
    <xf numFmtId="0" fontId="31" fillId="0" borderId="95" xfId="169" applyNumberFormat="1" applyFont="1" applyFill="1" applyBorder="1" applyAlignment="1">
      <alignment vertical="center"/>
    </xf>
    <xf numFmtId="0" fontId="35" fillId="0" borderId="94" xfId="169" applyNumberFormat="1" applyFont="1" applyFill="1" applyBorder="1" applyAlignment="1">
      <alignment horizontal="center" vertical="center"/>
    </xf>
    <xf numFmtId="0" fontId="31" fillId="0" borderId="96" xfId="169" applyNumberFormat="1" applyFont="1" applyFill="1" applyBorder="1" applyAlignment="1">
      <alignment horizontal="center" vertical="center"/>
    </xf>
    <xf numFmtId="0" fontId="31" fillId="0" borderId="84" xfId="169" applyNumberFormat="1" applyFont="1" applyFill="1" applyBorder="1" applyAlignment="1">
      <alignment vertical="center"/>
    </xf>
    <xf numFmtId="0" fontId="31" fillId="0" borderId="63" xfId="169" applyNumberFormat="1" applyFont="1" applyFill="1" applyBorder="1" applyAlignment="1">
      <alignment vertical="center"/>
    </xf>
    <xf numFmtId="0" fontId="31" fillId="0" borderId="82" xfId="169" applyNumberFormat="1" applyFont="1" applyFill="1" applyBorder="1" applyAlignment="1">
      <alignment vertical="center"/>
    </xf>
    <xf numFmtId="0" fontId="31" fillId="0" borderId="97" xfId="169" applyNumberFormat="1" applyFont="1" applyFill="1" applyBorder="1" applyAlignment="1">
      <alignment vertical="center"/>
    </xf>
    <xf numFmtId="0" fontId="35" fillId="0" borderId="39" xfId="169" applyNumberFormat="1" applyFont="1" applyFill="1" applyBorder="1" applyAlignment="1">
      <alignment horizontal="center" vertical="center"/>
    </xf>
    <xf numFmtId="0" fontId="31" fillId="0" borderId="98" xfId="169" applyNumberFormat="1" applyFont="1" applyFill="1" applyBorder="1" applyAlignment="1">
      <alignment horizontal="center" vertical="center" wrapText="1"/>
    </xf>
    <xf numFmtId="0" fontId="31" fillId="0" borderId="32" xfId="169" applyNumberFormat="1" applyFont="1" applyFill="1" applyBorder="1" applyAlignment="1">
      <alignment horizontal="right" vertical="center"/>
    </xf>
    <xf numFmtId="0" fontId="31" fillId="0" borderId="99" xfId="169" applyNumberFormat="1" applyFont="1" applyFill="1" applyBorder="1" applyAlignment="1"/>
    <xf numFmtId="0" fontId="31" fillId="0" borderId="99" xfId="169" applyNumberFormat="1" applyFont="1" applyFill="1" applyBorder="1" applyAlignment="1">
      <alignment vertical="center"/>
    </xf>
    <xf numFmtId="0" fontId="31" fillId="0" borderId="100" xfId="169" applyNumberFormat="1" applyFont="1" applyFill="1" applyBorder="1" applyAlignment="1">
      <alignment vertical="center"/>
    </xf>
    <xf numFmtId="0" fontId="35" fillId="0" borderId="0" xfId="169" applyNumberFormat="1" applyFont="1" applyFill="1" applyBorder="1" applyAlignment="1">
      <alignment horizontal="center" vertical="center"/>
    </xf>
    <xf numFmtId="0" fontId="31" fillId="0" borderId="89" xfId="169" applyNumberFormat="1" applyFont="1" applyFill="1" applyBorder="1" applyAlignment="1">
      <alignment horizontal="center" vertical="center"/>
    </xf>
    <xf numFmtId="0" fontId="31" fillId="0" borderId="101" xfId="169" applyNumberFormat="1" applyFont="1" applyFill="1" applyBorder="1" applyAlignment="1">
      <alignment horizontal="right" vertical="center"/>
    </xf>
    <xf numFmtId="0" fontId="31" fillId="0" borderId="102" xfId="169" applyNumberFormat="1" applyFont="1" applyFill="1" applyBorder="1" applyAlignment="1">
      <alignment vertical="center"/>
    </xf>
    <xf numFmtId="0" fontId="31" fillId="0" borderId="103" xfId="169" applyNumberFormat="1" applyFont="1" applyFill="1" applyBorder="1" applyAlignment="1">
      <alignment vertical="center"/>
    </xf>
    <xf numFmtId="0" fontId="31" fillId="0" borderId="103" xfId="169" applyNumberFormat="1" applyFont="1" applyFill="1" applyBorder="1" applyAlignment="1"/>
    <xf numFmtId="0" fontId="31" fillId="0" borderId="103" xfId="169" applyNumberFormat="1" applyFont="1" applyFill="1" applyBorder="1" applyAlignment="1" applyProtection="1">
      <alignment vertical="center" wrapText="1"/>
      <protection locked="0"/>
    </xf>
    <xf numFmtId="0" fontId="31" fillId="0" borderId="104" xfId="169" applyNumberFormat="1" applyFont="1" applyFill="1" applyBorder="1" applyAlignment="1" applyProtection="1">
      <alignment vertical="center" wrapText="1"/>
      <protection locked="0"/>
    </xf>
    <xf numFmtId="0" fontId="31" fillId="0" borderId="97" xfId="169" applyNumberFormat="1" applyFont="1" applyFill="1" applyBorder="1" applyAlignment="1" applyProtection="1">
      <alignment vertical="center" wrapText="1"/>
      <protection locked="0"/>
    </xf>
    <xf numFmtId="0" fontId="31" fillId="0" borderId="39" xfId="169" applyNumberFormat="1" applyFont="1" applyFill="1" applyBorder="1" applyAlignment="1" applyProtection="1">
      <alignment vertical="center" wrapText="1"/>
      <protection locked="0"/>
    </xf>
    <xf numFmtId="0" fontId="31" fillId="0" borderId="98" xfId="169" applyNumberFormat="1" applyFont="1" applyFill="1" applyBorder="1" applyAlignment="1">
      <alignment horizontal="center" vertical="center"/>
    </xf>
    <xf numFmtId="0" fontId="31" fillId="0" borderId="103" xfId="169" applyNumberFormat="1" applyFont="1" applyFill="1" applyBorder="1" applyAlignment="1" applyProtection="1">
      <alignment vertical="center"/>
      <protection locked="0"/>
    </xf>
    <xf numFmtId="0" fontId="31" fillId="0" borderId="104" xfId="169" applyNumberFormat="1" applyFont="1" applyFill="1" applyBorder="1" applyAlignment="1">
      <alignment vertical="center"/>
    </xf>
    <xf numFmtId="0" fontId="31" fillId="0" borderId="105" xfId="169" applyNumberFormat="1" applyFont="1" applyFill="1" applyBorder="1" applyAlignment="1">
      <alignment horizontal="center" vertical="center"/>
    </xf>
    <xf numFmtId="0" fontId="1" fillId="0" borderId="98" xfId="169" applyNumberFormat="1" applyFont="1" applyFill="1" applyBorder="1" applyAlignment="1">
      <alignment horizontal="center" vertical="center"/>
    </xf>
    <xf numFmtId="0" fontId="31" fillId="0" borderId="101" xfId="169" applyNumberFormat="1" applyFont="1" applyFill="1" applyBorder="1" applyAlignment="1" applyProtection="1">
      <alignment horizontal="right" vertical="center"/>
      <protection locked="0"/>
    </xf>
    <xf numFmtId="0" fontId="35" fillId="0" borderId="0" xfId="169" applyNumberFormat="1" applyFont="1" applyFill="1" applyBorder="1" applyAlignment="1">
      <alignment horizontal="center"/>
    </xf>
    <xf numFmtId="0" fontId="35" fillId="0" borderId="105" xfId="169" applyNumberFormat="1" applyFont="1" applyFill="1" applyBorder="1" applyAlignment="1">
      <alignment horizontal="center" vertical="center" wrapText="1"/>
    </xf>
    <xf numFmtId="0" fontId="35" fillId="0" borderId="39" xfId="169" applyNumberFormat="1" applyFont="1" applyFill="1" applyBorder="1" applyAlignment="1">
      <alignment horizontal="center" vertical="top"/>
    </xf>
    <xf numFmtId="0" fontId="35" fillId="0" borderId="98" xfId="169" applyNumberFormat="1" applyFont="1" applyFill="1" applyBorder="1" applyAlignment="1">
      <alignment horizontal="center" vertical="center" wrapText="1"/>
    </xf>
    <xf numFmtId="0" fontId="35" fillId="0" borderId="105" xfId="169" applyNumberFormat="1" applyFont="1" applyFill="1" applyBorder="1" applyAlignment="1">
      <alignment horizontal="center" vertical="center" textRotation="255"/>
    </xf>
    <xf numFmtId="0" fontId="31" fillId="0" borderId="87" xfId="169" applyNumberFormat="1" applyFont="1" applyFill="1" applyBorder="1" applyAlignment="1">
      <alignment horizontal="right" vertical="center"/>
    </xf>
    <xf numFmtId="0" fontId="31" fillId="0" borderId="64" xfId="169" applyNumberFormat="1" applyFont="1" applyFill="1" applyBorder="1" applyAlignment="1">
      <alignment vertical="center"/>
    </xf>
    <xf numFmtId="0" fontId="31" fillId="0" borderId="106" xfId="169" applyNumberFormat="1" applyFont="1" applyFill="1" applyBorder="1" applyAlignment="1" applyProtection="1">
      <alignment vertical="center" wrapText="1"/>
      <protection locked="0"/>
    </xf>
    <xf numFmtId="0" fontId="31" fillId="0" borderId="107" xfId="169" applyNumberFormat="1" applyFont="1" applyFill="1" applyBorder="1" applyAlignment="1" applyProtection="1">
      <alignment vertical="center" wrapText="1"/>
      <protection locked="0"/>
    </xf>
    <xf numFmtId="0" fontId="31" fillId="0" borderId="11" xfId="169" applyNumberFormat="1" applyFont="1" applyFill="1" applyBorder="1" applyAlignment="1" applyProtection="1">
      <alignment vertical="center" wrapText="1"/>
      <protection locked="0"/>
    </xf>
    <xf numFmtId="0" fontId="35" fillId="0" borderId="11" xfId="169" applyNumberFormat="1" applyFont="1" applyFill="1" applyBorder="1" applyAlignment="1">
      <alignment horizontal="center" vertical="center"/>
    </xf>
    <xf numFmtId="0" fontId="35" fillId="0" borderId="108" xfId="169" applyNumberFormat="1" applyFont="1" applyFill="1" applyBorder="1" applyAlignment="1">
      <alignment horizontal="center" vertical="center" textRotation="255"/>
    </xf>
    <xf numFmtId="0" fontId="31" fillId="0" borderId="109" xfId="169" applyNumberFormat="1" applyFont="1" applyFill="1" applyBorder="1" applyAlignment="1">
      <alignment horizontal="center" vertical="center"/>
    </xf>
    <xf numFmtId="0" fontId="31" fillId="0" borderId="110" xfId="169" applyNumberFormat="1" applyFont="1" applyFill="1" applyBorder="1" applyAlignment="1">
      <alignment horizontal="center" vertical="center"/>
    </xf>
    <xf numFmtId="0" fontId="31" fillId="0" borderId="90" xfId="169" applyNumberFormat="1" applyFont="1" applyFill="1" applyBorder="1" applyAlignment="1">
      <alignment horizontal="center" vertical="center" shrinkToFit="1"/>
    </xf>
    <xf numFmtId="0" fontId="31" fillId="0" borderId="89" xfId="169" applyNumberFormat="1" applyFont="1" applyFill="1" applyBorder="1" applyAlignment="1">
      <alignment horizontal="center" vertical="center" shrinkToFit="1"/>
    </xf>
    <xf numFmtId="0" fontId="31" fillId="0" borderId="30" xfId="169" applyNumberFormat="1" applyFont="1" applyFill="1" applyBorder="1" applyAlignment="1">
      <alignment horizontal="center" vertical="center"/>
    </xf>
    <xf numFmtId="49" fontId="31" fillId="0" borderId="72" xfId="139" applyNumberFormat="1" applyFont="1" applyFill="1" applyBorder="1" applyAlignment="1">
      <alignment horizontal="center" vertical="center" wrapText="1" shrinkToFit="1"/>
    </xf>
    <xf numFmtId="0" fontId="76" fillId="0" borderId="111" xfId="169" applyNumberFormat="1" applyFont="1" applyFill="1" applyBorder="1" applyAlignment="1">
      <alignment horizontal="center" vertical="center"/>
    </xf>
    <xf numFmtId="0" fontId="31" fillId="0" borderId="0" xfId="169" applyNumberFormat="1" applyFont="1" applyFill="1" applyBorder="1" applyAlignment="1">
      <alignment horizontal="center" vertical="center"/>
    </xf>
    <xf numFmtId="0" fontId="31" fillId="0" borderId="30" xfId="169" applyNumberFormat="1" applyFont="1" applyFill="1" applyBorder="1" applyAlignment="1">
      <alignment vertical="center"/>
    </xf>
    <xf numFmtId="49" fontId="31" fillId="0" borderId="78" xfId="139" applyNumberFormat="1" applyFont="1" applyFill="1" applyBorder="1" applyAlignment="1">
      <alignment horizontal="center" vertical="center" wrapText="1" shrinkToFit="1"/>
    </xf>
    <xf numFmtId="49" fontId="31" fillId="0" borderId="71" xfId="139" applyNumberFormat="1" applyFont="1" applyFill="1" applyBorder="1" applyAlignment="1">
      <alignment horizontal="center" vertical="center" wrapText="1" shrinkToFit="1"/>
    </xf>
    <xf numFmtId="0" fontId="1" fillId="35" borderId="52" xfId="130" quotePrefix="1" applyFont="1" applyFill="1" applyBorder="1" applyAlignment="1">
      <alignment horizontal="left" vertical="center"/>
    </xf>
    <xf numFmtId="0" fontId="1" fillId="35" borderId="26" xfId="130" applyFont="1" applyFill="1" applyBorder="1" applyAlignment="1">
      <alignment horizontal="left" vertical="center"/>
    </xf>
    <xf numFmtId="0" fontId="76" fillId="0" borderId="112" xfId="169" applyNumberFormat="1" applyFont="1" applyFill="1" applyBorder="1" applyAlignment="1">
      <alignment horizontal="center" vertical="center"/>
    </xf>
    <xf numFmtId="20" fontId="0" fillId="36" borderId="9" xfId="0" applyNumberFormat="1" applyFont="1" applyFill="1" applyBorder="1" applyAlignment="1">
      <alignment vertical="top" wrapText="1"/>
    </xf>
    <xf numFmtId="0" fontId="0" fillId="36" borderId="9" xfId="0" applyFont="1" applyFill="1" applyBorder="1" applyAlignment="1">
      <alignment vertical="top" wrapText="1"/>
    </xf>
    <xf numFmtId="0" fontId="0" fillId="36" borderId="26" xfId="0" applyFont="1" applyFill="1" applyBorder="1" applyAlignment="1">
      <alignment vertical="center" wrapText="1"/>
    </xf>
    <xf numFmtId="20" fontId="0" fillId="0" borderId="9" xfId="0" applyNumberFormat="1" applyFill="1" applyBorder="1" applyAlignment="1">
      <alignment vertical="top" wrapText="1"/>
    </xf>
    <xf numFmtId="0" fontId="0" fillId="0" borderId="9" xfId="0" applyFill="1" applyBorder="1" applyAlignment="1">
      <alignment vertical="top" wrapText="1"/>
    </xf>
    <xf numFmtId="0" fontId="31" fillId="0" borderId="27" xfId="169" applyNumberFormat="1" applyFont="1" applyFill="1" applyBorder="1" applyAlignment="1">
      <alignment horizontal="left" vertical="center"/>
    </xf>
    <xf numFmtId="0" fontId="31" fillId="0" borderId="35" xfId="169" quotePrefix="1" applyNumberFormat="1" applyFont="1" applyFill="1" applyBorder="1" applyAlignment="1">
      <alignment horizontal="left" vertical="center"/>
    </xf>
    <xf numFmtId="0" fontId="31" fillId="0" borderId="26" xfId="169" applyNumberFormat="1" applyFont="1" applyFill="1" applyBorder="1" applyAlignment="1">
      <alignment horizontal="left" vertical="center"/>
    </xf>
    <xf numFmtId="49" fontId="75" fillId="0" borderId="29" xfId="155" applyNumberFormat="1" applyFont="1" applyFill="1" applyBorder="1" applyAlignment="1">
      <alignment horizontal="left" vertical="center"/>
    </xf>
    <xf numFmtId="0" fontId="31" fillId="0" borderId="29" xfId="177" applyNumberFormat="1" applyFont="1" applyFill="1" applyBorder="1" applyAlignment="1">
      <alignment horizontal="left" vertical="center"/>
    </xf>
    <xf numFmtId="0" fontId="31" fillId="0" borderId="6" xfId="177" applyNumberFormat="1" applyFont="1" applyFill="1" applyBorder="1" applyAlignment="1">
      <alignment horizontal="left" vertical="center"/>
    </xf>
    <xf numFmtId="0" fontId="31" fillId="0" borderId="35" xfId="177" applyNumberFormat="1" applyFont="1" applyFill="1" applyBorder="1" applyAlignment="1">
      <alignment horizontal="left" vertical="center"/>
    </xf>
    <xf numFmtId="0" fontId="31" fillId="0" borderId="25" xfId="177" applyNumberFormat="1" applyFont="1" applyFill="1" applyBorder="1" applyAlignment="1">
      <alignment horizontal="left" vertical="center"/>
    </xf>
    <xf numFmtId="0" fontId="31" fillId="0" borderId="36" xfId="177" applyNumberFormat="1" applyFont="1" applyFill="1" applyBorder="1" applyAlignment="1">
      <alignment horizontal="left" vertical="center"/>
    </xf>
    <xf numFmtId="0" fontId="31" fillId="0" borderId="31" xfId="177" applyNumberFormat="1" applyFont="1" applyFill="1" applyBorder="1" applyAlignment="1">
      <alignment horizontal="left" vertical="center"/>
    </xf>
    <xf numFmtId="0" fontId="31" fillId="0" borderId="29" xfId="177" quotePrefix="1" applyNumberFormat="1" applyFont="1" applyFill="1" applyBorder="1" applyAlignment="1">
      <alignment horizontal="left" vertical="center"/>
    </xf>
    <xf numFmtId="0" fontId="76" fillId="0" borderId="36" xfId="169" applyNumberFormat="1" applyFont="1" applyFill="1" applyBorder="1" applyAlignment="1">
      <alignment vertical="center"/>
    </xf>
    <xf numFmtId="0" fontId="76" fillId="0" borderId="27" xfId="169" applyNumberFormat="1" applyFont="1" applyFill="1" applyBorder="1" applyAlignment="1">
      <alignment vertical="center"/>
    </xf>
    <xf numFmtId="0" fontId="31" fillId="0" borderId="29" xfId="169" quotePrefix="1" applyNumberFormat="1" applyFont="1" applyFill="1" applyBorder="1" applyAlignment="1">
      <alignment horizontal="left" vertical="center"/>
    </xf>
    <xf numFmtId="0" fontId="31" fillId="0" borderId="113" xfId="169" applyNumberFormat="1" applyFont="1" applyFill="1" applyBorder="1" applyAlignment="1">
      <alignment horizontal="center" vertical="center"/>
    </xf>
    <xf numFmtId="49" fontId="75" fillId="0" borderId="29" xfId="155" applyNumberFormat="1" applyFont="1" applyFill="1" applyBorder="1">
      <alignment vertical="center"/>
    </xf>
    <xf numFmtId="49" fontId="0" fillId="32" borderId="24" xfId="0" quotePrefix="1" applyNumberFormat="1" applyFill="1" applyBorder="1" applyAlignment="1">
      <alignment horizontal="left" vertical="center"/>
    </xf>
    <xf numFmtId="0" fontId="0" fillId="35" borderId="55" xfId="0" applyFont="1" applyFill="1" applyBorder="1" applyAlignment="1">
      <alignment horizontal="left" vertical="center"/>
    </xf>
    <xf numFmtId="0" fontId="1" fillId="35" borderId="9" xfId="130" applyFont="1" applyFill="1" applyBorder="1" applyAlignment="1">
      <alignment horizontal="left" vertical="center"/>
    </xf>
    <xf numFmtId="0" fontId="0" fillId="32" borderId="24" xfId="0" applyFont="1" applyFill="1" applyBorder="1" applyAlignment="1">
      <alignment horizontal="left" vertical="center"/>
    </xf>
    <xf numFmtId="0" fontId="1" fillId="35" borderId="55" xfId="130" quotePrefix="1" applyFont="1" applyFill="1" applyBorder="1" applyAlignment="1">
      <alignment horizontal="left" vertical="center"/>
    </xf>
    <xf numFmtId="0" fontId="1" fillId="0" borderId="55" xfId="130" applyFont="1" applyFill="1" applyBorder="1" applyAlignment="1">
      <alignment horizontal="left" vertical="center"/>
    </xf>
    <xf numFmtId="0" fontId="1" fillId="35" borderId="9" xfId="130" quotePrefix="1" applyFont="1" applyFill="1" applyBorder="1" applyAlignment="1">
      <alignment horizontal="left" vertical="center"/>
    </xf>
    <xf numFmtId="0" fontId="76" fillId="0" borderId="21" xfId="169" applyNumberFormat="1" applyFont="1" applyFill="1" applyBorder="1" applyAlignment="1">
      <alignment horizontal="center" vertical="center"/>
    </xf>
    <xf numFmtId="0" fontId="77" fillId="0" borderId="21" xfId="169" applyNumberFormat="1" applyFont="1" applyFill="1" applyBorder="1" applyAlignment="1">
      <alignment horizontal="center" vertical="center"/>
    </xf>
    <xf numFmtId="0" fontId="76" fillId="0" borderId="114" xfId="169" applyNumberFormat="1" applyFont="1" applyFill="1" applyBorder="1" applyAlignment="1">
      <alignment horizontal="center" vertical="center"/>
    </xf>
    <xf numFmtId="0" fontId="76" fillId="0" borderId="115" xfId="169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38" borderId="26" xfId="0" applyFont="1" applyFill="1" applyBorder="1" applyAlignment="1">
      <alignment horizontal="center" vertical="center"/>
    </xf>
    <xf numFmtId="0" fontId="0" fillId="38" borderId="31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0" fillId="38" borderId="31" xfId="0" applyFont="1" applyFill="1" applyBorder="1" applyAlignment="1">
      <alignment horizontal="center" vertical="center" wrapText="1"/>
    </xf>
    <xf numFmtId="0" fontId="73" fillId="39" borderId="9" xfId="0" applyFont="1" applyFill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horizontal="center" vertical="center"/>
    </xf>
    <xf numFmtId="0" fontId="0" fillId="0" borderId="9" xfId="0" applyFont="1" applyFill="1" applyBorder="1" applyAlignment="1">
      <alignment horizontal="left" vertical="center" wrapText="1"/>
    </xf>
    <xf numFmtId="0" fontId="78" fillId="0" borderId="0" xfId="0" applyFont="1" applyFill="1" applyAlignment="1">
      <alignment horizontal="left" vertical="center"/>
    </xf>
    <xf numFmtId="0" fontId="78" fillId="0" borderId="0" xfId="0" applyFont="1" applyFill="1" applyBorder="1" applyAlignment="1">
      <alignment vertical="center"/>
    </xf>
    <xf numFmtId="0" fontId="79" fillId="38" borderId="9" xfId="0" applyFont="1" applyFill="1" applyBorder="1">
      <alignment vertical="center"/>
    </xf>
    <xf numFmtId="0" fontId="79" fillId="38" borderId="9" xfId="0" applyFont="1" applyFill="1" applyBorder="1" applyAlignment="1">
      <alignment horizontal="center" vertical="center"/>
    </xf>
    <xf numFmtId="0" fontId="74" fillId="22" borderId="0" xfId="0" applyFont="1" applyFill="1" applyAlignment="1">
      <alignment horizontal="left" vertical="center"/>
    </xf>
    <xf numFmtId="0" fontId="0" fillId="37" borderId="31" xfId="0" quotePrefix="1" applyFont="1" applyFill="1" applyBorder="1" applyAlignment="1">
      <alignment horizontal="left" vertical="center"/>
    </xf>
    <xf numFmtId="0" fontId="0" fillId="0" borderId="56" xfId="0" applyNumberFormat="1" applyFill="1" applyBorder="1" applyAlignment="1">
      <alignment horizontal="left" vertical="center"/>
    </xf>
    <xf numFmtId="0" fontId="0" fillId="0" borderId="47" xfId="0" applyNumberFormat="1" applyFill="1" applyBorder="1" applyAlignment="1">
      <alignment horizontal="left" vertical="center"/>
    </xf>
    <xf numFmtId="0" fontId="0" fillId="0" borderId="28" xfId="0" applyNumberFormat="1" applyFill="1" applyBorder="1" applyAlignment="1">
      <alignment horizontal="left" vertical="center"/>
    </xf>
    <xf numFmtId="0" fontId="74" fillId="0" borderId="52" xfId="0" applyFont="1" applyFill="1" applyBorder="1" applyAlignment="1">
      <alignment vertical="top"/>
    </xf>
    <xf numFmtId="0" fontId="0" fillId="0" borderId="61" xfId="0" applyFont="1" applyFill="1" applyBorder="1" applyAlignment="1">
      <alignment vertical="center" wrapText="1"/>
    </xf>
    <xf numFmtId="49" fontId="0" fillId="0" borderId="55" xfId="0" applyNumberFormat="1" applyFont="1" applyFill="1" applyBorder="1" applyAlignment="1">
      <alignment horizontal="center" vertical="center" wrapText="1"/>
    </xf>
    <xf numFmtId="0" fontId="74" fillId="36" borderId="55" xfId="0" applyFont="1" applyFill="1" applyBorder="1" applyAlignment="1">
      <alignment vertical="center" wrapText="1"/>
    </xf>
    <xf numFmtId="0" fontId="0" fillId="0" borderId="0" xfId="0" applyFont="1" applyFill="1" applyAlignment="1">
      <alignment vertical="top"/>
    </xf>
    <xf numFmtId="0" fontId="0" fillId="0" borderId="116" xfId="0" applyFont="1" applyFill="1" applyBorder="1" applyAlignment="1">
      <alignment vertical="center" wrapText="1"/>
    </xf>
    <xf numFmtId="49" fontId="0" fillId="0" borderId="31" xfId="0" applyNumberFormat="1" applyFont="1" applyFill="1" applyBorder="1" applyAlignment="1">
      <alignment horizontal="center" vertical="center" wrapText="1"/>
    </xf>
    <xf numFmtId="0" fontId="0" fillId="0" borderId="31" xfId="0" applyFont="1" applyFill="1" applyBorder="1" applyAlignment="1">
      <alignment vertical="center" wrapText="1"/>
    </xf>
    <xf numFmtId="0" fontId="0" fillId="0" borderId="44" xfId="0" applyFont="1" applyFill="1" applyBorder="1" applyAlignment="1">
      <alignment vertical="center" wrapText="1"/>
    </xf>
    <xf numFmtId="0" fontId="1" fillId="0" borderId="9" xfId="130" applyFont="1" applyFill="1" applyBorder="1" applyAlignment="1">
      <alignment vertical="center" wrapText="1"/>
    </xf>
    <xf numFmtId="20" fontId="1" fillId="0" borderId="55" xfId="0" applyNumberFormat="1" applyFont="1" applyFill="1" applyBorder="1" applyAlignment="1">
      <alignment vertical="top" wrapText="1"/>
    </xf>
    <xf numFmtId="0" fontId="1" fillId="0" borderId="53" xfId="130" applyFont="1" applyFill="1" applyBorder="1" applyAlignment="1">
      <alignment vertical="center"/>
    </xf>
    <xf numFmtId="0" fontId="0" fillId="0" borderId="37" xfId="0" applyFont="1" applyFill="1" applyBorder="1" applyAlignment="1">
      <alignment horizontal="center" vertical="top" shrinkToFit="1"/>
    </xf>
    <xf numFmtId="0" fontId="1" fillId="0" borderId="56" xfId="130" applyFont="1" applyFill="1" applyBorder="1" applyAlignment="1">
      <alignment vertical="top" wrapText="1"/>
    </xf>
    <xf numFmtId="0" fontId="1" fillId="0" borderId="9" xfId="130" applyFont="1" applyFill="1" applyBorder="1" applyAlignment="1">
      <alignment horizontal="left" vertical="center"/>
    </xf>
    <xf numFmtId="0" fontId="1" fillId="0" borderId="9" xfId="130" quotePrefix="1" applyFont="1" applyFill="1" applyBorder="1" applyAlignment="1">
      <alignment horizontal="left" vertical="center"/>
    </xf>
    <xf numFmtId="0" fontId="1" fillId="0" borderId="52" xfId="130" quotePrefix="1" applyFont="1" applyFill="1" applyBorder="1" applyAlignment="1">
      <alignment horizontal="left" vertical="center"/>
    </xf>
    <xf numFmtId="0" fontId="0" fillId="0" borderId="43" xfId="0" applyFont="1" applyFill="1" applyBorder="1" applyAlignment="1">
      <alignment vertical="center" wrapText="1"/>
    </xf>
    <xf numFmtId="49" fontId="0" fillId="0" borderId="9" xfId="0" applyNumberFormat="1" applyFont="1" applyFill="1" applyBorder="1" applyAlignment="1">
      <alignment horizontal="center" vertical="center" wrapText="1"/>
    </xf>
    <xf numFmtId="0" fontId="0" fillId="0" borderId="38" xfId="0" applyFont="1" applyFill="1" applyBorder="1" applyAlignment="1">
      <alignment vertical="center" wrapText="1"/>
    </xf>
    <xf numFmtId="0" fontId="0" fillId="0" borderId="59" xfId="0" applyFill="1" applyBorder="1" applyAlignment="1">
      <alignment vertical="top"/>
    </xf>
    <xf numFmtId="0" fontId="0" fillId="0" borderId="59" xfId="0" applyFont="1" applyFill="1" applyBorder="1" applyAlignment="1">
      <alignment vertical="center" wrapText="1"/>
    </xf>
    <xf numFmtId="0" fontId="0" fillId="0" borderId="50" xfId="0" applyFont="1" applyFill="1" applyBorder="1" applyAlignment="1">
      <alignment horizontal="left" vertical="center"/>
    </xf>
    <xf numFmtId="0" fontId="1" fillId="0" borderId="50" xfId="0" applyFont="1" applyFill="1" applyBorder="1">
      <alignment vertical="center"/>
    </xf>
    <xf numFmtId="0" fontId="1" fillId="0" borderId="55" xfId="0" applyFont="1" applyFill="1" applyBorder="1">
      <alignment vertical="center"/>
    </xf>
    <xf numFmtId="0" fontId="1" fillId="0" borderId="55" xfId="0" applyFont="1" applyFill="1" applyBorder="1" applyAlignment="1">
      <alignment horizontal="center" vertical="center"/>
    </xf>
    <xf numFmtId="0" fontId="1" fillId="0" borderId="56" xfId="0" applyFont="1" applyFill="1" applyBorder="1">
      <alignment vertical="center"/>
    </xf>
    <xf numFmtId="0" fontId="1" fillId="0" borderId="54" xfId="0" applyFont="1" applyFill="1" applyBorder="1" applyAlignment="1">
      <alignment horizontal="center" vertical="top" shrinkToFit="1"/>
    </xf>
    <xf numFmtId="0" fontId="1" fillId="0" borderId="55" xfId="0" applyFont="1" applyFill="1" applyBorder="1" applyAlignment="1">
      <alignment vertical="top"/>
    </xf>
    <xf numFmtId="0" fontId="1" fillId="0" borderId="55" xfId="130" applyFont="1" applyFill="1" applyBorder="1" applyAlignment="1">
      <alignment horizontal="center" vertical="top"/>
    </xf>
    <xf numFmtId="0" fontId="1" fillId="0" borderId="59" xfId="130" applyFont="1" applyFill="1" applyBorder="1" applyAlignment="1">
      <alignment vertical="top" wrapText="1"/>
    </xf>
    <xf numFmtId="0" fontId="1" fillId="35" borderId="9" xfId="130" quotePrefix="1" applyFont="1" applyFill="1" applyBorder="1" applyAlignment="1">
      <alignment horizontal="left" vertical="center"/>
    </xf>
    <xf numFmtId="0" fontId="1" fillId="35" borderId="9" xfId="130" applyFont="1" applyFill="1" applyBorder="1" applyAlignment="1">
      <alignment horizontal="left" vertical="center"/>
    </xf>
    <xf numFmtId="0" fontId="0" fillId="40" borderId="46" xfId="0" applyFont="1" applyFill="1" applyBorder="1" applyAlignment="1">
      <alignment horizontal="left" vertical="center"/>
    </xf>
    <xf numFmtId="0" fontId="0" fillId="40" borderId="9" xfId="0" applyFont="1" applyFill="1" applyBorder="1" applyAlignment="1">
      <alignment horizontal="left" vertical="center"/>
    </xf>
    <xf numFmtId="0" fontId="0" fillId="40" borderId="31" xfId="0" applyFont="1" applyFill="1" applyBorder="1" applyAlignment="1">
      <alignment horizontal="left" vertical="center"/>
    </xf>
    <xf numFmtId="0" fontId="0" fillId="40" borderId="9" xfId="0" applyNumberFormat="1" applyFill="1" applyBorder="1" applyAlignment="1">
      <alignment horizontal="left" vertical="center"/>
    </xf>
    <xf numFmtId="0" fontId="0" fillId="40" borderId="44" xfId="0" applyNumberFormat="1" applyFill="1" applyBorder="1" applyAlignment="1">
      <alignment horizontal="left" vertical="center"/>
    </xf>
    <xf numFmtId="0" fontId="0" fillId="40" borderId="24" xfId="0" applyFont="1" applyFill="1" applyBorder="1" applyAlignment="1">
      <alignment horizontal="left" vertical="center"/>
    </xf>
    <xf numFmtId="0" fontId="0" fillId="40" borderId="9" xfId="0" quotePrefix="1" applyFont="1" applyFill="1" applyBorder="1" applyAlignment="1">
      <alignment horizontal="left" vertical="center"/>
    </xf>
    <xf numFmtId="49" fontId="0" fillId="40" borderId="9" xfId="0" quotePrefix="1" applyNumberFormat="1" applyFont="1" applyFill="1" applyBorder="1" applyAlignment="1">
      <alignment horizontal="left" vertical="center"/>
    </xf>
    <xf numFmtId="0" fontId="0" fillId="40" borderId="31" xfId="0" applyNumberFormat="1" applyFill="1" applyBorder="1" applyAlignment="1">
      <alignment horizontal="left" vertical="center"/>
    </xf>
    <xf numFmtId="0" fontId="0" fillId="40" borderId="28" xfId="0" applyNumberFormat="1" applyFill="1" applyBorder="1" applyAlignment="1">
      <alignment horizontal="left" vertical="center"/>
    </xf>
    <xf numFmtId="0" fontId="0" fillId="40" borderId="9" xfId="0" quotePrefix="1" applyNumberFormat="1" applyFont="1" applyFill="1" applyBorder="1" applyAlignment="1">
      <alignment horizontal="left" vertical="center"/>
    </xf>
    <xf numFmtId="0" fontId="0" fillId="40" borderId="9" xfId="0" applyNumberFormat="1" applyFont="1" applyFill="1" applyBorder="1" applyAlignment="1">
      <alignment horizontal="left" vertical="center"/>
    </xf>
    <xf numFmtId="0" fontId="1" fillId="40" borderId="24" xfId="130" applyFont="1" applyFill="1" applyBorder="1" applyAlignment="1">
      <alignment horizontal="left" vertical="center"/>
    </xf>
    <xf numFmtId="0" fontId="1" fillId="40" borderId="9" xfId="130" applyFont="1" applyFill="1" applyBorder="1" applyAlignment="1">
      <alignment horizontal="left" vertical="center"/>
    </xf>
    <xf numFmtId="0" fontId="1" fillId="40" borderId="9" xfId="130" applyFont="1" applyFill="1" applyBorder="1" applyAlignment="1">
      <alignment horizontal="left" vertical="center"/>
    </xf>
    <xf numFmtId="0" fontId="1" fillId="40" borderId="58" xfId="130" applyFont="1" applyFill="1" applyBorder="1" applyAlignment="1">
      <alignment horizontal="left" vertical="center"/>
    </xf>
    <xf numFmtId="0" fontId="1" fillId="40" borderId="52" xfId="130" quotePrefix="1" applyFont="1" applyFill="1" applyBorder="1" applyAlignment="1">
      <alignment horizontal="left" vertical="center"/>
    </xf>
    <xf numFmtId="0" fontId="1" fillId="40" borderId="52" xfId="130" applyFont="1" applyFill="1" applyBorder="1" applyAlignment="1">
      <alignment horizontal="left" vertical="center"/>
    </xf>
    <xf numFmtId="0" fontId="0" fillId="40" borderId="55" xfId="0" applyNumberFormat="1" applyFill="1" applyBorder="1" applyAlignment="1">
      <alignment horizontal="left" vertical="center"/>
    </xf>
    <xf numFmtId="0" fontId="0" fillId="40" borderId="56" xfId="0" applyNumberFormat="1" applyFill="1" applyBorder="1" applyAlignment="1">
      <alignment horizontal="left" vertical="center"/>
    </xf>
    <xf numFmtId="0" fontId="1" fillId="40" borderId="9" xfId="130" quotePrefix="1" applyFont="1" applyFill="1" applyBorder="1" applyAlignment="1">
      <alignment horizontal="left" vertical="center"/>
    </xf>
    <xf numFmtId="0" fontId="1" fillId="40" borderId="26" xfId="130" applyFont="1" applyFill="1" applyBorder="1" applyAlignment="1">
      <alignment horizontal="left" vertical="center"/>
    </xf>
    <xf numFmtId="0" fontId="1" fillId="40" borderId="55" xfId="130" quotePrefix="1" applyFont="1" applyFill="1" applyBorder="1" applyAlignment="1">
      <alignment horizontal="left" vertical="center"/>
    </xf>
    <xf numFmtId="0" fontId="0" fillId="40" borderId="30" xfId="0" applyFont="1" applyFill="1" applyBorder="1" applyAlignment="1">
      <alignment horizontal="left" vertical="center"/>
    </xf>
    <xf numFmtId="0" fontId="0" fillId="40" borderId="30" xfId="0" quotePrefix="1" applyFont="1" applyFill="1" applyBorder="1" applyAlignment="1">
      <alignment horizontal="left" vertical="center"/>
    </xf>
    <xf numFmtId="0" fontId="1" fillId="40" borderId="30" xfId="130" applyFont="1" applyFill="1" applyBorder="1" applyAlignment="1">
      <alignment horizontal="left" vertical="center"/>
    </xf>
    <xf numFmtId="0" fontId="1" fillId="40" borderId="60" xfId="130" quotePrefix="1" applyFont="1" applyFill="1" applyBorder="1" applyAlignment="1">
      <alignment horizontal="left" vertical="center"/>
    </xf>
    <xf numFmtId="0" fontId="1" fillId="40" borderId="30" xfId="130" quotePrefix="1" applyFont="1" applyFill="1" applyBorder="1" applyAlignment="1">
      <alignment horizontal="left" vertical="center"/>
    </xf>
    <xf numFmtId="0" fontId="1" fillId="40" borderId="22" xfId="130" applyFont="1" applyFill="1" applyBorder="1" applyAlignment="1">
      <alignment horizontal="left" vertical="center"/>
    </xf>
    <xf numFmtId="0" fontId="1" fillId="40" borderId="54" xfId="130" quotePrefix="1" applyFont="1" applyFill="1" applyBorder="1" applyAlignment="1">
      <alignment horizontal="left" vertical="center"/>
    </xf>
    <xf numFmtId="0" fontId="0" fillId="40" borderId="42" xfId="0" applyNumberFormat="1" applyFill="1" applyBorder="1" applyAlignment="1">
      <alignment horizontal="left" vertical="center"/>
    </xf>
    <xf numFmtId="0" fontId="1" fillId="35" borderId="52" xfId="130" applyFont="1" applyFill="1" applyBorder="1" applyAlignment="1">
      <alignment horizontal="left" vertical="center"/>
    </xf>
    <xf numFmtId="0" fontId="1" fillId="35" borderId="55" xfId="130" applyFont="1" applyFill="1" applyBorder="1" applyAlignment="1">
      <alignment horizontal="left" vertical="center"/>
    </xf>
    <xf numFmtId="0" fontId="0" fillId="35" borderId="55" xfId="0" quotePrefix="1" applyFont="1" applyFill="1" applyBorder="1" applyAlignment="1">
      <alignment horizontal="left" vertical="center"/>
    </xf>
    <xf numFmtId="49" fontId="31" fillId="0" borderId="79" xfId="139" quotePrefix="1" applyNumberFormat="1" applyFont="1" applyFill="1" applyBorder="1" applyAlignment="1">
      <alignment horizontal="center" vertical="center" wrapText="1" shrinkToFit="1"/>
    </xf>
    <xf numFmtId="49" fontId="31" fillId="0" borderId="117" xfId="139" quotePrefix="1" applyNumberFormat="1" applyFont="1" applyFill="1" applyBorder="1" applyAlignment="1">
      <alignment horizontal="center" vertical="center" wrapText="1" shrinkToFit="1"/>
    </xf>
    <xf numFmtId="49" fontId="31" fillId="0" borderId="118" xfId="139" quotePrefix="1" applyNumberFormat="1" applyFont="1" applyFill="1" applyBorder="1" applyAlignment="1">
      <alignment horizontal="center" vertical="center" wrapText="1" shrinkToFit="1"/>
    </xf>
    <xf numFmtId="49" fontId="31" fillId="0" borderId="119" xfId="139" quotePrefix="1" applyNumberFormat="1" applyFont="1" applyFill="1" applyBorder="1" applyAlignment="1">
      <alignment horizontal="center" vertical="center" wrapText="1" shrinkToFit="1"/>
    </xf>
    <xf numFmtId="0" fontId="80" fillId="0" borderId="6" xfId="169" applyNumberFormat="1" applyFont="1" applyFill="1" applyBorder="1" applyAlignment="1">
      <alignment horizontal="left" vertical="center"/>
    </xf>
    <xf numFmtId="0" fontId="0" fillId="38" borderId="26" xfId="0" applyFont="1" applyFill="1" applyBorder="1" applyAlignment="1">
      <alignment horizontal="center" vertical="center"/>
    </xf>
    <xf numFmtId="0" fontId="0" fillId="38" borderId="31" xfId="0" applyFont="1" applyFill="1" applyBorder="1" applyAlignment="1">
      <alignment horizontal="center" vertical="center"/>
    </xf>
    <xf numFmtId="0" fontId="73" fillId="0" borderId="9" xfId="0" quotePrefix="1" applyFon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38" borderId="9" xfId="0" applyFont="1" applyFill="1" applyBorder="1" applyAlignment="1">
      <alignment horizontal="center" vertical="center"/>
    </xf>
    <xf numFmtId="0" fontId="79" fillId="38" borderId="9" xfId="0" applyFont="1" applyFill="1" applyBorder="1" applyAlignment="1">
      <alignment horizontal="left" vertical="center"/>
    </xf>
    <xf numFmtId="0" fontId="73" fillId="0" borderId="9" xfId="0" applyFont="1" applyBorder="1" applyAlignment="1">
      <alignment horizontal="left" vertical="center"/>
    </xf>
    <xf numFmtId="0" fontId="79" fillId="38" borderId="9" xfId="0" applyFont="1" applyFill="1" applyBorder="1" applyAlignment="1">
      <alignment horizontal="center" vertical="center"/>
    </xf>
    <xf numFmtId="0" fontId="73" fillId="39" borderId="9" xfId="0" applyFont="1" applyFill="1" applyBorder="1" applyAlignment="1">
      <alignment horizontal="left" vertical="center"/>
    </xf>
    <xf numFmtId="0" fontId="0" fillId="38" borderId="29" xfId="0" applyFont="1" applyFill="1" applyBorder="1" applyAlignment="1">
      <alignment horizontal="center" vertical="center"/>
    </xf>
    <xf numFmtId="0" fontId="0" fillId="38" borderId="6" xfId="0" applyFont="1" applyFill="1" applyBorder="1" applyAlignment="1">
      <alignment horizontal="center" vertical="center"/>
    </xf>
    <xf numFmtId="0" fontId="0" fillId="38" borderId="30" xfId="0" applyFont="1" applyFill="1" applyBorder="1" applyAlignment="1">
      <alignment horizontal="center" vertical="center"/>
    </xf>
    <xf numFmtId="0" fontId="81" fillId="0" borderId="111" xfId="169" applyNumberFormat="1" applyFont="1" applyFill="1" applyBorder="1" applyAlignment="1">
      <alignment horizontal="center" vertical="center" textRotation="255"/>
    </xf>
    <xf numFmtId="0" fontId="81" fillId="0" borderId="120" xfId="169" applyNumberFormat="1" applyFont="1" applyFill="1" applyBorder="1" applyAlignment="1">
      <alignment horizontal="center" vertical="center" textRotation="255"/>
    </xf>
    <xf numFmtId="0" fontId="76" fillId="0" borderId="112" xfId="169" applyNumberFormat="1" applyFont="1" applyFill="1" applyBorder="1" applyAlignment="1">
      <alignment horizontal="center" vertical="center" wrapText="1"/>
    </xf>
    <xf numFmtId="0" fontId="76" fillId="0" borderId="115" xfId="169" applyNumberFormat="1" applyFont="1" applyFill="1" applyBorder="1" applyAlignment="1">
      <alignment horizontal="center" vertical="center" wrapText="1"/>
    </xf>
    <xf numFmtId="0" fontId="81" fillId="0" borderId="112" xfId="169" applyNumberFormat="1" applyFont="1" applyFill="1" applyBorder="1" applyAlignment="1">
      <alignment horizontal="center" vertical="center" textRotation="255"/>
    </xf>
    <xf numFmtId="0" fontId="81" fillId="0" borderId="121" xfId="169" applyNumberFormat="1" applyFont="1" applyFill="1" applyBorder="1" applyAlignment="1">
      <alignment horizontal="center" vertical="center" textRotation="255"/>
    </xf>
    <xf numFmtId="0" fontId="32" fillId="0" borderId="83" xfId="169" applyNumberFormat="1" applyFont="1" applyFill="1" applyBorder="1" applyAlignment="1">
      <alignment horizontal="left" wrapText="1"/>
    </xf>
    <xf numFmtId="0" fontId="32" fillId="0" borderId="83" xfId="169" applyNumberFormat="1" applyFont="1" applyFill="1" applyBorder="1" applyAlignment="1">
      <alignment horizontal="left"/>
    </xf>
    <xf numFmtId="0" fontId="1" fillId="0" borderId="83" xfId="169" applyNumberFormat="1" applyFont="1" applyFill="1" applyBorder="1" applyAlignment="1">
      <alignment horizontal="left"/>
    </xf>
    <xf numFmtId="0" fontId="1" fillId="0" borderId="123" xfId="169" applyNumberFormat="1" applyFont="1" applyFill="1" applyBorder="1" applyAlignment="1">
      <alignment horizontal="left"/>
    </xf>
    <xf numFmtId="0" fontId="32" fillId="0" borderId="124" xfId="169" applyNumberFormat="1" applyFont="1" applyFill="1" applyBorder="1" applyAlignment="1">
      <alignment horizontal="center"/>
    </xf>
    <xf numFmtId="0" fontId="32" fillId="0" borderId="83" xfId="169" applyNumberFormat="1" applyFont="1" applyFill="1" applyBorder="1" applyAlignment="1">
      <alignment horizontal="center"/>
    </xf>
    <xf numFmtId="0" fontId="1" fillId="0" borderId="83" xfId="169" applyNumberFormat="1" applyFont="1" applyFill="1" applyBorder="1" applyAlignment="1">
      <alignment horizontal="center"/>
    </xf>
    <xf numFmtId="0" fontId="31" fillId="0" borderId="124" xfId="169" applyNumberFormat="1" applyFont="1" applyFill="1" applyBorder="1" applyAlignment="1">
      <alignment horizontal="center" vertical="center" wrapText="1"/>
    </xf>
    <xf numFmtId="0" fontId="31" fillId="0" borderId="83" xfId="169" applyNumberFormat="1" applyFont="1" applyFill="1" applyBorder="1" applyAlignment="1">
      <alignment horizontal="center" vertical="center" wrapText="1"/>
    </xf>
    <xf numFmtId="0" fontId="31" fillId="0" borderId="125" xfId="169" applyNumberFormat="1" applyFont="1" applyFill="1" applyBorder="1" applyAlignment="1">
      <alignment horizontal="center" vertical="center" wrapText="1"/>
    </xf>
    <xf numFmtId="0" fontId="32" fillId="0" borderId="29" xfId="169" applyNumberFormat="1" applyFont="1" applyFill="1" applyBorder="1" applyAlignment="1">
      <alignment horizontal="center" vertical="center" wrapText="1"/>
    </xf>
    <xf numFmtId="0" fontId="32" fillId="0" borderId="6" xfId="169" applyNumberFormat="1" applyFont="1" applyFill="1" applyBorder="1" applyAlignment="1">
      <alignment horizontal="center" vertical="center" wrapText="1"/>
    </xf>
    <xf numFmtId="0" fontId="76" fillId="0" borderId="126" xfId="169" applyNumberFormat="1" applyFont="1" applyFill="1" applyBorder="1" applyAlignment="1">
      <alignment horizontal="center" vertical="center"/>
    </xf>
    <xf numFmtId="0" fontId="76" fillId="0" borderId="115" xfId="169" applyNumberFormat="1" applyFont="1" applyFill="1" applyBorder="1" applyAlignment="1">
      <alignment horizontal="center" vertical="center"/>
    </xf>
    <xf numFmtId="0" fontId="32" fillId="0" borderId="93" xfId="169" applyNumberFormat="1" applyFont="1" applyFill="1" applyBorder="1" applyAlignment="1">
      <alignment horizontal="center" vertical="center"/>
    </xf>
    <xf numFmtId="0" fontId="32" fillId="0" borderId="94" xfId="169" applyNumberFormat="1" applyFont="1" applyFill="1" applyBorder="1" applyAlignment="1">
      <alignment horizontal="center" vertical="center"/>
    </xf>
    <xf numFmtId="0" fontId="32" fillId="0" borderId="127" xfId="169" applyNumberFormat="1" applyFont="1" applyFill="1" applyBorder="1" applyAlignment="1">
      <alignment horizontal="center" vertical="center"/>
    </xf>
    <xf numFmtId="0" fontId="32" fillId="0" borderId="32" xfId="169" applyNumberFormat="1" applyFont="1" applyFill="1" applyBorder="1" applyAlignment="1">
      <alignment horizontal="center" vertical="center"/>
    </xf>
    <xf numFmtId="0" fontId="32" fillId="0" borderId="0" xfId="169" applyNumberFormat="1" applyFont="1" applyFill="1" applyBorder="1" applyAlignment="1">
      <alignment horizontal="center" vertical="center"/>
    </xf>
    <xf numFmtId="0" fontId="32" fillId="0" borderId="45" xfId="169" applyNumberFormat="1" applyFont="1" applyFill="1" applyBorder="1" applyAlignment="1">
      <alignment horizontal="center" vertical="center"/>
    </xf>
    <xf numFmtId="0" fontId="76" fillId="0" borderId="122" xfId="169" applyNumberFormat="1" applyFont="1" applyFill="1" applyBorder="1" applyAlignment="1">
      <alignment horizontal="center" vertical="center"/>
    </xf>
    <xf numFmtId="0" fontId="76" fillId="0" borderId="114" xfId="169" applyNumberFormat="1" applyFont="1" applyFill="1" applyBorder="1" applyAlignment="1">
      <alignment horizontal="center" vertical="center"/>
    </xf>
    <xf numFmtId="0" fontId="76" fillId="0" borderId="111" xfId="169" applyNumberFormat="1" applyFont="1" applyFill="1" applyBorder="1" applyAlignment="1">
      <alignment horizontal="center" vertical="center" wrapText="1"/>
    </xf>
    <xf numFmtId="0" fontId="76" fillId="0" borderId="114" xfId="169" applyNumberFormat="1" applyFont="1" applyFill="1" applyBorder="1" applyAlignment="1">
      <alignment horizontal="center" vertical="center" wrapText="1"/>
    </xf>
    <xf numFmtId="0" fontId="32" fillId="0" borderId="128" xfId="169" applyNumberFormat="1" applyFont="1" applyFill="1" applyBorder="1" applyAlignment="1">
      <alignment horizontal="center" vertical="center"/>
    </xf>
    <xf numFmtId="0" fontId="1" fillId="0" borderId="94" xfId="169" applyNumberFormat="1" applyFont="1" applyFill="1" applyBorder="1" applyAlignment="1">
      <alignment horizontal="center" vertical="center"/>
    </xf>
    <xf numFmtId="0" fontId="1" fillId="0" borderId="127" xfId="169" applyNumberFormat="1" applyFont="1" applyFill="1" applyBorder="1" applyAlignment="1">
      <alignment horizontal="center" vertical="center"/>
    </xf>
    <xf numFmtId="0" fontId="1" fillId="0" borderId="36" xfId="169" applyNumberFormat="1" applyFont="1" applyFill="1" applyBorder="1" applyAlignment="1">
      <alignment horizontal="center" vertical="center"/>
    </xf>
    <xf numFmtId="0" fontId="1" fillId="0" borderId="0" xfId="169" applyNumberFormat="1" applyFont="1" applyFill="1" applyBorder="1" applyAlignment="1">
      <alignment horizontal="center" vertical="center"/>
    </xf>
    <xf numFmtId="0" fontId="1" fillId="0" borderId="45" xfId="169" applyNumberFormat="1" applyFont="1" applyFill="1" applyBorder="1" applyAlignment="1">
      <alignment horizontal="center" vertical="center"/>
    </xf>
    <xf numFmtId="0" fontId="1" fillId="0" borderId="38" xfId="169" applyNumberFormat="1" applyFont="1" applyFill="1" applyBorder="1" applyAlignment="1">
      <alignment horizontal="center" vertical="center"/>
    </xf>
    <xf numFmtId="0" fontId="1" fillId="0" borderId="39" xfId="169" applyNumberFormat="1" applyFont="1" applyFill="1" applyBorder="1" applyAlignment="1">
      <alignment horizontal="center" vertical="center"/>
    </xf>
    <xf numFmtId="0" fontId="1" fillId="0" borderId="37" xfId="169" applyNumberFormat="1" applyFont="1" applyFill="1" applyBorder="1" applyAlignment="1">
      <alignment horizontal="center" vertical="center"/>
    </xf>
    <xf numFmtId="0" fontId="32" fillId="0" borderId="36" xfId="169" applyNumberFormat="1" applyFont="1" applyFill="1" applyBorder="1" applyAlignment="1">
      <alignment horizontal="center" vertical="center"/>
    </xf>
    <xf numFmtId="0" fontId="0" fillId="36" borderId="63" xfId="0" applyFill="1" applyBorder="1" applyAlignment="1">
      <alignment horizontal="center" vertical="center"/>
    </xf>
    <xf numFmtId="0" fontId="0" fillId="36" borderId="82" xfId="0" applyFill="1" applyBorder="1" applyAlignment="1">
      <alignment horizontal="center" vertical="center"/>
    </xf>
    <xf numFmtId="0" fontId="5" fillId="32" borderId="129" xfId="0" applyFont="1" applyFill="1" applyBorder="1" applyAlignment="1">
      <alignment horizontal="center" vertical="center"/>
    </xf>
    <xf numFmtId="49" fontId="5" fillId="22" borderId="130" xfId="0" applyNumberFormat="1" applyFont="1" applyFill="1" applyBorder="1" applyAlignment="1">
      <alignment vertical="center"/>
    </xf>
    <xf numFmtId="49" fontId="5" fillId="22" borderId="5" xfId="0" applyNumberFormat="1" applyFont="1" applyFill="1" applyBorder="1" applyAlignment="1">
      <alignment vertical="center"/>
    </xf>
    <xf numFmtId="49" fontId="5" fillId="22" borderId="131" xfId="0" applyNumberFormat="1" applyFont="1" applyFill="1" applyBorder="1" applyAlignment="1">
      <alignment vertical="center"/>
    </xf>
    <xf numFmtId="0" fontId="5" fillId="32" borderId="129" xfId="0" applyFont="1" applyFill="1" applyBorder="1" applyAlignment="1">
      <alignment vertical="center"/>
    </xf>
    <xf numFmtId="0" fontId="5" fillId="22" borderId="130" xfId="0" applyFont="1" applyFill="1" applyBorder="1" applyAlignment="1">
      <alignment vertical="center"/>
    </xf>
    <xf numFmtId="0" fontId="5" fillId="22" borderId="5" xfId="0" applyFont="1" applyFill="1" applyBorder="1" applyAlignment="1">
      <alignment vertical="center"/>
    </xf>
    <xf numFmtId="0" fontId="5" fillId="22" borderId="131" xfId="0" applyFont="1" applyFill="1" applyBorder="1" applyAlignment="1">
      <alignment vertical="center"/>
    </xf>
    <xf numFmtId="0" fontId="5" fillId="32" borderId="130" xfId="0" applyFont="1" applyFill="1" applyBorder="1" applyAlignment="1">
      <alignment vertical="center"/>
    </xf>
    <xf numFmtId="0" fontId="5" fillId="32" borderId="5" xfId="0" applyFont="1" applyFill="1" applyBorder="1" applyAlignment="1">
      <alignment vertical="center"/>
    </xf>
    <xf numFmtId="0" fontId="5" fillId="32" borderId="131" xfId="0" applyFont="1" applyFill="1" applyBorder="1" applyAlignment="1">
      <alignment vertical="center"/>
    </xf>
    <xf numFmtId="0" fontId="5" fillId="0" borderId="130" xfId="0" applyFont="1" applyFill="1" applyBorder="1" applyAlignment="1">
      <alignment vertical="center"/>
    </xf>
    <xf numFmtId="0" fontId="5" fillId="0" borderId="5" xfId="0" applyFont="1" applyFill="1" applyBorder="1" applyAlignment="1">
      <alignment vertical="center"/>
    </xf>
    <xf numFmtId="0" fontId="5" fillId="0" borderId="131" xfId="0" applyFont="1" applyFill="1" applyBorder="1" applyAlignment="1">
      <alignment vertical="center"/>
    </xf>
    <xf numFmtId="0" fontId="5" fillId="34" borderId="84" xfId="0" applyFont="1" applyFill="1" applyBorder="1" applyAlignment="1">
      <alignment horizontal="center" vertical="center" shrinkToFit="1"/>
    </xf>
    <xf numFmtId="0" fontId="5" fillId="34" borderId="63" xfId="0" applyFont="1" applyFill="1" applyBorder="1" applyAlignment="1">
      <alignment horizontal="center" vertical="center" shrinkToFit="1"/>
    </xf>
    <xf numFmtId="0" fontId="5" fillId="34" borderId="82" xfId="0" applyFont="1" applyFill="1" applyBorder="1" applyAlignment="1">
      <alignment horizontal="center" vertical="center" shrinkToFit="1"/>
    </xf>
    <xf numFmtId="0" fontId="5" fillId="31" borderId="130" xfId="0" applyFont="1" applyFill="1" applyBorder="1" applyAlignment="1">
      <alignment vertical="center"/>
    </xf>
    <xf numFmtId="0" fontId="5" fillId="31" borderId="5" xfId="0" applyFont="1" applyFill="1" applyBorder="1" applyAlignment="1">
      <alignment vertical="center"/>
    </xf>
    <xf numFmtId="0" fontId="5" fillId="31" borderId="131" xfId="0" applyFont="1" applyFill="1" applyBorder="1" applyAlignment="1">
      <alignment vertical="center"/>
    </xf>
    <xf numFmtId="0" fontId="5" fillId="0" borderId="130" xfId="119" applyFont="1" applyFill="1" applyBorder="1" applyAlignment="1" applyProtection="1">
      <alignment vertical="center"/>
    </xf>
    <xf numFmtId="0" fontId="5" fillId="0" borderId="5" xfId="119" applyFont="1" applyFill="1" applyBorder="1" applyAlignment="1" applyProtection="1">
      <alignment vertical="center"/>
    </xf>
    <xf numFmtId="0" fontId="5" fillId="32" borderId="84" xfId="0" applyFont="1" applyFill="1" applyBorder="1" applyAlignment="1">
      <alignment horizontal="center" vertical="center" shrinkToFit="1"/>
    </xf>
    <xf numFmtId="0" fontId="5" fillId="32" borderId="63" xfId="0" applyFont="1" applyFill="1" applyBorder="1" applyAlignment="1">
      <alignment horizontal="center" vertical="center" shrinkToFit="1"/>
    </xf>
    <xf numFmtId="0" fontId="5" fillId="32" borderId="82" xfId="0" applyFont="1" applyFill="1" applyBorder="1" applyAlignment="1">
      <alignment horizontal="center" vertical="center" shrinkToFit="1"/>
    </xf>
    <xf numFmtId="0" fontId="5" fillId="33" borderId="84" xfId="0" applyFont="1" applyFill="1" applyBorder="1" applyAlignment="1">
      <alignment horizontal="center" vertical="center"/>
    </xf>
    <xf numFmtId="0" fontId="5" fillId="33" borderId="63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vertical="top"/>
    </xf>
    <xf numFmtId="0" fontId="0" fillId="0" borderId="6" xfId="0" applyFont="1" applyFill="1" applyBorder="1" applyAlignment="1">
      <alignment vertical="top"/>
    </xf>
    <xf numFmtId="0" fontId="0" fillId="0" borderId="30" xfId="0" applyFont="1" applyFill="1" applyBorder="1" applyAlignment="1">
      <alignment vertical="top"/>
    </xf>
    <xf numFmtId="0" fontId="0" fillId="0" borderId="38" xfId="0" applyFont="1" applyFill="1" applyBorder="1" applyAlignment="1">
      <alignment vertical="top"/>
    </xf>
    <xf numFmtId="0" fontId="0" fillId="0" borderId="39" xfId="0" applyFont="1" applyFill="1" applyBorder="1" applyAlignment="1">
      <alignment vertical="top"/>
    </xf>
    <xf numFmtId="0" fontId="0" fillId="0" borderId="37" xfId="0" applyFont="1" applyFill="1" applyBorder="1" applyAlignment="1">
      <alignment vertical="top"/>
    </xf>
    <xf numFmtId="0" fontId="0" fillId="0" borderId="29" xfId="0" applyFill="1" applyBorder="1" applyAlignment="1">
      <alignment horizontal="left" vertical="top"/>
    </xf>
    <xf numFmtId="0" fontId="0" fillId="0" borderId="6" xfId="0" applyFont="1" applyFill="1" applyBorder="1" applyAlignment="1">
      <alignment horizontal="left" vertical="top"/>
    </xf>
    <xf numFmtId="0" fontId="0" fillId="0" borderId="30" xfId="0" applyFont="1" applyFill="1" applyBorder="1" applyAlignment="1">
      <alignment horizontal="left" vertical="top"/>
    </xf>
    <xf numFmtId="0" fontId="0" fillId="32" borderId="59" xfId="0" applyFont="1" applyFill="1" applyBorder="1" applyAlignment="1">
      <alignment horizontal="center" vertical="center"/>
    </xf>
    <xf numFmtId="0" fontId="0" fillId="32" borderId="53" xfId="0" applyFont="1" applyFill="1" applyBorder="1" applyAlignment="1">
      <alignment horizontal="center" vertical="center"/>
    </xf>
    <xf numFmtId="0" fontId="0" fillId="32" borderId="54" xfId="0" applyFont="1" applyFill="1" applyBorder="1" applyAlignment="1">
      <alignment horizontal="center" vertical="center"/>
    </xf>
  </cellXfs>
  <cellStyles count="200">
    <cellStyle name="??????" xfId="1" xr:uid="{00000000-0005-0000-0000-000000000000}"/>
    <cellStyle name="??_???? ?? ??? (2)" xfId="2" xr:uid="{00000000-0005-0000-0000-000001000000}"/>
    <cellStyle name="?E°CE，°e1yAI" xfId="3" xr:uid="{00000000-0005-0000-0000-000002000000}"/>
    <cellStyle name="20% - Accent1" xfId="4" xr:uid="{00000000-0005-0000-0000-000003000000}"/>
    <cellStyle name="20% - Accent2" xfId="5" xr:uid="{00000000-0005-0000-0000-000004000000}"/>
    <cellStyle name="20% - Accent3" xfId="6" xr:uid="{00000000-0005-0000-0000-000005000000}"/>
    <cellStyle name="20% - Accent4" xfId="7" xr:uid="{00000000-0005-0000-0000-000006000000}"/>
    <cellStyle name="20% - Accent5" xfId="8" xr:uid="{00000000-0005-0000-0000-000007000000}"/>
    <cellStyle name="20% - Accent6" xfId="9" xr:uid="{00000000-0005-0000-0000-000008000000}"/>
    <cellStyle name="40% - Accent1" xfId="10" xr:uid="{00000000-0005-0000-0000-000009000000}"/>
    <cellStyle name="40% - Accent2" xfId="11" xr:uid="{00000000-0005-0000-0000-00000A000000}"/>
    <cellStyle name="40% - Accent3" xfId="12" xr:uid="{00000000-0005-0000-0000-00000B000000}"/>
    <cellStyle name="40% - Accent4" xfId="13" xr:uid="{00000000-0005-0000-0000-00000C000000}"/>
    <cellStyle name="40% - Accent5" xfId="14" xr:uid="{00000000-0005-0000-0000-00000D000000}"/>
    <cellStyle name="40% - Accent6" xfId="15" xr:uid="{00000000-0005-0000-0000-00000E000000}"/>
    <cellStyle name="60% - Accent1" xfId="16" xr:uid="{00000000-0005-0000-0000-00000F000000}"/>
    <cellStyle name="60% - Accent2" xfId="17" xr:uid="{00000000-0005-0000-0000-000010000000}"/>
    <cellStyle name="60% - Accent3" xfId="18" xr:uid="{00000000-0005-0000-0000-000011000000}"/>
    <cellStyle name="60% - Accent4" xfId="19" xr:uid="{00000000-0005-0000-0000-000012000000}"/>
    <cellStyle name="60% - Accent5" xfId="20" xr:uid="{00000000-0005-0000-0000-000013000000}"/>
    <cellStyle name="60% - Accent6" xfId="21" xr:uid="{00000000-0005-0000-0000-000014000000}"/>
    <cellStyle name="Accent1" xfId="22" xr:uid="{00000000-0005-0000-0000-000015000000}"/>
    <cellStyle name="Accent2" xfId="23" xr:uid="{00000000-0005-0000-0000-000016000000}"/>
    <cellStyle name="Accent3" xfId="24" xr:uid="{00000000-0005-0000-0000-000017000000}"/>
    <cellStyle name="Accent4" xfId="25" xr:uid="{00000000-0005-0000-0000-000018000000}"/>
    <cellStyle name="Accent5" xfId="26" xr:uid="{00000000-0005-0000-0000-000019000000}"/>
    <cellStyle name="Accent6" xfId="27" xr:uid="{00000000-0005-0000-0000-00001A000000}"/>
    <cellStyle name="AeE- [0]_Co´e0124" xfId="28" xr:uid="{00000000-0005-0000-0000-00001B000000}"/>
    <cellStyle name="AeE-_Co´e0124" xfId="29" xr:uid="{00000000-0005-0000-0000-00001C000000}"/>
    <cellStyle name="AT，¶ [0]_Co´e0124" xfId="30" xr:uid="{00000000-0005-0000-0000-00001D000000}"/>
    <cellStyle name="AT，¶_Co´e0124" xfId="31" xr:uid="{00000000-0005-0000-0000-00001E000000}"/>
    <cellStyle name="Bad" xfId="32" xr:uid="{00000000-0005-0000-0000-00001F000000}"/>
    <cellStyle name="BD標準" xfId="33" xr:uid="{00000000-0005-0000-0000-000020000000}"/>
    <cellStyle name="C\AO_Co´e0124" xfId="34" xr:uid="{00000000-0005-0000-0000-000021000000}"/>
    <cellStyle name="Calc Currency (0)" xfId="35" xr:uid="{00000000-0005-0000-0000-000022000000}"/>
    <cellStyle name="Calculation" xfId="36" xr:uid="{00000000-0005-0000-0000-000023000000}"/>
    <cellStyle name="category" xfId="37" xr:uid="{00000000-0005-0000-0000-000024000000}"/>
    <cellStyle name="Check Cell" xfId="38" xr:uid="{00000000-0005-0000-0000-000025000000}"/>
    <cellStyle name="Comma [0]_1995" xfId="39" xr:uid="{00000000-0005-0000-0000-000026000000}"/>
    <cellStyle name="Comma_1995" xfId="40" xr:uid="{00000000-0005-0000-0000-000027000000}"/>
    <cellStyle name="Comma0 - Modelo1" xfId="41" xr:uid="{00000000-0005-0000-0000-000028000000}"/>
    <cellStyle name="Comma0 - Style1" xfId="42" xr:uid="{00000000-0005-0000-0000-000029000000}"/>
    <cellStyle name="Comma1 - Modelo2" xfId="43" xr:uid="{00000000-0005-0000-0000-00002A000000}"/>
    <cellStyle name="Comma1 - Style2" xfId="44" xr:uid="{00000000-0005-0000-0000-00002B000000}"/>
    <cellStyle name="Currency [0]_1995" xfId="45" xr:uid="{00000000-0005-0000-0000-00002C000000}"/>
    <cellStyle name="Currency_1995" xfId="46" xr:uid="{00000000-0005-0000-0000-00002D000000}"/>
    <cellStyle name="Dia" xfId="47" xr:uid="{00000000-0005-0000-0000-00002E000000}"/>
    <cellStyle name="Encabez1" xfId="48" xr:uid="{00000000-0005-0000-0000-00002F000000}"/>
    <cellStyle name="Encabez2" xfId="49" xr:uid="{00000000-0005-0000-0000-000030000000}"/>
    <cellStyle name="entry" xfId="50" xr:uid="{00000000-0005-0000-0000-000031000000}"/>
    <cellStyle name="Explanatory Text" xfId="51" xr:uid="{00000000-0005-0000-0000-000032000000}"/>
    <cellStyle name="F2" xfId="52" xr:uid="{00000000-0005-0000-0000-000033000000}"/>
    <cellStyle name="F3" xfId="53" xr:uid="{00000000-0005-0000-0000-000034000000}"/>
    <cellStyle name="F4" xfId="54" xr:uid="{00000000-0005-0000-0000-000035000000}"/>
    <cellStyle name="F5" xfId="55" xr:uid="{00000000-0005-0000-0000-000036000000}"/>
    <cellStyle name="F6" xfId="56" xr:uid="{00000000-0005-0000-0000-000037000000}"/>
    <cellStyle name="F7" xfId="57" xr:uid="{00000000-0005-0000-0000-000038000000}"/>
    <cellStyle name="F8" xfId="58" xr:uid="{00000000-0005-0000-0000-000039000000}"/>
    <cellStyle name="Fijo" xfId="59" xr:uid="{00000000-0005-0000-0000-00003A000000}"/>
    <cellStyle name="Financiero" xfId="60" xr:uid="{00000000-0005-0000-0000-00003B000000}"/>
    <cellStyle name="Good" xfId="61" xr:uid="{00000000-0005-0000-0000-00003C000000}"/>
    <cellStyle name="Grey" xfId="62" xr:uid="{00000000-0005-0000-0000-00003D000000}"/>
    <cellStyle name="HEADER" xfId="63" xr:uid="{00000000-0005-0000-0000-00003E000000}"/>
    <cellStyle name="Header 1" xfId="64" xr:uid="{00000000-0005-0000-0000-00003F000000}"/>
    <cellStyle name="Header 2" xfId="65" xr:uid="{00000000-0005-0000-0000-000040000000}"/>
    <cellStyle name="Header Center" xfId="66" xr:uid="{00000000-0005-0000-0000-000041000000}"/>
    <cellStyle name="Header1" xfId="67" xr:uid="{00000000-0005-0000-0000-000042000000}"/>
    <cellStyle name="Header2" xfId="68" xr:uid="{00000000-0005-0000-0000-000043000000}"/>
    <cellStyle name="Heading 1" xfId="69" xr:uid="{00000000-0005-0000-0000-000044000000}"/>
    <cellStyle name="Heading 2" xfId="70" xr:uid="{00000000-0005-0000-0000-000045000000}"/>
    <cellStyle name="Heading 3" xfId="71" xr:uid="{00000000-0005-0000-0000-000046000000}"/>
    <cellStyle name="Heading 4" xfId="72" xr:uid="{00000000-0005-0000-0000-000047000000}"/>
    <cellStyle name="HP Logo" xfId="73" xr:uid="{00000000-0005-0000-0000-000048000000}"/>
    <cellStyle name="Hyperlink 2" xfId="74" xr:uid="{00000000-0005-0000-0000-000049000000}"/>
    <cellStyle name="IBM(401K)" xfId="75" xr:uid="{00000000-0005-0000-0000-00004A000000}"/>
    <cellStyle name="Input" xfId="76" xr:uid="{00000000-0005-0000-0000-00004B000000}"/>
    <cellStyle name="Input [yellow]" xfId="77" xr:uid="{00000000-0005-0000-0000-00004C000000}"/>
    <cellStyle name="J401K" xfId="78" xr:uid="{00000000-0005-0000-0000-00004D000000}"/>
    <cellStyle name="Linked Cell" xfId="79" xr:uid="{00000000-0005-0000-0000-00004E000000}"/>
    <cellStyle name="MFPStyle_Title" xfId="80" xr:uid="{00000000-0005-0000-0000-00004F000000}"/>
    <cellStyle name="Millares [0]_10 AVERIAS MASIVAS + ANT" xfId="81" xr:uid="{00000000-0005-0000-0000-000050000000}"/>
    <cellStyle name="Millares_10 AVERIAS MASIVAS + ANT" xfId="82" xr:uid="{00000000-0005-0000-0000-000051000000}"/>
    <cellStyle name="Model" xfId="83" xr:uid="{00000000-0005-0000-0000-000052000000}"/>
    <cellStyle name="Moneda [0]_10 AVERIAS MASIVAS + ANT" xfId="84" xr:uid="{00000000-0005-0000-0000-000053000000}"/>
    <cellStyle name="Moneda_10 AVERIAS MASIVAS + ANT" xfId="85" xr:uid="{00000000-0005-0000-0000-000054000000}"/>
    <cellStyle name="Monetario" xfId="86" xr:uid="{00000000-0005-0000-0000-000055000000}"/>
    <cellStyle name="Neutral" xfId="87" xr:uid="{00000000-0005-0000-0000-000056000000}"/>
    <cellStyle name="no dec" xfId="88" xr:uid="{00000000-0005-0000-0000-000057000000}"/>
    <cellStyle name="Normal - Style1" xfId="89" xr:uid="{00000000-0005-0000-0000-000058000000}"/>
    <cellStyle name="Normal 2" xfId="90" xr:uid="{00000000-0005-0000-0000-000059000000}"/>
    <cellStyle name="Normal_#10-Headcount" xfId="91" xr:uid="{00000000-0005-0000-0000-00005A000000}"/>
    <cellStyle name="Normale_2000S TPI TARIFF" xfId="92" xr:uid="{00000000-0005-0000-0000-00005B000000}"/>
    <cellStyle name="Note" xfId="93" xr:uid="{00000000-0005-0000-0000-00005C000000}"/>
    <cellStyle name="NUMERO" xfId="94" xr:uid="{00000000-0005-0000-0000-00005D000000}"/>
    <cellStyle name="Output" xfId="95" xr:uid="{00000000-0005-0000-0000-00005E000000}"/>
    <cellStyle name="Percent [2]" xfId="96" xr:uid="{00000000-0005-0000-0000-00005F000000}"/>
    <cellStyle name="Porcentaje" xfId="97" xr:uid="{00000000-0005-0000-0000-000060000000}"/>
    <cellStyle name="price" xfId="98" xr:uid="{00000000-0005-0000-0000-000061000000}"/>
    <cellStyle name="PSChar" xfId="99" xr:uid="{00000000-0005-0000-0000-000062000000}"/>
    <cellStyle name="PSHeading" xfId="100" xr:uid="{00000000-0005-0000-0000-000063000000}"/>
    <cellStyle name="revised" xfId="101" xr:uid="{00000000-0005-0000-0000-000064000000}"/>
    <cellStyle name="RM" xfId="102" xr:uid="{00000000-0005-0000-0000-000065000000}"/>
    <cellStyle name="section" xfId="103" xr:uid="{00000000-0005-0000-0000-000066000000}"/>
    <cellStyle name="SPOl" xfId="104" xr:uid="{00000000-0005-0000-0000-000067000000}"/>
    <cellStyle name="subhead" xfId="105" xr:uid="{00000000-0005-0000-0000-000068000000}"/>
    <cellStyle name="Table Entry" xfId="106" xr:uid="{00000000-0005-0000-0000-000069000000}"/>
    <cellStyle name="Table Heading" xfId="107" xr:uid="{00000000-0005-0000-0000-00006A000000}"/>
    <cellStyle name="Table Heading Center" xfId="108" xr:uid="{00000000-0005-0000-0000-00006B000000}"/>
    <cellStyle name="Table Medium" xfId="109" xr:uid="{00000000-0005-0000-0000-00006C000000}"/>
    <cellStyle name="Table Normal" xfId="110" xr:uid="{00000000-0005-0000-0000-00006D000000}"/>
    <cellStyle name="Table Small" xfId="111" xr:uid="{00000000-0005-0000-0000-00006E000000}"/>
    <cellStyle name="Table Small Bold" xfId="112" xr:uid="{00000000-0005-0000-0000-00006F000000}"/>
    <cellStyle name="Table Small Center" xfId="113" xr:uid="{00000000-0005-0000-0000-000070000000}"/>
    <cellStyle name="Table Title" xfId="114" xr:uid="{00000000-0005-0000-0000-000071000000}"/>
    <cellStyle name="Title" xfId="115" xr:uid="{00000000-0005-0000-0000-000072000000}"/>
    <cellStyle name="Total" xfId="116" xr:uid="{00000000-0005-0000-0000-000073000000}"/>
    <cellStyle name="Warning Text" xfId="117" xr:uid="{00000000-0005-0000-0000-000074000000}"/>
    <cellStyle name="ハイパーリンク 2" xfId="118" xr:uid="{00000000-0005-0000-0000-000075000000}"/>
    <cellStyle name="ハイパーリンク 2 2" xfId="119" xr:uid="{00000000-0005-0000-0000-000076000000}"/>
    <cellStyle name="ハイパーリンク 2 2 2" xfId="120" xr:uid="{00000000-0005-0000-0000-000077000000}"/>
    <cellStyle name="下点線" xfId="121" xr:uid="{00000000-0005-0000-0000-000078000000}"/>
    <cellStyle name="価格桁区切り" xfId="122" xr:uid="{00000000-0005-0000-0000-000079000000}"/>
    <cellStyle name="貨物標準" xfId="123" xr:uid="{00000000-0005-0000-0000-00007A000000}"/>
    <cellStyle name="型番" xfId="124" xr:uid="{00000000-0005-0000-0000-00007B000000}"/>
    <cellStyle name="桁区切り [##.##]" xfId="125" xr:uid="{00000000-0005-0000-0000-00007C000000}"/>
    <cellStyle name="見出し" xfId="126" xr:uid="{00000000-0005-0000-0000-00007D000000}"/>
    <cellStyle name="見出し 1 2" xfId="127" xr:uid="{00000000-0005-0000-0000-00007E000000}"/>
    <cellStyle name="常规_【NWエリア検索】 住所探索画面-API" xfId="128" xr:uid="{00000000-0005-0000-0000-00007F000000}"/>
    <cellStyle name="常规_0805_FMCオンライン向けAPIパラメータ一覧20080305" xfId="129" xr:uid="{00000000-0005-0000-0000-000080000000}"/>
    <cellStyle name="常规_仕掛中0805_FMCオンライン向けAPIパラメータ一覧" xfId="130" xr:uid="{00000000-0005-0000-0000-000081000000}"/>
    <cellStyle name="人月" xfId="131" xr:uid="{00000000-0005-0000-0000-000082000000}"/>
    <cellStyle name="数値" xfId="132" xr:uid="{00000000-0005-0000-0000-000083000000}"/>
    <cellStyle name="数値（桁区切り）" xfId="133" xr:uid="{00000000-0005-0000-0000-000084000000}"/>
    <cellStyle name="数値_4-2-00%28UQSVC%29" xfId="134" xr:uid="{00000000-0005-0000-0000-000085000000}"/>
    <cellStyle name="製品通知&quot;-&quot;" xfId="135" xr:uid="{00000000-0005-0000-0000-000086000000}"/>
    <cellStyle name="製品通知価格" xfId="136" xr:uid="{00000000-0005-0000-0000-000087000000}"/>
    <cellStyle name="製品通知日付" xfId="137" xr:uid="{00000000-0005-0000-0000-000088000000}"/>
    <cellStyle name="製品通知文字列" xfId="138" xr:uid="{00000000-0005-0000-0000-000089000000}"/>
    <cellStyle name="通貨 2" xfId="139" xr:uid="{00000000-0005-0000-0000-00008A000000}"/>
    <cellStyle name="日付" xfId="140" xr:uid="{00000000-0005-0000-0000-00008B000000}"/>
    <cellStyle name="年月日" xfId="141" xr:uid="{00000000-0005-0000-0000-00008C000000}"/>
    <cellStyle name="標・_HTL99S" xfId="142" xr:uid="{00000000-0005-0000-0000-00008D000000}"/>
    <cellStyle name="標準" xfId="0" builtinId="0"/>
    <cellStyle name="標準 10" xfId="143" xr:uid="{00000000-0005-0000-0000-00008F000000}"/>
    <cellStyle name="標準 11" xfId="144" xr:uid="{00000000-0005-0000-0000-000090000000}"/>
    <cellStyle name="標準 12" xfId="145" xr:uid="{00000000-0005-0000-0000-000091000000}"/>
    <cellStyle name="標準 13" xfId="146" xr:uid="{00000000-0005-0000-0000-000092000000}"/>
    <cellStyle name="標準 13 2" xfId="147" xr:uid="{00000000-0005-0000-0000-000093000000}"/>
    <cellStyle name="標準 14" xfId="148" xr:uid="{00000000-0005-0000-0000-000094000000}"/>
    <cellStyle name="標準 14 2" xfId="149" xr:uid="{00000000-0005-0000-0000-000095000000}"/>
    <cellStyle name="標準 15" xfId="150" xr:uid="{00000000-0005-0000-0000-000096000000}"/>
    <cellStyle name="標準 16" xfId="151" xr:uid="{00000000-0005-0000-0000-000097000000}"/>
    <cellStyle name="標準 17" xfId="152" xr:uid="{00000000-0005-0000-0000-000098000000}"/>
    <cellStyle name="標準 18" xfId="153" xr:uid="{00000000-0005-0000-0000-000099000000}"/>
    <cellStyle name="標準 19" xfId="154" xr:uid="{00000000-0005-0000-0000-00009A000000}"/>
    <cellStyle name="標準 2" xfId="155" xr:uid="{00000000-0005-0000-0000-00009B000000}"/>
    <cellStyle name="標準 2 2" xfId="156" xr:uid="{00000000-0005-0000-0000-00009C000000}"/>
    <cellStyle name="標準 2 3" xfId="157" xr:uid="{00000000-0005-0000-0000-00009D000000}"/>
    <cellStyle name="標準 20" xfId="158" xr:uid="{00000000-0005-0000-0000-00009E000000}"/>
    <cellStyle name="標準 21" xfId="159" xr:uid="{00000000-0005-0000-0000-00009F000000}"/>
    <cellStyle name="標準 22" xfId="160" xr:uid="{00000000-0005-0000-0000-0000A0000000}"/>
    <cellStyle name="標準 23" xfId="161" xr:uid="{00000000-0005-0000-0000-0000A1000000}"/>
    <cellStyle name="標準 24" xfId="162" xr:uid="{00000000-0005-0000-0000-0000A2000000}"/>
    <cellStyle name="標準 25" xfId="163" xr:uid="{00000000-0005-0000-0000-0000A3000000}"/>
    <cellStyle name="標準 26" xfId="164" xr:uid="{00000000-0005-0000-0000-0000A4000000}"/>
    <cellStyle name="標準 27" xfId="165" xr:uid="{00000000-0005-0000-0000-0000A5000000}"/>
    <cellStyle name="標準 28" xfId="166" xr:uid="{00000000-0005-0000-0000-0000A6000000}"/>
    <cellStyle name="標準 29" xfId="167" xr:uid="{00000000-0005-0000-0000-0000A7000000}"/>
    <cellStyle name="標準 3" xfId="168" xr:uid="{00000000-0005-0000-0000-0000A8000000}"/>
    <cellStyle name="標準 3 2" xfId="169" xr:uid="{00000000-0005-0000-0000-0000A9000000}"/>
    <cellStyle name="標準 30" xfId="170" xr:uid="{00000000-0005-0000-0000-0000AA000000}"/>
    <cellStyle name="標準 31" xfId="171" xr:uid="{00000000-0005-0000-0000-0000AB000000}"/>
    <cellStyle name="標準 32" xfId="172" xr:uid="{00000000-0005-0000-0000-0000AC000000}"/>
    <cellStyle name="標準 33" xfId="173" xr:uid="{00000000-0005-0000-0000-0000AD000000}"/>
    <cellStyle name="標準 34" xfId="174" xr:uid="{00000000-0005-0000-0000-0000AE000000}"/>
    <cellStyle name="標準 35" xfId="175" xr:uid="{00000000-0005-0000-0000-0000AF000000}"/>
    <cellStyle name="標準 36" xfId="176" xr:uid="{00000000-0005-0000-0000-0000B0000000}"/>
    <cellStyle name="標準 37" xfId="177" xr:uid="{00000000-0005-0000-0000-0000B1000000}"/>
    <cellStyle name="標準 38" xfId="178" xr:uid="{00000000-0005-0000-0000-0000B2000000}"/>
    <cellStyle name="標準 39" xfId="179" xr:uid="{00000000-0005-0000-0000-0000B3000000}"/>
    <cellStyle name="標準 4" xfId="180" xr:uid="{00000000-0005-0000-0000-0000B4000000}"/>
    <cellStyle name="標準 4 2" xfId="181" xr:uid="{00000000-0005-0000-0000-0000B5000000}"/>
    <cellStyle name="標準 40" xfId="182" xr:uid="{00000000-0005-0000-0000-0000B6000000}"/>
    <cellStyle name="標準 41" xfId="183" xr:uid="{00000000-0005-0000-0000-0000B7000000}"/>
    <cellStyle name="標準 42" xfId="184" xr:uid="{00000000-0005-0000-0000-0000B8000000}"/>
    <cellStyle name="標準 43" xfId="185" xr:uid="{00000000-0005-0000-0000-0000B9000000}"/>
    <cellStyle name="標準 5" xfId="186" xr:uid="{00000000-0005-0000-0000-0000BA000000}"/>
    <cellStyle name="標準 5 2" xfId="187" xr:uid="{00000000-0005-0000-0000-0000BB000000}"/>
    <cellStyle name="標準 6" xfId="188" xr:uid="{00000000-0005-0000-0000-0000BC000000}"/>
    <cellStyle name="標準 6 2" xfId="189" xr:uid="{00000000-0005-0000-0000-0000BD000000}"/>
    <cellStyle name="標準 7" xfId="190" xr:uid="{00000000-0005-0000-0000-0000BE000000}"/>
    <cellStyle name="標準 8" xfId="191" xr:uid="{00000000-0005-0000-0000-0000BF000000}"/>
    <cellStyle name="標準 9" xfId="192" xr:uid="{00000000-0005-0000-0000-0000C0000000}"/>
    <cellStyle name="標準 9 2" xfId="193" xr:uid="{00000000-0005-0000-0000-0000C1000000}"/>
    <cellStyle name="表題" xfId="194" xr:uid="{00000000-0005-0000-0000-0000C2000000}"/>
    <cellStyle name="文字列" xfId="195" xr:uid="{00000000-0005-0000-0000-0000C3000000}"/>
    <cellStyle name="未定義" xfId="196" xr:uid="{00000000-0005-0000-0000-0000C4000000}"/>
    <cellStyle name="網かけ" xfId="197" xr:uid="{00000000-0005-0000-0000-0000C5000000}"/>
    <cellStyle name="網掛け" xfId="198" xr:uid="{00000000-0005-0000-0000-0000C6000000}"/>
    <cellStyle name="樘準_購－表紙 (2)_1_型－PRINT_ＳＩ型番 (2)_構成明細  (原調込み） (2)" xfId="199" xr:uid="{00000000-0005-0000-0000-0000C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customXml" Target="../customXml/item1.xml"/><Relationship Id="rId10" Type="http://schemas.openxmlformats.org/officeDocument/2006/relationships/externalLink" Target="externalLinks/externalLink6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30</xdr:row>
      <xdr:rowOff>19049</xdr:rowOff>
    </xdr:from>
    <xdr:to>
      <xdr:col>16</xdr:col>
      <xdr:colOff>0</xdr:colOff>
      <xdr:row>144</xdr:row>
      <xdr:rowOff>123826</xdr:rowOff>
    </xdr:to>
    <xdr:sp macro="" textlink="">
      <xdr:nvSpPr>
        <xdr:cNvPr id="2077" name="Text Box 29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 txBox="1">
          <a:spLocks noChangeArrowheads="1"/>
        </xdr:cNvSpPr>
      </xdr:nvSpPr>
      <xdr:spPr bwMode="auto">
        <a:xfrm>
          <a:off x="695324" y="4648199"/>
          <a:ext cx="10277476" cy="1965960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ctr" rtl="0">
            <a:lnSpc>
              <a:spcPts val="1900"/>
            </a:lnSpc>
            <a:defRPr sz="1000"/>
          </a:pPr>
          <a:endParaRPr lang="en-US" altLang="ja-JP" sz="1600" b="1" i="0" u="none" strike="noStrike" baseline="0">
            <a:solidFill>
              <a:srgbClr val="000000"/>
            </a:solidFill>
            <a:latin typeface="+mj-ea"/>
            <a:ea typeface="+mj-ea"/>
          </a:endParaRPr>
        </a:p>
        <a:p>
          <a:pPr algn="ctr" rtl="0">
            <a:lnSpc>
              <a:spcPts val="1900"/>
            </a:lnSpc>
            <a:defRPr sz="1000"/>
          </a:pPr>
          <a:r>
            <a:rPr lang="ja-JP" altLang="en-US" sz="1600" b="1" i="0" u="none" strike="noStrike" baseline="0">
              <a:solidFill>
                <a:srgbClr val="000000"/>
              </a:solidFill>
              <a:latin typeface="+mj-ea"/>
              <a:ea typeface="+mj-ea"/>
            </a:rPr>
            <a:t>利用手順</a:t>
          </a:r>
          <a:br>
            <a:rPr lang="en-US" altLang="ja-JP" sz="1100" b="1" i="0" u="none" strike="noStrike" baseline="0">
              <a:solidFill>
                <a:srgbClr val="000000"/>
              </a:solidFill>
              <a:latin typeface="+mj-ea"/>
              <a:ea typeface="+mj-ea"/>
            </a:rPr>
          </a:br>
          <a:endParaRPr lang="en-US" altLang="ja-JP" sz="1600" b="1" i="0" u="none" strike="noStrike" baseline="0">
            <a:solidFill>
              <a:srgbClr val="000000"/>
            </a:solidFill>
            <a:latin typeface="+mj-ea"/>
            <a:ea typeface="+mj-ea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1" i="0" u="none" strike="noStrike" baseline="0">
              <a:solidFill>
                <a:srgbClr val="000000"/>
              </a:solidFill>
              <a:latin typeface="+mj-ea"/>
              <a:ea typeface="+mj-ea"/>
            </a:rPr>
            <a:t>1</a:t>
          </a:r>
          <a:r>
            <a:rPr lang="ja-JP" altLang="en-US" sz="1100" b="1" i="0" u="none" strike="noStrike" baseline="0">
              <a:solidFill>
                <a:srgbClr val="000000"/>
              </a:solidFill>
              <a:latin typeface="+mj-ea"/>
              <a:ea typeface="+mj-ea"/>
            </a:rPr>
            <a:t>、</a:t>
          </a:r>
          <a:r>
            <a:rPr lang="en-US" altLang="ja-JP" sz="1100" b="1" i="0" u="none" strike="noStrike" baseline="0">
              <a:solidFill>
                <a:srgbClr val="000000"/>
              </a:solidFill>
              <a:latin typeface="+mj-ea"/>
              <a:ea typeface="+mj-ea"/>
            </a:rPr>
            <a:t>APIIF</a:t>
          </a:r>
          <a:r>
            <a:rPr lang="ja-JP" altLang="en-US" sz="1100" b="1" i="0" u="none" strike="noStrike" baseline="0">
              <a:solidFill>
                <a:srgbClr val="000000"/>
              </a:solidFill>
              <a:latin typeface="+mj-ea"/>
              <a:ea typeface="+mj-ea"/>
            </a:rPr>
            <a:t>仕様書の項目定義シートをこのツールにコピーする。</a:t>
          </a:r>
          <a:endParaRPr lang="en-US" altLang="ja-JP" sz="1100" b="1" i="0" u="none" strike="noStrike" baseline="0">
            <a:solidFill>
              <a:srgbClr val="000000"/>
            </a:solidFill>
            <a:latin typeface="+mj-ea"/>
            <a:ea typeface="+mj-ea"/>
          </a:endParaRP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　　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※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シート名：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API-ID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（例えば、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B006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）</a:t>
          </a:r>
          <a:endParaRPr lang="en-US" altLang="ja-JP" sz="1100" b="0" i="0" u="none" strike="noStrike" baseline="0">
            <a:solidFill>
              <a:srgbClr val="000000"/>
            </a:solidFill>
            <a:latin typeface="+mj-ea"/>
            <a:ea typeface="+mj-ea"/>
          </a:endParaRPr>
        </a:p>
        <a:p>
          <a:pPr algn="l" rtl="0">
            <a:lnSpc>
              <a:spcPts val="1300"/>
            </a:lnSpc>
            <a:defRPr sz="1000"/>
          </a:pPr>
          <a:endParaRPr lang="en-US" altLang="ja-JP" sz="1100" b="0" i="0" u="none" strike="noStrike" baseline="0">
            <a:solidFill>
              <a:srgbClr val="000000"/>
            </a:solidFill>
            <a:latin typeface="+mj-ea"/>
            <a:ea typeface="+mj-ea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+mj-ea"/>
              <a:ea typeface="+mj-ea"/>
            </a:rPr>
            <a:t>２．各項目を設定する</a:t>
          </a:r>
          <a:b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</a:b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　　</a:t>
          </a:r>
          <a:r>
            <a:rPr lang="ja-JP" altLang="en-US" sz="1100" b="1" i="0" u="none" strike="noStrike" baseline="0">
              <a:solidFill>
                <a:srgbClr val="000000"/>
              </a:solidFill>
              <a:latin typeface="+mj-ea"/>
              <a:ea typeface="+mj-ea"/>
            </a:rPr>
            <a:t>①　</a:t>
          </a:r>
          <a:r>
            <a:rPr lang="en-US" altLang="ja-JP" sz="1100" b="1" i="0">
              <a:latin typeface="+mj-ea"/>
              <a:ea typeface="+mj-ea"/>
              <a:cs typeface="+mn-cs"/>
            </a:rPr>
            <a:t>APISheetName</a:t>
          </a:r>
          <a:r>
            <a:rPr lang="ja-JP" altLang="en-US" sz="1100" b="1" i="0">
              <a:latin typeface="+mj-ea"/>
              <a:ea typeface="+mj-ea"/>
              <a:cs typeface="+mn-cs"/>
            </a:rPr>
            <a:t>　</a:t>
          </a:r>
          <a:endParaRPr lang="en-US" altLang="ja-JP" sz="1100" b="1" i="0">
            <a:latin typeface="+mj-ea"/>
            <a:ea typeface="+mj-ea"/>
            <a:cs typeface="+mn-cs"/>
          </a:endParaRP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>
              <a:latin typeface="+mj-ea"/>
              <a:ea typeface="+mj-ea"/>
              <a:cs typeface="+mn-cs"/>
            </a:rPr>
            <a:t>　　　　</a:t>
          </a:r>
          <a:r>
            <a:rPr lang="ja-JP" altLang="ja-JP" sz="1100" b="0" i="0">
              <a:latin typeface="+mj-ea"/>
              <a:ea typeface="+mj-ea"/>
              <a:cs typeface="+mn-cs"/>
            </a:rPr>
            <a:t>対象シート名</a:t>
          </a:r>
          <a:r>
            <a:rPr lang="ja-JP" altLang="en-US" sz="1100" b="0" i="0">
              <a:latin typeface="+mj-ea"/>
              <a:ea typeface="+mj-ea"/>
              <a:cs typeface="+mn-cs"/>
            </a:rPr>
            <a:t>（</a:t>
          </a:r>
          <a:r>
            <a:rPr lang="ja-JP" altLang="ja-JP" sz="1100" b="0" i="0">
              <a:latin typeface="+mj-ea"/>
              <a:ea typeface="+mj-ea"/>
              <a:cs typeface="+mn-cs"/>
            </a:rPr>
            <a:t>必須</a:t>
          </a:r>
          <a:r>
            <a:rPr lang="ja-JP" altLang="en-US" sz="1100" b="0" i="0">
              <a:latin typeface="+mj-ea"/>
              <a:ea typeface="+mj-ea"/>
              <a:cs typeface="+mn-cs"/>
            </a:rPr>
            <a:t>）　</a:t>
          </a:r>
          <a:endParaRPr lang="en-US" altLang="ja-JP" sz="1100" b="0" i="0">
            <a:latin typeface="+mj-ea"/>
            <a:ea typeface="+mj-ea"/>
            <a:cs typeface="+mn-cs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  <a:cs typeface="+mn-cs"/>
            </a:rPr>
            <a:t>　　　　■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例えば、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B006</a:t>
          </a:r>
        </a:p>
        <a:p>
          <a:pPr algn="l" rtl="0">
            <a:lnSpc>
              <a:spcPts val="1300"/>
            </a:lnSpc>
            <a:defRPr sz="1000"/>
          </a:pPr>
          <a:endParaRPr lang="en-US" altLang="ja-JP" sz="1100" b="0" i="0" baseline="0">
            <a:latin typeface="+mj-ea"/>
            <a:ea typeface="+mj-ea"/>
            <a:cs typeface="+mn-cs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+mj-ea"/>
              <a:ea typeface="+mj-ea"/>
              <a:cs typeface="+mn-cs"/>
            </a:rPr>
            <a:t>　　②　</a:t>
          </a:r>
          <a:r>
            <a:rPr lang="en-US" altLang="ja-JP" sz="1100" b="1" i="0" u="none" strike="noStrike">
              <a:latin typeface="+mj-ea"/>
              <a:ea typeface="+mj-ea"/>
              <a:cs typeface="+mn-cs"/>
            </a:rPr>
            <a:t>CaseNo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>
              <a:latin typeface="+mj-ea"/>
              <a:ea typeface="+mj-ea"/>
              <a:cs typeface="+mn-cs"/>
            </a:rPr>
            <a:t>　　　　</a:t>
          </a:r>
          <a:r>
            <a:rPr lang="ja-JP" altLang="ja-JP" sz="1100" b="0" i="0">
              <a:latin typeface="+mj-ea"/>
              <a:ea typeface="+mj-ea"/>
              <a:cs typeface="+mn-cs"/>
            </a:rPr>
            <a:t>対象ケース名（非必須）　</a:t>
          </a:r>
          <a:endParaRPr lang="en-US" altLang="ja-JP" sz="1100" b="0" i="0" u="none" strike="noStrike">
            <a:latin typeface="+mj-ea"/>
            <a:ea typeface="+mj-ea"/>
            <a:cs typeface="+mn-cs"/>
          </a:endParaRPr>
        </a:p>
        <a:p>
          <a:pPr marL="0" marR="0" indent="0" algn="l" defTabSz="914400" rtl="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ja-JP" altLang="en-US" sz="1100" b="0" i="0" u="none" strike="noStrike">
              <a:latin typeface="+mj-ea"/>
              <a:ea typeface="+mj-ea"/>
              <a:cs typeface="+mn-cs"/>
            </a:rPr>
            <a:t>　　　　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■例えば、</a:t>
          </a:r>
          <a:r>
            <a:rPr lang="en-US" altLang="ja-JP" sz="1100" b="0" i="0">
              <a:latin typeface="+mj-ea"/>
              <a:ea typeface="+mj-ea"/>
              <a:cs typeface="+mn-cs"/>
            </a:rPr>
            <a:t>ID0001</a:t>
          </a:r>
          <a:r>
            <a:rPr lang="ja-JP" altLang="en-US" sz="1100" b="0" i="0">
              <a:latin typeface="+mj-ea"/>
              <a:ea typeface="+mj-ea"/>
              <a:cs typeface="+mn-cs"/>
            </a:rPr>
            <a:t>（テストケースの７行目の</a:t>
          </a:r>
          <a:r>
            <a:rPr lang="en-US" altLang="ja-JP" sz="1100" b="0" i="0">
              <a:latin typeface="+mj-ea"/>
              <a:ea typeface="+mj-ea"/>
              <a:cs typeface="+mn-cs"/>
            </a:rPr>
            <a:t>ID</a:t>
          </a:r>
          <a:r>
            <a:rPr lang="ja-JP" altLang="en-US" sz="1100" b="0" i="0">
              <a:latin typeface="+mj-ea"/>
              <a:ea typeface="+mj-ea"/>
              <a:cs typeface="+mn-cs"/>
            </a:rPr>
            <a:t>番号、</a:t>
          </a:r>
          <a:r>
            <a:rPr lang="en-US" altLang="ja-JP" sz="1100" b="0" i="0">
              <a:latin typeface="+mj-ea"/>
              <a:ea typeface="+mj-ea"/>
              <a:cs typeface="+mn-cs"/>
            </a:rPr>
            <a:t>IDXXXX</a:t>
          </a:r>
          <a:r>
            <a:rPr lang="ja-JP" altLang="en-US" sz="1100" b="0" i="0">
              <a:latin typeface="+mj-ea"/>
              <a:ea typeface="+mj-ea"/>
              <a:cs typeface="+mn-cs"/>
            </a:rPr>
            <a:t>形式）</a:t>
          </a:r>
          <a:endParaRPr lang="en-US" altLang="ja-JP" sz="1100" b="0" i="0">
            <a:latin typeface="+mj-ea"/>
            <a:ea typeface="+mj-ea"/>
            <a:cs typeface="+mn-cs"/>
          </a:endParaRPr>
        </a:p>
        <a:p>
          <a:pPr marL="0" marR="0" indent="0" algn="l" defTabSz="914400" rtl="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ja-JP" altLang="en-US" sz="1100" b="0" i="0">
              <a:latin typeface="+mj-ea"/>
              <a:ea typeface="+mj-ea"/>
              <a:cs typeface="+mn-cs"/>
            </a:rPr>
            <a:t>　　　　</a:t>
          </a:r>
          <a:r>
            <a:rPr lang="en-US" altLang="ja-JP" sz="1100" b="0" i="0">
              <a:latin typeface="+mj-ea"/>
              <a:ea typeface="+mj-ea"/>
              <a:cs typeface="+mn-cs"/>
            </a:rPr>
            <a:t>※</a:t>
          </a:r>
          <a:r>
            <a:rPr lang="ja-JP" altLang="en-US" sz="1100" b="0" i="0">
              <a:solidFill>
                <a:schemeClr val="tx1"/>
              </a:solidFill>
              <a:latin typeface="+mj-ea"/>
              <a:ea typeface="+mj-ea"/>
              <a:cs typeface="+mn-cs"/>
            </a:rPr>
            <a:t>③の</a:t>
          </a:r>
          <a:r>
            <a:rPr lang="en-US" altLang="ja-JP" sz="1100" b="1" i="0">
              <a:solidFill>
                <a:schemeClr val="tx1"/>
              </a:solidFill>
              <a:latin typeface="+mj-ea"/>
              <a:ea typeface="+mj-ea"/>
              <a:cs typeface="+mn-cs"/>
            </a:rPr>
            <a:t>CaseStartCol</a:t>
          </a:r>
          <a:r>
            <a:rPr lang="ja-JP" altLang="ja-JP" sz="1100" b="0" i="0">
              <a:solidFill>
                <a:schemeClr val="tx1"/>
              </a:solidFill>
              <a:latin typeface="+mj-ea"/>
              <a:ea typeface="+mj-ea"/>
              <a:cs typeface="+mn-cs"/>
            </a:rPr>
            <a:t>以降</a:t>
          </a:r>
          <a:r>
            <a:rPr lang="ja-JP" altLang="en-US" sz="1100" b="0" i="0">
              <a:solidFill>
                <a:schemeClr val="tx1"/>
              </a:solidFill>
              <a:latin typeface="+mj-ea"/>
              <a:ea typeface="+mj-ea"/>
              <a:cs typeface="+mn-cs"/>
            </a:rPr>
            <a:t>の列で</a:t>
          </a:r>
          <a:r>
            <a:rPr lang="ja-JP" altLang="ja-JP" sz="1100" b="0" i="0">
              <a:latin typeface="+mj-ea"/>
              <a:ea typeface="+mj-ea"/>
              <a:cs typeface="+mn-cs"/>
            </a:rPr>
            <a:t>設定</a:t>
          </a:r>
          <a:r>
            <a:rPr lang="ja-JP" altLang="en-US" sz="1100" b="0" i="0">
              <a:latin typeface="+mj-ea"/>
              <a:ea typeface="+mj-ea"/>
              <a:cs typeface="+mn-cs"/>
            </a:rPr>
            <a:t>する</a:t>
          </a:r>
          <a:r>
            <a:rPr lang="ja-JP" altLang="ja-JP" sz="1100" b="0" i="0">
              <a:latin typeface="+mj-ea"/>
              <a:ea typeface="+mj-ea"/>
              <a:cs typeface="+mn-cs"/>
            </a:rPr>
            <a:t>ケース</a:t>
          </a:r>
          <a:r>
            <a:rPr lang="ja-JP" altLang="en-US" sz="1100" b="0" i="0">
              <a:latin typeface="+mj-ea"/>
              <a:ea typeface="+mj-ea"/>
              <a:cs typeface="+mn-cs"/>
            </a:rPr>
            <a:t>の</a:t>
          </a:r>
          <a:r>
            <a:rPr lang="ja-JP" altLang="ja-JP" sz="1100" b="0" i="0">
              <a:latin typeface="+mj-ea"/>
              <a:ea typeface="+mj-ea"/>
              <a:cs typeface="+mn-cs"/>
            </a:rPr>
            <a:t>名</a:t>
          </a:r>
          <a:r>
            <a:rPr lang="ja-JP" altLang="en-US" sz="1100" b="0" i="0">
              <a:latin typeface="+mj-ea"/>
              <a:ea typeface="+mj-ea"/>
              <a:cs typeface="+mn-cs"/>
            </a:rPr>
            <a:t>を指定する</a:t>
          </a:r>
          <a:r>
            <a:rPr lang="ja-JP" altLang="ja-JP" sz="1100" b="0" i="0">
              <a:solidFill>
                <a:srgbClr val="FF0000"/>
              </a:solidFill>
              <a:latin typeface="+mj-ea"/>
              <a:ea typeface="+mj-ea"/>
              <a:cs typeface="+mn-cs"/>
            </a:rPr>
            <a:t>。</a:t>
          </a:r>
          <a:endParaRPr lang="en-US" altLang="ja-JP" sz="1100" b="0" i="0">
            <a:solidFill>
              <a:srgbClr val="FF0000"/>
            </a:solidFill>
            <a:latin typeface="+mj-ea"/>
            <a:ea typeface="+mj-ea"/>
            <a:cs typeface="+mn-cs"/>
          </a:endParaRPr>
        </a:p>
        <a:p>
          <a:pPr marL="0" marR="0" indent="0" algn="l" defTabSz="914400" rtl="0" eaLnBrk="1" fontAlgn="auto" latinLnBrk="0" hangingPunct="1">
            <a:lnSpc>
              <a:spcPts val="13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ja-JP" altLang="en-US" sz="1100" b="0" i="0">
              <a:latin typeface="+mj-ea"/>
              <a:ea typeface="+mj-ea"/>
              <a:cs typeface="+mn-cs"/>
            </a:rPr>
            <a:t>　　　　　</a:t>
          </a:r>
          <a:r>
            <a:rPr lang="ja-JP" altLang="ja-JP" sz="1100" b="0" i="0">
              <a:latin typeface="+mj-ea"/>
              <a:ea typeface="+mj-ea"/>
              <a:cs typeface="+mn-cs"/>
            </a:rPr>
            <a:t>複数のケースは入力不可</a:t>
          </a:r>
          <a:endParaRPr lang="en-US" altLang="ja-JP" sz="1100" b="0" i="0">
            <a:latin typeface="+mj-ea"/>
            <a:ea typeface="+mj-ea"/>
            <a:cs typeface="+mn-cs"/>
          </a:endParaRPr>
        </a:p>
        <a:p>
          <a:pPr marL="0" marR="0" indent="0" algn="l" defTabSz="914400" rtl="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ja-JP" altLang="en-US" sz="1100" b="0" i="0" baseline="0">
              <a:latin typeface="+mj-ea"/>
              <a:ea typeface="+mj-ea"/>
              <a:cs typeface="+mn-cs"/>
            </a:rPr>
            <a:t>　　　　　未設定の場合、ケース全体を対象となる。　</a:t>
          </a:r>
          <a:endParaRPr lang="en-US" altLang="ja-JP" sz="1100" b="0" i="0" baseline="0">
            <a:latin typeface="+mj-ea"/>
            <a:ea typeface="+mj-ea"/>
            <a:cs typeface="+mn-cs"/>
          </a:endParaRPr>
        </a:p>
        <a:p>
          <a:pPr marL="0" marR="0" indent="0" algn="l" defTabSz="914400" rtl="0" eaLnBrk="1" fontAlgn="auto" latinLnBrk="0" hangingPunct="1">
            <a:lnSpc>
              <a:spcPts val="13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lang="en-US" altLang="ja-JP" sz="1100" b="0" i="0" u="none" strike="noStrike">
            <a:latin typeface="+mj-ea"/>
            <a:ea typeface="+mj-ea"/>
            <a:cs typeface="+mn-cs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1" i="0" u="none" strike="noStrike">
              <a:latin typeface="+mj-ea"/>
              <a:ea typeface="+mj-ea"/>
              <a:cs typeface="+mn-cs"/>
            </a:rPr>
            <a:t>　　③　</a:t>
          </a:r>
          <a:r>
            <a:rPr lang="en-US" altLang="ja-JP" sz="1100" b="1" i="0" u="none" strike="noStrike">
              <a:latin typeface="+mj-ea"/>
              <a:ea typeface="+mj-ea"/>
              <a:cs typeface="+mn-cs"/>
            </a:rPr>
            <a:t>CaseStartCol</a:t>
          </a:r>
          <a:endParaRPr lang="en-US" altLang="ja-JP" sz="1100" b="0" i="0" u="none" strike="noStrike">
            <a:latin typeface="+mj-ea"/>
            <a:ea typeface="+mj-ea"/>
            <a:cs typeface="+mn-cs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>
              <a:latin typeface="+mj-ea"/>
              <a:ea typeface="+mj-ea"/>
              <a:cs typeface="+mn-cs"/>
            </a:rPr>
            <a:t>　　　　</a:t>
          </a:r>
          <a:r>
            <a:rPr lang="ja-JP" altLang="ja-JP" sz="1100" b="0" i="0">
              <a:latin typeface="+mj-ea"/>
              <a:ea typeface="+mj-ea"/>
              <a:cs typeface="+mn-cs"/>
            </a:rPr>
            <a:t>テストデータ</a:t>
          </a:r>
          <a:r>
            <a:rPr lang="ja-JP" altLang="en-US" sz="1100" b="0" i="0">
              <a:latin typeface="+mj-ea"/>
              <a:ea typeface="+mj-ea"/>
              <a:cs typeface="+mn-cs"/>
            </a:rPr>
            <a:t>が</a:t>
          </a:r>
          <a:r>
            <a:rPr lang="ja-JP" altLang="en-US" sz="1100" b="0" i="0" u="none" strike="noStrike">
              <a:latin typeface="+mj-ea"/>
              <a:ea typeface="+mj-ea"/>
              <a:cs typeface="+mn-cs"/>
            </a:rPr>
            <a:t>どの列から設定するの</a:t>
          </a:r>
          <a:r>
            <a:rPr lang="ja-JP" altLang="en-US" sz="1100" b="0" i="0">
              <a:latin typeface="+mj-ea"/>
              <a:ea typeface="+mj-ea"/>
              <a:cs typeface="+mn-cs"/>
            </a:rPr>
            <a:t>を表す。</a:t>
          </a:r>
          <a:r>
            <a:rPr lang="ja-JP" altLang="ja-JP" sz="1100" b="0" i="0">
              <a:latin typeface="+mj-ea"/>
              <a:ea typeface="+mj-ea"/>
              <a:cs typeface="+mn-cs"/>
            </a:rPr>
            <a:t>（必須）</a:t>
          </a:r>
          <a:endParaRPr lang="en-US" altLang="ja-JP" sz="1100" b="0" i="0" u="none" strike="noStrike">
            <a:latin typeface="+mj-ea"/>
            <a:ea typeface="+mj-ea"/>
            <a:cs typeface="+mn-cs"/>
          </a:endParaRP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baseline="0">
              <a:latin typeface="+mj-ea"/>
              <a:ea typeface="+mj-ea"/>
              <a:cs typeface="+mn-cs"/>
            </a:rPr>
            <a:t>　　　　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■例えば、</a:t>
          </a:r>
          <a:r>
            <a:rPr lang="en-US" altLang="ja-JP" sz="1100" b="0" i="0" u="none" strike="noStrike">
              <a:latin typeface="+mj-ea"/>
              <a:ea typeface="+mj-ea"/>
              <a:cs typeface="+mn-cs"/>
            </a:rPr>
            <a:t>CaseNo</a:t>
          </a:r>
          <a:r>
            <a:rPr lang="ja-JP" altLang="en-US" sz="1100" b="0" i="0" u="none" strike="noStrike">
              <a:latin typeface="+mj-ea"/>
              <a:ea typeface="+mj-ea"/>
              <a:cs typeface="+mn-cs"/>
            </a:rPr>
            <a:t>：</a:t>
          </a:r>
          <a:r>
            <a:rPr lang="en-US" altLang="ja-JP" sz="1100" b="0" i="0" u="none" strike="noStrike">
              <a:latin typeface="+mj-ea"/>
              <a:ea typeface="+mj-ea"/>
              <a:cs typeface="+mn-cs"/>
            </a:rPr>
            <a:t>ID0003</a:t>
          </a:r>
          <a:r>
            <a:rPr lang="ja-JP" altLang="en-US" sz="1100" b="0" i="0" u="none" strike="noStrike">
              <a:latin typeface="+mj-ea"/>
              <a:ea typeface="+mj-ea"/>
              <a:cs typeface="+mn-cs"/>
            </a:rPr>
            <a:t>、</a:t>
          </a:r>
          <a:r>
            <a:rPr lang="en-US" altLang="ja-JP" sz="1100" b="0" i="0" u="none" strike="noStrike">
              <a:latin typeface="+mj-ea"/>
              <a:ea typeface="+mj-ea"/>
              <a:cs typeface="+mn-cs"/>
            </a:rPr>
            <a:t>CaseStartCol</a:t>
          </a:r>
          <a:r>
            <a:rPr lang="ja-JP" altLang="en-US" sz="1100" b="0" i="0" u="none" strike="noStrike">
              <a:latin typeface="+mj-ea"/>
              <a:ea typeface="+mj-ea"/>
              <a:cs typeface="+mn-cs"/>
            </a:rPr>
            <a:t>：</a:t>
          </a:r>
          <a:r>
            <a:rPr lang="en-US" altLang="ja-JP" sz="1100" b="0" i="0" u="none" strike="noStrike">
              <a:latin typeface="+mj-ea"/>
              <a:ea typeface="+mj-ea"/>
              <a:cs typeface="+mn-cs"/>
            </a:rPr>
            <a:t>AD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>
              <a:latin typeface="+mj-ea"/>
              <a:ea typeface="+mj-ea"/>
              <a:cs typeface="+mn-cs"/>
            </a:rPr>
            <a:t>　　　　　　　　　　意味：列</a:t>
          </a:r>
          <a:r>
            <a:rPr lang="en-US" altLang="ja-JP" sz="1100" b="0" i="0" u="none" strike="noStrike">
              <a:latin typeface="+mj-ea"/>
              <a:ea typeface="+mj-ea"/>
              <a:cs typeface="+mn-cs"/>
            </a:rPr>
            <a:t>AD</a:t>
          </a:r>
          <a:r>
            <a:rPr lang="ja-JP" altLang="en-US" sz="1100" b="0" i="0" u="none" strike="noStrike">
              <a:latin typeface="+mj-ea"/>
              <a:ea typeface="+mj-ea"/>
              <a:cs typeface="+mn-cs"/>
            </a:rPr>
            <a:t>から</a:t>
          </a:r>
          <a:r>
            <a:rPr lang="en-US" altLang="ja-JP" sz="1100" b="0" i="0" u="none" strike="noStrike">
              <a:latin typeface="+mj-ea"/>
              <a:ea typeface="+mj-ea"/>
              <a:cs typeface="+mn-cs"/>
            </a:rPr>
            <a:t>CaseNo</a:t>
          </a:r>
          <a:r>
            <a:rPr lang="ja-JP" altLang="en-US" sz="1100" b="0" i="0" u="none" strike="noStrike">
              <a:latin typeface="+mj-ea"/>
              <a:ea typeface="+mj-ea"/>
              <a:cs typeface="+mn-cs"/>
            </a:rPr>
            <a:t>を探し，</a:t>
          </a:r>
          <a:r>
            <a:rPr lang="en-US" altLang="ja-JP" sz="1100" b="0" i="0" u="none" strike="noStrike">
              <a:latin typeface="+mj-ea"/>
              <a:ea typeface="+mj-ea"/>
              <a:cs typeface="+mn-cs"/>
            </a:rPr>
            <a:t>ID0003</a:t>
          </a:r>
          <a:r>
            <a:rPr lang="ja-JP" altLang="en-US" sz="1100" b="0" i="0" u="none" strike="noStrike">
              <a:latin typeface="+mj-ea"/>
              <a:ea typeface="+mj-ea"/>
              <a:cs typeface="+mn-cs"/>
            </a:rPr>
            <a:t>のデータを生成する。</a:t>
          </a:r>
          <a:endParaRPr lang="en-US" altLang="ja-JP" sz="1100" b="0" i="0" u="none" strike="noStrike">
            <a:latin typeface="+mj-ea"/>
            <a:ea typeface="+mj-ea"/>
            <a:cs typeface="+mn-cs"/>
          </a:endParaRPr>
        </a:p>
        <a:p>
          <a:pPr marL="0" marR="0" indent="0" algn="l" defTabSz="914400" rtl="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ja-JP" altLang="en-US" sz="1100" b="0" i="0" u="none" strike="noStrike">
              <a:latin typeface="+mj-ea"/>
              <a:ea typeface="+mj-ea"/>
              <a:cs typeface="+mn-cs"/>
            </a:rPr>
            <a:t>　　　　</a:t>
          </a:r>
          <a:r>
            <a:rPr lang="en-US" altLang="ja-JP" sz="1100" b="0" i="0">
              <a:latin typeface="+mj-ea"/>
              <a:ea typeface="+mj-ea"/>
              <a:cs typeface="+mn-cs"/>
            </a:rPr>
            <a:t>※</a:t>
          </a:r>
          <a:r>
            <a:rPr lang="ja-JP" altLang="en-US" sz="1100" b="0" i="0">
              <a:latin typeface="+mj-ea"/>
              <a:ea typeface="+mj-ea"/>
              <a:cs typeface="+mn-cs"/>
            </a:rPr>
            <a:t>一般的に、</a:t>
          </a:r>
          <a:r>
            <a:rPr lang="en-US" altLang="ja-JP" sz="1100" b="0" i="0">
              <a:latin typeface="+mj-ea"/>
              <a:ea typeface="+mj-ea"/>
              <a:cs typeface="+mn-cs"/>
            </a:rPr>
            <a:t>AD</a:t>
          </a:r>
          <a:r>
            <a:rPr lang="ja-JP" altLang="en-US" sz="1100" b="0" i="0">
              <a:latin typeface="+mj-ea"/>
              <a:ea typeface="+mj-ea"/>
              <a:cs typeface="+mn-cs"/>
            </a:rPr>
            <a:t>以降の列を設定する。</a:t>
          </a:r>
          <a:endParaRPr lang="en-US" altLang="ja-JP" sz="1100" b="0" i="0">
            <a:latin typeface="+mj-ea"/>
            <a:ea typeface="+mj-ea"/>
            <a:cs typeface="+mn-cs"/>
          </a:endParaRPr>
        </a:p>
        <a:p>
          <a:pPr algn="l" rtl="0">
            <a:lnSpc>
              <a:spcPts val="1300"/>
            </a:lnSpc>
            <a:defRPr sz="1000"/>
          </a:pPr>
          <a:endParaRPr lang="en-US" altLang="ja-JP" sz="1100" b="0" i="0" u="none" strike="noStrike">
            <a:latin typeface="+mj-ea"/>
            <a:ea typeface="+mj-ea"/>
            <a:cs typeface="+mn-cs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1" i="0" u="none" strike="noStrike">
              <a:latin typeface="+mj-ea"/>
              <a:ea typeface="+mj-ea"/>
              <a:cs typeface="+mn-cs"/>
            </a:rPr>
            <a:t>　　④　</a:t>
          </a:r>
          <a:r>
            <a:rPr lang="en-US" altLang="ja-JP" sz="1100" b="1" i="0" u="none" strike="noStrike">
              <a:latin typeface="+mj-ea"/>
              <a:ea typeface="+mj-ea"/>
              <a:cs typeface="+mn-cs"/>
            </a:rPr>
            <a:t>Request file path</a:t>
          </a:r>
          <a:endParaRPr lang="en-US" altLang="ja-JP" sz="1100" b="0" i="0" u="none" strike="noStrike">
            <a:latin typeface="+mj-ea"/>
            <a:ea typeface="+mj-ea"/>
            <a:cs typeface="+mn-cs"/>
          </a:endParaRP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>
              <a:latin typeface="+mj-ea"/>
              <a:ea typeface="+mj-ea"/>
              <a:cs typeface="+mn-cs"/>
            </a:rPr>
            <a:t>　　　　生成した要求電文・</a:t>
          </a:r>
          <a:r>
            <a:rPr lang="en-US" altLang="ja-JP" sz="1100" b="0" i="0" u="none" strike="noStrike">
              <a:latin typeface="+mj-ea"/>
              <a:ea typeface="+mj-ea"/>
              <a:cs typeface="+mn-cs"/>
            </a:rPr>
            <a:t>XML</a:t>
          </a:r>
          <a:r>
            <a:rPr lang="ja-JP" altLang="en-US" sz="1100" b="0" i="0">
              <a:latin typeface="+mj-ea"/>
              <a:ea typeface="+mj-ea"/>
              <a:cs typeface="+mn-cs"/>
            </a:rPr>
            <a:t>ファイルの</a:t>
          </a:r>
          <a:r>
            <a:rPr lang="ja-JP" altLang="en-US" sz="1100" b="0" i="0" u="none" strike="noStrike">
              <a:latin typeface="+mj-ea"/>
              <a:ea typeface="+mj-ea"/>
              <a:cs typeface="+mn-cs"/>
            </a:rPr>
            <a:t>格納場所。</a:t>
          </a:r>
          <a:r>
            <a:rPr lang="ja-JP" altLang="ja-JP" sz="1100" b="0" i="0">
              <a:latin typeface="+mj-ea"/>
              <a:ea typeface="+mj-ea"/>
              <a:cs typeface="+mn-cs"/>
            </a:rPr>
            <a:t>（非必須）　</a:t>
          </a:r>
          <a:endParaRPr lang="en-US" altLang="ja-JP" sz="1100" b="0" i="0">
            <a:latin typeface="+mj-ea"/>
            <a:ea typeface="+mj-ea"/>
            <a:cs typeface="+mn-cs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>
              <a:latin typeface="+mj-ea"/>
              <a:ea typeface="+mj-ea"/>
              <a:cs typeface="+mn-cs"/>
            </a:rPr>
            <a:t>　　　　</a:t>
          </a:r>
          <a:r>
            <a:rPr lang="en-US" altLang="ja-JP" sz="1100" b="0" i="0">
              <a:latin typeface="+mj-ea"/>
              <a:ea typeface="+mj-ea"/>
              <a:cs typeface="+mn-cs"/>
            </a:rPr>
            <a:t>※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未設定の場合、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このツールの</a:t>
          </a:r>
          <a:r>
            <a:rPr lang="ja-JP" altLang="ja-JP" sz="1100" b="0" i="0">
              <a:latin typeface="+mj-ea"/>
              <a:ea typeface="+mj-ea"/>
              <a:cs typeface="+mn-cs"/>
            </a:rPr>
            <a:t>格納場所</a:t>
          </a:r>
          <a:r>
            <a:rPr lang="ja-JP" altLang="en-US" sz="1100" b="0" i="0">
              <a:latin typeface="+mj-ea"/>
              <a:ea typeface="+mj-ea"/>
              <a:cs typeface="+mn-cs"/>
            </a:rPr>
            <a:t>と同じ。</a:t>
          </a:r>
          <a:endParaRPr lang="en-US" altLang="ja-JP" sz="1100" b="0" i="0">
            <a:latin typeface="+mj-ea"/>
            <a:ea typeface="+mj-ea"/>
            <a:cs typeface="+mn-cs"/>
          </a:endParaRPr>
        </a:p>
        <a:p>
          <a:pPr algn="l" rtl="0">
            <a:lnSpc>
              <a:spcPts val="1200"/>
            </a:lnSpc>
            <a:defRPr sz="1000"/>
          </a:pPr>
          <a:endParaRPr lang="en-US" altLang="ja-JP" sz="1100" b="0" i="0" u="none" strike="noStrike">
            <a:latin typeface="+mj-ea"/>
            <a:ea typeface="+mj-ea"/>
            <a:cs typeface="+mn-cs"/>
          </a:endParaRPr>
        </a:p>
        <a:p>
          <a:pPr algn="l" rtl="0">
            <a:lnSpc>
              <a:spcPts val="1300"/>
            </a:lnSpc>
            <a:defRPr sz="1000"/>
          </a:pPr>
          <a:r>
            <a:rPr lang="ja-JP" altLang="en-US" sz="1100" b="1" i="0" u="none" strike="noStrike">
              <a:latin typeface="+mj-ea"/>
              <a:ea typeface="+mj-ea"/>
              <a:cs typeface="+mn-cs"/>
            </a:rPr>
            <a:t>　　⑤　</a:t>
          </a:r>
          <a:r>
            <a:rPr lang="en-US" altLang="ja-JP" sz="1100" b="1" i="0" u="none" strike="noStrike">
              <a:latin typeface="+mj-ea"/>
              <a:ea typeface="+mj-ea"/>
              <a:cs typeface="+mn-cs"/>
            </a:rPr>
            <a:t>Response file path</a:t>
          </a:r>
          <a:endParaRPr lang="en-US" altLang="ja-JP" sz="1100" b="0" i="0" u="none" strike="noStrike">
            <a:latin typeface="+mj-ea"/>
            <a:ea typeface="+mj-ea"/>
            <a:cs typeface="+mn-cs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>
              <a:latin typeface="+mj-ea"/>
              <a:ea typeface="+mj-ea"/>
              <a:cs typeface="+mn-cs"/>
            </a:rPr>
            <a:t>　　　　</a:t>
          </a:r>
          <a:r>
            <a:rPr lang="ja-JP" altLang="ja-JP" sz="1100" b="0" i="0">
              <a:latin typeface="+mj-ea"/>
              <a:ea typeface="+mj-ea"/>
              <a:cs typeface="+mn-cs"/>
            </a:rPr>
            <a:t>解析</a:t>
          </a:r>
          <a:r>
            <a:rPr lang="ja-JP" altLang="en-US" sz="1100" b="0" i="0">
              <a:latin typeface="+mj-ea"/>
              <a:ea typeface="+mj-ea"/>
              <a:cs typeface="+mn-cs"/>
            </a:rPr>
            <a:t>したい</a:t>
          </a:r>
          <a:r>
            <a:rPr lang="ja-JP" altLang="en-US" sz="1100" b="0" i="0" u="none" strike="noStrike">
              <a:latin typeface="+mj-ea"/>
              <a:ea typeface="+mj-ea"/>
              <a:cs typeface="+mn-cs"/>
            </a:rPr>
            <a:t>応答</a:t>
          </a:r>
          <a:r>
            <a:rPr lang="ja-JP" altLang="ja-JP" sz="1100" b="0" i="0">
              <a:latin typeface="+mj-ea"/>
              <a:ea typeface="+mj-ea"/>
              <a:cs typeface="+mn-cs"/>
            </a:rPr>
            <a:t>電文</a:t>
          </a:r>
          <a:r>
            <a:rPr lang="ja-JP" altLang="en-US" sz="1100" b="0" i="0">
              <a:latin typeface="+mj-ea"/>
              <a:ea typeface="+mj-ea"/>
              <a:cs typeface="+mn-cs"/>
            </a:rPr>
            <a:t>の</a:t>
          </a:r>
          <a:r>
            <a:rPr lang="ja-JP" altLang="ja-JP" sz="1100" b="0" i="0">
              <a:latin typeface="+mj-ea"/>
              <a:ea typeface="+mj-ea"/>
              <a:cs typeface="+mn-cs"/>
            </a:rPr>
            <a:t>格納場所（</a:t>
          </a:r>
          <a:r>
            <a:rPr lang="en-US" sz="1000" b="0" i="0">
              <a:solidFill>
                <a:srgbClr val="FF0000"/>
              </a:solidFill>
              <a:latin typeface="+mn-lt"/>
              <a:ea typeface="+mn-ea"/>
              <a:cs typeface="+mn-cs"/>
            </a:rPr>
            <a:t>ResponseStream</a:t>
          </a:r>
          <a:r>
            <a:rPr lang="ja-JP" altLang="en-US" sz="1000" b="0" i="0">
              <a:solidFill>
                <a:srgbClr val="FF0000"/>
              </a:solidFill>
              <a:latin typeface="+mn-lt"/>
              <a:ea typeface="+mn-ea"/>
              <a:cs typeface="+mn-cs"/>
            </a:rPr>
            <a:t>は未入力時</a:t>
          </a:r>
          <a:r>
            <a:rPr lang="ja-JP" altLang="ja-JP" sz="1100" b="0" i="0">
              <a:solidFill>
                <a:srgbClr val="FF0000"/>
              </a:solidFill>
              <a:latin typeface="+mj-ea"/>
              <a:ea typeface="+mj-ea"/>
              <a:cs typeface="+mn-cs"/>
            </a:rPr>
            <a:t>必須</a:t>
          </a:r>
          <a:r>
            <a:rPr lang="ja-JP" altLang="ja-JP" sz="1100" b="0" i="0">
              <a:latin typeface="+mj-ea"/>
              <a:ea typeface="+mj-ea"/>
              <a:cs typeface="+mn-cs"/>
            </a:rPr>
            <a:t>）　</a:t>
          </a:r>
          <a:endParaRPr lang="en-US" altLang="ja-JP" sz="1100" b="0" i="0">
            <a:latin typeface="+mj-ea"/>
            <a:ea typeface="+mj-ea"/>
            <a:cs typeface="+mn-cs"/>
          </a:endParaRPr>
        </a:p>
        <a:p>
          <a:pPr marL="0" marR="0" indent="0" algn="l" defTabSz="914400" rtl="0" eaLnBrk="1" fontAlgn="auto" latinLnBrk="0" hangingPunct="1">
            <a:lnSpc>
              <a:spcPts val="13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ja-JP" altLang="ja-JP" sz="1100" b="0" i="0">
              <a:latin typeface="+mj-ea"/>
              <a:ea typeface="+mj-ea"/>
              <a:cs typeface="+mn-cs"/>
            </a:rPr>
            <a:t>　　　　</a:t>
          </a:r>
          <a:endParaRPr lang="en-US" altLang="ja-JP" sz="1100" b="0" i="0">
            <a:latin typeface="+mj-ea"/>
            <a:ea typeface="+mj-ea"/>
            <a:cs typeface="+mn-cs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1" i="0" u="none" strike="noStrike">
              <a:latin typeface="+mj-ea"/>
              <a:ea typeface="+mj-ea"/>
              <a:cs typeface="+mn-cs"/>
            </a:rPr>
            <a:t>　　⑥　</a:t>
          </a:r>
          <a:r>
            <a:rPr lang="en-US" altLang="ja-JP" sz="1100" b="1" i="0" u="none" strike="noStrike">
              <a:latin typeface="+mj-ea"/>
              <a:ea typeface="+mj-ea"/>
              <a:cs typeface="+mn-cs"/>
            </a:rPr>
            <a:t>ResponseStream</a:t>
          </a:r>
          <a:endParaRPr lang="en-US" altLang="ja-JP" sz="1100" b="0" i="0" u="none" strike="noStrike">
            <a:latin typeface="+mj-ea"/>
            <a:ea typeface="+mj-ea"/>
            <a:cs typeface="+mn-cs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>
              <a:latin typeface="+mj-ea"/>
              <a:ea typeface="+mj-ea"/>
              <a:cs typeface="+mn-cs"/>
            </a:rPr>
            <a:t>　　　　</a:t>
          </a:r>
          <a:r>
            <a:rPr lang="ja-JP" altLang="ja-JP" sz="1100" b="0" i="0">
              <a:latin typeface="+mj-ea"/>
              <a:ea typeface="+mj-ea"/>
              <a:cs typeface="+mn-cs"/>
            </a:rPr>
            <a:t>解析したい応答電文</a:t>
          </a:r>
          <a:r>
            <a:rPr lang="ja-JP" altLang="en-US" sz="1100" b="0" i="0">
              <a:latin typeface="+mj-ea"/>
              <a:ea typeface="+mj-ea"/>
              <a:cs typeface="+mn-cs"/>
            </a:rPr>
            <a:t>そのものである。</a:t>
          </a:r>
          <a:r>
            <a:rPr lang="ja-JP" altLang="ja-JP" sz="1100" b="0" i="0">
              <a:latin typeface="+mj-ea"/>
              <a:ea typeface="+mj-ea"/>
              <a:cs typeface="+mn-cs"/>
            </a:rPr>
            <a:t>（非必須）　</a:t>
          </a:r>
          <a:endParaRPr lang="en-US" altLang="ja-JP" sz="1100" b="0">
            <a:latin typeface="+mj-ea"/>
            <a:ea typeface="+mj-ea"/>
          </a:endParaRP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>
              <a:latin typeface="+mj-ea"/>
              <a:ea typeface="+mj-ea"/>
              <a:cs typeface="+mn-cs"/>
            </a:rPr>
            <a:t>　　　　</a:t>
          </a:r>
          <a:r>
            <a:rPr lang="en-US" altLang="ja-JP" sz="1100" b="0" i="0" u="none" strike="noStrike">
              <a:latin typeface="+mj-ea"/>
              <a:ea typeface="+mj-ea"/>
              <a:cs typeface="+mn-cs"/>
            </a:rPr>
            <a:t>※</a:t>
          </a:r>
          <a:r>
            <a:rPr lang="ja-JP" altLang="en-US" sz="1100" b="0" i="0" u="none" strike="noStrike">
              <a:latin typeface="+mj-ea"/>
              <a:ea typeface="+mj-ea"/>
              <a:cs typeface="+mn-cs"/>
            </a:rPr>
            <a:t>⑤、⑥同時入力</a:t>
          </a:r>
          <a:r>
            <a:rPr lang="ja-JP" altLang="en-US" sz="1100" b="0" i="0" u="none" strike="noStrike">
              <a:solidFill>
                <a:srgbClr val="FF0000"/>
              </a:solidFill>
              <a:latin typeface="+mj-ea"/>
              <a:ea typeface="+mj-ea"/>
              <a:cs typeface="+mn-cs"/>
            </a:rPr>
            <a:t>したら、⑥は無効になる</a:t>
          </a:r>
          <a:r>
            <a:rPr lang="ja-JP" altLang="en-US" sz="1100" b="0" i="0" u="none" strike="noStrike">
              <a:latin typeface="+mj-ea"/>
              <a:ea typeface="+mj-ea"/>
              <a:cs typeface="+mn-cs"/>
            </a:rPr>
            <a:t>。</a:t>
          </a:r>
          <a:r>
            <a:rPr lang="ja-JP" altLang="en-US" sz="1100" b="0">
              <a:latin typeface="+mj-ea"/>
              <a:ea typeface="+mj-ea"/>
            </a:rPr>
            <a:t> </a:t>
          </a:r>
          <a:endParaRPr lang="en-US" altLang="ja-JP" sz="1100" b="0">
            <a:latin typeface="+mj-ea"/>
            <a:ea typeface="+mj-ea"/>
          </a:endParaRPr>
        </a:p>
        <a:p>
          <a:pPr algn="l" rtl="0">
            <a:lnSpc>
              <a:spcPts val="1200"/>
            </a:lnSpc>
            <a:defRPr sz="1000"/>
          </a:pPr>
          <a:endParaRPr lang="en-US" altLang="ja-JP" sz="1100" b="0" i="0" u="none" strike="noStrike" baseline="0">
            <a:solidFill>
              <a:srgbClr val="000000"/>
            </a:solidFill>
            <a:latin typeface="+mj-ea"/>
            <a:ea typeface="+mj-ea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+mj-ea"/>
              <a:ea typeface="+mj-ea"/>
            </a:rPr>
            <a:t>３．下記の場合に応じて、各ボタンを押下する。</a:t>
          </a:r>
          <a:endParaRPr lang="en-US" altLang="ja-JP" sz="1100" b="1" i="0" u="none" strike="noStrike" baseline="0">
            <a:solidFill>
              <a:srgbClr val="000000"/>
            </a:solidFill>
            <a:latin typeface="+mj-ea"/>
            <a:ea typeface="+mj-ea"/>
          </a:endParaRPr>
        </a:p>
        <a:p>
          <a:pPr algn="l" rtl="0">
            <a:lnSpc>
              <a:spcPts val="1300"/>
            </a:lnSpc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+mj-ea"/>
              <a:ea typeface="+mj-ea"/>
            </a:rPr>
            <a:t>　　①要求電文を生成するなら　　⇒　　「</a:t>
          </a:r>
          <a:r>
            <a:rPr lang="en-US" altLang="ja-JP" sz="1100" b="1" i="0" u="none" strike="noStrike" baseline="0">
              <a:solidFill>
                <a:srgbClr val="000000"/>
              </a:solidFill>
              <a:latin typeface="+mj-ea"/>
              <a:ea typeface="+mj-ea"/>
            </a:rPr>
            <a:t>Generate-IN</a:t>
          </a:r>
          <a:r>
            <a:rPr lang="ja-JP" altLang="ja-JP" sz="1100" b="1" i="0" baseline="0">
              <a:latin typeface="+mj-ea"/>
              <a:ea typeface="+mj-ea"/>
              <a:cs typeface="+mn-cs"/>
            </a:rPr>
            <a:t>」ボタン</a:t>
          </a:r>
          <a:endParaRPr lang="en-US" altLang="ja-JP" sz="1100" b="1" i="0" baseline="0">
            <a:latin typeface="+mj-ea"/>
            <a:ea typeface="+mj-ea"/>
            <a:cs typeface="+mn-cs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+mj-ea"/>
              <a:ea typeface="+mj-ea"/>
              <a:cs typeface="+mn-cs"/>
            </a:rPr>
            <a:t>　　　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　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(1)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　一件生成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（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CaseNo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を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設定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する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）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									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　　　　　　　例：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【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項目設定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】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APISheetName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：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B006 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　　　　　　　　　　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・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CaseNo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：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ID0003 </a:t>
          </a:r>
        </a:p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　　　　　　　　　　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・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CaseStartCol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：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AD  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　　　　　　　　　　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・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Request file path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：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C:\sample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　　　　　　　　　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【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実行結果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】</a:t>
          </a:r>
          <a:endParaRPr lang="en-US" altLang="ja-JP" sz="1100" b="0" i="0" u="none" strike="noStrike" baseline="0">
            <a:solidFill>
              <a:srgbClr val="000000"/>
            </a:solidFill>
            <a:latin typeface="+mj-ea"/>
            <a:ea typeface="+mj-ea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C:\sample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配下に要求電文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ファイル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の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B006_in_ID0003.txt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を生成する。				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							</a:t>
          </a:r>
        </a:p>
        <a:p>
          <a:pPr algn="l" rtl="0">
            <a:defRPr sz="1000"/>
          </a:pPr>
          <a:r>
            <a:rPr lang="ja-JP" altLang="ja-JP" sz="1100" b="1" i="0" baseline="0">
              <a:latin typeface="+mj-ea"/>
              <a:ea typeface="+mj-ea"/>
              <a:cs typeface="+mn-cs"/>
            </a:rPr>
            <a:t>　　　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　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(2)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　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一括生成（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CaseNo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設定しない）</a:t>
          </a:r>
          <a:endParaRPr lang="en-US" altLang="ja-JP" sz="1100" b="0" i="0" u="none" strike="noStrike" baseline="0">
            <a:solidFill>
              <a:srgbClr val="000000"/>
            </a:solidFill>
            <a:latin typeface="+mj-ea"/>
            <a:ea typeface="+mj-ea"/>
          </a:endParaRPr>
        </a:p>
        <a:p>
          <a:pPr rtl="0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例：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【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項目設定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】</a:t>
          </a:r>
          <a:endParaRPr lang="ja-JP" altLang="ja-JP" sz="1100">
            <a:latin typeface="+mj-ea"/>
            <a:ea typeface="+mj-ea"/>
          </a:endParaRPr>
        </a:p>
        <a:p>
          <a:pPr rtl="0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APISheetName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B006 </a:t>
          </a:r>
          <a:endParaRPr lang="ja-JP" altLang="ja-JP" sz="1100">
            <a:latin typeface="+mj-ea"/>
            <a:ea typeface="+mj-ea"/>
          </a:endParaRPr>
        </a:p>
        <a:p>
          <a:pPr rtl="0"/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CaseNo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（空白）</a:t>
          </a:r>
          <a:endParaRPr lang="ja-JP" altLang="ja-JP" sz="1100">
            <a:latin typeface="+mj-ea"/>
            <a:ea typeface="+mj-ea"/>
          </a:endParaRPr>
        </a:p>
        <a:p>
          <a:pPr rtl="0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CaseStartCol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AD  </a:t>
          </a:r>
          <a:endParaRPr lang="ja-JP" altLang="ja-JP" sz="1100">
            <a:latin typeface="+mj-ea"/>
            <a:ea typeface="+mj-ea"/>
          </a:endParaRPr>
        </a:p>
        <a:p>
          <a:pPr rtl="0">
            <a:lnSpc>
              <a:spcPts val="13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Request file path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C:\sample</a:t>
          </a:r>
          <a:endParaRPr lang="ja-JP" altLang="ja-JP" sz="1100">
            <a:latin typeface="+mj-ea"/>
            <a:ea typeface="+mj-ea"/>
          </a:endParaRPr>
        </a:p>
        <a:p>
          <a:pPr rtl="0" fontAlgn="base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【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実行結果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】</a:t>
          </a:r>
        </a:p>
        <a:p>
          <a:pPr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C:\sample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配下に要求電文ファイル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全体（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B006_in_ID0001.txt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，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B006_in_ID0002.txt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，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B006_in_ID0003.txt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など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）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を生成する。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			</a:t>
          </a:r>
          <a:endParaRPr lang="en-US" altLang="ja-JP" sz="1100" b="1" i="0" u="none" strike="noStrike" baseline="0">
            <a:solidFill>
              <a:srgbClr val="000000"/>
            </a:solidFill>
            <a:latin typeface="+mj-ea"/>
            <a:ea typeface="+mj-ea"/>
          </a:endParaRPr>
        </a:p>
        <a:p>
          <a:pPr algn="l" rtl="0"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+mj-ea"/>
              <a:ea typeface="+mj-ea"/>
            </a:rPr>
            <a:t>　　②応答内容を解析</a:t>
          </a:r>
          <a:r>
            <a:rPr lang="ja-JP" altLang="ja-JP" sz="1100" b="1" i="0" baseline="0">
              <a:latin typeface="+mj-ea"/>
              <a:ea typeface="+mj-ea"/>
              <a:cs typeface="+mn-cs"/>
            </a:rPr>
            <a:t>するなら　　⇒　　「</a:t>
          </a:r>
          <a:r>
            <a:rPr lang="en-US" altLang="ja-JP" sz="1100" b="1" i="0" baseline="0">
              <a:latin typeface="+mj-ea"/>
              <a:ea typeface="+mj-ea"/>
              <a:cs typeface="+mn-cs"/>
            </a:rPr>
            <a:t>Analyze-OUT</a:t>
          </a:r>
          <a:r>
            <a:rPr lang="ja-JP" altLang="ja-JP" sz="1100" b="1" i="0" baseline="0">
              <a:latin typeface="+mj-ea"/>
              <a:ea typeface="+mj-ea"/>
              <a:cs typeface="+mn-cs"/>
            </a:rPr>
            <a:t>」</a:t>
          </a:r>
          <a:r>
            <a:rPr lang="ja-JP" altLang="en-US" sz="1100" b="1" i="0" baseline="0">
              <a:latin typeface="+mj-ea"/>
              <a:ea typeface="+mj-ea"/>
              <a:cs typeface="+mn-cs"/>
            </a:rPr>
            <a:t>、「</a:t>
          </a:r>
          <a:r>
            <a:rPr lang="en-US" altLang="ja-JP" sz="1100" b="1" i="0" baseline="0">
              <a:latin typeface="+mj-ea"/>
              <a:ea typeface="+mj-ea"/>
              <a:cs typeface="+mn-cs"/>
            </a:rPr>
            <a:t>Analyze-OUTXML</a:t>
          </a:r>
          <a:r>
            <a:rPr lang="ja-JP" altLang="en-US" sz="1100" b="1" i="0" baseline="0">
              <a:latin typeface="+mj-ea"/>
              <a:ea typeface="+mj-ea"/>
              <a:cs typeface="+mn-cs"/>
            </a:rPr>
            <a:t>」</a:t>
          </a:r>
          <a:r>
            <a:rPr lang="ja-JP" altLang="ja-JP" sz="1100" b="1" i="0" baseline="0">
              <a:latin typeface="+mj-ea"/>
              <a:ea typeface="+mj-ea"/>
              <a:cs typeface="+mn-cs"/>
            </a:rPr>
            <a:t>ボタン</a:t>
          </a:r>
          <a:endParaRPr lang="en-US" altLang="ja-JP" sz="1100" b="1" i="0" baseline="0">
            <a:latin typeface="+mj-ea"/>
            <a:ea typeface="+mj-ea"/>
            <a:cs typeface="+mn-cs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  <a:cs typeface="+mn-cs"/>
            </a:rPr>
            <a:t>　　　　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  <a:cs typeface="+mn-cs"/>
            </a:rPr>
            <a:t>※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解析結果を指定した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【APISheetName】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に保存する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。</a:t>
          </a:r>
          <a:endParaRPr lang="en-US" altLang="ja-JP" sz="1100" b="0" i="0" baseline="0">
            <a:latin typeface="+mj-ea"/>
            <a:ea typeface="+mj-ea"/>
            <a:cs typeface="+mn-cs"/>
          </a:endParaRPr>
        </a:p>
        <a:p>
          <a:pPr rtl="0"/>
          <a:r>
            <a:rPr lang="ja-JP" altLang="ja-JP" sz="1100" b="1" i="0" baseline="0">
              <a:latin typeface="+mj-ea"/>
              <a:ea typeface="+mj-ea"/>
              <a:cs typeface="+mn-cs"/>
            </a:rPr>
            <a:t>　　　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　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(1)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　一件生成（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CaseNo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を設定する）							</a:t>
          </a:r>
          <a:endParaRPr lang="ja-JP" altLang="ja-JP" sz="1100">
            <a:latin typeface="+mj-ea"/>
            <a:ea typeface="+mj-ea"/>
          </a:endParaRPr>
        </a:p>
        <a:p>
          <a:pPr rtl="0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例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１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ファイルから読込みのパターン</a:t>
          </a:r>
          <a:endParaRPr lang="en-US" altLang="ja-JP" sz="1100" b="0" i="0" baseline="0">
            <a:latin typeface="+mj-ea"/>
            <a:ea typeface="+mj-ea"/>
            <a:cs typeface="+mn-cs"/>
          </a:endParaRPr>
        </a:p>
        <a:p>
          <a:pPr rtl="0">
            <a:lnSpc>
              <a:spcPts val="1200"/>
            </a:lnSpc>
          </a:pPr>
          <a:r>
            <a:rPr lang="ja-JP" altLang="en-US" sz="1100" b="0" i="0" baseline="0">
              <a:latin typeface="+mj-ea"/>
              <a:ea typeface="+mj-ea"/>
              <a:cs typeface="+mn-cs"/>
            </a:rPr>
            <a:t>　　　　　　　　　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【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項目設定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】</a:t>
          </a:r>
          <a:endParaRPr lang="ja-JP" altLang="ja-JP" sz="1100">
            <a:latin typeface="+mj-ea"/>
            <a:ea typeface="+mj-ea"/>
          </a:endParaRPr>
        </a:p>
        <a:p>
          <a:pPr rtl="0"/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APISheetName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B006 </a:t>
          </a:r>
          <a:endParaRPr lang="ja-JP" altLang="ja-JP" sz="1100">
            <a:latin typeface="+mj-ea"/>
            <a:ea typeface="+mj-ea"/>
          </a:endParaRPr>
        </a:p>
        <a:p>
          <a:pPr rtl="0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CaseNo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ID0003 </a:t>
          </a:r>
          <a:endParaRPr lang="ja-JP" altLang="ja-JP" sz="1100">
            <a:latin typeface="+mj-ea"/>
            <a:ea typeface="+mj-ea"/>
          </a:endParaRPr>
        </a:p>
        <a:p>
          <a:pPr rtl="0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CaseStartCol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AD  </a:t>
          </a:r>
          <a:endParaRPr lang="ja-JP" altLang="ja-JP" sz="1100">
            <a:latin typeface="+mj-ea"/>
            <a:ea typeface="+mj-ea"/>
          </a:endParaRPr>
        </a:p>
        <a:p>
          <a:pPr rtl="0"/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Response file path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C:\sample\B006_out_ID0003.txt</a:t>
          </a:r>
        </a:p>
        <a:p>
          <a:pPr rtl="0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ResponseStream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：（空白）</a:t>
          </a:r>
          <a:endParaRPr lang="ja-JP" altLang="ja-JP" sz="1100">
            <a:latin typeface="+mj-ea"/>
            <a:ea typeface="+mj-ea"/>
          </a:endParaRPr>
        </a:p>
        <a:p>
          <a:pPr rtl="0" fontAlgn="base">
            <a:lnSpc>
              <a:spcPts val="13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【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実行結果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】</a:t>
          </a:r>
        </a:p>
        <a:p>
          <a:pPr rtl="0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C:\sample\B006_out_ID0003.txt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にある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応答電文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を読込み、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解析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した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結果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を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シート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B006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の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ID0003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に相応する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列に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反映する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。</a:t>
          </a:r>
          <a:endParaRPr lang="en-US" altLang="ja-JP" sz="1100" b="0" i="0" baseline="0">
            <a:latin typeface="+mj-ea"/>
            <a:ea typeface="+mj-ea"/>
            <a:cs typeface="+mn-cs"/>
          </a:endParaRPr>
        </a:p>
        <a:p>
          <a:pPr rtl="0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例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２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直接解析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のパターン</a:t>
          </a:r>
          <a:endParaRPr lang="en-US" altLang="ja-JP" sz="1100" b="0" i="0" baseline="0">
            <a:latin typeface="+mj-ea"/>
            <a:ea typeface="+mj-ea"/>
            <a:cs typeface="+mn-cs"/>
          </a:endParaRPr>
        </a:p>
        <a:p>
          <a:pPr rtl="0"/>
          <a:r>
            <a:rPr lang="ja-JP" altLang="en-US" sz="1100" b="0" i="0" baseline="0">
              <a:latin typeface="+mj-ea"/>
              <a:ea typeface="+mj-ea"/>
              <a:cs typeface="+mn-cs"/>
            </a:rPr>
            <a:t>　　　　　　　　　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【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項目設定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】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APISheetName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B006 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/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CaseNo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ID0003 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CaseStartCol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AD  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Response file path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（空白）</a:t>
          </a:r>
          <a:endParaRPr lang="en-US" altLang="ja-JP" sz="1100" b="0" i="0" baseline="0">
            <a:latin typeface="+mj-ea"/>
            <a:ea typeface="+mj-ea"/>
            <a:cs typeface="+mn-cs"/>
          </a:endParaRPr>
        </a:p>
        <a:p>
          <a:pPr rtl="0">
            <a:lnSpc>
              <a:spcPts val="1300"/>
            </a:lnSpc>
          </a:pPr>
          <a:r>
            <a:rPr lang="ja-JP" altLang="en-US" sz="1100" b="0" i="0" baseline="0">
              <a:latin typeface="+mj-ea"/>
              <a:ea typeface="+mj-ea"/>
              <a:cs typeface="+mn-cs"/>
            </a:rPr>
            <a:t>　　　　　　　　　　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ResponseStream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：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応答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電文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そのもの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 fontAlgn="base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【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実行結果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】</a:t>
          </a:r>
          <a:endParaRPr lang="ja-JP" altLang="ja-JP" sz="1100">
            <a:latin typeface="+mj-ea"/>
            <a:ea typeface="+mj-ea"/>
          </a:endParaRPr>
        </a:p>
        <a:p>
          <a:pPr rtl="0" fontAlgn="base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・応答電文を解析した結果を、シート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B006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の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ID0003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が存在する列に反映する。				</a:t>
          </a:r>
          <a:endParaRPr lang="ja-JP" altLang="ja-JP" sz="1100">
            <a:latin typeface="+mj-ea"/>
            <a:ea typeface="+mj-ea"/>
          </a:endParaRPr>
        </a:p>
        <a:p>
          <a:pPr rtl="0"/>
          <a:r>
            <a:rPr lang="ja-JP" altLang="ja-JP" sz="1100" b="0" i="0" baseline="0">
              <a:latin typeface="+mj-ea"/>
              <a:ea typeface="+mj-ea"/>
              <a:cs typeface="+mn-cs"/>
            </a:rPr>
            <a:t>							</a:t>
          </a:r>
          <a:endParaRPr lang="ja-JP" altLang="ja-JP" sz="1100">
            <a:latin typeface="+mj-ea"/>
            <a:ea typeface="+mj-ea"/>
          </a:endParaRPr>
        </a:p>
        <a:p>
          <a:pPr rtl="0" fontAlgn="base">
            <a:lnSpc>
              <a:spcPts val="1200"/>
            </a:lnSpc>
          </a:pPr>
          <a:r>
            <a:rPr lang="ja-JP" altLang="ja-JP" sz="1100" b="1" i="0" baseline="0">
              <a:latin typeface="+mj-ea"/>
              <a:ea typeface="+mj-ea"/>
              <a:cs typeface="+mn-cs"/>
            </a:rPr>
            <a:t>　　　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　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(2)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　一括生成（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CaseNo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設定しない）</a:t>
          </a:r>
          <a:endParaRPr lang="en-US" altLang="ja-JP" sz="1100" b="0" i="0" baseline="0">
            <a:latin typeface="+mj-ea"/>
            <a:ea typeface="+mj-ea"/>
            <a:cs typeface="+mn-cs"/>
          </a:endParaRPr>
        </a:p>
        <a:p>
          <a:pPr rtl="0"/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例：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【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項目設定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】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APISheetName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B006 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>
            <a:lnSpc>
              <a:spcPts val="11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CaseNo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：（空白）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/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CaseStartCol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AD  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>
            <a:lnSpc>
              <a:spcPts val="11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Response file path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C:\sample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 fontAlgn="base">
            <a:lnSpc>
              <a:spcPts val="13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【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実行結果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】</a:t>
          </a:r>
          <a:endParaRPr lang="ja-JP" altLang="ja-JP" sz="1100">
            <a:latin typeface="+mj-ea"/>
            <a:ea typeface="+mj-ea"/>
          </a:endParaRPr>
        </a:p>
        <a:p>
          <a:pPr>
            <a:lnSpc>
              <a:spcPts val="1100"/>
            </a:lnSpc>
          </a:pPr>
          <a:r>
            <a:rPr lang="ja-JP" altLang="ja-JP" sz="1100" b="0" i="0" baseline="0">
              <a:solidFill>
                <a:srgbClr val="FF0000"/>
              </a:solidFill>
              <a:latin typeface="+mj-ea"/>
              <a:ea typeface="+mj-ea"/>
              <a:cs typeface="+mn-cs"/>
            </a:rPr>
            <a:t>　　　　　　　　　</a:t>
          </a:r>
          <a:r>
            <a:rPr lang="ja-JP" altLang="ja-JP" sz="1100" b="0" i="0" baseline="0">
              <a:solidFill>
                <a:sysClr val="windowText" lastClr="000000"/>
              </a:solidFill>
              <a:latin typeface="+mj-ea"/>
              <a:ea typeface="+mj-ea"/>
              <a:cs typeface="+mn-cs"/>
            </a:rPr>
            <a:t>　・</a:t>
          </a:r>
          <a:r>
            <a:rPr lang="en-US" altLang="ja-JP" sz="1100" b="0" i="0" baseline="0">
              <a:solidFill>
                <a:sysClr val="windowText" lastClr="000000"/>
              </a:solidFill>
              <a:latin typeface="+mj-ea"/>
              <a:ea typeface="+mj-ea"/>
              <a:cs typeface="+mn-cs"/>
            </a:rPr>
            <a:t>C:\sample</a:t>
          </a:r>
          <a:r>
            <a:rPr lang="ja-JP" altLang="en-US" sz="1100" b="0" i="0" baseline="0">
              <a:solidFill>
                <a:sysClr val="windowText" lastClr="000000"/>
              </a:solidFill>
              <a:latin typeface="+mj-ea"/>
              <a:ea typeface="+mj-ea"/>
              <a:cs typeface="+mn-cs"/>
            </a:rPr>
            <a:t>配下すべての</a:t>
          </a:r>
          <a:r>
            <a:rPr lang="en-US" altLang="ja-JP" sz="1100" b="0" i="0" baseline="0">
              <a:solidFill>
                <a:sysClr val="windowText" lastClr="000000"/>
              </a:solidFill>
              <a:latin typeface="+mj-ea"/>
              <a:ea typeface="+mj-ea"/>
              <a:cs typeface="+mn-cs"/>
            </a:rPr>
            <a:t>B006_out_IDXXXX.txt</a:t>
          </a:r>
          <a:r>
            <a:rPr lang="ja-JP" altLang="en-US" sz="1100" b="0" i="0" baseline="0">
              <a:solidFill>
                <a:sysClr val="windowText" lastClr="000000"/>
              </a:solidFill>
              <a:latin typeface="+mj-ea"/>
              <a:ea typeface="+mj-ea"/>
              <a:cs typeface="+mn-cs"/>
            </a:rPr>
            <a:t>形式のファイルを読込み、</a:t>
          </a:r>
          <a:r>
            <a:rPr lang="ja-JP" altLang="ja-JP" sz="1100" b="0" i="0" baseline="0">
              <a:solidFill>
                <a:sysClr val="windowText" lastClr="000000"/>
              </a:solidFill>
              <a:latin typeface="+mj-ea"/>
              <a:ea typeface="+mj-ea"/>
              <a:cs typeface="+mn-cs"/>
            </a:rPr>
            <a:t>解析した結果それぞれをシート</a:t>
          </a:r>
          <a:r>
            <a:rPr lang="en-US" altLang="ja-JP" sz="1100" b="0" i="0" baseline="0">
              <a:solidFill>
                <a:sysClr val="windowText" lastClr="000000"/>
              </a:solidFill>
              <a:latin typeface="+mj-ea"/>
              <a:ea typeface="+mj-ea"/>
              <a:cs typeface="+mn-cs"/>
            </a:rPr>
            <a:t>B006</a:t>
          </a:r>
          <a:r>
            <a:rPr lang="ja-JP" altLang="ja-JP" sz="1100" b="0" i="0" baseline="0">
              <a:solidFill>
                <a:sysClr val="windowText" lastClr="000000"/>
              </a:solidFill>
              <a:latin typeface="+mj-ea"/>
              <a:ea typeface="+mj-ea"/>
              <a:cs typeface="+mn-cs"/>
            </a:rPr>
            <a:t>の</a:t>
          </a:r>
          <a:r>
            <a:rPr lang="en-US" altLang="ja-JP" sz="1100" b="0" i="0" baseline="0">
              <a:solidFill>
                <a:sysClr val="windowText" lastClr="000000"/>
              </a:solidFill>
              <a:latin typeface="+mj-ea"/>
              <a:ea typeface="+mj-ea"/>
              <a:cs typeface="+mn-cs"/>
            </a:rPr>
            <a:t>IDXXXX</a:t>
          </a:r>
          <a:r>
            <a:rPr lang="ja-JP" altLang="en-US" sz="1100" b="0" i="0" baseline="0">
              <a:solidFill>
                <a:sysClr val="windowText" lastClr="000000"/>
              </a:solidFill>
              <a:latin typeface="+mj-ea"/>
              <a:ea typeface="+mj-ea"/>
              <a:cs typeface="+mn-cs"/>
            </a:rPr>
            <a:t>に相応する</a:t>
          </a:r>
          <a:r>
            <a:rPr lang="ja-JP" altLang="ja-JP" sz="1100" b="0" i="0" baseline="0">
              <a:solidFill>
                <a:sysClr val="windowText" lastClr="000000"/>
              </a:solidFill>
              <a:latin typeface="+mj-ea"/>
              <a:ea typeface="+mj-ea"/>
              <a:cs typeface="+mn-cs"/>
            </a:rPr>
            <a:t>列に反映する。</a:t>
          </a:r>
          <a:endParaRPr lang="en-US" altLang="ja-JP" sz="1100" b="1" i="0" u="none" strike="noStrike" baseline="0">
            <a:solidFill>
              <a:srgbClr val="000000"/>
            </a:solidFill>
            <a:latin typeface="+mj-ea"/>
            <a:ea typeface="+mj-ea"/>
          </a:endParaRPr>
        </a:p>
        <a:p>
          <a:pPr algn="l" rtl="0">
            <a:lnSpc>
              <a:spcPts val="1200"/>
            </a:lnSpc>
            <a:defRPr sz="1000"/>
          </a:pPr>
          <a:endParaRPr lang="en-US" altLang="ja-JP" sz="1100" b="1" i="0" u="none" strike="noStrike" baseline="0">
            <a:solidFill>
              <a:srgbClr val="000000"/>
            </a:solidFill>
            <a:latin typeface="+mj-ea"/>
            <a:ea typeface="+mj-ea"/>
          </a:endParaRPr>
        </a:p>
        <a:p>
          <a:pPr algn="l" rtl="0"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+mj-ea"/>
              <a:ea typeface="+mj-ea"/>
            </a:rPr>
            <a:t>　　③</a:t>
          </a:r>
          <a:r>
            <a:rPr lang="ja-JP" altLang="ja-JP" sz="1100" b="1" i="0">
              <a:latin typeface="+mj-ea"/>
              <a:ea typeface="+mj-ea"/>
              <a:cs typeface="+mn-cs"/>
            </a:rPr>
            <a:t>テストデータ</a:t>
          </a:r>
          <a:r>
            <a:rPr lang="ja-JP" altLang="en-US" sz="1100" b="1" i="0">
              <a:latin typeface="+mj-ea"/>
              <a:ea typeface="+mj-ea"/>
              <a:cs typeface="+mn-cs"/>
            </a:rPr>
            <a:t>を削除するなら</a:t>
          </a:r>
          <a:r>
            <a:rPr lang="ja-JP" altLang="ja-JP" sz="1100" b="1" i="0" baseline="0">
              <a:latin typeface="+mj-ea"/>
              <a:ea typeface="+mj-ea"/>
              <a:cs typeface="+mn-cs"/>
            </a:rPr>
            <a:t>　　⇒　　「</a:t>
          </a:r>
          <a:r>
            <a:rPr lang="en-US" altLang="ja-JP" sz="1100" b="1" i="0" baseline="0">
              <a:latin typeface="+mj-ea"/>
              <a:ea typeface="+mj-ea"/>
              <a:cs typeface="+mn-cs"/>
            </a:rPr>
            <a:t>ClearResult</a:t>
          </a:r>
          <a:r>
            <a:rPr lang="ja-JP" altLang="ja-JP" sz="1100" b="1" i="0" baseline="0">
              <a:latin typeface="+mj-ea"/>
              <a:ea typeface="+mj-ea"/>
              <a:cs typeface="+mn-cs"/>
            </a:rPr>
            <a:t>」ボタン</a:t>
          </a:r>
          <a:endParaRPr lang="en-US" altLang="ja-JP" sz="1100" b="1" i="0" baseline="0">
            <a:latin typeface="+mj-ea"/>
            <a:ea typeface="+mj-ea"/>
            <a:cs typeface="+mn-cs"/>
          </a:endParaRPr>
        </a:p>
        <a:p>
          <a:pPr rtl="0">
            <a:lnSpc>
              <a:spcPts val="1100"/>
            </a:lnSpc>
          </a:pPr>
          <a:r>
            <a:rPr lang="ja-JP" altLang="ja-JP" sz="1100" b="1" i="0" baseline="0">
              <a:latin typeface="+mj-ea"/>
              <a:ea typeface="+mj-ea"/>
              <a:cs typeface="+mn-cs"/>
            </a:rPr>
            <a:t>　　　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　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(1)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　一件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削除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（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CaseNo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を設定する）									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 fontAlgn="base">
            <a:lnSpc>
              <a:spcPts val="11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例：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【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項目設定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】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/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APISheetName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B006 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>
            <a:lnSpc>
              <a:spcPts val="11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CaseNo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ID0003 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/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CaseStartCol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AD  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 fontAlgn="base">
            <a:lnSpc>
              <a:spcPts val="11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【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実行結果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】</a:t>
          </a:r>
          <a:endParaRPr lang="ja-JP" altLang="ja-JP" sz="1100">
            <a:latin typeface="+mj-ea"/>
            <a:ea typeface="+mj-ea"/>
          </a:endParaRPr>
        </a:p>
        <a:p>
          <a:pPr rtl="0" fontAlgn="base">
            <a:lnSpc>
              <a:spcPts val="12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・シート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B006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の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ID0003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に相応する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列のデータを削除する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。</a:t>
          </a:r>
          <a:endParaRPr lang="en-US" altLang="ja-JP" sz="1100" b="0" i="0" baseline="0">
            <a:latin typeface="+mj-ea"/>
            <a:ea typeface="+mj-ea"/>
            <a:cs typeface="+mn-cs"/>
          </a:endParaRPr>
        </a:p>
        <a:p>
          <a:pPr rtl="0"/>
          <a:r>
            <a:rPr lang="ja-JP" altLang="ja-JP" sz="1100" b="1" i="0" baseline="0">
              <a:latin typeface="+mj-ea"/>
              <a:ea typeface="+mj-ea"/>
              <a:cs typeface="+mn-cs"/>
            </a:rPr>
            <a:t>　　　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　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(2)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　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一括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削除（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CaseNo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を設定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しない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）									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 fontAlgn="base">
            <a:lnSpc>
              <a:spcPts val="11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例：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【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項目設定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】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>
            <a:lnSpc>
              <a:spcPts val="13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APISheetName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B006 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>
            <a:lnSpc>
              <a:spcPts val="11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CaseNo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（空白）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>
            <a:lnSpc>
              <a:spcPts val="11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CaseStartCol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：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AD  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 fontAlgn="base"/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【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実行結果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】</a:t>
          </a:r>
          <a:endParaRPr lang="ja-JP" altLang="ja-JP" sz="1100">
            <a:latin typeface="+mj-ea"/>
            <a:ea typeface="+mj-ea"/>
            <a:cs typeface="+mn-cs"/>
          </a:endParaRPr>
        </a:p>
        <a:p>
          <a:pPr rtl="0" fontAlgn="base">
            <a:lnSpc>
              <a:spcPts val="1100"/>
            </a:lnSpc>
          </a:pPr>
          <a:r>
            <a:rPr lang="ja-JP" altLang="ja-JP" sz="1100" b="0" i="0" baseline="0">
              <a:latin typeface="+mj-ea"/>
              <a:ea typeface="+mj-ea"/>
              <a:cs typeface="+mn-cs"/>
            </a:rPr>
            <a:t>　　　　　　　　　　・シート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B006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の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AD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列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以降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のデータ全件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を削除する。</a:t>
          </a:r>
          <a:endParaRPr lang="en-US" altLang="ja-JP" sz="1100" b="0" i="0" baseline="0">
            <a:latin typeface="+mj-ea"/>
            <a:ea typeface="+mj-ea"/>
            <a:cs typeface="+mn-cs"/>
          </a:endParaRPr>
        </a:p>
        <a:p>
          <a:pPr algn="l" rtl="0">
            <a:lnSpc>
              <a:spcPts val="1200"/>
            </a:lnSpc>
            <a:defRPr sz="1000"/>
          </a:pPr>
          <a:endParaRPr lang="en-US" altLang="ja-JP" sz="1100" b="1" i="0" u="none" strike="noStrike" baseline="0">
            <a:solidFill>
              <a:srgbClr val="000000"/>
            </a:solidFill>
            <a:latin typeface="+mj-ea"/>
            <a:ea typeface="+mj-ea"/>
          </a:endParaRPr>
        </a:p>
        <a:p>
          <a:pPr algn="l" rtl="0"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+mj-ea"/>
              <a:ea typeface="+mj-ea"/>
            </a:rPr>
            <a:t>　　④</a:t>
          </a:r>
          <a:r>
            <a:rPr lang="ja-JP" altLang="ja-JP" sz="1100" b="1" i="0" baseline="0">
              <a:latin typeface="+mj-ea"/>
              <a:ea typeface="+mj-ea"/>
              <a:cs typeface="+mn-cs"/>
            </a:rPr>
            <a:t>要求</a:t>
          </a:r>
          <a:r>
            <a:rPr lang="en-US" altLang="ja-JP" sz="1100" b="1" i="0" baseline="0">
              <a:latin typeface="+mj-ea"/>
              <a:ea typeface="+mj-ea"/>
              <a:cs typeface="+mn-cs"/>
            </a:rPr>
            <a:t>XML</a:t>
          </a:r>
          <a:r>
            <a:rPr lang="ja-JP" altLang="en-US" sz="1100" b="1" i="0" baseline="0">
              <a:latin typeface="+mj-ea"/>
              <a:ea typeface="+mj-ea"/>
              <a:cs typeface="+mn-cs"/>
            </a:rPr>
            <a:t>ファイル</a:t>
          </a:r>
          <a:r>
            <a:rPr lang="ja-JP" altLang="ja-JP" sz="1100" b="1" i="0" baseline="0">
              <a:latin typeface="+mj-ea"/>
              <a:ea typeface="+mj-ea"/>
              <a:cs typeface="+mn-cs"/>
            </a:rPr>
            <a:t>を生成するなら　　⇒　　</a:t>
          </a:r>
          <a:r>
            <a:rPr lang="ja-JP" altLang="en-US" sz="1100" b="1" i="0" baseline="0">
              <a:latin typeface="+mj-ea"/>
              <a:ea typeface="+mj-ea"/>
              <a:cs typeface="+mn-cs"/>
            </a:rPr>
            <a:t>「</a:t>
          </a:r>
          <a:r>
            <a:rPr lang="en-US" altLang="ja-JP" sz="1100" b="1" i="0" baseline="0">
              <a:latin typeface="+mj-ea"/>
              <a:ea typeface="+mj-ea"/>
              <a:cs typeface="+mn-cs"/>
            </a:rPr>
            <a:t>GenerateInXml</a:t>
          </a:r>
          <a:r>
            <a:rPr lang="ja-JP" altLang="en-US" sz="1100" b="1" i="0" baseline="0">
              <a:latin typeface="+mj-ea"/>
              <a:ea typeface="+mj-ea"/>
              <a:cs typeface="+mn-cs"/>
            </a:rPr>
            <a:t>」ボタン</a:t>
          </a:r>
          <a:endParaRPr lang="en-US" altLang="ja-JP" sz="1100" b="1" i="0" baseline="0">
            <a:latin typeface="+mj-ea"/>
            <a:ea typeface="+mj-ea"/>
            <a:cs typeface="+mn-cs"/>
          </a:endParaRPr>
        </a:p>
        <a:p>
          <a:pPr algn="l" rtl="0">
            <a:lnSpc>
              <a:spcPts val="11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　　　　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※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j-ea"/>
              <a:ea typeface="+mj-ea"/>
            </a:rPr>
            <a:t>項目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設定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については、①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「</a:t>
          </a:r>
          <a:r>
            <a:rPr lang="en-US" altLang="ja-JP" sz="1100" b="0" i="0" baseline="0">
              <a:latin typeface="+mj-ea"/>
              <a:ea typeface="+mj-ea"/>
              <a:cs typeface="+mn-cs"/>
            </a:rPr>
            <a:t>Generate-IN</a:t>
          </a:r>
          <a:r>
            <a:rPr lang="ja-JP" altLang="ja-JP" sz="1100" b="0" i="0" baseline="0">
              <a:latin typeface="+mj-ea"/>
              <a:ea typeface="+mj-ea"/>
              <a:cs typeface="+mn-cs"/>
            </a:rPr>
            <a:t>」ボタン</a:t>
          </a:r>
          <a:r>
            <a:rPr lang="ja-JP" altLang="en-US" sz="1100" b="0" i="0" baseline="0">
              <a:latin typeface="+mj-ea"/>
              <a:ea typeface="+mj-ea"/>
              <a:cs typeface="+mn-cs"/>
            </a:rPr>
            <a:t>と同様。</a:t>
          </a:r>
          <a:endParaRPr lang="en-US" altLang="ja-JP" sz="1100" b="0" i="0" baseline="0">
            <a:latin typeface="+mj-ea"/>
            <a:ea typeface="+mj-ea"/>
            <a:cs typeface="+mn-cs"/>
          </a:endParaRPr>
        </a:p>
        <a:p>
          <a:pPr algn="l" rtl="0">
            <a:lnSpc>
              <a:spcPts val="1300"/>
            </a:lnSpc>
            <a:defRPr sz="1000"/>
          </a:pPr>
          <a:endParaRPr lang="en-US" altLang="ja-JP" sz="1100" b="0" i="0" u="none" strike="noStrike" baseline="0">
            <a:solidFill>
              <a:srgbClr val="000000"/>
            </a:solidFill>
            <a:latin typeface="+mj-ea"/>
            <a:ea typeface="+mj-ea"/>
            <a:cs typeface="+mn-cs"/>
          </a:endParaRPr>
        </a:p>
        <a:p>
          <a:pPr rtl="0" fontAlgn="base">
            <a:lnSpc>
              <a:spcPts val="1100"/>
            </a:lnSpc>
          </a:pPr>
          <a:r>
            <a:rPr lang="ja-JP" altLang="ja-JP" sz="1100" b="1" i="0" baseline="0">
              <a:latin typeface="+mn-lt"/>
              <a:ea typeface="+mn-ea"/>
              <a:cs typeface="+mn-cs"/>
            </a:rPr>
            <a:t>　　</a:t>
          </a:r>
          <a:r>
            <a:rPr lang="ja-JP" altLang="en-US" sz="1100" b="1" i="0" baseline="0">
              <a:latin typeface="+mn-lt"/>
              <a:ea typeface="+mn-ea"/>
              <a:cs typeface="+mn-cs"/>
            </a:rPr>
            <a:t>⑤応答</a:t>
          </a:r>
          <a:r>
            <a:rPr lang="en-US" altLang="ja-JP" sz="1100" b="1" i="0" baseline="0">
              <a:latin typeface="+mn-lt"/>
              <a:ea typeface="+mn-ea"/>
              <a:cs typeface="+mn-cs"/>
            </a:rPr>
            <a:t>XML</a:t>
          </a:r>
          <a:r>
            <a:rPr lang="ja-JP" altLang="ja-JP" sz="1100" b="1" i="0" baseline="0">
              <a:latin typeface="+mn-lt"/>
              <a:ea typeface="+mn-ea"/>
              <a:cs typeface="+mn-cs"/>
            </a:rPr>
            <a:t>ファイルを生成するなら　　⇒　　「</a:t>
          </a:r>
          <a:r>
            <a:rPr lang="en-US" altLang="ja-JP" sz="1100" b="1" i="0" baseline="0">
              <a:latin typeface="+mn-lt"/>
              <a:ea typeface="+mn-ea"/>
              <a:cs typeface="+mn-cs"/>
            </a:rPr>
            <a:t>GenerateOutXml</a:t>
          </a:r>
          <a:r>
            <a:rPr lang="ja-JP" altLang="ja-JP" sz="1100" b="1" i="0" baseline="0">
              <a:latin typeface="+mn-lt"/>
              <a:ea typeface="+mn-ea"/>
              <a:cs typeface="+mn-cs"/>
            </a:rPr>
            <a:t>」ボタン</a:t>
          </a:r>
          <a:endParaRPr lang="en-US" altLang="ja-JP" sz="1100" b="1" i="0" baseline="0">
            <a:latin typeface="+mn-lt"/>
            <a:ea typeface="+mn-ea"/>
            <a:cs typeface="+mn-cs"/>
          </a:endParaRPr>
        </a:p>
        <a:p>
          <a:pPr rtl="0" fontAlgn="base">
            <a:lnSpc>
              <a:spcPts val="1200"/>
            </a:lnSpc>
          </a:pPr>
          <a:r>
            <a:rPr lang="ja-JP" altLang="ja-JP" sz="1100" b="0" i="0" baseline="0">
              <a:latin typeface="+mn-lt"/>
              <a:ea typeface="+mn-ea"/>
              <a:cs typeface="+mn-cs"/>
            </a:rPr>
            <a:t>　　　　</a:t>
          </a:r>
          <a:r>
            <a:rPr lang="en-US" altLang="ja-JP" sz="1100" b="0" i="0" baseline="0">
              <a:latin typeface="+mn-lt"/>
              <a:ea typeface="+mn-ea"/>
              <a:cs typeface="+mn-cs"/>
            </a:rPr>
            <a:t>※</a:t>
          </a:r>
          <a:r>
            <a:rPr lang="ja-JP" altLang="ja-JP" sz="1100" b="0" i="0" baseline="0">
              <a:latin typeface="+mn-lt"/>
              <a:ea typeface="+mn-ea"/>
              <a:cs typeface="+mn-cs"/>
            </a:rPr>
            <a:t>項目設定については、</a:t>
          </a:r>
          <a:r>
            <a:rPr lang="ja-JP" altLang="en-US" sz="1100" b="0" i="0" baseline="0">
              <a:latin typeface="+mn-lt"/>
              <a:ea typeface="+mn-ea"/>
              <a:cs typeface="+mn-cs"/>
            </a:rPr>
            <a:t>②</a:t>
          </a:r>
          <a:r>
            <a:rPr lang="ja-JP" altLang="ja-JP" sz="1100" b="0" i="0" baseline="0">
              <a:latin typeface="+mn-lt"/>
              <a:ea typeface="+mn-ea"/>
              <a:cs typeface="+mn-cs"/>
            </a:rPr>
            <a:t>「</a:t>
          </a:r>
          <a:r>
            <a:rPr lang="en-US" altLang="ja-JP" sz="1100" b="0" i="0" baseline="0">
              <a:latin typeface="+mn-lt"/>
              <a:ea typeface="+mn-ea"/>
              <a:cs typeface="+mn-cs"/>
            </a:rPr>
            <a:t>Analyze-OUT</a:t>
          </a:r>
          <a:r>
            <a:rPr lang="ja-JP" altLang="ja-JP" sz="1100" b="0" i="0" baseline="0">
              <a:latin typeface="+mn-lt"/>
              <a:ea typeface="+mn-ea"/>
              <a:cs typeface="+mn-cs"/>
            </a:rPr>
            <a:t>」ボタンと同様。</a:t>
          </a:r>
          <a:endParaRPr lang="en-US" altLang="ja-JP" sz="1100" b="0" i="0" baseline="0">
            <a:latin typeface="+mn-lt"/>
            <a:ea typeface="+mn-ea"/>
            <a:cs typeface="+mn-cs"/>
          </a:endParaRPr>
        </a:p>
        <a:p>
          <a:pPr marL="0" marR="0" indent="0" defTabSz="914400" rtl="0" eaLnBrk="1" fontAlgn="base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 b="0" i="0" baseline="0">
              <a:latin typeface="+mn-lt"/>
              <a:ea typeface="+mn-ea"/>
              <a:cs typeface="+mn-cs"/>
            </a:rPr>
            <a:t>　　　　　　</a:t>
          </a:r>
          <a:endParaRPr lang="ja-JP" altLang="en-US" sz="1100" b="0" i="0" u="none" strike="noStrike" baseline="0">
            <a:solidFill>
              <a:srgbClr val="000000"/>
            </a:solidFill>
            <a:latin typeface="+mj-ea"/>
            <a:ea typeface="+mj-ea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61913</xdr:rowOff>
        </xdr:from>
        <xdr:to>
          <xdr:col>2</xdr:col>
          <xdr:colOff>342900</xdr:colOff>
          <xdr:row>17</xdr:row>
          <xdr:rowOff>119063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280988</xdr:colOff>
          <xdr:row>5</xdr:row>
          <xdr:rowOff>100013</xdr:rowOff>
        </xdr:from>
        <xdr:to>
          <xdr:col>3</xdr:col>
          <xdr:colOff>604838</xdr:colOff>
          <xdr:row>6</xdr:row>
          <xdr:rowOff>157163</xdr:rowOff>
        </xdr:to>
        <xdr:sp macro="" textlink="">
          <xdr:nvSpPr>
            <xdr:cNvPr id="2050" name="IShee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7</xdr:row>
          <xdr:rowOff>90488</xdr:rowOff>
        </xdr:from>
        <xdr:to>
          <xdr:col>7</xdr:col>
          <xdr:colOff>142875</xdr:colOff>
          <xdr:row>9</xdr:row>
          <xdr:rowOff>4763</xdr:rowOff>
        </xdr:to>
        <xdr:sp macro="" textlink="">
          <xdr:nvSpPr>
            <xdr:cNvPr id="2051" name="OPath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133350</xdr:rowOff>
        </xdr:from>
        <xdr:to>
          <xdr:col>2</xdr:col>
          <xdr:colOff>285750</xdr:colOff>
          <xdr:row>6</xdr:row>
          <xdr:rowOff>123825</xdr:rowOff>
        </xdr:to>
        <xdr:sp macro="" textlink="">
          <xdr:nvSpPr>
            <xdr:cNvPr id="2052" name="Label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123825</xdr:rowOff>
        </xdr:from>
        <xdr:to>
          <xdr:col>2</xdr:col>
          <xdr:colOff>514350</xdr:colOff>
          <xdr:row>8</xdr:row>
          <xdr:rowOff>123825</xdr:rowOff>
        </xdr:to>
        <xdr:sp macro="" textlink="">
          <xdr:nvSpPr>
            <xdr:cNvPr id="2053" name="Label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423863</xdr:colOff>
          <xdr:row>15</xdr:row>
          <xdr:rowOff>61913</xdr:rowOff>
        </xdr:from>
        <xdr:to>
          <xdr:col>4</xdr:col>
          <xdr:colOff>61913</xdr:colOff>
          <xdr:row>17</xdr:row>
          <xdr:rowOff>109538</xdr:rowOff>
        </xdr:to>
        <xdr:sp macro="" textlink="">
          <xdr:nvSpPr>
            <xdr:cNvPr id="2054" name="CommandButton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100013</xdr:rowOff>
        </xdr:from>
        <xdr:to>
          <xdr:col>2</xdr:col>
          <xdr:colOff>514350</xdr:colOff>
          <xdr:row>13</xdr:row>
          <xdr:rowOff>128588</xdr:rowOff>
        </xdr:to>
        <xdr:sp macro="" textlink="">
          <xdr:nvSpPr>
            <xdr:cNvPr id="2055" name="Label3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12</xdr:row>
          <xdr:rowOff>100013</xdr:rowOff>
        </xdr:from>
        <xdr:to>
          <xdr:col>11</xdr:col>
          <xdr:colOff>238125</xdr:colOff>
          <xdr:row>14</xdr:row>
          <xdr:rowOff>14288</xdr:rowOff>
        </xdr:to>
        <xdr:sp macro="" textlink="">
          <xdr:nvSpPr>
            <xdr:cNvPr id="2056" name="OStream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5</xdr:row>
          <xdr:rowOff>119063</xdr:rowOff>
        </xdr:from>
        <xdr:to>
          <xdr:col>4</xdr:col>
          <xdr:colOff>542925</xdr:colOff>
          <xdr:row>6</xdr:row>
          <xdr:rowOff>157163</xdr:rowOff>
        </xdr:to>
        <xdr:sp macro="" textlink="">
          <xdr:nvSpPr>
            <xdr:cNvPr id="2058" name="Label4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5</xdr:row>
          <xdr:rowOff>100013</xdr:rowOff>
        </xdr:from>
        <xdr:to>
          <xdr:col>5</xdr:col>
          <xdr:colOff>514350</xdr:colOff>
          <xdr:row>7</xdr:row>
          <xdr:rowOff>4763</xdr:rowOff>
        </xdr:to>
        <xdr:sp macro="" textlink="">
          <xdr:nvSpPr>
            <xdr:cNvPr id="2059" name="CaseNo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52388</xdr:rowOff>
        </xdr:from>
        <xdr:to>
          <xdr:col>2</xdr:col>
          <xdr:colOff>542925</xdr:colOff>
          <xdr:row>10</xdr:row>
          <xdr:rowOff>90488</xdr:rowOff>
        </xdr:to>
        <xdr:sp macro="" textlink="">
          <xdr:nvSpPr>
            <xdr:cNvPr id="2062" name="Label6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9</xdr:row>
          <xdr:rowOff>42863</xdr:rowOff>
        </xdr:from>
        <xdr:to>
          <xdr:col>9</xdr:col>
          <xdr:colOff>352425</xdr:colOff>
          <xdr:row>10</xdr:row>
          <xdr:rowOff>100013</xdr:rowOff>
        </xdr:to>
        <xdr:sp macro="" textlink="">
          <xdr:nvSpPr>
            <xdr:cNvPr id="2063" name="IFile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442913</xdr:colOff>
          <xdr:row>5</xdr:row>
          <xdr:rowOff>109538</xdr:rowOff>
        </xdr:from>
        <xdr:to>
          <xdr:col>10</xdr:col>
          <xdr:colOff>80963</xdr:colOff>
          <xdr:row>6</xdr:row>
          <xdr:rowOff>109538</xdr:rowOff>
        </xdr:to>
        <xdr:sp macro="" textlink="">
          <xdr:nvSpPr>
            <xdr:cNvPr id="2064" name="Label7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61913</xdr:colOff>
          <xdr:row>5</xdr:row>
          <xdr:rowOff>80963</xdr:rowOff>
        </xdr:from>
        <xdr:to>
          <xdr:col>10</xdr:col>
          <xdr:colOff>623888</xdr:colOff>
          <xdr:row>6</xdr:row>
          <xdr:rowOff>147638</xdr:rowOff>
        </xdr:to>
        <xdr:sp macro="" textlink="">
          <xdr:nvSpPr>
            <xdr:cNvPr id="2065" name="caseCol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90488</xdr:colOff>
          <xdr:row>15</xdr:row>
          <xdr:rowOff>71438</xdr:rowOff>
        </xdr:from>
        <xdr:to>
          <xdr:col>5</xdr:col>
          <xdr:colOff>347663</xdr:colOff>
          <xdr:row>17</xdr:row>
          <xdr:rowOff>90488</xdr:rowOff>
        </xdr:to>
        <xdr:sp macro="" textlink="">
          <xdr:nvSpPr>
            <xdr:cNvPr id="2067" name="CommandButton4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17</xdr:row>
          <xdr:rowOff>133350</xdr:rowOff>
        </xdr:from>
        <xdr:to>
          <xdr:col>11</xdr:col>
          <xdr:colOff>142875</xdr:colOff>
          <xdr:row>19</xdr:row>
          <xdr:rowOff>114300</xdr:rowOff>
        </xdr:to>
        <xdr:sp macro="" textlink="">
          <xdr:nvSpPr>
            <xdr:cNvPr id="2068" name="CommandButton3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15</xdr:row>
          <xdr:rowOff>71438</xdr:rowOff>
        </xdr:from>
        <xdr:to>
          <xdr:col>11</xdr:col>
          <xdr:colOff>38100</xdr:colOff>
          <xdr:row>17</xdr:row>
          <xdr:rowOff>52388</xdr:rowOff>
        </xdr:to>
        <xdr:sp macro="" textlink="">
          <xdr:nvSpPr>
            <xdr:cNvPr id="2069" name="CommandButton5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15</xdr:row>
          <xdr:rowOff>80963</xdr:rowOff>
        </xdr:from>
        <xdr:to>
          <xdr:col>8</xdr:col>
          <xdr:colOff>257175</xdr:colOff>
          <xdr:row>17</xdr:row>
          <xdr:rowOff>61913</xdr:rowOff>
        </xdr:to>
        <xdr:sp macro="" textlink="">
          <xdr:nvSpPr>
            <xdr:cNvPr id="2484" name="CommandButton6" hidden="1">
              <a:extLst>
                <a:ext uri="{63B3BB69-23CF-44E3-9099-C40C66FF867C}">
                  <a14:compatExt spid="_x0000_s2484"/>
                </a:ext>
                <a:ext uri="{FF2B5EF4-FFF2-40B4-BE49-F238E27FC236}">
                  <a16:creationId xmlns:a16="http://schemas.microsoft.com/office/drawing/2014/main" id="{00000000-0008-0000-0000-0000B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17</xdr:row>
          <xdr:rowOff>109538</xdr:rowOff>
        </xdr:from>
        <xdr:to>
          <xdr:col>8</xdr:col>
          <xdr:colOff>314325</xdr:colOff>
          <xdr:row>19</xdr:row>
          <xdr:rowOff>90488</xdr:rowOff>
        </xdr:to>
        <xdr:sp macro="" textlink="">
          <xdr:nvSpPr>
            <xdr:cNvPr id="2485" name="CommandButton7" hidden="1">
              <a:extLst>
                <a:ext uri="{63B3BB69-23CF-44E3-9099-C40C66FF867C}">
                  <a14:compatExt spid="_x0000_s2485"/>
                </a:ext>
                <a:ext uri="{FF2B5EF4-FFF2-40B4-BE49-F238E27FC236}">
                  <a16:creationId xmlns:a16="http://schemas.microsoft.com/office/drawing/2014/main" id="{00000000-0008-0000-0000-0000B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414338</xdr:colOff>
          <xdr:row>18</xdr:row>
          <xdr:rowOff>9525</xdr:rowOff>
        </xdr:from>
        <xdr:to>
          <xdr:col>4</xdr:col>
          <xdr:colOff>366713</xdr:colOff>
          <xdr:row>20</xdr:row>
          <xdr:rowOff>57150</xdr:rowOff>
        </xdr:to>
        <xdr:sp macro="" textlink="">
          <xdr:nvSpPr>
            <xdr:cNvPr id="2486" name="CommandButton8" hidden="1">
              <a:extLst>
                <a:ext uri="{63B3BB69-23CF-44E3-9099-C40C66FF867C}">
                  <a14:compatExt spid="_x0000_s2486"/>
                </a:ext>
                <a:ext uri="{FF2B5EF4-FFF2-40B4-BE49-F238E27FC236}">
                  <a16:creationId xmlns:a16="http://schemas.microsoft.com/office/drawing/2014/main" id="{00000000-0008-0000-0000-0000B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ujitsu1\&#20844;&#38283;\&#65288;&#21830;&#29992;&#26412;&#30058;&#65289;&#32113;&#21512;&#65295;&#35336;&#19978;&#22522;&#28310;&#65402;&#65392;&#65412;&#65438;&#65423;&#65405;&#65408;\&#12381;&#12398;&#20182;&#12467;&#12540;&#12489;&#12510;&#12473;&#12479;\&#12469;&#12540;&#12499;&#12473;&#12467;&#12540;&#12489;&#12486;&#12540;&#12502;&#1252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wsstn01\ekiden\home\&#38283;&#30330;&#12481;&#12540;&#12512;\&#12463;&#12521;&#12473;&#12521;&#12452;&#12502;&#12521;&#12522;&#25913;&#21892;\UO&#35519;&#26619;&#36039;&#26009;\97022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s7301\users2\23&#65394;&#65437;&#65412;&#65431;&#38283;&#30330;G\42&#28040;&#32791;&#65317;&#65316;&#65321;\1&#27425;&#38283;&#30330;\&#65411;&#65392;&#65420;&#65438;&#65433;&#23450;&#32681;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s7301\users2\Temp\oracle\&#65411;&#65392;&#65420;&#65438;&#65433;~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54.250\kddi\TOHO\&#65326;&#65317;&#65315;&#25552;&#20379;&#26360;&#39006;\0623from&#22338;&#26525;\&#20181;&#27096;&#26360;&#12501;&#12457;&#12540;&#12510;&#12483;&#12488;\&#30011;&#38754;&#20837;&#21147;&#20516;&#12481;&#12455;&#12483;&#12463;&#20181;&#27096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com\KRIS\DOCUME~1\TETSUYA\LOCALS~1\Temp\~WmMIME\TempMIME\MIME034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o2\drsum_&#20849;&#36890;\Documents%20and%20Settings\ns004618\&#12487;&#12473;&#12463;&#12488;&#12483;&#12503;\&#12521;&#12531;&#12463;&#30331;&#37682;&#30011;&#38754;_rinku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ir-server03\bbc\GOTOH\DOC\CTC&#25991;&#26360;\&#27861;&#20154;&#31532;&#19968;\0409&#38283;&#30330;&#12521;&#12452;&#12531;\00%20&#27861;&#20154;&#12469;&#12540;&#12496;\C-ERD\3-&#29289;&#29702;ERD\&#27861;&#20154;&#22865;&#32004;ERD\0306&#22865;&#32004;&#36861;&#21152;&#12458;&#12502;&#12472;&#12455;&#12463;&#12488;(AW0414)\0306&#22865;&#32004;&#12288;&#32113;&#21512;&#36861;&#21152;&#12458;&#12502;&#12472;&#12455;&#12463;&#12488;(AW0414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viidabashi13\iid13-702\Psn\&#26481;&#24029;\&#12362;&#20181;&#20107;\&#65334;&#65299;&#65298;\&#65315;&#65330;&#65318;&#38651;&#25991;&#31532;&#65297;&#65296;&#29256;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quare5\Project\Documents%20and%20Settings\&#27211;&#20117;&#20449;&#27835;\&#12487;&#12473;&#12463;&#12488;&#12483;&#12503;\&#20849;&#26377;&#21475;\0000&#12288;&#31038;&#20869;&#22577;&#21578;&#65295;&#35373;&#23450;&#38306;&#36899;\&#21220;&#24608;\1.&#23567;&#21475;&#20132;&#36890;&#36027;&#20253;&#3108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KHS002\&#12489;&#12461;&#12517;&#12513;&#12531;&#12488;\&#20840;&#20307;\&#65316;&#65314;&#20181;&#27096;&#26360;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54.250\kddi\Documents%20and%20Settings\&#22338;&#26525;&#20280;&#20108;\My%20Documents\MyWork\SI&#20107;&#26989;\2004&#24180;&#24230;&#19978;&#26399;\&#65298;&#29987;&#26989;\&#20316;&#25104;&#25991;&#26360;\&#12484;&#12540;&#12523;&#38283;&#30330;\WebUI_XML\&#30011;&#38754;&#20837;&#21147;&#20516;&#12481;&#12455;&#12483;&#12463;&#20181;&#27096;(Validator)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flsv02\3CS\&#21271;&#28023;&#36947;&#38651;&#21147;\&#36865;&#38651;\&#21697;&#36074;&#35413;&#20385;\ST&#21697;&#36074;&#22577;&#21578;\trb_SOUDEN990120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vcyan01\CYN01-0143\&#20225;&#30011;&#65319;\&#65403;&#65392;&#65419;&#65438;&#65405;&#20225;&#30011;T\&#26032;&#65403;&#65392;&#65419;&#65438;&#65405;\0210&#26696;&#20214;\&#35531;&#27714;&#32113;&#21512;&#12501;&#12455;&#12540;&#12474;&#65303;\01%20KRIS&#35201;&#20214;&#26908;&#35342;\&#26009;&#37329;&#31185;&#30446;&#38306;&#36899;\dabinci&#31185;&#30446;&#34920;&#20998;&#26512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システム連絡先"/>
    </sheetNames>
    <sheetDataSet>
      <sheetData sheetId="0" refreshError="1">
        <row r="2">
          <cell r="EZ2" t="str">
            <v>　　　　　　　　　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70227"/>
      <sheetName val="ﾊﾞｸﾞ台帳ﾏｰｼﾞ版（最新）"/>
      <sheetName val="画面一覧"/>
      <sheetName val="data"/>
    </sheetNames>
    <definedNames>
      <definedName name="NewBook☆"/>
      <definedName name="NewBook★"/>
      <definedName name="SortNewBook"/>
      <definedName name="SortモジュｰルID"/>
      <definedName name="Sort確認用"/>
      <definedName name="Sort完了予定"/>
      <definedName name="Sort管理No"/>
      <definedName name="項目☆"/>
      <definedName name="集計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会社ﾏｽﾀ"/>
    </sheetNames>
    <sheetDataSet>
      <sheetData sheetId="0">
        <row r="8">
          <cell r="C8" t="str">
            <v>ITEM名</v>
          </cell>
          <cell r="D8" t="str">
            <v>TYPE</v>
          </cell>
          <cell r="E8" t="str">
            <v>桁</v>
          </cell>
          <cell r="F8" t="str">
            <v>KEY</v>
          </cell>
          <cell r="G8" t="str">
            <v xml:space="preserve"> NULL</v>
          </cell>
          <cell r="H8" t="str">
            <v>Index</v>
          </cell>
          <cell r="I8" t="str">
            <v>初期値</v>
          </cell>
          <cell r="J8" t="str">
            <v>CHECK</v>
          </cell>
        </row>
        <row r="9">
          <cell r="N9">
            <v>73</v>
          </cell>
        </row>
        <row r="12">
          <cell r="N12">
            <v>10</v>
          </cell>
        </row>
        <row r="13">
          <cell r="N13">
            <v>90</v>
          </cell>
        </row>
        <row r="14">
          <cell r="N14">
            <v>12</v>
          </cell>
        </row>
        <row r="15">
          <cell r="N15">
            <v>4</v>
          </cell>
        </row>
        <row r="19">
          <cell r="N19">
            <v>21</v>
          </cell>
        </row>
        <row r="21">
          <cell r="N21">
            <v>5</v>
          </cell>
        </row>
        <row r="22">
          <cell r="N22">
            <v>6</v>
          </cell>
        </row>
        <row r="23">
          <cell r="N23">
            <v>2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ﾃｰﾌﾞﾙ~1"/>
    </sheetNames>
    <definedNames>
      <definedName name="CreateSQL"/>
    </defined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改版履歴"/>
      <sheetName val="情報入力画面"/>
      <sheetName val="errMsg一覧"/>
      <sheetName val="選択"/>
    </sheetNames>
    <sheetDataSet>
      <sheetData sheetId="0" refreshError="1"/>
      <sheetData sheetId="1" refreshError="1"/>
      <sheetData sheetId="2" refreshError="1"/>
      <sheetData sheetId="3" refreshError="1">
        <row r="7">
          <cell r="C7" t="str">
            <v>errNameLength</v>
          </cell>
        </row>
        <row r="8">
          <cell r="C8" t="str">
            <v>errInput</v>
          </cell>
        </row>
        <row r="9">
          <cell r="C9" t="str">
            <v>errMsg</v>
          </cell>
        </row>
        <row r="10">
          <cell r="C10" t="str">
            <v>errLength</v>
          </cell>
        </row>
        <row r="11">
          <cell r="C11" t="str">
            <v>errHankaku</v>
          </cell>
        </row>
        <row r="12">
          <cell r="C12" t="str">
            <v>errChugoku</v>
          </cell>
        </row>
        <row r="13">
          <cell r="C13" t="str">
            <v>errHiragana</v>
          </cell>
        </row>
      </sheetData>
      <sheetData sheetId="4" refreshError="1">
        <row r="2">
          <cell r="A2" t="str">
            <v>length</v>
          </cell>
        </row>
        <row r="3">
          <cell r="A3" t="str">
            <v>range</v>
          </cell>
        </row>
        <row r="4">
          <cell r="A4" t="str">
            <v>isDate</v>
          </cell>
        </row>
        <row r="5">
          <cell r="A5" t="str">
            <v>term</v>
          </cell>
        </row>
        <row r="6">
          <cell r="A6" t="str">
            <v>user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Ｔｐ資料"/>
      <sheetName val="NR1100"/>
      <sheetName val="NR1110"/>
      <sheetName val="NR1200"/>
      <sheetName val="NR1210"/>
      <sheetName val="NR1300"/>
      <sheetName val="料金科目テーブル"/>
      <sheetName val="項番41売上一覧表②"/>
      <sheetName val="MIME0349"/>
      <sheetName val="管理"/>
      <sheetName val="ヘッダ"/>
      <sheetName val="list"/>
    </sheetNames>
    <sheetDataSet>
      <sheetData sheetId="0" refreshError="1">
        <row r="1">
          <cell r="A1" t="str">
            <v>ABB01</v>
          </cell>
        </row>
        <row r="2">
          <cell r="A2" t="str">
            <v>ABC01</v>
          </cell>
        </row>
        <row r="3">
          <cell r="A3" t="str">
            <v>ABC02</v>
          </cell>
        </row>
        <row r="4">
          <cell r="A4" t="str">
            <v>ABC03</v>
          </cell>
        </row>
        <row r="5">
          <cell r="A5" t="str">
            <v>ABC04</v>
          </cell>
        </row>
        <row r="6">
          <cell r="A6" t="str">
            <v>ABC05</v>
          </cell>
        </row>
        <row r="7">
          <cell r="A7" t="str">
            <v>ABC06</v>
          </cell>
        </row>
        <row r="8">
          <cell r="A8" t="str">
            <v>ABC07</v>
          </cell>
        </row>
        <row r="9">
          <cell r="A9" t="str">
            <v>ABD01</v>
          </cell>
        </row>
        <row r="10">
          <cell r="A10" t="str">
            <v>ABF01</v>
          </cell>
        </row>
        <row r="11">
          <cell r="A11" t="str">
            <v>ABI01</v>
          </cell>
        </row>
        <row r="12">
          <cell r="A12" t="str">
            <v>ABV01</v>
          </cell>
        </row>
        <row r="13">
          <cell r="A13" t="str">
            <v>ABW01</v>
          </cell>
        </row>
        <row r="14">
          <cell r="A14" t="str">
            <v>ABX02</v>
          </cell>
        </row>
        <row r="15">
          <cell r="A15" t="str">
            <v>AGA01</v>
          </cell>
        </row>
        <row r="16">
          <cell r="A16" t="str">
            <v>AGA02</v>
          </cell>
        </row>
        <row r="17">
          <cell r="A17" t="str">
            <v>AGB01</v>
          </cell>
        </row>
        <row r="18">
          <cell r="A18" t="str">
            <v>AGC01</v>
          </cell>
        </row>
        <row r="19">
          <cell r="A19" t="str">
            <v>AGD01</v>
          </cell>
        </row>
        <row r="20">
          <cell r="A20" t="str">
            <v>AGK01</v>
          </cell>
        </row>
        <row r="21">
          <cell r="A21" t="str">
            <v>AHA01</v>
          </cell>
        </row>
        <row r="22">
          <cell r="A22" t="str">
            <v>AHB01</v>
          </cell>
        </row>
        <row r="23">
          <cell r="A23" t="str">
            <v>AHC01</v>
          </cell>
        </row>
        <row r="24">
          <cell r="A24" t="str">
            <v>BBB01</v>
          </cell>
        </row>
        <row r="25">
          <cell r="A25" t="str">
            <v>BBD01</v>
          </cell>
        </row>
        <row r="26">
          <cell r="A26" t="str">
            <v>BBE01</v>
          </cell>
        </row>
        <row r="27">
          <cell r="A27" t="str">
            <v>BBG01</v>
          </cell>
        </row>
        <row r="28">
          <cell r="A28" t="str">
            <v>BBH01</v>
          </cell>
        </row>
        <row r="29">
          <cell r="A29" t="str">
            <v>BBJ01</v>
          </cell>
        </row>
        <row r="30">
          <cell r="A30" t="str">
            <v>BBK01</v>
          </cell>
        </row>
        <row r="31">
          <cell r="A31" t="str">
            <v>BBL01</v>
          </cell>
        </row>
        <row r="32">
          <cell r="A32" t="str">
            <v>BBM01</v>
          </cell>
        </row>
        <row r="33">
          <cell r="A33" t="str">
            <v>BBM02</v>
          </cell>
        </row>
        <row r="34">
          <cell r="A34" t="str">
            <v>BBN01</v>
          </cell>
        </row>
        <row r="35">
          <cell r="A35" t="str">
            <v>BBN02</v>
          </cell>
        </row>
        <row r="36">
          <cell r="A36" t="str">
            <v>BBN03</v>
          </cell>
        </row>
        <row r="37">
          <cell r="A37" t="str">
            <v>BBO01</v>
          </cell>
        </row>
        <row r="38">
          <cell r="A38" t="str">
            <v>BBO02</v>
          </cell>
        </row>
        <row r="39">
          <cell r="A39" t="str">
            <v>BBP01</v>
          </cell>
        </row>
        <row r="40">
          <cell r="A40" t="str">
            <v>BBP02</v>
          </cell>
        </row>
        <row r="41">
          <cell r="A41" t="str">
            <v>BBQ01</v>
          </cell>
        </row>
        <row r="42">
          <cell r="A42" t="str">
            <v>BBR01</v>
          </cell>
        </row>
        <row r="43">
          <cell r="A43" t="str">
            <v>BBR02</v>
          </cell>
        </row>
        <row r="44">
          <cell r="A44" t="str">
            <v>BBS01</v>
          </cell>
        </row>
        <row r="45">
          <cell r="A45" t="str">
            <v>BBT01</v>
          </cell>
        </row>
        <row r="46">
          <cell r="A46" t="str">
            <v>BBV01</v>
          </cell>
        </row>
        <row r="47">
          <cell r="A47" t="str">
            <v>BBV02</v>
          </cell>
        </row>
        <row r="48">
          <cell r="A48" t="str">
            <v>BBX01</v>
          </cell>
        </row>
        <row r="49">
          <cell r="A49" t="str">
            <v>BCA01</v>
          </cell>
        </row>
        <row r="50">
          <cell r="A50" t="str">
            <v>BGA01</v>
          </cell>
        </row>
        <row r="51">
          <cell r="A51" t="str">
            <v>BGA02</v>
          </cell>
        </row>
        <row r="52">
          <cell r="A52" t="str">
            <v>BGA03</v>
          </cell>
        </row>
        <row r="53">
          <cell r="A53" t="str">
            <v>BGC01</v>
          </cell>
        </row>
        <row r="54">
          <cell r="A54" t="str">
            <v>BGC02</v>
          </cell>
        </row>
        <row r="55">
          <cell r="A55" t="str">
            <v>BGC03</v>
          </cell>
        </row>
        <row r="56">
          <cell r="A56" t="str">
            <v>BGD01</v>
          </cell>
        </row>
        <row r="57">
          <cell r="A57" t="str">
            <v>BGE01</v>
          </cell>
        </row>
        <row r="58">
          <cell r="A58" t="str">
            <v>BGE02</v>
          </cell>
        </row>
        <row r="59">
          <cell r="A59" t="str">
            <v>BGF01</v>
          </cell>
        </row>
        <row r="60">
          <cell r="A60" t="str">
            <v>BGF02</v>
          </cell>
        </row>
        <row r="61">
          <cell r="A61" t="str">
            <v>BGG01</v>
          </cell>
        </row>
        <row r="62">
          <cell r="A62" t="str">
            <v>BGI01</v>
          </cell>
        </row>
        <row r="63">
          <cell r="A63" t="str">
            <v>BGK01</v>
          </cell>
        </row>
        <row r="64">
          <cell r="A64" t="str">
            <v>BGN01</v>
          </cell>
        </row>
        <row r="65">
          <cell r="A65" t="str">
            <v>BGN02</v>
          </cell>
        </row>
        <row r="66">
          <cell r="A66" t="str">
            <v>BGN03</v>
          </cell>
        </row>
        <row r="67">
          <cell r="A67" t="str">
            <v>BGO01</v>
          </cell>
        </row>
        <row r="68">
          <cell r="A68" t="str">
            <v>BGO02</v>
          </cell>
        </row>
        <row r="69">
          <cell r="A69" t="str">
            <v>BGP01</v>
          </cell>
        </row>
        <row r="70">
          <cell r="A70" t="str">
            <v>BGQ01</v>
          </cell>
        </row>
        <row r="71">
          <cell r="A71" t="str">
            <v>BGR01</v>
          </cell>
        </row>
        <row r="72">
          <cell r="A72" t="str">
            <v>BGV01</v>
          </cell>
        </row>
        <row r="73">
          <cell r="A73" t="str">
            <v>BHC01</v>
          </cell>
        </row>
        <row r="74">
          <cell r="A74" t="str">
            <v>CGP01</v>
          </cell>
        </row>
        <row r="75">
          <cell r="A75" t="str">
            <v>CGQ01</v>
          </cell>
        </row>
        <row r="76">
          <cell r="A76" t="str">
            <v>CGR01</v>
          </cell>
        </row>
        <row r="77">
          <cell r="A77" t="str">
            <v>CGS01</v>
          </cell>
        </row>
        <row r="78">
          <cell r="A78" t="str">
            <v>CGT01</v>
          </cell>
        </row>
        <row r="79">
          <cell r="A79" t="str">
            <v>CGU01</v>
          </cell>
        </row>
        <row r="80">
          <cell r="A80" t="str">
            <v>CGW01</v>
          </cell>
        </row>
        <row r="81">
          <cell r="A81" t="str">
            <v>CGX01</v>
          </cell>
        </row>
        <row r="82">
          <cell r="A82" t="str">
            <v>CGY01</v>
          </cell>
        </row>
        <row r="83">
          <cell r="A83" t="str">
            <v>CHC01</v>
          </cell>
        </row>
        <row r="84">
          <cell r="A84" t="str">
            <v>DGQ01</v>
          </cell>
        </row>
        <row r="85">
          <cell r="A85" t="str">
            <v>DGR01</v>
          </cell>
        </row>
        <row r="86">
          <cell r="A86" t="str">
            <v>DHA01</v>
          </cell>
        </row>
        <row r="87">
          <cell r="A87" t="str">
            <v>DHB01</v>
          </cell>
        </row>
        <row r="88">
          <cell r="A88" t="str">
            <v>DHC01</v>
          </cell>
        </row>
        <row r="89">
          <cell r="A89" t="str">
            <v>DHD01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ランク登録画面"/>
      <sheetName val="質問"/>
      <sheetName val="data"/>
    </sheetNames>
    <sheetDataSet>
      <sheetData sheetId="0" refreshError="1"/>
      <sheetData sheetId="1" refreshError="1"/>
      <sheetData sheetId="2" refreshError="1"/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凡例"/>
      <sheetName val="テーブル定義"/>
      <sheetName val="はじめに"/>
      <sheetName val="シーケンス"/>
      <sheetName val="スナップショットログ"/>
      <sheetName val="スナップショット"/>
      <sheetName val="DBリンク"/>
      <sheetName val="ビュー"/>
      <sheetName val="トリガー"/>
      <sheetName val="インデックス"/>
      <sheetName val="デフォルト"/>
      <sheetName val="ユーザー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変更履歴"/>
      <sheetName val="目次"/>
      <sheetName val="プロセス一覧"/>
      <sheetName val="ルート探索"/>
      <sheetName val="申請"/>
      <sheetName val="承認一覧検索"/>
      <sheetName val="申請情報取得"/>
      <sheetName val="コメント取得"/>
      <sheetName val="処理待ち確定"/>
      <sheetName val="申請取消"/>
      <sheetName val="申請一覧検索"/>
      <sheetName val="リクエストキー取得"/>
      <sheetName val="進捗管理情報取得①"/>
      <sheetName val="進捗管理情報取得②"/>
      <sheetName val="ＵＲＩ取得"/>
      <sheetName val="承認プロセス一覧検索"/>
      <sheetName val="承認取消"/>
      <sheetName val="引継"/>
      <sheetName val="状態変更"/>
      <sheetName val="業務呼出し"/>
      <sheetName val="附録Ａ"/>
      <sheetName val="附録Ｂ"/>
      <sheetName val="附録Ｃ"/>
      <sheetName val="附録Ｄ"/>
      <sheetName val="附録Ｅ"/>
      <sheetName val="附録Ｆ①"/>
      <sheetName val="附録Ｆ②"/>
      <sheetName val="附録Ｆ③"/>
      <sheetName val="附録Ｆ④"/>
      <sheetName val="附録G"/>
      <sheetName val="附録Ｈ①"/>
      <sheetName val="附録Ｈ②"/>
      <sheetName val="附録Ｈ③"/>
      <sheetName val="附録Ｊ"/>
      <sheetName val="附録Ｋ"/>
      <sheetName val="附録Ｌ①"/>
      <sheetName val="附録Ｌ②"/>
      <sheetName val="附録Ｍ①"/>
      <sheetName val="附録Ｍ②"/>
      <sheetName val="附録Ｎ"/>
      <sheetName val="附録Ｐ"/>
      <sheetName val="附録Ｑ"/>
      <sheetName val="附録Ｒ"/>
      <sheetName val="選択用プルダウン"/>
    </sheetNames>
    <sheetDataSet>
      <sheetData sheetId="0">
        <row r="2">
          <cell r="N2" t="str">
            <v>企業情報システム開発プロジェクト</v>
          </cell>
        </row>
        <row r="4">
          <cell r="N4" t="str">
            <v>ワークフロー設計ガイドライン（イテレーション３用電文仕様書）</v>
          </cell>
        </row>
        <row r="6">
          <cell r="N6" t="str">
            <v>第3.2版</v>
          </cell>
        </row>
        <row r="7">
          <cell r="N7" t="str">
            <v>OA共通／ワークフロー</v>
          </cell>
        </row>
        <row r="9">
          <cell r="N9" t="str">
            <v>2001.05.14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振込伝票 (交通費)"/>
      <sheetName val="Sheet1"/>
    </sheetNames>
    <sheetDataSet>
      <sheetData sheetId="0" refreshError="1"/>
      <sheetData sheetId="1">
        <row r="4">
          <cell r="F4" t="str">
            <v>直接</v>
          </cell>
        </row>
        <row r="5">
          <cell r="F5" t="str">
            <v>間接</v>
          </cell>
        </row>
        <row r="6">
          <cell r="F6" t="str">
            <v>販売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項目一覧"/>
      <sheetName val="テーブル一覧"/>
      <sheetName val="相手先マスタ"/>
      <sheetName val="得意先マスタ"/>
      <sheetName val="仕入先マスタ"/>
      <sheetName val="商品マスタ"/>
      <sheetName val="出庫済ファイル"/>
      <sheetName val="出庫ファイル"/>
      <sheetName val="管理コントロールＦ"/>
      <sheetName val="商品コード変換Ｆ "/>
      <sheetName val="量販コード変換Ｆ"/>
      <sheetName val="月間用仕入計上Ｆ"/>
      <sheetName val="仕入計上ファイル"/>
      <sheetName val="売上ファイル"/>
      <sheetName val="社内移動ファイル"/>
      <sheetName val="月間用社内移動Ｆ"/>
      <sheetName val="採番ファイル"/>
      <sheetName val="欠品ファイル"/>
      <sheetName val="受注ファイル"/>
      <sheetName val="発注予定ファイル"/>
      <sheetName val="担当者マスタ"/>
      <sheetName val="管理事業所マスタ"/>
      <sheetName val="機能マスタ"/>
      <sheetName val="事業所マスタ"/>
      <sheetName val="●以降未確定●"/>
      <sheetName val="売上原始データＦ"/>
      <sheetName val="入庫予定Ｆ"/>
      <sheetName val="請求ファイル"/>
      <sheetName val="在庫マスタ"/>
      <sheetName val="ＬＯＴ在庫マスタ"/>
      <sheetName val="休日ｺﾝﾄﾛｰﾙＦ"/>
      <sheetName val="送信ファイル"/>
      <sheetName val="送信ポインタＦ"/>
      <sheetName val="商品部門検索"/>
      <sheetName val="Sheet2"/>
      <sheetName val="Sheet3"/>
      <sheetName val="選択用プルダウン"/>
    </sheetNames>
    <sheetDataSet>
      <sheetData sheetId="0" refreshError="1">
        <row r="3">
          <cell r="A3" t="str">
            <v>Ⅰ</v>
          </cell>
          <cell r="B3" t="str">
            <v>HINSH1</v>
          </cell>
          <cell r="C3">
            <v>9</v>
          </cell>
          <cell r="D3">
            <v>2</v>
          </cell>
        </row>
        <row r="4">
          <cell r="A4" t="str">
            <v>Ⅱ</v>
          </cell>
          <cell r="B4" t="str">
            <v>HINSH2</v>
          </cell>
          <cell r="C4">
            <v>9</v>
          </cell>
          <cell r="D4">
            <v>2</v>
          </cell>
        </row>
        <row r="5">
          <cell r="A5" t="str">
            <v>ＦＡＸ番号１</v>
          </cell>
          <cell r="B5" t="str">
            <v>FAX_NO1</v>
          </cell>
          <cell r="C5" t="str">
            <v>X</v>
          </cell>
          <cell r="D5">
            <v>10</v>
          </cell>
        </row>
        <row r="6">
          <cell r="A6" t="str">
            <v>ＦＡＸ番号２</v>
          </cell>
          <cell r="B6" t="str">
            <v>FAX_NO2</v>
          </cell>
          <cell r="C6" t="str">
            <v>X</v>
          </cell>
          <cell r="D6">
            <v>10</v>
          </cell>
        </row>
        <row r="7">
          <cell r="A7" t="str">
            <v>ＫＧ区分</v>
          </cell>
          <cell r="B7" t="str">
            <v>KGKBN</v>
          </cell>
          <cell r="C7">
            <v>9</v>
          </cell>
          <cell r="D7">
            <v>1</v>
          </cell>
        </row>
        <row r="8">
          <cell r="A8" t="str">
            <v>℡番号１</v>
          </cell>
          <cell r="B8" t="str">
            <v>TEL_NO1</v>
          </cell>
          <cell r="C8" t="str">
            <v>X</v>
          </cell>
          <cell r="D8">
            <v>10</v>
          </cell>
        </row>
        <row r="9">
          <cell r="A9" t="str">
            <v>℡番号２</v>
          </cell>
          <cell r="B9" t="str">
            <v>TEL_NO2</v>
          </cell>
          <cell r="C9" t="str">
            <v>X</v>
          </cell>
          <cell r="D9">
            <v>10</v>
          </cell>
        </row>
        <row r="10">
          <cell r="A10" t="str">
            <v>相手先ANK名称</v>
          </cell>
          <cell r="B10" t="str">
            <v>AITMEI_ANK</v>
          </cell>
          <cell r="C10" t="str">
            <v>X</v>
          </cell>
          <cell r="D10">
            <v>15</v>
          </cell>
        </row>
        <row r="11">
          <cell r="A11" t="str">
            <v>相手先ＣＤ</v>
          </cell>
          <cell r="B11" t="str">
            <v>AITCD</v>
          </cell>
          <cell r="C11">
            <v>9</v>
          </cell>
          <cell r="D11">
            <v>6</v>
          </cell>
        </row>
        <row r="12">
          <cell r="A12" t="str">
            <v>相手先区分</v>
          </cell>
          <cell r="B12" t="str">
            <v>AITKBN</v>
          </cell>
          <cell r="C12" t="str">
            <v>X</v>
          </cell>
          <cell r="D12">
            <v>2</v>
          </cell>
        </row>
        <row r="13">
          <cell r="A13" t="str">
            <v>相手先住所１</v>
          </cell>
          <cell r="B13" t="str">
            <v>AITADR1</v>
          </cell>
          <cell r="C13" t="str">
            <v>X</v>
          </cell>
          <cell r="D13">
            <v>60</v>
          </cell>
        </row>
        <row r="14">
          <cell r="A14" t="str">
            <v>相手先住所２</v>
          </cell>
          <cell r="B14" t="str">
            <v>AITADR2</v>
          </cell>
          <cell r="C14" t="str">
            <v>X</v>
          </cell>
          <cell r="D14">
            <v>60</v>
          </cell>
        </row>
        <row r="15">
          <cell r="A15" t="str">
            <v>相手先名称１</v>
          </cell>
          <cell r="B15" t="str">
            <v>AITMEI1</v>
          </cell>
          <cell r="C15" t="str">
            <v>X</v>
          </cell>
          <cell r="D15">
            <v>40</v>
          </cell>
        </row>
        <row r="16">
          <cell r="A16" t="str">
            <v>相手先名称２</v>
          </cell>
          <cell r="B16" t="str">
            <v>AITMEI2</v>
          </cell>
          <cell r="C16" t="str">
            <v>X</v>
          </cell>
          <cell r="D16">
            <v>40</v>
          </cell>
        </row>
        <row r="17">
          <cell r="A17" t="str">
            <v>相手先略称</v>
          </cell>
          <cell r="B17" t="str">
            <v>AITMEI_RYA</v>
          </cell>
          <cell r="C17" t="str">
            <v>X</v>
          </cell>
          <cell r="D17">
            <v>20</v>
          </cell>
        </row>
        <row r="18">
          <cell r="A18" t="str">
            <v>入数</v>
          </cell>
          <cell r="B18" t="str">
            <v>IRISU</v>
          </cell>
          <cell r="C18">
            <v>9</v>
          </cell>
          <cell r="D18">
            <v>5</v>
          </cell>
        </row>
        <row r="19">
          <cell r="A19" t="str">
            <v>受払区分</v>
          </cell>
          <cell r="B19" t="str">
            <v>UKEKBN</v>
          </cell>
          <cell r="C19">
            <v>9</v>
          </cell>
          <cell r="D19">
            <v>1</v>
          </cell>
        </row>
        <row r="20">
          <cell r="A20" t="str">
            <v>売上？？</v>
          </cell>
          <cell r="B20" t="str">
            <v>URIKBN</v>
          </cell>
          <cell r="C20">
            <v>9</v>
          </cell>
          <cell r="D20">
            <v>1</v>
          </cell>
        </row>
        <row r="21">
          <cell r="A21" t="str">
            <v>売掛</v>
          </cell>
          <cell r="B21" t="str">
            <v>KAKE</v>
          </cell>
          <cell r="C21">
            <v>9</v>
          </cell>
          <cell r="D21">
            <v>9</v>
          </cell>
        </row>
        <row r="22">
          <cell r="A22" t="str">
            <v>エラー区分</v>
          </cell>
          <cell r="B22" t="str">
            <v>ERRKBN</v>
          </cell>
          <cell r="C22">
            <v>9</v>
          </cell>
          <cell r="D22">
            <v>1</v>
          </cell>
        </row>
        <row r="23">
          <cell r="A23" t="str">
            <v>加工・生区分</v>
          </cell>
          <cell r="B23" t="str">
            <v>KAKONM</v>
          </cell>
          <cell r="C23">
            <v>9</v>
          </cell>
          <cell r="D23">
            <v>1</v>
          </cell>
        </row>
        <row r="24">
          <cell r="A24" t="str">
            <v>加工回数</v>
          </cell>
          <cell r="B24" t="str">
            <v>KAKKAI</v>
          </cell>
          <cell r="C24">
            <v>9</v>
          </cell>
          <cell r="D24">
            <v>2</v>
          </cell>
        </row>
        <row r="25">
          <cell r="A25" t="str">
            <v>加工締日</v>
          </cell>
          <cell r="B25" t="str">
            <v>KAKSIM</v>
          </cell>
          <cell r="C25" t="str">
            <v xml:space="preserve"> </v>
          </cell>
          <cell r="D25" t="str">
            <v xml:space="preserve"> </v>
          </cell>
        </row>
        <row r="26">
          <cell r="A26" t="str">
            <v>加工品・生肉</v>
          </cell>
          <cell r="B26" t="str">
            <v>KAKNAM</v>
          </cell>
          <cell r="C26" t="str">
            <v xml:space="preserve"> </v>
          </cell>
          <cell r="D26" t="str">
            <v xml:space="preserve"> </v>
          </cell>
        </row>
        <row r="27">
          <cell r="A27" t="str">
            <v>加工品売上額</v>
          </cell>
          <cell r="B27" t="str">
            <v>URIAGE_KAK</v>
          </cell>
          <cell r="C27">
            <v>9</v>
          </cell>
          <cell r="D27">
            <v>9</v>
          </cell>
        </row>
        <row r="28">
          <cell r="A28" t="str">
            <v>加工品消費税</v>
          </cell>
          <cell r="B28" t="str">
            <v>SHIZEI_KAK</v>
          </cell>
          <cell r="C28">
            <v>9</v>
          </cell>
          <cell r="D28">
            <v>9</v>
          </cell>
        </row>
        <row r="29">
          <cell r="A29" t="str">
            <v>加工品前月粗利益</v>
          </cell>
          <cell r="B29" t="str">
            <v>ARIEKI_ZEN</v>
          </cell>
          <cell r="C29">
            <v>9</v>
          </cell>
          <cell r="D29">
            <v>9</v>
          </cell>
        </row>
        <row r="30">
          <cell r="A30" t="str">
            <v>加工品前々月粗利益</v>
          </cell>
          <cell r="B30" t="str">
            <v>ARIEKI_ZZN</v>
          </cell>
          <cell r="C30">
            <v>9</v>
          </cell>
          <cell r="D30">
            <v>9</v>
          </cell>
        </row>
        <row r="31">
          <cell r="A31" t="str">
            <v>引当フラグ</v>
          </cell>
          <cell r="B31" t="str">
            <v>KHIFLG</v>
          </cell>
          <cell r="C31" t="str">
            <v>X</v>
          </cell>
          <cell r="D31">
            <v>1</v>
          </cell>
        </row>
        <row r="32">
          <cell r="A32" t="str">
            <v>期月</v>
          </cell>
          <cell r="B32" t="str">
            <v>KIJITU_MM</v>
          </cell>
          <cell r="C32">
            <v>9</v>
          </cell>
          <cell r="D32">
            <v>1</v>
          </cell>
        </row>
        <row r="33">
          <cell r="A33" t="str">
            <v>期日</v>
          </cell>
          <cell r="B33" t="str">
            <v>KIJITU_DD</v>
          </cell>
          <cell r="C33">
            <v>9</v>
          </cell>
          <cell r="D33">
            <v>2</v>
          </cell>
        </row>
        <row r="34">
          <cell r="A34" t="str">
            <v>機能ＣＤ</v>
          </cell>
          <cell r="B34" t="str">
            <v>KINOU_CD</v>
          </cell>
          <cell r="C34">
            <v>9</v>
          </cell>
          <cell r="D34">
            <v>3</v>
          </cell>
        </row>
        <row r="35">
          <cell r="A35" t="str">
            <v>機能区分</v>
          </cell>
          <cell r="B35" t="str">
            <v>KINOU_KBN</v>
          </cell>
          <cell r="C35">
            <v>9</v>
          </cell>
          <cell r="D35">
            <v>4</v>
          </cell>
        </row>
        <row r="36">
          <cell r="A36" t="str">
            <v>業種ＣＤ</v>
          </cell>
          <cell r="B36" t="str">
            <v>GYOSHU</v>
          </cell>
          <cell r="C36">
            <v>9</v>
          </cell>
          <cell r="D36">
            <v>3</v>
          </cell>
        </row>
        <row r="37">
          <cell r="A37" t="str">
            <v>経由先ＣＤ</v>
          </cell>
          <cell r="B37" t="str">
            <v>KEIYUC</v>
          </cell>
          <cell r="C37" t="str">
            <v>X</v>
          </cell>
          <cell r="D37">
            <v>6</v>
          </cell>
        </row>
        <row r="38">
          <cell r="A38" t="str">
            <v>経由先名</v>
          </cell>
          <cell r="B38" t="str">
            <v>KEIYUM</v>
          </cell>
          <cell r="C38" t="str">
            <v>X</v>
          </cell>
          <cell r="D38">
            <v>16</v>
          </cell>
        </row>
        <row r="39">
          <cell r="A39" t="str">
            <v>欠品数</v>
          </cell>
          <cell r="B39" t="str">
            <v>KETPIN</v>
          </cell>
          <cell r="C39">
            <v>9</v>
          </cell>
          <cell r="D39">
            <v>7</v>
          </cell>
        </row>
        <row r="40">
          <cell r="A40" t="str">
            <v>現金</v>
          </cell>
          <cell r="B40" t="str">
            <v>GENKIN</v>
          </cell>
          <cell r="C40">
            <v>9</v>
          </cell>
          <cell r="D40">
            <v>9</v>
          </cell>
        </row>
        <row r="41">
          <cell r="A41" t="str">
            <v>現在売掛残</v>
          </cell>
          <cell r="B41" t="str">
            <v>GENZAN</v>
          </cell>
          <cell r="C41">
            <v>9</v>
          </cell>
          <cell r="D41">
            <v>9</v>
          </cell>
        </row>
        <row r="42">
          <cell r="A42" t="str">
            <v>工場発注日数</v>
          </cell>
          <cell r="B42" t="str">
            <v>KOUNIS</v>
          </cell>
          <cell r="C42" t="str">
            <v>X</v>
          </cell>
          <cell r="D42">
            <v>2</v>
          </cell>
        </row>
        <row r="43">
          <cell r="A43" t="str">
            <v>コース種別</v>
          </cell>
          <cell r="B43" t="str">
            <v>COURSE</v>
          </cell>
          <cell r="C43">
            <v>9</v>
          </cell>
          <cell r="D43">
            <v>1</v>
          </cell>
        </row>
        <row r="44">
          <cell r="A44" t="str">
            <v>小切手</v>
          </cell>
          <cell r="B44" t="str">
            <v>KOGITE</v>
          </cell>
          <cell r="C44">
            <v>9</v>
          </cell>
          <cell r="D44">
            <v>9</v>
          </cell>
        </row>
        <row r="45">
          <cell r="A45" t="str">
            <v>梱包入数</v>
          </cell>
          <cell r="B45" t="str">
            <v>IRISU</v>
          </cell>
          <cell r="C45">
            <v>9</v>
          </cell>
          <cell r="D45">
            <v>3</v>
          </cell>
        </row>
        <row r="46">
          <cell r="A46" t="str">
            <v>在庫情報</v>
          </cell>
          <cell r="B46" t="str">
            <v>ZAIKO</v>
          </cell>
          <cell r="C46" t="str">
            <v>　</v>
          </cell>
          <cell r="D46" t="str">
            <v>　</v>
          </cell>
        </row>
        <row r="47">
          <cell r="A47" t="str">
            <v>在庫数</v>
          </cell>
          <cell r="B47" t="str">
            <v>ZAIKSU</v>
          </cell>
          <cell r="C47">
            <v>9</v>
          </cell>
          <cell r="D47">
            <v>9</v>
          </cell>
        </row>
        <row r="48">
          <cell r="A48" t="str">
            <v>最終仕入単価</v>
          </cell>
          <cell r="B48" t="str">
            <v>SHITNK_LST</v>
          </cell>
          <cell r="C48">
            <v>9</v>
          </cell>
          <cell r="D48">
            <v>9</v>
          </cell>
        </row>
        <row r="49">
          <cell r="A49" t="str">
            <v>最終仕入日付</v>
          </cell>
          <cell r="B49" t="str">
            <v>SHIDAT_LST</v>
          </cell>
          <cell r="C49" t="str">
            <v>X</v>
          </cell>
          <cell r="D49">
            <v>8</v>
          </cell>
        </row>
        <row r="50">
          <cell r="A50" t="str">
            <v>最終出庫日</v>
          </cell>
          <cell r="B50" t="str">
            <v>SHUKBI_LST</v>
          </cell>
          <cell r="C50" t="str">
            <v>X</v>
          </cell>
          <cell r="D50">
            <v>8</v>
          </cell>
        </row>
        <row r="51">
          <cell r="A51" t="str">
            <v>削除区分</v>
          </cell>
          <cell r="B51" t="str">
            <v>DELKBN</v>
          </cell>
          <cell r="C51">
            <v>9</v>
          </cell>
          <cell r="D51">
            <v>1</v>
          </cell>
        </row>
        <row r="52">
          <cell r="A52" t="str">
            <v>仕入先ＣＤ</v>
          </cell>
          <cell r="B52" t="str">
            <v>SIRESC</v>
          </cell>
          <cell r="C52" t="str">
            <v>X</v>
          </cell>
          <cell r="D52">
            <v>6</v>
          </cell>
        </row>
        <row r="53">
          <cell r="A53" t="str">
            <v>仕入先ＣＤ１</v>
          </cell>
          <cell r="B53" t="str">
            <v>SIRCD1</v>
          </cell>
          <cell r="C53">
            <v>9</v>
          </cell>
          <cell r="D53">
            <v>4</v>
          </cell>
        </row>
        <row r="54">
          <cell r="A54" t="str">
            <v>仕入先ＣＤ２</v>
          </cell>
          <cell r="B54" t="str">
            <v>SIRCD2</v>
          </cell>
          <cell r="C54">
            <v>9</v>
          </cell>
          <cell r="D54">
            <v>2</v>
          </cell>
        </row>
        <row r="55">
          <cell r="A55" t="str">
            <v>仕入先NM</v>
          </cell>
          <cell r="B55" t="str">
            <v>SIRESM</v>
          </cell>
          <cell r="C55" t="str">
            <v>X</v>
          </cell>
          <cell r="D55">
            <v>20</v>
          </cell>
        </row>
        <row r="56">
          <cell r="A56" t="str">
            <v>仕入先情報</v>
          </cell>
          <cell r="B56" t="str">
            <v>SIRESK</v>
          </cell>
          <cell r="C56" t="str">
            <v>　</v>
          </cell>
          <cell r="D56" t="str">
            <v>　</v>
          </cell>
        </row>
        <row r="57">
          <cell r="A57" t="str">
            <v>仕入先名</v>
          </cell>
          <cell r="B57" t="str">
            <v>SIRMEI</v>
          </cell>
          <cell r="C57" t="str">
            <v>X</v>
          </cell>
          <cell r="D57">
            <v>30</v>
          </cell>
        </row>
        <row r="58">
          <cell r="A58" t="str">
            <v>仕入先名(ANK)</v>
          </cell>
          <cell r="B58" t="str">
            <v>SIRMEI_ANK</v>
          </cell>
          <cell r="C58" t="str">
            <v>X</v>
          </cell>
          <cell r="D58">
            <v>20</v>
          </cell>
        </row>
        <row r="59">
          <cell r="A59" t="str">
            <v>仕入先有効日</v>
          </cell>
          <cell r="B59" t="str">
            <v>SIRYUK</v>
          </cell>
          <cell r="C59">
            <v>9</v>
          </cell>
          <cell r="D59">
            <v>8</v>
          </cell>
        </row>
        <row r="60">
          <cell r="A60" t="str">
            <v>事業所ＣＤ</v>
          </cell>
          <cell r="B60" t="str">
            <v>JIGYOC</v>
          </cell>
          <cell r="C60" t="str">
            <v>X</v>
          </cell>
          <cell r="D60">
            <v>4</v>
          </cell>
        </row>
        <row r="61">
          <cell r="A61" t="str">
            <v>事業所名</v>
          </cell>
          <cell r="B61" t="str">
            <v>JIGMEI</v>
          </cell>
          <cell r="C61" t="str">
            <v>X</v>
          </cell>
          <cell r="D61">
            <v>20</v>
          </cell>
        </row>
        <row r="62">
          <cell r="A62" t="str">
            <v>事業所名(ANK)</v>
          </cell>
          <cell r="B62" t="str">
            <v>JIGMEI_ANK</v>
          </cell>
          <cell r="C62" t="str">
            <v>X</v>
          </cell>
          <cell r="D62">
            <v>15</v>
          </cell>
        </row>
        <row r="63">
          <cell r="A63" t="str">
            <v>締日</v>
          </cell>
          <cell r="B63" t="str">
            <v>SIME_DAT</v>
          </cell>
          <cell r="C63">
            <v>9</v>
          </cell>
          <cell r="D63">
            <v>2</v>
          </cell>
        </row>
        <row r="64">
          <cell r="A64" t="str">
            <v>締日テーブル</v>
          </cell>
          <cell r="B64" t="str">
            <v>SIME_TBL</v>
          </cell>
          <cell r="C64" t="str">
            <v xml:space="preserve"> </v>
          </cell>
          <cell r="D64" t="str">
            <v xml:space="preserve"> </v>
          </cell>
        </row>
        <row r="65">
          <cell r="A65" t="str">
            <v>社内移動入力区分</v>
          </cell>
          <cell r="B65" t="str">
            <v>SNANYU</v>
          </cell>
          <cell r="C65">
            <v>9</v>
          </cell>
          <cell r="D65">
            <v>1</v>
          </cell>
        </row>
        <row r="66">
          <cell r="A66" t="str">
            <v>社内振替単価／㎏</v>
          </cell>
          <cell r="B66" t="str">
            <v>JYUTNK</v>
          </cell>
          <cell r="C66">
            <v>9</v>
          </cell>
          <cell r="D66">
            <v>7</v>
          </cell>
        </row>
        <row r="67">
          <cell r="A67" t="str">
            <v>社内振替単価／個</v>
          </cell>
          <cell r="B67" t="str">
            <v>KSUTNK</v>
          </cell>
          <cell r="C67">
            <v>9</v>
          </cell>
          <cell r="D67">
            <v>7</v>
          </cell>
        </row>
        <row r="68">
          <cell r="A68" t="str">
            <v>重量／個</v>
          </cell>
          <cell r="B68" t="str">
            <v>KSUJRY</v>
          </cell>
          <cell r="C68">
            <v>9</v>
          </cell>
          <cell r="D68">
            <v>5</v>
          </cell>
        </row>
        <row r="69">
          <cell r="A69" t="str">
            <v>受注№</v>
          </cell>
          <cell r="B69" t="str">
            <v>JYUCHU_NO</v>
          </cell>
          <cell r="C69" t="str">
            <v>X</v>
          </cell>
          <cell r="D69">
            <v>6</v>
          </cell>
        </row>
        <row r="70">
          <cell r="A70" t="str">
            <v>受注確定数</v>
          </cell>
          <cell r="B70" t="str">
            <v>JYUTYU_KAK</v>
          </cell>
          <cell r="C70">
            <v>9</v>
          </cell>
          <cell r="D70">
            <v>6</v>
          </cell>
        </row>
        <row r="71">
          <cell r="A71" t="str">
            <v>受注数</v>
          </cell>
          <cell r="B71" t="str">
            <v>JYUCHU</v>
          </cell>
          <cell r="C71">
            <v>9</v>
          </cell>
          <cell r="D71">
            <v>6</v>
          </cell>
        </row>
        <row r="72">
          <cell r="A72" t="str">
            <v>出庫確定日</v>
          </cell>
          <cell r="B72" t="str">
            <v>SHKKAK</v>
          </cell>
          <cell r="C72" t="str">
            <v>X</v>
          </cell>
          <cell r="D72">
            <v>8</v>
          </cell>
        </row>
        <row r="73">
          <cell r="A73" t="str">
            <v>出庫指示№</v>
          </cell>
          <cell r="B73" t="str">
            <v>SYUTKO_NO</v>
          </cell>
          <cell r="C73" t="str">
            <v>X</v>
          </cell>
          <cell r="D73">
            <v>2</v>
          </cell>
        </row>
        <row r="74">
          <cell r="A74" t="str">
            <v>出庫指示日</v>
          </cell>
          <cell r="B74" t="str">
            <v>SHKSJI</v>
          </cell>
          <cell r="C74" t="str">
            <v>X</v>
          </cell>
          <cell r="D74">
            <v>8</v>
          </cell>
        </row>
        <row r="75">
          <cell r="A75" t="str">
            <v>出庫日</v>
          </cell>
          <cell r="B75" t="str">
            <v xml:space="preserve">SHUKBI </v>
          </cell>
          <cell r="C75" t="str">
            <v>X</v>
          </cell>
          <cell r="D75">
            <v>8</v>
          </cell>
        </row>
        <row r="76">
          <cell r="A76" t="str">
            <v>出庫フラグ</v>
          </cell>
          <cell r="B76" t="str">
            <v>SHKFLG</v>
          </cell>
          <cell r="C76" t="str">
            <v>X</v>
          </cell>
          <cell r="D76">
            <v>2</v>
          </cell>
        </row>
        <row r="77">
          <cell r="A77" t="str">
            <v>商品ＣＤ</v>
          </cell>
          <cell r="B77" t="str">
            <v>SHOHNC</v>
          </cell>
          <cell r="C77" t="str">
            <v>X</v>
          </cell>
          <cell r="D77">
            <v>7</v>
          </cell>
        </row>
        <row r="78">
          <cell r="A78" t="str">
            <v>商品ＪＡＮ（１５）</v>
          </cell>
          <cell r="B78" t="str">
            <v>SYOHIN_JAN</v>
          </cell>
          <cell r="C78" t="str">
            <v>X</v>
          </cell>
          <cell r="D78">
            <v>15</v>
          </cell>
        </row>
        <row r="79">
          <cell r="A79" t="str">
            <v>商品グループＣＤ</v>
          </cell>
          <cell r="B79" t="str">
            <v>SHOGRP</v>
          </cell>
          <cell r="C79">
            <v>9</v>
          </cell>
          <cell r="D79">
            <v>1</v>
          </cell>
        </row>
        <row r="80">
          <cell r="A80" t="str">
            <v>商品サブＣＤ</v>
          </cell>
          <cell r="B80" t="str">
            <v>SHOSUB</v>
          </cell>
          <cell r="C80" t="str">
            <v>X</v>
          </cell>
          <cell r="D80">
            <v>2</v>
          </cell>
        </row>
        <row r="81">
          <cell r="A81" t="str">
            <v>商品名１</v>
          </cell>
          <cell r="B81" t="str">
            <v>HINMEI</v>
          </cell>
          <cell r="C81" t="str">
            <v>X</v>
          </cell>
          <cell r="D81">
            <v>40</v>
          </cell>
        </row>
        <row r="82">
          <cell r="A82" t="str">
            <v>商品名(ANK)</v>
          </cell>
          <cell r="B82" t="str">
            <v>HINMEI_ANK</v>
          </cell>
          <cell r="C82" t="str">
            <v>X</v>
          </cell>
          <cell r="D82">
            <v>15</v>
          </cell>
        </row>
        <row r="83">
          <cell r="A83" t="str">
            <v>商品名２</v>
          </cell>
          <cell r="B83" t="str">
            <v>HINSUB</v>
          </cell>
          <cell r="C83" t="str">
            <v>X</v>
          </cell>
          <cell r="D83">
            <v>20</v>
          </cell>
        </row>
        <row r="84">
          <cell r="A84" t="str">
            <v>処理区分</v>
          </cell>
          <cell r="B84" t="str">
            <v>SHRKBN</v>
          </cell>
          <cell r="C84" t="str">
            <v>X</v>
          </cell>
          <cell r="D84">
            <v>2</v>
          </cell>
        </row>
        <row r="85">
          <cell r="A85" t="str">
            <v>新商品区分</v>
          </cell>
          <cell r="B85" t="str">
            <v>NEWSHO_KBN</v>
          </cell>
          <cell r="C85">
            <v>9</v>
          </cell>
          <cell r="D85">
            <v>1</v>
          </cell>
        </row>
        <row r="86">
          <cell r="A86" t="str">
            <v>数量</v>
          </cell>
          <cell r="B86" t="str">
            <v>SURYO</v>
          </cell>
          <cell r="C86">
            <v>9</v>
          </cell>
          <cell r="D86">
            <v>7</v>
          </cell>
        </row>
        <row r="87">
          <cell r="A87" t="str">
            <v>請求先ＣＤ</v>
          </cell>
          <cell r="B87" t="str">
            <v>SEICOD</v>
          </cell>
          <cell r="C87">
            <v>9</v>
          </cell>
          <cell r="D87">
            <v>4</v>
          </cell>
        </row>
        <row r="88">
          <cell r="A88" t="str">
            <v>税計算区分</v>
          </cell>
          <cell r="B88" t="str">
            <v>ZEIKBN</v>
          </cell>
          <cell r="C88">
            <v>9</v>
          </cell>
          <cell r="D88">
            <v>1</v>
          </cell>
        </row>
        <row r="89">
          <cell r="A89" t="str">
            <v>製造元区分</v>
          </cell>
          <cell r="B89" t="str">
            <v>SEIZOU_KBN</v>
          </cell>
          <cell r="C89">
            <v>9</v>
          </cell>
          <cell r="D89">
            <v>1</v>
          </cell>
        </row>
        <row r="90">
          <cell r="A90" t="str">
            <v>前回請求額</v>
          </cell>
          <cell r="B90" t="str">
            <v>SEIKNG_ZEN</v>
          </cell>
          <cell r="C90">
            <v>9</v>
          </cell>
          <cell r="D90">
            <v>9</v>
          </cell>
        </row>
        <row r="91">
          <cell r="A91" t="str">
            <v>前回請求年月</v>
          </cell>
          <cell r="B91" t="str">
            <v>SEINGT_ZEN</v>
          </cell>
          <cell r="C91" t="str">
            <v>X</v>
          </cell>
          <cell r="D91">
            <v>8</v>
          </cell>
        </row>
        <row r="92">
          <cell r="A92" t="str">
            <v>前月売掛金残</v>
          </cell>
          <cell r="B92" t="str">
            <v>GENZAN_ZEN</v>
          </cell>
          <cell r="C92">
            <v>9</v>
          </cell>
          <cell r="D92">
            <v>9</v>
          </cell>
        </row>
        <row r="93">
          <cell r="A93" t="str">
            <v>前月休日</v>
          </cell>
          <cell r="B93" t="str">
            <v>KYUJIT_ZEN</v>
          </cell>
          <cell r="C93" t="str">
            <v>X</v>
          </cell>
          <cell r="D93">
            <v>1</v>
          </cell>
        </row>
        <row r="94">
          <cell r="A94" t="str">
            <v>前月工場休日区分</v>
          </cell>
          <cell r="B94" t="str">
            <v>KYUKBN_ZEN</v>
          </cell>
          <cell r="C94" t="str">
            <v xml:space="preserve"> </v>
          </cell>
          <cell r="D94" t="str">
            <v xml:space="preserve"> </v>
          </cell>
        </row>
        <row r="95">
          <cell r="A95" t="str">
            <v>前月純利益</v>
          </cell>
          <cell r="B95" t="str">
            <v>JYUURI_ZEN</v>
          </cell>
          <cell r="C95">
            <v>9</v>
          </cell>
          <cell r="D95">
            <v>9</v>
          </cell>
        </row>
        <row r="96">
          <cell r="A96" t="str">
            <v>前月諸経費等残</v>
          </cell>
          <cell r="B96" t="str">
            <v>SHOKHI_ZEN</v>
          </cell>
          <cell r="C96">
            <v>9</v>
          </cell>
          <cell r="D96">
            <v>9</v>
          </cell>
        </row>
        <row r="97">
          <cell r="A97" t="str">
            <v>前月不良品在庫数</v>
          </cell>
          <cell r="B97" t="str">
            <v>FRYZAI_ZEN</v>
          </cell>
          <cell r="C97">
            <v>9</v>
          </cell>
          <cell r="D97">
            <v>9</v>
          </cell>
        </row>
        <row r="98">
          <cell r="A98" t="str">
            <v>前月良品在庫数</v>
          </cell>
          <cell r="B98" t="str">
            <v>ZAIKO_ZEN</v>
          </cell>
          <cell r="C98">
            <v>9</v>
          </cell>
          <cell r="D98">
            <v>9</v>
          </cell>
        </row>
        <row r="99">
          <cell r="A99" t="str">
            <v>前々月純利益</v>
          </cell>
          <cell r="B99" t="str">
            <v>JYUURI_ZZN</v>
          </cell>
          <cell r="C99">
            <v>9</v>
          </cell>
          <cell r="D99">
            <v>9</v>
          </cell>
        </row>
        <row r="100">
          <cell r="A100" t="str">
            <v>送信先事業所ＣＤ</v>
          </cell>
          <cell r="B100" t="str">
            <v>SSNJIG</v>
          </cell>
          <cell r="C100">
            <v>9</v>
          </cell>
          <cell r="D100">
            <v>4</v>
          </cell>
        </row>
        <row r="101">
          <cell r="A101" t="str">
            <v>送話対象区分</v>
          </cell>
          <cell r="B101" t="str">
            <v>SSNTAI</v>
          </cell>
          <cell r="C101">
            <v>9</v>
          </cell>
          <cell r="D101">
            <v>1</v>
          </cell>
        </row>
        <row r="102">
          <cell r="A102" t="str">
            <v>その他</v>
          </cell>
          <cell r="B102" t="str">
            <v>SONOTA</v>
          </cell>
          <cell r="C102">
            <v>9</v>
          </cell>
          <cell r="D102">
            <v>9</v>
          </cell>
        </row>
        <row r="103">
          <cell r="A103" t="str">
            <v>単価</v>
          </cell>
          <cell r="B103" t="str">
            <v>TANKA</v>
          </cell>
          <cell r="C103">
            <v>9</v>
          </cell>
          <cell r="D103">
            <v>9</v>
          </cell>
        </row>
        <row r="104">
          <cell r="A104" t="str">
            <v>単価区分</v>
          </cell>
          <cell r="B104" t="str">
            <v>TANKBN</v>
          </cell>
          <cell r="C104">
            <v>9</v>
          </cell>
          <cell r="D104">
            <v>1</v>
          </cell>
        </row>
        <row r="105">
          <cell r="A105" t="str">
            <v>単価使用区分</v>
          </cell>
          <cell r="B105" t="str">
            <v>TANKBN</v>
          </cell>
          <cell r="C105">
            <v>9</v>
          </cell>
          <cell r="D105">
            <v>1</v>
          </cell>
        </row>
        <row r="106">
          <cell r="A106" t="str">
            <v>担当事業所ＣＤ</v>
          </cell>
          <cell r="B106" t="str">
            <v>TANTO_JIG</v>
          </cell>
          <cell r="C106" t="str">
            <v>X</v>
          </cell>
          <cell r="D106">
            <v>4</v>
          </cell>
        </row>
        <row r="107">
          <cell r="A107" t="str">
            <v>担当者ＣＤ</v>
          </cell>
          <cell r="B107" t="str">
            <v>TANTOC</v>
          </cell>
          <cell r="C107" t="str">
            <v>X</v>
          </cell>
          <cell r="D107">
            <v>4</v>
          </cell>
        </row>
        <row r="108">
          <cell r="A108" t="str">
            <v>担当者名</v>
          </cell>
          <cell r="B108" t="str">
            <v>TANMEI</v>
          </cell>
          <cell r="C108" t="str">
            <v>X</v>
          </cell>
          <cell r="D108">
            <v>16</v>
          </cell>
        </row>
        <row r="109">
          <cell r="A109" t="str">
            <v>担当者名(ANK)</v>
          </cell>
          <cell r="B109" t="str">
            <v>TANMEI_ANK</v>
          </cell>
          <cell r="C109" t="str">
            <v>X</v>
          </cell>
          <cell r="D109">
            <v>15</v>
          </cell>
        </row>
        <row r="110">
          <cell r="A110" t="str">
            <v>抽出フラグ</v>
          </cell>
          <cell r="B110" t="str">
            <v>SELFLG</v>
          </cell>
          <cell r="C110" t="str">
            <v>X</v>
          </cell>
          <cell r="D110">
            <v>1</v>
          </cell>
        </row>
        <row r="111">
          <cell r="A111" t="str">
            <v>データ区分</v>
          </cell>
          <cell r="B111" t="str">
            <v>CVSFLG</v>
          </cell>
          <cell r="C111" t="str">
            <v>X</v>
          </cell>
          <cell r="D111">
            <v>1</v>
          </cell>
        </row>
        <row r="112">
          <cell r="A112" t="str">
            <v>データ種別</v>
          </cell>
          <cell r="B112" t="str">
            <v>DATSHU</v>
          </cell>
          <cell r="C112" t="str">
            <v>X</v>
          </cell>
          <cell r="D112">
            <v>2</v>
          </cell>
        </row>
        <row r="113">
          <cell r="A113" t="str">
            <v>手形</v>
          </cell>
          <cell r="B113" t="str">
            <v>TEGATA</v>
          </cell>
          <cell r="C113">
            <v>9</v>
          </cell>
          <cell r="D113">
            <v>9</v>
          </cell>
        </row>
        <row r="114">
          <cell r="A114" t="str">
            <v>適正在庫数</v>
          </cell>
          <cell r="B114" t="str">
            <v>TEKZAI_SU</v>
          </cell>
          <cell r="C114">
            <v>9</v>
          </cell>
          <cell r="D114">
            <v>9</v>
          </cell>
        </row>
        <row r="115">
          <cell r="A115" t="str">
            <v>デポＣＤ</v>
          </cell>
          <cell r="B115" t="str">
            <v>DEPOC</v>
          </cell>
          <cell r="C115" t="str">
            <v>X</v>
          </cell>
          <cell r="D115">
            <v>6</v>
          </cell>
        </row>
        <row r="116">
          <cell r="A116" t="str">
            <v>デポ名</v>
          </cell>
          <cell r="B116" t="str">
            <v>DEPMEI</v>
          </cell>
          <cell r="C116" t="str">
            <v>X</v>
          </cell>
          <cell r="D116">
            <v>20</v>
          </cell>
        </row>
        <row r="117">
          <cell r="A117" t="str">
            <v>伝票番号</v>
          </cell>
          <cell r="B117" t="str">
            <v>DNPBNG</v>
          </cell>
          <cell r="C117">
            <v>9</v>
          </cell>
          <cell r="D117">
            <v>6</v>
          </cell>
        </row>
        <row r="118">
          <cell r="A118" t="str">
            <v>電話番号</v>
          </cell>
          <cell r="B118" t="str">
            <v>TEL_NO</v>
          </cell>
          <cell r="C118" t="str">
            <v>X</v>
          </cell>
          <cell r="D118">
            <v>15</v>
          </cell>
        </row>
        <row r="119">
          <cell r="A119" t="str">
            <v>当月粗利益</v>
          </cell>
          <cell r="B119" t="str">
            <v>ARIEKI</v>
          </cell>
          <cell r="C119">
            <v>9</v>
          </cell>
          <cell r="D119">
            <v>9</v>
          </cell>
        </row>
        <row r="120">
          <cell r="A120" t="str">
            <v>当月売上</v>
          </cell>
          <cell r="B120" t="str">
            <v>URIAGE</v>
          </cell>
          <cell r="C120">
            <v>9</v>
          </cell>
          <cell r="D120">
            <v>9</v>
          </cell>
        </row>
        <row r="121">
          <cell r="A121" t="str">
            <v>当月休日</v>
          </cell>
          <cell r="B121" t="str">
            <v>KYUJIT</v>
          </cell>
          <cell r="C121" t="str">
            <v>X</v>
          </cell>
          <cell r="D121">
            <v>1</v>
          </cell>
        </row>
        <row r="122">
          <cell r="A122" t="str">
            <v>当月工場休日区分</v>
          </cell>
          <cell r="B122" t="str">
            <v>KYUKBN</v>
          </cell>
          <cell r="C122" t="str">
            <v xml:space="preserve"> </v>
          </cell>
          <cell r="D122" t="str">
            <v xml:space="preserve"> </v>
          </cell>
        </row>
        <row r="123">
          <cell r="A123" t="str">
            <v>当月消費税</v>
          </cell>
          <cell r="B123" t="str">
            <v>SHIZEI</v>
          </cell>
          <cell r="C123">
            <v>9</v>
          </cell>
          <cell r="D123">
            <v>9</v>
          </cell>
        </row>
        <row r="124">
          <cell r="A124" t="str">
            <v>当月諸経費</v>
          </cell>
          <cell r="B124" t="str">
            <v>SHOKHI</v>
          </cell>
          <cell r="C124">
            <v>9</v>
          </cell>
          <cell r="D124">
            <v>9</v>
          </cell>
        </row>
        <row r="125">
          <cell r="A125" t="str">
            <v>当月請求</v>
          </cell>
          <cell r="B125" t="str">
            <v>SEIKYU</v>
          </cell>
          <cell r="C125" t="str">
            <v xml:space="preserve"> </v>
          </cell>
          <cell r="D125" t="str">
            <v xml:space="preserve">  </v>
          </cell>
        </row>
        <row r="126">
          <cell r="A126" t="str">
            <v>当月入金</v>
          </cell>
          <cell r="B126" t="str">
            <v>NYUKIN</v>
          </cell>
          <cell r="C126">
            <v>9</v>
          </cell>
          <cell r="D126">
            <v>9</v>
          </cell>
        </row>
        <row r="127">
          <cell r="A127" t="str">
            <v>当月返品・戻り・値引</v>
          </cell>
          <cell r="B127" t="str">
            <v>HENPIN</v>
          </cell>
          <cell r="C127">
            <v>9</v>
          </cell>
          <cell r="D127">
            <v>9</v>
          </cell>
        </row>
        <row r="128">
          <cell r="A128" t="str">
            <v>登録日付</v>
          </cell>
          <cell r="B128" t="str">
            <v>CDATE</v>
          </cell>
          <cell r="C128" t="str">
            <v>X</v>
          </cell>
          <cell r="D128">
            <v>8</v>
          </cell>
        </row>
        <row r="129">
          <cell r="A129" t="str">
            <v>得意先ＣＤ</v>
          </cell>
          <cell r="B129" t="str">
            <v>TOKUIC</v>
          </cell>
          <cell r="C129" t="str">
            <v>X</v>
          </cell>
          <cell r="D129">
            <v>6</v>
          </cell>
        </row>
        <row r="130">
          <cell r="A130" t="str">
            <v>得意先名</v>
          </cell>
          <cell r="B130" t="str">
            <v>TOKMEI</v>
          </cell>
          <cell r="C130" t="str">
            <v>X</v>
          </cell>
          <cell r="D130">
            <v>30</v>
          </cell>
        </row>
        <row r="131">
          <cell r="A131" t="str">
            <v>得意先名(ANK)</v>
          </cell>
          <cell r="B131" t="str">
            <v>TOKMEI_ANK</v>
          </cell>
          <cell r="C131" t="str">
            <v>X</v>
          </cell>
          <cell r="D131">
            <v>20</v>
          </cell>
        </row>
        <row r="132">
          <cell r="A132" t="str">
            <v>取扱区分</v>
          </cell>
          <cell r="B132" t="str">
            <v>TORKBN</v>
          </cell>
          <cell r="C132">
            <v>9</v>
          </cell>
          <cell r="D132">
            <v>1</v>
          </cell>
        </row>
        <row r="133">
          <cell r="A133" t="str">
            <v>取引日付</v>
          </cell>
          <cell r="B133" t="str">
            <v>HZK</v>
          </cell>
          <cell r="C133" t="str">
            <v>X</v>
          </cell>
          <cell r="D133">
            <v>8</v>
          </cell>
        </row>
        <row r="134">
          <cell r="A134" t="str">
            <v>生肉売上額</v>
          </cell>
          <cell r="B134" t="str">
            <v>URIAGE_NAM</v>
          </cell>
          <cell r="C134">
            <v>9</v>
          </cell>
          <cell r="D134">
            <v>9</v>
          </cell>
        </row>
        <row r="135">
          <cell r="A135" t="str">
            <v>入金領域</v>
          </cell>
          <cell r="B135" t="str">
            <v>NAMKAI</v>
          </cell>
          <cell r="C135" t="str">
            <v xml:space="preserve"> </v>
          </cell>
          <cell r="D135" t="str">
            <v xml:space="preserve"> </v>
          </cell>
        </row>
        <row r="136">
          <cell r="A136" t="str">
            <v>生肉回数</v>
          </cell>
          <cell r="B136" t="str">
            <v>NAMKAI</v>
          </cell>
          <cell r="C136">
            <v>9</v>
          </cell>
          <cell r="D136">
            <v>2</v>
          </cell>
        </row>
        <row r="137">
          <cell r="A137" t="str">
            <v>生肉締日</v>
          </cell>
          <cell r="B137" t="str">
            <v>NAMSIM</v>
          </cell>
          <cell r="C137" t="str">
            <v xml:space="preserve"> </v>
          </cell>
          <cell r="D137" t="str">
            <v xml:space="preserve"> </v>
          </cell>
        </row>
        <row r="138">
          <cell r="A138" t="str">
            <v>生肉消費税</v>
          </cell>
          <cell r="B138" t="str">
            <v>SHIZEI_NAM</v>
          </cell>
          <cell r="C138">
            <v>9</v>
          </cell>
          <cell r="D138">
            <v>9</v>
          </cell>
        </row>
        <row r="139">
          <cell r="A139" t="str">
            <v>入金領域</v>
          </cell>
          <cell r="B139" t="str">
            <v>NYUKIN_AREA</v>
          </cell>
        </row>
        <row r="140">
          <cell r="A140" t="str">
            <v>入庫確定数</v>
          </cell>
          <cell r="B140" t="str">
            <v>NYUKAK_SU</v>
          </cell>
          <cell r="C140">
            <v>9</v>
          </cell>
          <cell r="D140">
            <v>9</v>
          </cell>
        </row>
        <row r="141">
          <cell r="A141" t="str">
            <v>入庫日</v>
          </cell>
          <cell r="B141" t="str">
            <v>NYUKBI</v>
          </cell>
          <cell r="C141" t="str">
            <v>X</v>
          </cell>
          <cell r="D141">
            <v>8</v>
          </cell>
        </row>
        <row r="142">
          <cell r="A142" t="str">
            <v>入庫待数</v>
          </cell>
          <cell r="B142" t="str">
            <v>NYUMAT</v>
          </cell>
          <cell r="C142">
            <v>9</v>
          </cell>
          <cell r="D142">
            <v>9</v>
          </cell>
        </row>
        <row r="143">
          <cell r="A143" t="str">
            <v>入庫予定数</v>
          </cell>
          <cell r="B143" t="str">
            <v>NYUYOK</v>
          </cell>
          <cell r="C143">
            <v>9</v>
          </cell>
          <cell r="D143">
            <v>9</v>
          </cell>
        </row>
        <row r="144">
          <cell r="A144" t="str">
            <v>入庫予定日</v>
          </cell>
          <cell r="B144" t="str">
            <v>NYUYOT_DAT</v>
          </cell>
          <cell r="C144" t="str">
            <v>X</v>
          </cell>
          <cell r="D144">
            <v>8</v>
          </cell>
        </row>
        <row r="145">
          <cell r="A145" t="str">
            <v>値引</v>
          </cell>
          <cell r="B145" t="str">
            <v>NEBIKI</v>
          </cell>
          <cell r="C145">
            <v>9</v>
          </cell>
          <cell r="D145">
            <v>9</v>
          </cell>
        </row>
        <row r="146">
          <cell r="A146" t="str">
            <v>年月</v>
          </cell>
          <cell r="B146" t="str">
            <v>NENGET</v>
          </cell>
          <cell r="C146">
            <v>9</v>
          </cell>
          <cell r="D146">
            <v>6</v>
          </cell>
        </row>
        <row r="147">
          <cell r="A147" t="str">
            <v>納入サイクル</v>
          </cell>
          <cell r="B147" t="str">
            <v>SAIKUR</v>
          </cell>
          <cell r="C147">
            <v>9</v>
          </cell>
          <cell r="D147">
            <v>2</v>
          </cell>
        </row>
        <row r="148">
          <cell r="A148" t="str">
            <v>納品先ＣＤ</v>
          </cell>
          <cell r="B148" t="str">
            <v>NOUHNC</v>
          </cell>
          <cell r="C148" t="str">
            <v>X</v>
          </cell>
          <cell r="D148">
            <v>6</v>
          </cell>
        </row>
        <row r="149">
          <cell r="A149" t="str">
            <v>納品先区分</v>
          </cell>
          <cell r="B149" t="str">
            <v>NOUKBN</v>
          </cell>
          <cell r="C149">
            <v>9</v>
          </cell>
          <cell r="D149">
            <v>1</v>
          </cell>
        </row>
        <row r="150">
          <cell r="A150" t="str">
            <v>納品先名</v>
          </cell>
          <cell r="B150" t="str">
            <v>NOUHNM</v>
          </cell>
          <cell r="C150" t="str">
            <v>X</v>
          </cell>
          <cell r="D150">
            <v>16</v>
          </cell>
        </row>
        <row r="151">
          <cell r="A151" t="str">
            <v>納品日</v>
          </cell>
          <cell r="B151" t="str">
            <v>NOUHBI</v>
          </cell>
          <cell r="C151" t="str">
            <v>X</v>
          </cell>
          <cell r="D151">
            <v>8</v>
          </cell>
        </row>
        <row r="152">
          <cell r="A152" t="str">
            <v>配送休日</v>
          </cell>
          <cell r="B152" t="str">
            <v>HAIKYU</v>
          </cell>
          <cell r="C152" t="str">
            <v>X</v>
          </cell>
          <cell r="D152">
            <v>1</v>
          </cell>
        </row>
        <row r="153">
          <cell r="A153" t="str">
            <v>配送休日区分</v>
          </cell>
          <cell r="B153" t="str">
            <v>HAIKBN</v>
          </cell>
          <cell r="C153" t="str">
            <v xml:space="preserve"> </v>
          </cell>
          <cell r="D153" t="str">
            <v xml:space="preserve"> </v>
          </cell>
        </row>
        <row r="154">
          <cell r="A154" t="str">
            <v>発注№</v>
          </cell>
          <cell r="B154" t="str">
            <v>HAT_NO</v>
          </cell>
          <cell r="C154" t="str">
            <v>X</v>
          </cell>
          <cell r="D154">
            <v>6</v>
          </cell>
        </row>
        <row r="155">
          <cell r="A155" t="str">
            <v>発注先ＣＤ</v>
          </cell>
          <cell r="B155" t="str">
            <v>HATSAK</v>
          </cell>
          <cell r="C155" t="str">
            <v>X</v>
          </cell>
          <cell r="D155">
            <v>6</v>
          </cell>
        </row>
        <row r="156">
          <cell r="A156" t="str">
            <v>発注先名</v>
          </cell>
          <cell r="B156" t="str">
            <v>HATSAK_MEI</v>
          </cell>
          <cell r="C156" t="str">
            <v>X</v>
          </cell>
          <cell r="D156">
            <v>16</v>
          </cell>
        </row>
        <row r="157">
          <cell r="A157" t="str">
            <v>発注単位ＣＤ</v>
          </cell>
          <cell r="B157" t="str">
            <v>HATTNI</v>
          </cell>
          <cell r="C157">
            <v>9</v>
          </cell>
          <cell r="D157">
            <v>1</v>
          </cell>
        </row>
        <row r="158">
          <cell r="A158" t="str">
            <v>発注年月</v>
          </cell>
          <cell r="B158" t="str">
            <v>HATNGT</v>
          </cell>
          <cell r="C158" t="str">
            <v>X</v>
          </cell>
          <cell r="D158">
            <v>6</v>
          </cell>
        </row>
        <row r="159">
          <cell r="A159" t="str">
            <v>発注変更入力区分</v>
          </cell>
          <cell r="B159" t="str">
            <v>HNKKBN</v>
          </cell>
          <cell r="C159" t="str">
            <v>X</v>
          </cell>
          <cell r="D159">
            <v>1</v>
          </cell>
        </row>
        <row r="160">
          <cell r="A160" t="str">
            <v>発注元ＣＤ</v>
          </cell>
          <cell r="B160" t="str">
            <v>HATMOT</v>
          </cell>
          <cell r="C160" t="str">
            <v>X</v>
          </cell>
          <cell r="D160">
            <v>6</v>
          </cell>
        </row>
        <row r="161">
          <cell r="A161" t="str">
            <v>発注元事業所名称(ANK)</v>
          </cell>
          <cell r="B161" t="str">
            <v>HATMOT_MEI_ANK</v>
          </cell>
          <cell r="C161" t="str">
            <v>X</v>
          </cell>
          <cell r="D161">
            <v>15</v>
          </cell>
        </row>
        <row r="162">
          <cell r="A162" t="str">
            <v>発注元名</v>
          </cell>
          <cell r="B162" t="str">
            <v>HATMOT_MEI</v>
          </cell>
          <cell r="C162" t="str">
            <v>X</v>
          </cell>
          <cell r="D162">
            <v>16</v>
          </cell>
        </row>
        <row r="163">
          <cell r="A163" t="str">
            <v>発注予定日</v>
          </cell>
          <cell r="B163" t="str">
            <v>HATYOT_DAT</v>
          </cell>
          <cell r="C163" t="str">
            <v>X</v>
          </cell>
          <cell r="D163">
            <v>8</v>
          </cell>
        </row>
        <row r="164">
          <cell r="A164" t="str">
            <v>班コード</v>
          </cell>
          <cell r="B164" t="str">
            <v>HANC</v>
          </cell>
          <cell r="C164">
            <v>9</v>
          </cell>
          <cell r="D164">
            <v>1</v>
          </cell>
        </row>
        <row r="165">
          <cell r="A165" t="str">
            <v>引当数</v>
          </cell>
          <cell r="B165" t="str">
            <v>HIKIAT</v>
          </cell>
          <cell r="C165">
            <v>9</v>
          </cell>
          <cell r="D165">
            <v>9</v>
          </cell>
        </row>
        <row r="166">
          <cell r="A166" t="str">
            <v>引当日</v>
          </cell>
          <cell r="B166" t="str">
            <v>HIKIBI</v>
          </cell>
          <cell r="C166" t="str">
            <v>X</v>
          </cell>
          <cell r="D166">
            <v>8</v>
          </cell>
        </row>
        <row r="167">
          <cell r="A167" t="str">
            <v>標準売価</v>
          </cell>
          <cell r="B167" t="str">
            <v>BAITNK</v>
          </cell>
          <cell r="C167">
            <v>9</v>
          </cell>
          <cell r="D167">
            <v>9</v>
          </cell>
        </row>
        <row r="168">
          <cell r="A168" t="str">
            <v>品種Ｃ＊</v>
          </cell>
          <cell r="B168" t="str">
            <v>HINSHU</v>
          </cell>
          <cell r="C168" t="str">
            <v xml:space="preserve"> </v>
          </cell>
          <cell r="D168" t="str">
            <v xml:space="preserve"> </v>
          </cell>
        </row>
        <row r="169">
          <cell r="A169" t="str">
            <v>品種ＣＤ</v>
          </cell>
          <cell r="B169" t="str">
            <v>HINSHC</v>
          </cell>
          <cell r="C169">
            <v>9</v>
          </cell>
          <cell r="D169">
            <v>3</v>
          </cell>
        </row>
        <row r="170">
          <cell r="A170" t="str">
            <v>ファイル種別</v>
          </cell>
          <cell r="B170" t="str">
            <v>FILSYU</v>
          </cell>
          <cell r="C170" t="str">
            <v>X</v>
          </cell>
          <cell r="D170">
            <v>2</v>
          </cell>
        </row>
        <row r="171">
          <cell r="A171" t="str">
            <v>ファイル名</v>
          </cell>
          <cell r="B171" t="str">
            <v>FILMEI</v>
          </cell>
          <cell r="C171" t="str">
            <v>X</v>
          </cell>
          <cell r="D171">
            <v>15</v>
          </cell>
        </row>
        <row r="172">
          <cell r="A172" t="str">
            <v>複数事業所管理区分</v>
          </cell>
          <cell r="B172" t="str">
            <v>MU_JIKAN</v>
          </cell>
          <cell r="C172">
            <v>9</v>
          </cell>
          <cell r="D172">
            <v>3</v>
          </cell>
        </row>
        <row r="173">
          <cell r="A173" t="str">
            <v>不良品在庫数</v>
          </cell>
          <cell r="B173" t="str">
            <v>FRYZAI</v>
          </cell>
          <cell r="C173">
            <v>9</v>
          </cell>
          <cell r="D173">
            <v>9</v>
          </cell>
        </row>
        <row r="174">
          <cell r="A174" t="str">
            <v>プログラム名称</v>
          </cell>
          <cell r="B174" t="str">
            <v>AP_NM</v>
          </cell>
          <cell r="C174" t="str">
            <v>X</v>
          </cell>
          <cell r="D174">
            <v>15</v>
          </cell>
        </row>
        <row r="175">
          <cell r="A175" t="str">
            <v>変更日付</v>
          </cell>
          <cell r="B175" t="str">
            <v>UDATE</v>
          </cell>
          <cell r="C175" t="str">
            <v>X</v>
          </cell>
          <cell r="D175">
            <v>8</v>
          </cell>
        </row>
        <row r="176">
          <cell r="A176" t="str">
            <v>ポインター数</v>
          </cell>
          <cell r="B176" t="str">
            <v>POINT</v>
          </cell>
          <cell r="C176">
            <v>9</v>
          </cell>
          <cell r="D176">
            <v>6</v>
          </cell>
        </row>
        <row r="177">
          <cell r="A177" t="str">
            <v>ポインター名</v>
          </cell>
          <cell r="B177" t="str">
            <v>PINMEI</v>
          </cell>
          <cell r="C177" t="str">
            <v>X</v>
          </cell>
          <cell r="D177">
            <v>1</v>
          </cell>
        </row>
        <row r="178">
          <cell r="A178" t="str">
            <v>前月粗利益</v>
          </cell>
          <cell r="B178" t="str">
            <v>ARIEKI_ZEN</v>
          </cell>
          <cell r="C178">
            <v>9</v>
          </cell>
          <cell r="D178">
            <v>9</v>
          </cell>
        </row>
        <row r="179">
          <cell r="A179" t="str">
            <v>前月売上</v>
          </cell>
          <cell r="B179" t="str">
            <v>URIAGE_ZEN</v>
          </cell>
          <cell r="C179">
            <v>9</v>
          </cell>
          <cell r="D179">
            <v>9</v>
          </cell>
        </row>
        <row r="180">
          <cell r="A180" t="str">
            <v>前月消費税</v>
          </cell>
          <cell r="B180" t="str">
            <v>SHIZEI_ZEN</v>
          </cell>
          <cell r="C180">
            <v>9</v>
          </cell>
          <cell r="D180">
            <v>9</v>
          </cell>
        </row>
        <row r="181">
          <cell r="A181" t="str">
            <v>前月諸経費</v>
          </cell>
          <cell r="B181" t="str">
            <v>SHOKHI_ZEN</v>
          </cell>
          <cell r="C181">
            <v>9</v>
          </cell>
          <cell r="D181">
            <v>9</v>
          </cell>
        </row>
        <row r="182">
          <cell r="A182" t="str">
            <v>前月入金</v>
          </cell>
          <cell r="B182" t="str">
            <v>NYUKIN_ZEN</v>
          </cell>
          <cell r="C182">
            <v>9</v>
          </cell>
          <cell r="D182">
            <v>9</v>
          </cell>
        </row>
        <row r="183">
          <cell r="A183" t="str">
            <v>前月返品・戻り・値引</v>
          </cell>
          <cell r="B183" t="str">
            <v>NYUKIN_ZEN</v>
          </cell>
          <cell r="C183">
            <v>9</v>
          </cell>
          <cell r="D183">
            <v>9</v>
          </cell>
        </row>
        <row r="184">
          <cell r="A184" t="str">
            <v>明細行№</v>
          </cell>
          <cell r="B184" t="str">
            <v>MEISAI_NO</v>
          </cell>
          <cell r="C184">
            <v>9</v>
          </cell>
          <cell r="D184">
            <v>3</v>
          </cell>
        </row>
        <row r="185">
          <cell r="A185" t="str">
            <v>明細データ</v>
          </cell>
          <cell r="B185" t="str">
            <v>MEISAI</v>
          </cell>
          <cell r="C185" t="str">
            <v xml:space="preserve"> </v>
          </cell>
          <cell r="D185" t="str">
            <v xml:space="preserve"> </v>
          </cell>
        </row>
        <row r="186">
          <cell r="A186" t="str">
            <v>元発注？</v>
          </cell>
          <cell r="B186" t="str">
            <v>SNDKBN</v>
          </cell>
          <cell r="C186" t="str">
            <v>X</v>
          </cell>
          <cell r="D186">
            <v>1</v>
          </cell>
        </row>
        <row r="187">
          <cell r="A187" t="str">
            <v>有効期限</v>
          </cell>
          <cell r="B187" t="str">
            <v>YUKOBI</v>
          </cell>
          <cell r="C187" t="str">
            <v>X</v>
          </cell>
          <cell r="D187">
            <v>8</v>
          </cell>
        </row>
        <row r="188">
          <cell r="A188" t="str">
            <v>有効在庫数</v>
          </cell>
          <cell r="B188" t="str">
            <v>YUKZAI</v>
          </cell>
          <cell r="C188">
            <v>9</v>
          </cell>
          <cell r="D188">
            <v>9</v>
          </cell>
        </row>
        <row r="189">
          <cell r="A189" t="str">
            <v>翌月売上</v>
          </cell>
          <cell r="B189" t="str">
            <v>URIAGE_YOK</v>
          </cell>
          <cell r="C189">
            <v>9</v>
          </cell>
          <cell r="D189">
            <v>9</v>
          </cell>
        </row>
        <row r="190">
          <cell r="A190" t="str">
            <v>翌月消費税</v>
          </cell>
          <cell r="B190" t="str">
            <v>SHIZEI_YOK</v>
          </cell>
          <cell r="C190">
            <v>9</v>
          </cell>
          <cell r="D190">
            <v>9</v>
          </cell>
        </row>
        <row r="191">
          <cell r="A191" t="str">
            <v>翌月諸経費</v>
          </cell>
          <cell r="B191" t="str">
            <v>SHOKHI_YOK</v>
          </cell>
          <cell r="C191">
            <v>9</v>
          </cell>
          <cell r="D191">
            <v>9</v>
          </cell>
        </row>
        <row r="192">
          <cell r="A192" t="str">
            <v>翌月請求</v>
          </cell>
          <cell r="B192" t="str">
            <v>SEIKYU_YOK</v>
          </cell>
          <cell r="C192" t="str">
            <v xml:space="preserve"> </v>
          </cell>
          <cell r="D192" t="str">
            <v xml:space="preserve"> </v>
          </cell>
        </row>
        <row r="193">
          <cell r="A193" t="str">
            <v>翌月入金</v>
          </cell>
          <cell r="B193" t="str">
            <v>NYUKIN_YOK</v>
          </cell>
          <cell r="C193">
            <v>9</v>
          </cell>
          <cell r="D193">
            <v>9</v>
          </cell>
        </row>
        <row r="194">
          <cell r="A194" t="str">
            <v>翌月返品・戻り・値引</v>
          </cell>
          <cell r="B194" t="str">
            <v>HENPIN_YOK</v>
          </cell>
          <cell r="C194">
            <v>9</v>
          </cell>
          <cell r="D194">
            <v>9</v>
          </cell>
        </row>
        <row r="195">
          <cell r="A195" t="str">
            <v>与信限度額(万円)</v>
          </cell>
          <cell r="B195" t="str">
            <v>YOSHIN</v>
          </cell>
          <cell r="C195">
            <v>9</v>
          </cell>
          <cell r="D195">
            <v>9</v>
          </cell>
        </row>
        <row r="196">
          <cell r="A196" t="str">
            <v>量販店ＣＤ</v>
          </cell>
          <cell r="B196" t="str">
            <v>RYOHAN</v>
          </cell>
          <cell r="C196">
            <v>9</v>
          </cell>
          <cell r="D196">
            <v>6</v>
          </cell>
        </row>
        <row r="197">
          <cell r="A197" t="str">
            <v>良品在庫数</v>
          </cell>
          <cell r="B197" t="str">
            <v>ZAIKO</v>
          </cell>
          <cell r="C197">
            <v>9</v>
          </cell>
          <cell r="D197">
            <v>9</v>
          </cell>
        </row>
        <row r="198">
          <cell r="A198" t="str">
            <v>レコード種別</v>
          </cell>
          <cell r="B198" t="str">
            <v>RECSYU</v>
          </cell>
          <cell r="C198" t="str">
            <v>X</v>
          </cell>
          <cell r="D198">
            <v>1</v>
          </cell>
        </row>
        <row r="199">
          <cell r="A199" t="str">
            <v>ロット№</v>
          </cell>
          <cell r="B199" t="str">
            <v>LOT_NO</v>
          </cell>
          <cell r="C199" t="str">
            <v>X</v>
          </cell>
          <cell r="D199">
            <v>10</v>
          </cell>
        </row>
        <row r="200">
          <cell r="A200" t="str">
            <v>最終更新日</v>
          </cell>
          <cell r="B200" t="str">
            <v>UPDATE</v>
          </cell>
          <cell r="C200" t="str">
            <v>X</v>
          </cell>
          <cell r="D200">
            <v>8</v>
          </cell>
        </row>
        <row r="201">
          <cell r="A201" t="str">
            <v>作成日</v>
          </cell>
          <cell r="B201" t="str">
            <v>CRDATE</v>
          </cell>
          <cell r="C201" t="str">
            <v>X</v>
          </cell>
          <cell r="D201">
            <v>8</v>
          </cell>
        </row>
        <row r="202">
          <cell r="A202" t="str">
            <v>プログラムＩＤ</v>
          </cell>
          <cell r="B202" t="str">
            <v>AP_ID</v>
          </cell>
          <cell r="C202" t="str">
            <v>X</v>
          </cell>
          <cell r="D202">
            <v>20</v>
          </cell>
        </row>
        <row r="203">
          <cell r="A203" t="str">
            <v>行№</v>
          </cell>
          <cell r="B203" t="str">
            <v>GYONO</v>
          </cell>
          <cell r="C203">
            <v>9</v>
          </cell>
          <cell r="D203">
            <v>2</v>
          </cell>
        </row>
        <row r="204">
          <cell r="A204" t="str">
            <v>伝票区分</v>
          </cell>
          <cell r="B204" t="str">
            <v>DNPKBN</v>
          </cell>
          <cell r="C204" t="str">
            <v>X</v>
          </cell>
          <cell r="D204">
            <v>2</v>
          </cell>
        </row>
        <row r="205">
          <cell r="A205" t="str">
            <v>配送業者ＣＤ</v>
          </cell>
          <cell r="B205" t="str">
            <v>HAISOU_CD</v>
          </cell>
          <cell r="C205" t="str">
            <v>X</v>
          </cell>
          <cell r="D205">
            <v>6</v>
          </cell>
        </row>
        <row r="206">
          <cell r="A206" t="str">
            <v>配送業者名</v>
          </cell>
          <cell r="B206" t="str">
            <v>HAISOU_NM</v>
          </cell>
          <cell r="C206" t="str">
            <v>X</v>
          </cell>
          <cell r="D206">
            <v>40</v>
          </cell>
        </row>
        <row r="207">
          <cell r="A207" t="str">
            <v>単位区分</v>
          </cell>
          <cell r="B207" t="str">
            <v>TNIKBN</v>
          </cell>
          <cell r="C207" t="str">
            <v>X</v>
          </cell>
          <cell r="D207">
            <v>1</v>
          </cell>
        </row>
        <row r="208">
          <cell r="A208" t="str">
            <v>単位</v>
          </cell>
          <cell r="B208" t="str">
            <v>TNI</v>
          </cell>
          <cell r="C208" t="str">
            <v>X</v>
          </cell>
          <cell r="D208">
            <v>2</v>
          </cell>
        </row>
        <row r="209">
          <cell r="A209" t="str">
            <v>重量</v>
          </cell>
          <cell r="B209" t="str">
            <v>JYURYO</v>
          </cell>
          <cell r="C209">
            <v>9</v>
          </cell>
          <cell r="D209">
            <v>9</v>
          </cell>
        </row>
        <row r="210">
          <cell r="A210" t="str">
            <v>作成日時</v>
          </cell>
          <cell r="B210" t="str">
            <v>M_YMDHM</v>
          </cell>
          <cell r="C210">
            <v>9</v>
          </cell>
          <cell r="D210">
            <v>12</v>
          </cell>
        </row>
        <row r="211">
          <cell r="A211" t="str">
            <v>更新日時</v>
          </cell>
          <cell r="B211" t="str">
            <v>U_YMDHM</v>
          </cell>
          <cell r="C211">
            <v>9</v>
          </cell>
          <cell r="D211">
            <v>12</v>
          </cell>
        </row>
        <row r="212">
          <cell r="A212" t="str">
            <v>出庫依頼書出力パターン</v>
          </cell>
          <cell r="B212" t="str">
            <v>SYU_PTN</v>
          </cell>
          <cell r="C212">
            <v>9</v>
          </cell>
          <cell r="D212">
            <v>1</v>
          </cell>
        </row>
        <row r="213">
          <cell r="A213" t="str">
            <v>受注単位ＣＤ</v>
          </cell>
          <cell r="B213" t="str">
            <v>JYUTNI_CD</v>
          </cell>
          <cell r="C213">
            <v>9</v>
          </cell>
          <cell r="D213">
            <v>1</v>
          </cell>
        </row>
        <row r="214">
          <cell r="A214" t="str">
            <v>曜日</v>
          </cell>
          <cell r="B214" t="str">
            <v>YOBI</v>
          </cell>
          <cell r="C214" t="str">
            <v>X</v>
          </cell>
          <cell r="D214">
            <v>2</v>
          </cell>
        </row>
        <row r="215">
          <cell r="A215" t="str">
            <v>確認書出力パターン</v>
          </cell>
          <cell r="B215" t="str">
            <v>KAKUNI_PTN</v>
          </cell>
          <cell r="C215">
            <v>9</v>
          </cell>
          <cell r="D215">
            <v>1</v>
          </cell>
        </row>
        <row r="216">
          <cell r="A216" t="str">
            <v>倉移送フラグ</v>
          </cell>
          <cell r="B216" t="str">
            <v>KURAIS</v>
          </cell>
          <cell r="C216">
            <v>9</v>
          </cell>
          <cell r="D216">
            <v>1</v>
          </cell>
        </row>
        <row r="217">
          <cell r="A217" t="str">
            <v>受注確認書区分</v>
          </cell>
          <cell r="B217" t="str">
            <v>JYUKAK_KBN</v>
          </cell>
          <cell r="C217">
            <v>9</v>
          </cell>
          <cell r="D217">
            <v>1</v>
          </cell>
        </row>
        <row r="218">
          <cell r="A218" t="str">
            <v>受注確認書ＦＡＸ</v>
          </cell>
          <cell r="B218" t="str">
            <v>JYUKAK_FAX</v>
          </cell>
          <cell r="C218" t="str">
            <v>X</v>
          </cell>
          <cell r="D218">
            <v>10</v>
          </cell>
        </row>
        <row r="219">
          <cell r="A219" t="str">
            <v>開始№</v>
          </cell>
          <cell r="B219" t="str">
            <v>START_NO</v>
          </cell>
          <cell r="C219">
            <v>9</v>
          </cell>
          <cell r="D219">
            <v>6</v>
          </cell>
        </row>
        <row r="220">
          <cell r="A220" t="str">
            <v>終了№</v>
          </cell>
          <cell r="B220" t="str">
            <v>END_NO</v>
          </cell>
          <cell r="C220">
            <v>9</v>
          </cell>
          <cell r="D220">
            <v>6</v>
          </cell>
        </row>
        <row r="221">
          <cell r="A221" t="str">
            <v>現在№</v>
          </cell>
          <cell r="B221" t="str">
            <v>NOW_NO</v>
          </cell>
          <cell r="C221">
            <v>9</v>
          </cell>
          <cell r="D221">
            <v>6</v>
          </cell>
        </row>
        <row r="222">
          <cell r="A222" t="str">
            <v>雑区分</v>
          </cell>
          <cell r="B222" t="str">
            <v>ZATU_KBN</v>
          </cell>
          <cell r="C222">
            <v>9</v>
          </cell>
          <cell r="D222">
            <v>2</v>
          </cell>
        </row>
        <row r="223">
          <cell r="A223" t="str">
            <v>伝票行数</v>
          </cell>
          <cell r="B223" t="str">
            <v>DEN_GYOSU</v>
          </cell>
          <cell r="C223">
            <v>9</v>
          </cell>
          <cell r="D223">
            <v>2</v>
          </cell>
        </row>
        <row r="224">
          <cell r="A224" t="str">
            <v>仕入単価／個</v>
          </cell>
          <cell r="B224" t="str">
            <v>SIRTNK_KO</v>
          </cell>
          <cell r="C224">
            <v>9</v>
          </cell>
          <cell r="D224">
            <v>9</v>
          </cell>
        </row>
        <row r="225">
          <cell r="A225" t="str">
            <v>仕入単価／kg</v>
          </cell>
          <cell r="B225" t="str">
            <v>SIRTNK_KG</v>
          </cell>
          <cell r="C225">
            <v>9</v>
          </cell>
          <cell r="D225">
            <v>9</v>
          </cell>
        </row>
        <row r="226">
          <cell r="A226" t="str">
            <v>ステーション名</v>
          </cell>
          <cell r="B226" t="str">
            <v>TERMID</v>
          </cell>
          <cell r="C226" t="str">
            <v>X</v>
          </cell>
          <cell r="D226">
            <v>10</v>
          </cell>
        </row>
        <row r="227">
          <cell r="A227" t="str">
            <v>納品日数</v>
          </cell>
          <cell r="B227" t="str">
            <v>NOHDAT</v>
          </cell>
          <cell r="C227">
            <v>9</v>
          </cell>
          <cell r="D227">
            <v>2</v>
          </cell>
        </row>
        <row r="228">
          <cell r="A228" t="str">
            <v>移動伝票№</v>
          </cell>
          <cell r="B228" t="str">
            <v>IDODNO</v>
          </cell>
          <cell r="C228">
            <v>9</v>
          </cell>
          <cell r="D228">
            <v>6</v>
          </cell>
        </row>
        <row r="229">
          <cell r="A229" t="str">
            <v>伝票入力№</v>
          </cell>
          <cell r="B229" t="str">
            <v>DNYUNO</v>
          </cell>
          <cell r="C229">
            <v>9</v>
          </cell>
          <cell r="D229">
            <v>6</v>
          </cell>
        </row>
        <row r="230">
          <cell r="A230" t="str">
            <v>ケース数</v>
          </cell>
          <cell r="B230" t="str">
            <v>CASESU</v>
          </cell>
          <cell r="C230">
            <v>9</v>
          </cell>
          <cell r="D230">
            <v>7</v>
          </cell>
        </row>
        <row r="231">
          <cell r="A231" t="str">
            <v>個数</v>
          </cell>
          <cell r="B231" t="str">
            <v>KOSU</v>
          </cell>
          <cell r="C231">
            <v>9</v>
          </cell>
          <cell r="D231">
            <v>8</v>
          </cell>
        </row>
        <row r="232">
          <cell r="A232" t="str">
            <v>受注ケース数</v>
          </cell>
          <cell r="B232" t="str">
            <v>JYCASU</v>
          </cell>
          <cell r="C232">
            <v>9</v>
          </cell>
          <cell r="D232">
            <v>7</v>
          </cell>
        </row>
        <row r="233">
          <cell r="A233" t="str">
            <v>受注個数</v>
          </cell>
          <cell r="B233" t="str">
            <v>JYKOSU</v>
          </cell>
          <cell r="C233">
            <v>9</v>
          </cell>
          <cell r="D233">
            <v>8</v>
          </cell>
        </row>
        <row r="234">
          <cell r="A234" t="str">
            <v>引当ケース数</v>
          </cell>
          <cell r="B234" t="str">
            <v>HICASU</v>
          </cell>
          <cell r="C234">
            <v>9</v>
          </cell>
          <cell r="D234">
            <v>7</v>
          </cell>
        </row>
        <row r="235">
          <cell r="A235" t="str">
            <v>引当個数</v>
          </cell>
          <cell r="B235" t="str">
            <v>HIKOSU</v>
          </cell>
          <cell r="C235">
            <v>9</v>
          </cell>
          <cell r="D235">
            <v>8</v>
          </cell>
        </row>
        <row r="236">
          <cell r="A236" t="str">
            <v>欠品ケース数</v>
          </cell>
          <cell r="B236" t="str">
            <v>KECASU</v>
          </cell>
          <cell r="C236">
            <v>9</v>
          </cell>
          <cell r="D236">
            <v>7</v>
          </cell>
        </row>
        <row r="237">
          <cell r="A237" t="str">
            <v>欠品個数</v>
          </cell>
          <cell r="B237" t="str">
            <v>KEKOSU</v>
          </cell>
          <cell r="C237">
            <v>9</v>
          </cell>
          <cell r="D237">
            <v>8</v>
          </cell>
        </row>
        <row r="238">
          <cell r="A238" t="str">
            <v>確認フラグ</v>
          </cell>
          <cell r="B238" t="str">
            <v>KAKUFL</v>
          </cell>
          <cell r="C238">
            <v>9</v>
          </cell>
          <cell r="D238">
            <v>1</v>
          </cell>
        </row>
        <row r="239">
          <cell r="A239" t="str">
            <v>相手先伝票№</v>
          </cell>
          <cell r="B239" t="str">
            <v>AITDNO</v>
          </cell>
          <cell r="C239">
            <v>9</v>
          </cell>
          <cell r="D239">
            <v>10</v>
          </cell>
        </row>
        <row r="240">
          <cell r="A240" t="str">
            <v>仕入日</v>
          </cell>
          <cell r="B240" t="str">
            <v>SIRDAT</v>
          </cell>
          <cell r="C240">
            <v>9</v>
          </cell>
          <cell r="D240">
            <v>8</v>
          </cell>
        </row>
        <row r="241">
          <cell r="A241" t="str">
            <v>営業所ＣＤ</v>
          </cell>
          <cell r="B241" t="str">
            <v>EIGYCD</v>
          </cell>
          <cell r="C241" t="str">
            <v>X</v>
          </cell>
          <cell r="D241">
            <v>6</v>
          </cell>
        </row>
        <row r="242">
          <cell r="A242" t="str">
            <v>仕入単価</v>
          </cell>
          <cell r="B242" t="str">
            <v>SIRTAN</v>
          </cell>
          <cell r="C242">
            <v>9</v>
          </cell>
          <cell r="D242">
            <v>9</v>
          </cell>
        </row>
        <row r="243">
          <cell r="A243" t="str">
            <v>移動単価</v>
          </cell>
          <cell r="B243" t="str">
            <v>IDOTAN</v>
          </cell>
          <cell r="C243">
            <v>9</v>
          </cell>
          <cell r="D243">
            <v>9</v>
          </cell>
        </row>
        <row r="244">
          <cell r="A244" t="str">
            <v>受注日</v>
          </cell>
          <cell r="B244" t="str">
            <v>JYUDATE</v>
          </cell>
          <cell r="C244">
            <v>9</v>
          </cell>
          <cell r="D244">
            <v>8</v>
          </cell>
        </row>
        <row r="245">
          <cell r="A245" t="str">
            <v>伝票№</v>
          </cell>
          <cell r="B245" t="str">
            <v>DENNO</v>
          </cell>
          <cell r="C245">
            <v>9</v>
          </cell>
          <cell r="D245">
            <v>6</v>
          </cell>
        </row>
        <row r="246">
          <cell r="A246" t="str">
            <v>売上担当者ＣＤ</v>
          </cell>
          <cell r="B246" t="str">
            <v>URITANCD</v>
          </cell>
          <cell r="C246">
            <v>9</v>
          </cell>
          <cell r="D246">
            <v>4</v>
          </cell>
        </row>
        <row r="247">
          <cell r="A247" t="str">
            <v>取引先ＣＤ</v>
          </cell>
          <cell r="B247" t="str">
            <v>TORICD</v>
          </cell>
          <cell r="C247">
            <v>9</v>
          </cell>
          <cell r="D247">
            <v>8</v>
          </cell>
        </row>
        <row r="248">
          <cell r="A248" t="str">
            <v>ブランチＣＤ</v>
          </cell>
          <cell r="B248" t="str">
            <v>BRANCHICD</v>
          </cell>
          <cell r="C248">
            <v>9</v>
          </cell>
          <cell r="D248">
            <v>8</v>
          </cell>
        </row>
        <row r="249">
          <cell r="A249" t="str">
            <v>分類ＣＤ</v>
          </cell>
          <cell r="B249" t="str">
            <v>BUNRUICD</v>
          </cell>
          <cell r="C249">
            <v>9</v>
          </cell>
          <cell r="D249">
            <v>4</v>
          </cell>
        </row>
        <row r="250">
          <cell r="A250" t="str">
            <v>営業所名</v>
          </cell>
          <cell r="B250" t="str">
            <v>EIGYNM</v>
          </cell>
          <cell r="C250" t="str">
            <v>X</v>
          </cell>
          <cell r="D250">
            <v>40</v>
          </cell>
        </row>
        <row r="251">
          <cell r="A251" t="str">
            <v>売上担当者名</v>
          </cell>
          <cell r="B251" t="str">
            <v>URITANNM</v>
          </cell>
          <cell r="C251" t="str">
            <v>X</v>
          </cell>
          <cell r="D251">
            <v>16</v>
          </cell>
        </row>
        <row r="252">
          <cell r="A252" t="str">
            <v>取引先名</v>
          </cell>
          <cell r="B252" t="str">
            <v>TORINM</v>
          </cell>
          <cell r="C252" t="str">
            <v>X</v>
          </cell>
          <cell r="D252">
            <v>40</v>
          </cell>
        </row>
        <row r="253">
          <cell r="A253" t="str">
            <v>ブランチ名</v>
          </cell>
          <cell r="B253" t="str">
            <v>BRANCHINM</v>
          </cell>
          <cell r="C253" t="str">
            <v>X</v>
          </cell>
          <cell r="D253">
            <v>40</v>
          </cell>
        </row>
        <row r="254">
          <cell r="A254" t="str">
            <v>分類名</v>
          </cell>
        </row>
        <row r="255">
          <cell r="A255" t="str">
            <v>仕入金額</v>
          </cell>
          <cell r="B255" t="str">
            <v>SIREGAKU</v>
          </cell>
          <cell r="C255">
            <v>9</v>
          </cell>
          <cell r="D255">
            <v>9</v>
          </cell>
        </row>
        <row r="256">
          <cell r="A256" t="str">
            <v>移動金額</v>
          </cell>
          <cell r="B256" t="str">
            <v>IDOUGAKU</v>
          </cell>
          <cell r="C256">
            <v>9</v>
          </cell>
          <cell r="D256">
            <v>9</v>
          </cell>
        </row>
        <row r="257">
          <cell r="A257" t="str">
            <v>仕入営業所ＣＤ</v>
          </cell>
          <cell r="B257" t="str">
            <v>SIEIGCD</v>
          </cell>
        </row>
        <row r="258">
          <cell r="A258" t="str">
            <v>量販取引先ＣＤ</v>
          </cell>
          <cell r="B258" t="str">
            <v>RYOTORICD</v>
          </cell>
          <cell r="C258" t="str">
            <v>X</v>
          </cell>
          <cell r="D258">
            <v>8</v>
          </cell>
        </row>
        <row r="259">
          <cell r="A259" t="str">
            <v>量販店舗ＣＤ１</v>
          </cell>
          <cell r="B259" t="str">
            <v>RYOTENCD1</v>
          </cell>
          <cell r="C259" t="str">
            <v>X</v>
          </cell>
          <cell r="D259">
            <v>8</v>
          </cell>
        </row>
        <row r="260">
          <cell r="A260" t="str">
            <v>量販店舗ＣＤ２</v>
          </cell>
          <cell r="B260" t="str">
            <v>RYOTENCD2</v>
          </cell>
          <cell r="C260" t="str">
            <v>X</v>
          </cell>
          <cell r="D260">
            <v>8</v>
          </cell>
        </row>
        <row r="261">
          <cell r="A261" t="str">
            <v>自社事業所ＣＤ</v>
          </cell>
          <cell r="B261" t="str">
            <v>JIJIGCD</v>
          </cell>
          <cell r="C261">
            <v>9</v>
          </cell>
          <cell r="D261">
            <v>4</v>
          </cell>
        </row>
        <row r="262">
          <cell r="A262" t="str">
            <v>センターＣＤ</v>
          </cell>
          <cell r="B262" t="str">
            <v>CENTERCD</v>
          </cell>
          <cell r="C262" t="str">
            <v>X</v>
          </cell>
          <cell r="D262">
            <v>8</v>
          </cell>
        </row>
        <row r="263">
          <cell r="A263" t="str">
            <v>量販店舗名称ANK</v>
          </cell>
          <cell r="B263" t="str">
            <v>RYOTENNM_ANK</v>
          </cell>
          <cell r="C263" t="str">
            <v>X</v>
          </cell>
          <cell r="D263">
            <v>18</v>
          </cell>
        </row>
        <row r="264">
          <cell r="A264" t="str">
            <v>量販店舗名称</v>
          </cell>
          <cell r="B264" t="str">
            <v>RYOTENNM</v>
          </cell>
          <cell r="C264" t="str">
            <v>X</v>
          </cell>
          <cell r="D264">
            <v>40</v>
          </cell>
        </row>
        <row r="265">
          <cell r="A265" t="str">
            <v>データ変換区分</v>
          </cell>
          <cell r="B265" t="str">
            <v>DCHGKBN</v>
          </cell>
          <cell r="C265" t="str">
            <v>X</v>
          </cell>
          <cell r="D265">
            <v>1</v>
          </cell>
        </row>
        <row r="266">
          <cell r="A266" t="str">
            <v>印刷順位</v>
          </cell>
          <cell r="B266" t="str">
            <v>PRJYUNI</v>
          </cell>
          <cell r="C266">
            <v>9</v>
          </cell>
          <cell r="D266">
            <v>3</v>
          </cell>
        </row>
        <row r="267">
          <cell r="A267" t="str">
            <v>請求対象区分</v>
          </cell>
          <cell r="B267" t="str">
            <v>SEIKYUKBN</v>
          </cell>
          <cell r="C267">
            <v>9</v>
          </cell>
          <cell r="D267">
            <v>1</v>
          </cell>
        </row>
        <row r="268">
          <cell r="A268" t="str">
            <v>移動対象区分</v>
          </cell>
          <cell r="B268" t="str">
            <v>IDOUKUBN</v>
          </cell>
          <cell r="C268">
            <v>9</v>
          </cell>
          <cell r="D268">
            <v>1</v>
          </cell>
        </row>
        <row r="269">
          <cell r="A269" t="str">
            <v>物流区分</v>
          </cell>
          <cell r="B269" t="str">
            <v>BUTUKBN</v>
          </cell>
          <cell r="C269">
            <v>9</v>
          </cell>
          <cell r="D269">
            <v>1</v>
          </cell>
        </row>
        <row r="270">
          <cell r="A270" t="str">
            <v>課税区分</v>
          </cell>
          <cell r="B270" t="str">
            <v>KAZEIKBN</v>
          </cell>
          <cell r="C270">
            <v>9</v>
          </cell>
          <cell r="D270">
            <v>1</v>
          </cell>
        </row>
        <row r="271">
          <cell r="A271" t="str">
            <v>割戻率グループ</v>
          </cell>
          <cell r="B271" t="str">
            <v>WARI_G</v>
          </cell>
          <cell r="C271" t="str">
            <v xml:space="preserve"> </v>
          </cell>
          <cell r="D271" t="str">
            <v xml:space="preserve"> </v>
          </cell>
        </row>
        <row r="272">
          <cell r="A272" t="str">
            <v>割戻率</v>
          </cell>
          <cell r="B272" t="str">
            <v>WARIRITU</v>
          </cell>
          <cell r="C272">
            <v>9</v>
          </cell>
          <cell r="D272">
            <v>3</v>
          </cell>
        </row>
        <row r="273">
          <cell r="A273" t="str">
            <v>帳票出力区分</v>
          </cell>
          <cell r="B273" t="str">
            <v>PROUTKBN</v>
          </cell>
          <cell r="C273">
            <v>9</v>
          </cell>
          <cell r="D273">
            <v>1</v>
          </cell>
        </row>
        <row r="274">
          <cell r="A274" t="str">
            <v>請求元事業所ＣＤ</v>
          </cell>
          <cell r="B274" t="str">
            <v>SEIJIGCD</v>
          </cell>
          <cell r="C274">
            <v>9</v>
          </cell>
          <cell r="D274">
            <v>4</v>
          </cell>
        </row>
        <row r="275">
          <cell r="A275" t="str">
            <v>店舗区分</v>
          </cell>
          <cell r="B275" t="str">
            <v>TENKBN</v>
          </cell>
          <cell r="C275">
            <v>9</v>
          </cell>
          <cell r="D275">
            <v>1</v>
          </cell>
        </row>
        <row r="276">
          <cell r="A276" t="str">
            <v>量販区分</v>
          </cell>
          <cell r="B276" t="str">
            <v>RYOKBN</v>
          </cell>
          <cell r="C276" t="str">
            <v>X</v>
          </cell>
          <cell r="D276">
            <v>1</v>
          </cell>
        </row>
        <row r="277">
          <cell r="A277" t="str">
            <v>量販商品ＣＤ１</v>
          </cell>
          <cell r="B277" t="str">
            <v>RYOSHOCD1</v>
          </cell>
          <cell r="C277" t="str">
            <v>X</v>
          </cell>
          <cell r="D277">
            <v>13</v>
          </cell>
        </row>
        <row r="278">
          <cell r="A278" t="str">
            <v>量販商品ＣＤ２</v>
          </cell>
          <cell r="B278" t="str">
            <v>RYOSHOCD2</v>
          </cell>
          <cell r="C278" t="str">
            <v>X</v>
          </cell>
          <cell r="D278">
            <v>13</v>
          </cell>
        </row>
        <row r="279">
          <cell r="A279" t="str">
            <v>原価単価／個orケース</v>
          </cell>
          <cell r="B279" t="str">
            <v>GENTAN_KO</v>
          </cell>
          <cell r="C279">
            <v>9</v>
          </cell>
          <cell r="D279">
            <v>8</v>
          </cell>
        </row>
        <row r="280">
          <cell r="A280" t="str">
            <v>売価単価／個orケース</v>
          </cell>
          <cell r="B280" t="str">
            <v>BAITAN_KO</v>
          </cell>
          <cell r="C280">
            <v>9</v>
          </cell>
          <cell r="D280">
            <v>8</v>
          </cell>
        </row>
        <row r="281">
          <cell r="A281" t="str">
            <v>特売単価／個orケース</v>
          </cell>
          <cell r="B281" t="str">
            <v>TKBTAN_KO</v>
          </cell>
          <cell r="C281">
            <v>9</v>
          </cell>
          <cell r="D281">
            <v>8</v>
          </cell>
        </row>
        <row r="282">
          <cell r="A282" t="str">
            <v>原価単価／㎏</v>
          </cell>
          <cell r="B282" t="str">
            <v>GENTAN_KG</v>
          </cell>
          <cell r="C282">
            <v>9</v>
          </cell>
          <cell r="D282">
            <v>8</v>
          </cell>
        </row>
        <row r="283">
          <cell r="A283" t="str">
            <v>売価単価／㎏</v>
          </cell>
          <cell r="B283" t="str">
            <v>BAITAN_KG</v>
          </cell>
          <cell r="C283">
            <v>9</v>
          </cell>
          <cell r="D283">
            <v>8</v>
          </cell>
        </row>
        <row r="284">
          <cell r="A284" t="str">
            <v>特売単価／㎏</v>
          </cell>
          <cell r="B284" t="str">
            <v>TKBTAN_KG</v>
          </cell>
          <cell r="C284">
            <v>9</v>
          </cell>
          <cell r="D284">
            <v>8</v>
          </cell>
        </row>
        <row r="285">
          <cell r="A285" t="str">
            <v>割戻区分</v>
          </cell>
          <cell r="B285" t="str">
            <v>WAIKBN</v>
          </cell>
          <cell r="C285">
            <v>9</v>
          </cell>
          <cell r="D285">
            <v>1</v>
          </cell>
        </row>
        <row r="286">
          <cell r="A286" t="str">
            <v>商品区分</v>
          </cell>
          <cell r="B286" t="str">
            <v>SHOKBN</v>
          </cell>
          <cell r="C286">
            <v>9</v>
          </cell>
          <cell r="D286">
            <v>1</v>
          </cell>
        </row>
        <row r="287">
          <cell r="A287" t="str">
            <v>当月年月日</v>
          </cell>
          <cell r="B287" t="str">
            <v>TOUYMD</v>
          </cell>
          <cell r="C287">
            <v>9</v>
          </cell>
          <cell r="D287">
            <v>8</v>
          </cell>
        </row>
        <row r="288">
          <cell r="A288" t="str">
            <v>翌月年月日</v>
          </cell>
          <cell r="B288" t="str">
            <v>YOKYMD</v>
          </cell>
          <cell r="C288">
            <v>9</v>
          </cell>
          <cell r="D288">
            <v>8</v>
          </cell>
        </row>
        <row r="289">
          <cell r="A289" t="str">
            <v>デポ出庫用伝票区分</v>
          </cell>
          <cell r="B289" t="str">
            <v>DPODENKBN</v>
          </cell>
          <cell r="C289" t="str">
            <v>X</v>
          </cell>
          <cell r="D289">
            <v>2</v>
          </cell>
        </row>
        <row r="290">
          <cell r="A290" t="str">
            <v>メーカー直送用伝票区分</v>
          </cell>
          <cell r="B290" t="str">
            <v>MKODENKBN</v>
          </cell>
          <cell r="C290" t="str">
            <v>X</v>
          </cell>
          <cell r="D290">
            <v>1</v>
          </cell>
        </row>
        <row r="291">
          <cell r="A291" t="str">
            <v>入庫依頼書コメント印字区分</v>
          </cell>
          <cell r="B291" t="str">
            <v>NYUPRKBN</v>
          </cell>
          <cell r="C291" t="str">
            <v>X</v>
          </cell>
          <cell r="D291">
            <v>1</v>
          </cell>
        </row>
        <row r="292">
          <cell r="A292" t="str">
            <v>出庫依頼書コメント印字区分</v>
          </cell>
          <cell r="B292" t="str">
            <v>SYUPRKBN</v>
          </cell>
          <cell r="C292" t="str">
            <v>X</v>
          </cell>
          <cell r="D292">
            <v>1</v>
          </cell>
        </row>
        <row r="293">
          <cell r="A293" t="str">
            <v>入出庫コメント１</v>
          </cell>
          <cell r="B293" t="str">
            <v>NYUSYUCOM1</v>
          </cell>
          <cell r="C293" t="str">
            <v>X</v>
          </cell>
          <cell r="D293">
            <v>30</v>
          </cell>
        </row>
        <row r="294">
          <cell r="A294" t="str">
            <v>入出庫コメント２</v>
          </cell>
          <cell r="B294" t="str">
            <v>NYUSYUCOM2</v>
          </cell>
          <cell r="C294" t="str">
            <v>X</v>
          </cell>
          <cell r="D294">
            <v>30</v>
          </cell>
        </row>
        <row r="295">
          <cell r="A295" t="str">
            <v>消費税率</v>
          </cell>
          <cell r="B295" t="str">
            <v>SYOZEIRITU</v>
          </cell>
          <cell r="C295">
            <v>9</v>
          </cell>
          <cell r="D295">
            <v>2</v>
          </cell>
        </row>
        <row r="296">
          <cell r="A296" t="str">
            <v>消費税率グループ</v>
          </cell>
          <cell r="B296" t="str">
            <v>SYOZEI_G</v>
          </cell>
          <cell r="C296" t="str">
            <v xml:space="preserve"> </v>
          </cell>
          <cell r="D296" t="str">
            <v xml:space="preserve"> </v>
          </cell>
        </row>
        <row r="297">
          <cell r="A297" t="str">
            <v>適用開始年月日</v>
          </cell>
          <cell r="B297" t="str">
            <v>TST_YMD</v>
          </cell>
          <cell r="C297">
            <v>9</v>
          </cell>
          <cell r="D297">
            <v>8</v>
          </cell>
        </row>
        <row r="298">
          <cell r="A298" t="str">
            <v>適用終了年月日</v>
          </cell>
          <cell r="B298" t="str">
            <v>TEN_YMD</v>
          </cell>
          <cell r="C298">
            <v>9</v>
          </cell>
          <cell r="D298">
            <v>8</v>
          </cell>
        </row>
        <row r="299">
          <cell r="A299" t="str">
            <v>消費税単位区分</v>
          </cell>
          <cell r="B299" t="str">
            <v>SYOTANKBN</v>
          </cell>
          <cell r="C299">
            <v>9</v>
          </cell>
          <cell r="D299">
            <v>1</v>
          </cell>
        </row>
        <row r="300">
          <cell r="A300" t="str">
            <v>消費税端数区分</v>
          </cell>
          <cell r="B300" t="str">
            <v>SYOHASKBN</v>
          </cell>
          <cell r="C300">
            <v>9</v>
          </cell>
          <cell r="D300">
            <v>1</v>
          </cell>
        </row>
        <row r="301">
          <cell r="A301" t="str">
            <v>受注伝票区分</v>
          </cell>
          <cell r="B301" t="str">
            <v>JYUDENKBN</v>
          </cell>
          <cell r="C301" t="str">
            <v>X</v>
          </cell>
          <cell r="D301">
            <v>2</v>
          </cell>
        </row>
        <row r="302">
          <cell r="A302" t="str">
            <v>発注済フラグ</v>
          </cell>
          <cell r="B302" t="str">
            <v>HATSUMI</v>
          </cell>
          <cell r="C302" t="str">
            <v>X</v>
          </cell>
          <cell r="D302">
            <v>1</v>
          </cell>
        </row>
        <row r="303">
          <cell r="A303" t="str">
            <v>出荷依頼書№</v>
          </cell>
          <cell r="B303" t="str">
            <v>SYIRAINO</v>
          </cell>
          <cell r="C303">
            <v>9</v>
          </cell>
          <cell r="D303">
            <v>6</v>
          </cell>
        </row>
        <row r="304">
          <cell r="A304" t="str">
            <v>状態</v>
          </cell>
          <cell r="B304" t="str">
            <v>JYOTAI</v>
          </cell>
          <cell r="C304" t="str">
            <v>X</v>
          </cell>
          <cell r="D304">
            <v>6</v>
          </cell>
        </row>
        <row r="305">
          <cell r="A305" t="str">
            <v>枚数</v>
          </cell>
          <cell r="B305" t="str">
            <v>MAISU</v>
          </cell>
          <cell r="C305">
            <v>9</v>
          </cell>
          <cell r="D305">
            <v>3</v>
          </cell>
        </row>
        <row r="306">
          <cell r="A306" t="str">
            <v>処理時間</v>
          </cell>
          <cell r="B306" t="str">
            <v>SYORIHMS</v>
          </cell>
          <cell r="C306">
            <v>9</v>
          </cell>
          <cell r="D306">
            <v>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改版履歴"/>
      <sheetName val="情報入力画面"/>
      <sheetName val="errMsg一覧"/>
      <sheetName val="選択"/>
      <sheetName val="項目一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7">
          <cell r="C7" t="str">
            <v>受注番号</v>
          </cell>
        </row>
        <row r="8">
          <cell r="C8" t="str">
            <v>ひらがな[姓]</v>
          </cell>
        </row>
        <row r="9">
          <cell r="C9" t="str">
            <v>ひらがな[名]</v>
          </cell>
        </row>
        <row r="10">
          <cell r="C10" t="str">
            <v>漢字[姓]</v>
          </cell>
        </row>
        <row r="11">
          <cell r="C11" t="str">
            <v>漢字[名]</v>
          </cell>
        </row>
        <row r="12">
          <cell r="C12" t="str">
            <v>性別(Grp)</v>
          </cell>
        </row>
        <row r="13">
          <cell r="C13" t="str">
            <v>生年月日西暦[年]</v>
          </cell>
        </row>
        <row r="14">
          <cell r="C14" t="str">
            <v>生年月日西暦[月]</v>
          </cell>
        </row>
        <row r="15">
          <cell r="C15" t="str">
            <v>生年月日西暦[日]</v>
          </cell>
        </row>
        <row r="16">
          <cell r="C16" t="str">
            <v>郵便番号(上桁)</v>
          </cell>
        </row>
        <row r="17">
          <cell r="C17" t="str">
            <v>郵便番号(下桁)</v>
          </cell>
        </row>
        <row r="18">
          <cell r="C18" t="str">
            <v>都道府県</v>
          </cell>
        </row>
        <row r="19">
          <cell r="C19" t="str">
            <v>市区町村</v>
          </cell>
        </row>
        <row r="20">
          <cell r="C20" t="str">
            <v>所番地</v>
          </cell>
        </row>
        <row r="21">
          <cell r="C21" t="str">
            <v>自宅電話番号1</v>
          </cell>
        </row>
        <row r="22">
          <cell r="C22" t="str">
            <v>自宅電話番号2</v>
          </cell>
        </row>
        <row r="23">
          <cell r="C23" t="str">
            <v>自宅電話番号3</v>
          </cell>
        </row>
        <row r="24">
          <cell r="C24" t="str">
            <v>昼間連絡先の電話番号1</v>
          </cell>
        </row>
        <row r="25">
          <cell r="C25" t="str">
            <v>昼間連絡先の電話番号2</v>
          </cell>
        </row>
        <row r="26">
          <cell r="C26" t="str">
            <v>昼間連絡先の電話番号3</v>
          </cell>
        </row>
        <row r="27">
          <cell r="C27" t="str">
            <v>ファミリータイプ</v>
          </cell>
        </row>
        <row r="28">
          <cell r="C28" t="str">
            <v>マンションタイプ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b_送電990120"/>
      <sheetName val="ST分析"/>
      <sheetName val="データ"/>
      <sheetName val="前期試薬実績Ｄ"/>
      <sheetName val="キー選択ワーク"/>
      <sheetName val="当期試薬実績Ｄ"/>
      <sheetName val="項目一覧"/>
      <sheetName val="表紙"/>
      <sheetName val="説明"/>
    </sheetNames>
    <sheetDataSet>
      <sheetData sheetId="0"/>
      <sheetData sheetId="1" refreshError="1"/>
      <sheetData sheetId="2" refreshError="1">
        <row r="1">
          <cell r="A1" t="str">
            <v>03</v>
          </cell>
          <cell r="B1" t="str">
            <v>ST</v>
          </cell>
        </row>
        <row r="2">
          <cell r="A2" t="str">
            <v>03</v>
          </cell>
          <cell r="B2" t="str">
            <v>PS</v>
          </cell>
        </row>
        <row r="3">
          <cell r="A3" t="str">
            <v>01</v>
          </cell>
          <cell r="B3" t="str">
            <v>ST</v>
          </cell>
        </row>
        <row r="4">
          <cell r="A4" t="str">
            <v>03</v>
          </cell>
          <cell r="B4" t="str">
            <v>ST</v>
          </cell>
        </row>
        <row r="5">
          <cell r="A5" t="str">
            <v>03</v>
          </cell>
          <cell r="B5" t="str">
            <v>ST</v>
          </cell>
        </row>
        <row r="6">
          <cell r="A6" t="str">
            <v>03</v>
          </cell>
          <cell r="B6" t="str">
            <v>SS</v>
          </cell>
        </row>
        <row r="7">
          <cell r="A7" t="str">
            <v>03</v>
          </cell>
          <cell r="B7" t="str">
            <v>ST</v>
          </cell>
        </row>
        <row r="8">
          <cell r="A8" t="str">
            <v>03</v>
          </cell>
          <cell r="B8" t="str">
            <v>IT</v>
          </cell>
        </row>
        <row r="9">
          <cell r="A9" t="str">
            <v>03</v>
          </cell>
          <cell r="B9" t="str">
            <v>PT</v>
          </cell>
        </row>
        <row r="10">
          <cell r="A10" t="str">
            <v>03</v>
          </cell>
          <cell r="B10" t="str">
            <v>PG</v>
          </cell>
        </row>
        <row r="11">
          <cell r="A11" t="str">
            <v>03</v>
          </cell>
          <cell r="B11" t="str">
            <v>PT</v>
          </cell>
        </row>
        <row r="12">
          <cell r="A12" t="str">
            <v>03</v>
          </cell>
          <cell r="B12" t="str">
            <v>IT</v>
          </cell>
        </row>
        <row r="13">
          <cell r="A13" t="str">
            <v>10</v>
          </cell>
          <cell r="B13" t="str">
            <v>ST</v>
          </cell>
        </row>
        <row r="14">
          <cell r="A14" t="str">
            <v>03</v>
          </cell>
          <cell r="B14" t="str">
            <v>PS</v>
          </cell>
        </row>
        <row r="15">
          <cell r="A15" t="str">
            <v>03</v>
          </cell>
          <cell r="B15" t="str">
            <v>ST</v>
          </cell>
        </row>
        <row r="16">
          <cell r="A16" t="str">
            <v>03</v>
          </cell>
          <cell r="B16" t="str">
            <v>PS</v>
          </cell>
        </row>
        <row r="17">
          <cell r="A17" t="str">
            <v>03</v>
          </cell>
          <cell r="B17" t="str">
            <v>PG</v>
          </cell>
        </row>
        <row r="18">
          <cell r="A18" t="str">
            <v>03</v>
          </cell>
          <cell r="B18" t="str">
            <v>IT</v>
          </cell>
        </row>
        <row r="19">
          <cell r="A19" t="str">
            <v>03</v>
          </cell>
          <cell r="B19" t="str">
            <v>PG</v>
          </cell>
        </row>
        <row r="20">
          <cell r="A20" t="str">
            <v>02</v>
          </cell>
          <cell r="B20" t="str">
            <v>IT</v>
          </cell>
        </row>
        <row r="21">
          <cell r="A21" t="str">
            <v>03</v>
          </cell>
          <cell r="B21" t="str">
            <v>PS</v>
          </cell>
        </row>
        <row r="22">
          <cell r="A22" t="str">
            <v>07</v>
          </cell>
          <cell r="B22" t="str">
            <v>ST</v>
          </cell>
        </row>
        <row r="23">
          <cell r="A23" t="str">
            <v>01</v>
          </cell>
          <cell r="B23" t="str">
            <v>IT</v>
          </cell>
        </row>
        <row r="24">
          <cell r="A24" t="str">
            <v>03</v>
          </cell>
          <cell r="B24" t="str">
            <v>SS</v>
          </cell>
        </row>
        <row r="25">
          <cell r="A25" t="str">
            <v>03</v>
          </cell>
          <cell r="B25" t="str">
            <v>PS</v>
          </cell>
        </row>
        <row r="26">
          <cell r="A26" t="str">
            <v>03</v>
          </cell>
          <cell r="B26" t="str">
            <v>PS</v>
          </cell>
        </row>
        <row r="27">
          <cell r="A27" t="str">
            <v>10</v>
          </cell>
          <cell r="B27" t="str">
            <v>ST</v>
          </cell>
        </row>
        <row r="28">
          <cell r="A28" t="str">
            <v>03</v>
          </cell>
          <cell r="B28" t="str">
            <v>PS</v>
          </cell>
        </row>
        <row r="29">
          <cell r="A29" t="str">
            <v>03</v>
          </cell>
          <cell r="B29" t="str">
            <v>SS</v>
          </cell>
        </row>
        <row r="30">
          <cell r="A30" t="str">
            <v>03</v>
          </cell>
          <cell r="B30" t="str">
            <v>PS</v>
          </cell>
        </row>
        <row r="31">
          <cell r="A31" t="str">
            <v>01</v>
          </cell>
          <cell r="B31" t="str">
            <v>IT</v>
          </cell>
        </row>
        <row r="32">
          <cell r="A32" t="str">
            <v>03</v>
          </cell>
          <cell r="B32" t="str">
            <v>ST</v>
          </cell>
        </row>
        <row r="33">
          <cell r="A33" t="str">
            <v>03</v>
          </cell>
          <cell r="B33" t="str">
            <v>PT</v>
          </cell>
        </row>
        <row r="34">
          <cell r="A34" t="str">
            <v>03</v>
          </cell>
          <cell r="B34" t="str">
            <v>ST</v>
          </cell>
        </row>
        <row r="35">
          <cell r="A35" t="str">
            <v>01</v>
          </cell>
          <cell r="B35" t="str">
            <v>IT</v>
          </cell>
        </row>
        <row r="36">
          <cell r="A36" t="str">
            <v>03</v>
          </cell>
          <cell r="B36" t="str">
            <v>IT</v>
          </cell>
        </row>
        <row r="37">
          <cell r="A37" t="str">
            <v>09</v>
          </cell>
          <cell r="B37" t="str">
            <v>ST</v>
          </cell>
        </row>
        <row r="38">
          <cell r="A38" t="str">
            <v>03</v>
          </cell>
          <cell r="B38" t="str">
            <v>PG</v>
          </cell>
        </row>
        <row r="39">
          <cell r="A39" t="str">
            <v>03</v>
          </cell>
          <cell r="B39" t="str">
            <v>SS</v>
          </cell>
        </row>
        <row r="40">
          <cell r="A40" t="str">
            <v>03</v>
          </cell>
          <cell r="B40" t="str">
            <v>PT</v>
          </cell>
        </row>
        <row r="41">
          <cell r="A41" t="str">
            <v>03</v>
          </cell>
          <cell r="B41" t="str">
            <v>PS</v>
          </cell>
        </row>
        <row r="42">
          <cell r="A42" t="str">
            <v>10</v>
          </cell>
          <cell r="B42" t="str">
            <v>ST</v>
          </cell>
        </row>
        <row r="43">
          <cell r="A43" t="str">
            <v>03</v>
          </cell>
          <cell r="B43" t="str">
            <v>PT</v>
          </cell>
        </row>
        <row r="44">
          <cell r="A44" t="str">
            <v>03</v>
          </cell>
          <cell r="B44" t="str">
            <v>PT</v>
          </cell>
        </row>
        <row r="45">
          <cell r="A45" t="str">
            <v>03</v>
          </cell>
          <cell r="B45" t="str">
            <v>PS</v>
          </cell>
        </row>
        <row r="46">
          <cell r="A46" t="str">
            <v>03</v>
          </cell>
          <cell r="B46" t="str">
            <v>IT</v>
          </cell>
        </row>
        <row r="47">
          <cell r="A47" t="str">
            <v>03</v>
          </cell>
          <cell r="B47" t="str">
            <v>ST</v>
          </cell>
        </row>
        <row r="48">
          <cell r="A48" t="str">
            <v>03</v>
          </cell>
          <cell r="B48" t="str">
            <v>SS</v>
          </cell>
        </row>
        <row r="49">
          <cell r="A49" t="str">
            <v>03</v>
          </cell>
          <cell r="B49" t="str">
            <v>SS</v>
          </cell>
        </row>
        <row r="50">
          <cell r="A50" t="str">
            <v>03</v>
          </cell>
          <cell r="B50" t="str">
            <v>PS</v>
          </cell>
        </row>
        <row r="51">
          <cell r="A51" t="str">
            <v>01</v>
          </cell>
          <cell r="B51" t="str">
            <v>IT</v>
          </cell>
        </row>
        <row r="52">
          <cell r="A52" t="str">
            <v>01</v>
          </cell>
          <cell r="B52" t="str">
            <v>ST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サービスコーステーブル"/>
      <sheetName val="品目テーブル"/>
      <sheetName val="料金科目テーブル"/>
      <sheetName val="ＫＲＩＳ合成料金科目"/>
      <sheetName val="はじめに"/>
      <sheetName val="モデル"/>
      <sheetName val="テーブル"/>
      <sheetName val="DABINCI料金科目"/>
      <sheetName val="マトリクス"/>
      <sheetName val="ヘッダ"/>
      <sheetName val="データ"/>
    </sheetNames>
    <sheetDataSet>
      <sheetData sheetId="0" refreshError="1"/>
      <sheetData sheetId="1" refreshError="1"/>
      <sheetData sheetId="2" refreshError="1">
        <row r="1">
          <cell r="F1" t="str">
            <v>下５桁</v>
          </cell>
          <cell r="G1" t="str">
            <v>見出し名</v>
          </cell>
          <cell r="H1" t="str">
            <v>料金名称（４層）</v>
          </cell>
          <cell r="I1" t="str">
            <v>文字数</v>
          </cell>
          <cell r="J1" t="str">
            <v>（４層補足）</v>
          </cell>
          <cell r="K1" t="str">
            <v>出力順</v>
          </cell>
          <cell r="L1" t="str">
            <v>ｺﾐｯｼｮﾝ</v>
          </cell>
          <cell r="M1" t="str">
            <v>ﾎﾟｲﾝﾄ</v>
          </cell>
          <cell r="N1" t="str">
            <v>課税ﾌﾗｸﾞ</v>
          </cell>
        </row>
        <row r="2">
          <cell r="F2" t="str">
            <v>0000001</v>
          </cell>
          <cell r="G2" t="str">
            <v>登録料</v>
          </cell>
          <cell r="H2" t="str">
            <v>ＤＩＯＮインターネットアクセス</v>
          </cell>
          <cell r="I2">
            <v>15</v>
          </cell>
          <cell r="J2" t="str">
            <v>なし</v>
          </cell>
          <cell r="K2" t="str">
            <v>1</v>
          </cell>
          <cell r="L2" t="str">
            <v>対象</v>
          </cell>
          <cell r="M2" t="str">
            <v>対象</v>
          </cell>
          <cell r="N2" t="str">
            <v>課税</v>
          </cell>
        </row>
        <row r="3">
          <cell r="F3" t="str">
            <v>0000002</v>
          </cell>
          <cell r="G3" t="str">
            <v>初期費用</v>
          </cell>
          <cell r="H3" t="str">
            <v>ＤＩＯＮ　ＡＤＳＬコース</v>
          </cell>
          <cell r="I3">
            <v>12</v>
          </cell>
          <cell r="J3" t="str">
            <v>なし</v>
          </cell>
          <cell r="K3">
            <v>1</v>
          </cell>
          <cell r="L3" t="str">
            <v>対象</v>
          </cell>
          <cell r="M3" t="str">
            <v>対象</v>
          </cell>
          <cell r="N3" t="str">
            <v>課税</v>
          </cell>
        </row>
        <row r="4">
          <cell r="F4" t="str">
            <v>0000004</v>
          </cell>
          <cell r="G4" t="str">
            <v>登録料</v>
          </cell>
          <cell r="H4" t="str">
            <v>モバイルＧＢ</v>
          </cell>
          <cell r="I4">
            <v>6</v>
          </cell>
          <cell r="N4" t="str">
            <v>課税</v>
          </cell>
        </row>
        <row r="5">
          <cell r="F5" t="str">
            <v>0000005</v>
          </cell>
          <cell r="G5" t="str">
            <v>加入料</v>
          </cell>
          <cell r="H5" t="str">
            <v>メールインワンＦＡＸ</v>
          </cell>
          <cell r="I5">
            <v>10</v>
          </cell>
          <cell r="N5" t="str">
            <v>課税</v>
          </cell>
        </row>
        <row r="6">
          <cell r="F6" t="str">
            <v>0000006</v>
          </cell>
          <cell r="G6" t="str">
            <v>登録料</v>
          </cell>
          <cell r="H6" t="str">
            <v>メールインワンＦＡＸ</v>
          </cell>
          <cell r="I6">
            <v>10</v>
          </cell>
          <cell r="N6" t="str">
            <v>課税</v>
          </cell>
        </row>
        <row r="7">
          <cell r="F7" t="str">
            <v>0000007</v>
          </cell>
          <cell r="G7" t="str">
            <v>初期費用</v>
          </cell>
          <cell r="H7" t="str">
            <v>ＶＡ</v>
          </cell>
          <cell r="I7">
            <v>2</v>
          </cell>
          <cell r="N7" t="str">
            <v>課税</v>
          </cell>
        </row>
        <row r="8">
          <cell r="F8" t="str">
            <v>0000010</v>
          </cell>
          <cell r="G8" t="str">
            <v>初期費用</v>
          </cell>
          <cell r="H8" t="str">
            <v>ｅ＊Ｔｅｍｐｏ</v>
          </cell>
          <cell r="I8">
            <v>7</v>
          </cell>
          <cell r="N8" t="str">
            <v>課税</v>
          </cell>
        </row>
        <row r="9">
          <cell r="F9" t="str">
            <v>0000011</v>
          </cell>
          <cell r="G9" t="str">
            <v>初期費用</v>
          </cell>
          <cell r="H9" t="str">
            <v>ＤＩＯＮショッピングパレード</v>
          </cell>
          <cell r="I9">
            <v>14</v>
          </cell>
          <cell r="N9" t="str">
            <v>課税</v>
          </cell>
        </row>
        <row r="10">
          <cell r="F10" t="str">
            <v>0000012</v>
          </cell>
          <cell r="G10" t="str">
            <v>初期費用</v>
          </cell>
          <cell r="H10" t="str">
            <v>ＰａｙＣｏｕｎｔｅｒ</v>
          </cell>
          <cell r="I10">
            <v>10</v>
          </cell>
          <cell r="N10" t="str">
            <v>課税</v>
          </cell>
        </row>
        <row r="11">
          <cell r="F11" t="str">
            <v>0000013</v>
          </cell>
          <cell r="G11" t="str">
            <v>初期費用</v>
          </cell>
          <cell r="H11" t="str">
            <v>”Ｆ”マンション</v>
          </cell>
          <cell r="I11">
            <v>8</v>
          </cell>
          <cell r="N11" t="str">
            <v>課税</v>
          </cell>
        </row>
        <row r="12">
          <cell r="F12" t="str">
            <v>0000101</v>
          </cell>
          <cell r="G12" t="str">
            <v>変更料</v>
          </cell>
          <cell r="H12" t="str">
            <v>ＤＩＯＮ品目変更</v>
          </cell>
          <cell r="I12">
            <v>8</v>
          </cell>
          <cell r="J12" t="str">
            <v>なし</v>
          </cell>
          <cell r="K12" t="str">
            <v>2</v>
          </cell>
          <cell r="L12" t="str">
            <v>対象</v>
          </cell>
          <cell r="M12" t="str">
            <v>対象</v>
          </cell>
          <cell r="N12" t="str">
            <v>課税</v>
          </cell>
        </row>
        <row r="13">
          <cell r="F13" t="str">
            <v>0000102</v>
          </cell>
          <cell r="G13" t="str">
            <v>変更料</v>
          </cell>
          <cell r="H13" t="str">
            <v>ＤＩＯＮ　ＡＤＳＬコース変更</v>
          </cell>
          <cell r="I13">
            <v>14</v>
          </cell>
          <cell r="J13" t="str">
            <v>なし</v>
          </cell>
          <cell r="K13">
            <v>2</v>
          </cell>
          <cell r="L13" t="str">
            <v>対象</v>
          </cell>
          <cell r="M13" t="str">
            <v>対象</v>
          </cell>
          <cell r="N13" t="str">
            <v>課税</v>
          </cell>
        </row>
        <row r="14">
          <cell r="F14" t="str">
            <v>0000202</v>
          </cell>
          <cell r="G14" t="str">
            <v>初期費用</v>
          </cell>
          <cell r="H14" t="str">
            <v>ＤＩＯＮ　ＡＤＳＬコース</v>
          </cell>
          <cell r="I14">
            <v>12</v>
          </cell>
          <cell r="J14" t="str">
            <v>なし</v>
          </cell>
          <cell r="K14">
            <v>3</v>
          </cell>
          <cell r="L14" t="str">
            <v>対象</v>
          </cell>
          <cell r="M14" t="str">
            <v>対象</v>
          </cell>
          <cell r="N14" t="str">
            <v>課税</v>
          </cell>
        </row>
        <row r="15">
          <cell r="F15" t="str">
            <v>0000213</v>
          </cell>
          <cell r="G15" t="str">
            <v>初期費用</v>
          </cell>
          <cell r="H15" t="str">
            <v>モデム追加料金</v>
          </cell>
          <cell r="I15">
            <v>7</v>
          </cell>
          <cell r="N15" t="str">
            <v>課税</v>
          </cell>
        </row>
        <row r="16">
          <cell r="F16" t="str">
            <v>0000216</v>
          </cell>
          <cell r="G16" t="str">
            <v>登録料</v>
          </cell>
          <cell r="H16" t="str">
            <v>ＩＰ電話登録料（内蔵型）</v>
          </cell>
          <cell r="I16">
            <v>12</v>
          </cell>
          <cell r="N16" t="str">
            <v>課税</v>
          </cell>
        </row>
        <row r="17">
          <cell r="F17" t="str">
            <v>0000302</v>
          </cell>
          <cell r="G17" t="str">
            <v>機器販売</v>
          </cell>
          <cell r="H17" t="str">
            <v>ＡＤＳＬモデム（ＵＳＢ）</v>
          </cell>
          <cell r="I17">
            <v>12</v>
          </cell>
          <cell r="N17" t="str">
            <v>課税</v>
          </cell>
        </row>
        <row r="18">
          <cell r="F18" t="str">
            <v>0000313</v>
          </cell>
          <cell r="G18" t="str">
            <v>初期費用</v>
          </cell>
          <cell r="H18" t="str">
            <v>フィルタ追加料金</v>
          </cell>
          <cell r="I18">
            <v>8</v>
          </cell>
          <cell r="N18" t="str">
            <v>課税</v>
          </cell>
        </row>
        <row r="19">
          <cell r="F19" t="str">
            <v>0000316</v>
          </cell>
          <cell r="G19" t="str">
            <v>登録料</v>
          </cell>
          <cell r="H19" t="str">
            <v>ＩＰ電話登録料（外付け型）</v>
          </cell>
          <cell r="I19">
            <v>13</v>
          </cell>
          <cell r="N19" t="str">
            <v>課税</v>
          </cell>
        </row>
        <row r="20">
          <cell r="F20" t="str">
            <v>0000402</v>
          </cell>
          <cell r="G20" t="str">
            <v>機器販売</v>
          </cell>
          <cell r="H20" t="str">
            <v>ＡＤＳＬモデム（ＵＳＢ）</v>
          </cell>
          <cell r="I20">
            <v>12</v>
          </cell>
          <cell r="N20" t="str">
            <v>課税</v>
          </cell>
        </row>
        <row r="21">
          <cell r="F21" t="str">
            <v>0000502</v>
          </cell>
          <cell r="G21" t="str">
            <v>機器販売</v>
          </cell>
          <cell r="H21" t="str">
            <v>ＡＤＳＬモデム（１０Ｂａｓｅ－Ｔ）</v>
          </cell>
          <cell r="I21">
            <v>17</v>
          </cell>
          <cell r="N21" t="str">
            <v>課税</v>
          </cell>
        </row>
        <row r="22">
          <cell r="F22" t="str">
            <v>0000602</v>
          </cell>
          <cell r="G22" t="str">
            <v>機器販売</v>
          </cell>
          <cell r="H22" t="str">
            <v>ＡＤＳＬモデム（１０Ｂａｓｅ－Ｔ）</v>
          </cell>
          <cell r="I22">
            <v>17</v>
          </cell>
          <cell r="N22" t="str">
            <v>課税</v>
          </cell>
        </row>
        <row r="23">
          <cell r="F23" t="str">
            <v>0000702</v>
          </cell>
          <cell r="G23" t="str">
            <v>機器販売</v>
          </cell>
          <cell r="H23" t="str">
            <v>スプリッタ</v>
          </cell>
          <cell r="I23">
            <v>5</v>
          </cell>
          <cell r="N23" t="str">
            <v>課税</v>
          </cell>
        </row>
        <row r="24">
          <cell r="F24" t="str">
            <v>0000802</v>
          </cell>
          <cell r="G24" t="str">
            <v>機器販売</v>
          </cell>
          <cell r="H24" t="str">
            <v>ＡＤＳＬモデム（ＵＳＢ）</v>
          </cell>
          <cell r="I24">
            <v>12</v>
          </cell>
          <cell r="N24" t="str">
            <v>課税</v>
          </cell>
        </row>
        <row r="25">
          <cell r="F25" t="str">
            <v>0000902</v>
          </cell>
          <cell r="G25" t="str">
            <v>機器販売</v>
          </cell>
          <cell r="H25" t="str">
            <v>ＡＤＳＬモデム（ＵＳＢ）</v>
          </cell>
          <cell r="I25">
            <v>12</v>
          </cell>
          <cell r="N25" t="str">
            <v>課税</v>
          </cell>
        </row>
        <row r="26">
          <cell r="F26" t="str">
            <v>0001002</v>
          </cell>
          <cell r="G26" t="str">
            <v>工事料</v>
          </cell>
          <cell r="H26" t="str">
            <v>ＡＤＳＬモデム設置工事</v>
          </cell>
          <cell r="I26">
            <v>11</v>
          </cell>
          <cell r="J26" t="str">
            <v>なし</v>
          </cell>
          <cell r="K26">
            <v>4</v>
          </cell>
          <cell r="L26" t="str">
            <v>対象</v>
          </cell>
          <cell r="M26" t="str">
            <v>対象</v>
          </cell>
          <cell r="N26" t="str">
            <v>課税</v>
          </cell>
        </row>
        <row r="27">
          <cell r="F27" t="str">
            <v>0001007</v>
          </cell>
          <cell r="G27" t="str">
            <v>変更料</v>
          </cell>
          <cell r="H27" t="str">
            <v>グループ名変更料</v>
          </cell>
          <cell r="I27">
            <v>8</v>
          </cell>
          <cell r="N27" t="str">
            <v>課税</v>
          </cell>
        </row>
        <row r="28">
          <cell r="F28" t="str">
            <v>0001016</v>
          </cell>
          <cell r="G28" t="str">
            <v>工事料</v>
          </cell>
          <cell r="H28" t="str">
            <v>宅内機器設置工事料</v>
          </cell>
          <cell r="I28">
            <v>9</v>
          </cell>
          <cell r="N28" t="str">
            <v>課税</v>
          </cell>
        </row>
        <row r="29">
          <cell r="F29" t="str">
            <v>0001102</v>
          </cell>
          <cell r="G29" t="str">
            <v>工事料</v>
          </cell>
          <cell r="H29" t="str">
            <v>ＮＴＴ（電話共用（交換機工事））</v>
          </cell>
          <cell r="I29">
            <v>16</v>
          </cell>
          <cell r="J29" t="str">
            <v>なし</v>
          </cell>
          <cell r="K29">
            <v>5</v>
          </cell>
          <cell r="L29" t="str">
            <v>対象</v>
          </cell>
          <cell r="M29" t="str">
            <v>対象</v>
          </cell>
          <cell r="N29" t="str">
            <v>課税</v>
          </cell>
        </row>
        <row r="30">
          <cell r="F30" t="str">
            <v>0001113</v>
          </cell>
          <cell r="G30" t="str">
            <v>工事料</v>
          </cell>
          <cell r="H30" t="str">
            <v>モデム設置派遣工事費</v>
          </cell>
          <cell r="I30">
            <v>10</v>
          </cell>
          <cell r="N30" t="str">
            <v>課税</v>
          </cell>
        </row>
        <row r="31">
          <cell r="F31" t="str">
            <v>0001116</v>
          </cell>
          <cell r="G31" t="str">
            <v>変更料</v>
          </cell>
          <cell r="H31" t="str">
            <v>宅内機器変更手数料</v>
          </cell>
          <cell r="I31">
            <v>9</v>
          </cell>
          <cell r="N31" t="str">
            <v>課税</v>
          </cell>
        </row>
        <row r="32">
          <cell r="F32" t="str">
            <v>0001202</v>
          </cell>
          <cell r="G32" t="str">
            <v>工事料</v>
          </cell>
          <cell r="H32" t="str">
            <v>ＮＴＴ（電話共用（交換機工事他））</v>
          </cell>
          <cell r="I32">
            <v>17</v>
          </cell>
          <cell r="J32" t="str">
            <v>なし</v>
          </cell>
          <cell r="K32">
            <v>6</v>
          </cell>
          <cell r="L32" t="str">
            <v>対象</v>
          </cell>
          <cell r="M32" t="str">
            <v>対象</v>
          </cell>
          <cell r="N32" t="str">
            <v>課税</v>
          </cell>
        </row>
        <row r="33">
          <cell r="F33" t="str">
            <v>0001213</v>
          </cell>
          <cell r="G33" t="str">
            <v>工事料</v>
          </cell>
          <cell r="H33" t="str">
            <v>モデム撤去派遣工事料</v>
          </cell>
          <cell r="I33">
            <v>10</v>
          </cell>
          <cell r="N33" t="str">
            <v>課税</v>
          </cell>
        </row>
        <row r="34">
          <cell r="F34" t="str">
            <v>0001302</v>
          </cell>
          <cell r="G34" t="str">
            <v>工事料</v>
          </cell>
          <cell r="H34" t="str">
            <v>ＮＴＴ（ＡＤＳＬ専用（交換機工事））</v>
          </cell>
          <cell r="I34">
            <v>18</v>
          </cell>
          <cell r="N34" t="str">
            <v>課税</v>
          </cell>
        </row>
        <row r="35">
          <cell r="F35" t="str">
            <v>0001313</v>
          </cell>
          <cell r="G35" t="str">
            <v>工事料</v>
          </cell>
          <cell r="H35" t="str">
            <v>モデム変更工事費</v>
          </cell>
          <cell r="I35">
            <v>8</v>
          </cell>
          <cell r="N35" t="str">
            <v>課税</v>
          </cell>
        </row>
        <row r="36">
          <cell r="F36" t="str">
            <v>0001402</v>
          </cell>
          <cell r="G36" t="str">
            <v>工事料</v>
          </cell>
          <cell r="H36" t="str">
            <v>ＮＴＴ（ＡＤＳＬ専用（交換機工事他））</v>
          </cell>
          <cell r="I36">
            <v>19</v>
          </cell>
          <cell r="N36" t="str">
            <v>課税</v>
          </cell>
        </row>
        <row r="37">
          <cell r="F37" t="str">
            <v>0001413</v>
          </cell>
          <cell r="G37" t="str">
            <v>工事料</v>
          </cell>
          <cell r="H37" t="str">
            <v>回線変更工事費</v>
          </cell>
          <cell r="I37">
            <v>7</v>
          </cell>
          <cell r="N37" t="str">
            <v>課税</v>
          </cell>
        </row>
        <row r="38">
          <cell r="F38" t="str">
            <v>0001502</v>
          </cell>
          <cell r="G38" t="str">
            <v>工事料</v>
          </cell>
          <cell r="H38" t="str">
            <v>モデム撤去工事料</v>
          </cell>
          <cell r="I38">
            <v>8</v>
          </cell>
          <cell r="N38" t="str">
            <v>課税</v>
          </cell>
        </row>
        <row r="39">
          <cell r="F39" t="str">
            <v>0001513</v>
          </cell>
          <cell r="G39" t="str">
            <v>工事料</v>
          </cell>
          <cell r="H39" t="str">
            <v>個別工事費</v>
          </cell>
          <cell r="I39">
            <v>5</v>
          </cell>
          <cell r="N39" t="str">
            <v>課税</v>
          </cell>
        </row>
        <row r="40">
          <cell r="F40" t="str">
            <v>0001602</v>
          </cell>
          <cell r="G40" t="str">
            <v>工事料</v>
          </cell>
          <cell r="H40" t="str">
            <v>回線変更工事料</v>
          </cell>
          <cell r="I40">
            <v>7</v>
          </cell>
          <cell r="N40" t="str">
            <v>課税</v>
          </cell>
        </row>
        <row r="41">
          <cell r="F41" t="str">
            <v>0001613</v>
          </cell>
          <cell r="G41" t="str">
            <v>工事料</v>
          </cell>
          <cell r="H41" t="str">
            <v>サテライト工事費</v>
          </cell>
          <cell r="I41">
            <v>8</v>
          </cell>
          <cell r="N41" t="str">
            <v>課税</v>
          </cell>
        </row>
        <row r="42">
          <cell r="F42" t="str">
            <v>0001702</v>
          </cell>
          <cell r="G42" t="str">
            <v>工事料</v>
          </cell>
          <cell r="H42" t="str">
            <v>ＡＤＳＬモデムタイプ変更工事料</v>
          </cell>
          <cell r="I42">
            <v>15</v>
          </cell>
          <cell r="N42" t="str">
            <v>課税</v>
          </cell>
        </row>
        <row r="43">
          <cell r="F43" t="str">
            <v>0001802</v>
          </cell>
          <cell r="G43" t="str">
            <v>工事料</v>
          </cell>
          <cell r="H43" t="str">
            <v>スプリッタ追加工事料</v>
          </cell>
          <cell r="I43">
            <v>10</v>
          </cell>
          <cell r="N43" t="str">
            <v>課税</v>
          </cell>
        </row>
        <row r="44">
          <cell r="F44" t="str">
            <v>0001902</v>
          </cell>
          <cell r="G44" t="str">
            <v>機器販売</v>
          </cell>
          <cell r="H44" t="str">
            <v>スプリッタ追加販売料</v>
          </cell>
          <cell r="I44">
            <v>10</v>
          </cell>
          <cell r="N44" t="str">
            <v>課税</v>
          </cell>
        </row>
        <row r="45">
          <cell r="F45" t="str">
            <v>0002002</v>
          </cell>
          <cell r="G45" t="str">
            <v>工事料</v>
          </cell>
          <cell r="H45" t="str">
            <v>ＡＤＳＬモデム追加設置工事料</v>
          </cell>
          <cell r="I45">
            <v>14</v>
          </cell>
          <cell r="N45" t="str">
            <v>課税</v>
          </cell>
        </row>
        <row r="46">
          <cell r="F46" t="str">
            <v>0002102</v>
          </cell>
          <cell r="G46" t="str">
            <v>工事料</v>
          </cell>
          <cell r="H46" t="str">
            <v>委託工事料（スプリッタ）</v>
          </cell>
          <cell r="I46">
            <v>12</v>
          </cell>
          <cell r="N46" t="str">
            <v>課税</v>
          </cell>
        </row>
        <row r="47">
          <cell r="F47" t="str">
            <v>0002202</v>
          </cell>
          <cell r="G47" t="str">
            <v>工事料</v>
          </cell>
          <cell r="H47" t="str">
            <v>保安器交換工事料</v>
          </cell>
          <cell r="I47">
            <v>8</v>
          </cell>
          <cell r="N47" t="str">
            <v>課税</v>
          </cell>
        </row>
        <row r="48">
          <cell r="F48" t="str">
            <v>0002302</v>
          </cell>
          <cell r="G48" t="str">
            <v>工事料</v>
          </cell>
          <cell r="H48" t="str">
            <v>光収容変更工事料</v>
          </cell>
          <cell r="I48">
            <v>8</v>
          </cell>
          <cell r="N48" t="str">
            <v>課税</v>
          </cell>
        </row>
        <row r="49">
          <cell r="F49" t="str">
            <v>0002402</v>
          </cell>
          <cell r="G49" t="str">
            <v>工事料</v>
          </cell>
          <cell r="H49" t="str">
            <v>ＮＴＴ回線調整工事料（基本）</v>
          </cell>
          <cell r="I49">
            <v>14</v>
          </cell>
          <cell r="N49" t="str">
            <v>課税</v>
          </cell>
        </row>
        <row r="50">
          <cell r="F50" t="str">
            <v>0002502</v>
          </cell>
          <cell r="G50" t="str">
            <v>工事料</v>
          </cell>
          <cell r="H50" t="str">
            <v>ＮＴＴ回線調整工事料（回線収容替え）</v>
          </cell>
          <cell r="I50">
            <v>18</v>
          </cell>
          <cell r="N50" t="str">
            <v>課税</v>
          </cell>
        </row>
        <row r="51">
          <cell r="F51" t="str">
            <v>0002602</v>
          </cell>
          <cell r="G51" t="str">
            <v>工事料</v>
          </cell>
          <cell r="H51" t="str">
            <v>ＮＴＴ回線調整工事料（ＢＴ外し）</v>
          </cell>
          <cell r="I51">
            <v>16</v>
          </cell>
          <cell r="N51" t="str">
            <v>課税</v>
          </cell>
        </row>
        <row r="52">
          <cell r="F52" t="str">
            <v>0002702</v>
          </cell>
          <cell r="G52" t="str">
            <v>工事料</v>
          </cell>
          <cell r="H52" t="str">
            <v>回線申込手続費</v>
          </cell>
          <cell r="I52">
            <v>7</v>
          </cell>
          <cell r="N52" t="str">
            <v>課税</v>
          </cell>
        </row>
        <row r="53">
          <cell r="F53" t="str">
            <v>0002802</v>
          </cell>
          <cell r="G53" t="str">
            <v>工事料</v>
          </cell>
          <cell r="H53" t="str">
            <v>プロトコル変更工事料</v>
          </cell>
          <cell r="I53">
            <v>10</v>
          </cell>
          <cell r="N53" t="str">
            <v>課税</v>
          </cell>
        </row>
        <row r="54">
          <cell r="F54" t="str">
            <v>0002902</v>
          </cell>
          <cell r="G54" t="str">
            <v>工事料</v>
          </cell>
          <cell r="H54" t="str">
            <v>その他工事料</v>
          </cell>
          <cell r="I54">
            <v>6</v>
          </cell>
          <cell r="N54" t="str">
            <v>課税</v>
          </cell>
        </row>
        <row r="55">
          <cell r="F55" t="str">
            <v>0003102</v>
          </cell>
          <cell r="G55" t="str">
            <v>違約金</v>
          </cell>
          <cell r="H55" t="str">
            <v>モデム未回収</v>
          </cell>
          <cell r="I55">
            <v>6</v>
          </cell>
          <cell r="N55" t="str">
            <v>課税</v>
          </cell>
        </row>
        <row r="56">
          <cell r="F56" t="str">
            <v>0003116</v>
          </cell>
          <cell r="G56" t="str">
            <v>違約金</v>
          </cell>
          <cell r="H56" t="str">
            <v>ＩＰ電話用宅内機器違約金</v>
          </cell>
          <cell r="I56">
            <v>12</v>
          </cell>
          <cell r="N56" t="str">
            <v>課税</v>
          </cell>
        </row>
        <row r="57">
          <cell r="F57" t="str">
            <v>0003202</v>
          </cell>
          <cell r="G57" t="str">
            <v>違約金</v>
          </cell>
          <cell r="H57" t="str">
            <v>モデム未回収</v>
          </cell>
          <cell r="I57">
            <v>6</v>
          </cell>
          <cell r="N57" t="str">
            <v>課税</v>
          </cell>
        </row>
        <row r="58">
          <cell r="F58" t="str">
            <v>0004001</v>
          </cell>
          <cell r="G58" t="str">
            <v>通信料</v>
          </cell>
          <cell r="H58" t="str">
            <v>ＤＩＯＮ月額利用料</v>
          </cell>
          <cell r="I58">
            <v>9</v>
          </cell>
          <cell r="J58" t="str">
            <v>なし</v>
          </cell>
          <cell r="K58" t="str">
            <v>3</v>
          </cell>
          <cell r="L58" t="str">
            <v>対象</v>
          </cell>
          <cell r="M58" t="str">
            <v>対象</v>
          </cell>
          <cell r="N58" t="str">
            <v>課税</v>
          </cell>
        </row>
        <row r="59">
          <cell r="F59" t="str">
            <v>0004002</v>
          </cell>
          <cell r="G59" t="str">
            <v>利用料</v>
          </cell>
          <cell r="H59" t="str">
            <v>月額利用料（ＡＤＳＬ電話共用）</v>
          </cell>
          <cell r="I59">
            <v>15</v>
          </cell>
          <cell r="N59" t="str">
            <v>課税</v>
          </cell>
        </row>
        <row r="60">
          <cell r="F60" t="str">
            <v>0004003</v>
          </cell>
          <cell r="G60" t="str">
            <v>通信料</v>
          </cell>
          <cell r="H60" t="str">
            <v>月額利用料（Ｎｅｗｅｂ）</v>
          </cell>
          <cell r="I60">
            <v>12</v>
          </cell>
          <cell r="N60" t="str">
            <v>課税</v>
          </cell>
        </row>
        <row r="61">
          <cell r="F61" t="str">
            <v>0004005</v>
          </cell>
          <cell r="G61" t="str">
            <v>通信料</v>
          </cell>
          <cell r="H61" t="str">
            <v>月額利用料（メールインワンＦＡＸ）</v>
          </cell>
          <cell r="I61">
            <v>17</v>
          </cell>
          <cell r="N61" t="str">
            <v>課税</v>
          </cell>
        </row>
        <row r="62">
          <cell r="F62" t="str">
            <v>0004006</v>
          </cell>
          <cell r="G62" t="str">
            <v>通信料</v>
          </cell>
          <cell r="H62" t="str">
            <v>月額利用料（メールインワンＦＡＸ）</v>
          </cell>
          <cell r="I62">
            <v>17</v>
          </cell>
          <cell r="N62" t="str">
            <v>課税</v>
          </cell>
        </row>
        <row r="63">
          <cell r="F63" t="str">
            <v>0004010</v>
          </cell>
          <cell r="G63" t="str">
            <v>利用料</v>
          </cell>
          <cell r="H63" t="str">
            <v>月額基本料（ｅ＊Ｔｅｍｐｏ）</v>
          </cell>
          <cell r="I63">
            <v>14</v>
          </cell>
          <cell r="N63" t="str">
            <v>課税</v>
          </cell>
        </row>
        <row r="64">
          <cell r="F64" t="str">
            <v>0004011</v>
          </cell>
          <cell r="G64" t="str">
            <v>利用料</v>
          </cell>
          <cell r="H64" t="str">
            <v>月額基本料（ショッピングパレード）</v>
          </cell>
          <cell r="I64">
            <v>17</v>
          </cell>
          <cell r="N64" t="str">
            <v>課税</v>
          </cell>
        </row>
        <row r="65">
          <cell r="F65" t="str">
            <v>0004013</v>
          </cell>
          <cell r="G65" t="str">
            <v>利用料</v>
          </cell>
          <cell r="H65" t="str">
            <v>月額利用料（”Ｆ”マンション）</v>
          </cell>
          <cell r="I65">
            <v>15</v>
          </cell>
          <cell r="N65" t="str">
            <v>課税</v>
          </cell>
        </row>
        <row r="66">
          <cell r="F66" t="str">
            <v>0004016</v>
          </cell>
          <cell r="G66" t="str">
            <v>利用料</v>
          </cell>
          <cell r="H66" t="str">
            <v>月額利用料（ＩＰ電話）</v>
          </cell>
          <cell r="I66">
            <v>11</v>
          </cell>
          <cell r="N66" t="str">
            <v>課税</v>
          </cell>
        </row>
        <row r="67">
          <cell r="F67" t="str">
            <v>0004102</v>
          </cell>
          <cell r="G67" t="str">
            <v>利用料</v>
          </cell>
          <cell r="H67" t="str">
            <v>月額利用料（ＡＤＳＬ専用）</v>
          </cell>
          <cell r="I67">
            <v>13</v>
          </cell>
          <cell r="N67" t="str">
            <v>課税</v>
          </cell>
        </row>
        <row r="68">
          <cell r="F68" t="str">
            <v>0004602</v>
          </cell>
          <cell r="G68" t="str">
            <v>回線使用料</v>
          </cell>
          <cell r="H68" t="str">
            <v>ＮＴＴ回線使用料（電話共用）</v>
          </cell>
          <cell r="I68">
            <v>14</v>
          </cell>
          <cell r="N68" t="str">
            <v>課税</v>
          </cell>
        </row>
        <row r="69">
          <cell r="F69" t="str">
            <v>0004702</v>
          </cell>
          <cell r="G69" t="str">
            <v>回線使用料</v>
          </cell>
          <cell r="H69" t="str">
            <v>ＮＴＴ回線使用料（ＡＤＳＬ専用）</v>
          </cell>
          <cell r="I69">
            <v>16</v>
          </cell>
          <cell r="N69" t="str">
            <v>課税</v>
          </cell>
        </row>
        <row r="70">
          <cell r="F70" t="str">
            <v>0005013</v>
          </cell>
          <cell r="G70" t="str">
            <v>利用料</v>
          </cell>
          <cell r="H70" t="str">
            <v>月額料金（”Ｆ”マンション）</v>
          </cell>
          <cell r="I70">
            <v>14</v>
          </cell>
          <cell r="J70" t="str">
            <v>DABINCI利用量</v>
          </cell>
          <cell r="N70" t="str">
            <v>課税</v>
          </cell>
        </row>
        <row r="71">
          <cell r="F71" t="str">
            <v>0006001</v>
          </cell>
          <cell r="G71" t="str">
            <v>割引額</v>
          </cell>
          <cell r="H71" t="str">
            <v>割引キャンペーン</v>
          </cell>
          <cell r="I71">
            <v>8</v>
          </cell>
          <cell r="J71" t="str">
            <v>なし</v>
          </cell>
          <cell r="K71" t="str">
            <v>6</v>
          </cell>
          <cell r="L71" t="str">
            <v>対象</v>
          </cell>
          <cell r="M71" t="str">
            <v>対象</v>
          </cell>
          <cell r="N71" t="str">
            <v>課税</v>
          </cell>
        </row>
        <row r="72">
          <cell r="F72" t="str">
            <v>0006010</v>
          </cell>
          <cell r="G72" t="str">
            <v>割引額</v>
          </cell>
          <cell r="H72" t="str">
            <v>（ボリュームディスカウントプランＡ）</v>
          </cell>
          <cell r="I72">
            <v>18</v>
          </cell>
          <cell r="N72" t="str">
            <v>課税</v>
          </cell>
        </row>
        <row r="73">
          <cell r="F73" t="str">
            <v>0006102</v>
          </cell>
          <cell r="G73" t="str">
            <v>割引額</v>
          </cell>
          <cell r="H73" t="str">
            <v>初期費用割引（ＡＤＳＬキャンペーン）</v>
          </cell>
          <cell r="I73">
            <v>18</v>
          </cell>
          <cell r="N73" t="str">
            <v>課税</v>
          </cell>
        </row>
        <row r="74">
          <cell r="F74" t="str">
            <v>0006110</v>
          </cell>
          <cell r="G74" t="str">
            <v>割引額</v>
          </cell>
          <cell r="H74" t="str">
            <v>（ボリュームディスカウントプランＢ）</v>
          </cell>
          <cell r="I74">
            <v>18</v>
          </cell>
          <cell r="N74" t="str">
            <v>課税</v>
          </cell>
        </row>
        <row r="75">
          <cell r="F75" t="str">
            <v>0006201</v>
          </cell>
          <cell r="G75" t="str">
            <v>割引額</v>
          </cell>
          <cell r="H75" t="str">
            <v>ＤＩＯＮセット割　付加サービス割引</v>
          </cell>
          <cell r="I75">
            <v>17</v>
          </cell>
          <cell r="J75" t="str">
            <v>なし</v>
          </cell>
          <cell r="K75" t="str">
            <v>8</v>
          </cell>
          <cell r="L75" t="str">
            <v>対象</v>
          </cell>
          <cell r="M75" t="str">
            <v>対象</v>
          </cell>
          <cell r="N75" t="str">
            <v>課税</v>
          </cell>
        </row>
        <row r="76">
          <cell r="F76" t="str">
            <v>0006202</v>
          </cell>
          <cell r="G76" t="str">
            <v>割引額</v>
          </cell>
          <cell r="H76" t="str">
            <v>ＤＩＯＮセット割　付加サービス割引</v>
          </cell>
          <cell r="I76">
            <v>17</v>
          </cell>
          <cell r="N76" t="str">
            <v>課税</v>
          </cell>
        </row>
        <row r="77">
          <cell r="F77" t="str">
            <v>0006203</v>
          </cell>
          <cell r="G77" t="str">
            <v>割引額</v>
          </cell>
          <cell r="H77" t="str">
            <v>ＤＩＯＮセット割　付加サービス割引</v>
          </cell>
          <cell r="I77">
            <v>17</v>
          </cell>
          <cell r="N77" t="str">
            <v>課税</v>
          </cell>
        </row>
        <row r="78">
          <cell r="F78" t="str">
            <v>0006210</v>
          </cell>
          <cell r="G78" t="str">
            <v>割引額</v>
          </cell>
          <cell r="H78" t="str">
            <v>割引額（ＥＣ割引パック）</v>
          </cell>
          <cell r="I78">
            <v>12</v>
          </cell>
        </row>
        <row r="79">
          <cell r="F79" t="str">
            <v>0006211</v>
          </cell>
          <cell r="G79" t="str">
            <v>割引額</v>
          </cell>
          <cell r="H79" t="str">
            <v>割引額（ＥＣ割引パック）</v>
          </cell>
          <cell r="I79">
            <v>12</v>
          </cell>
          <cell r="N79" t="str">
            <v>課税</v>
          </cell>
        </row>
        <row r="80">
          <cell r="F80" t="str">
            <v>0006213</v>
          </cell>
          <cell r="G80" t="str">
            <v>割引額</v>
          </cell>
          <cell r="H80" t="str">
            <v>ＤＩＯＮセット割　付加サービス割引</v>
          </cell>
          <cell r="I80">
            <v>17</v>
          </cell>
          <cell r="N80" t="str">
            <v>課税</v>
          </cell>
        </row>
        <row r="81">
          <cell r="F81" t="str">
            <v>0006301</v>
          </cell>
          <cell r="G81" t="str">
            <v>割引額</v>
          </cell>
          <cell r="H81" t="str">
            <v>ＤＩＯＮセット割　定額料割引</v>
          </cell>
          <cell r="I81">
            <v>14</v>
          </cell>
          <cell r="J81" t="str">
            <v>なし</v>
          </cell>
          <cell r="K81" t="str">
            <v>7</v>
          </cell>
          <cell r="L81" t="str">
            <v>対象</v>
          </cell>
          <cell r="M81" t="str">
            <v>対象</v>
          </cell>
          <cell r="N81" t="str">
            <v>課税</v>
          </cell>
        </row>
        <row r="82">
          <cell r="F82" t="str">
            <v>0006302</v>
          </cell>
          <cell r="G82" t="str">
            <v>割引額</v>
          </cell>
          <cell r="H82" t="str">
            <v>ＤＩＯＮセット割　ＡＤＳＬ定額料割引</v>
          </cell>
          <cell r="I82">
            <v>18</v>
          </cell>
          <cell r="N82" t="str">
            <v>課税</v>
          </cell>
        </row>
        <row r="83">
          <cell r="F83" t="str">
            <v>0006303</v>
          </cell>
          <cell r="G83" t="str">
            <v>割引額</v>
          </cell>
          <cell r="H83" t="str">
            <v>ＤＩＯＮセット割</v>
          </cell>
          <cell r="I83">
            <v>8</v>
          </cell>
          <cell r="J83" t="str">
            <v>DABINCI利用量</v>
          </cell>
          <cell r="N83" t="str">
            <v>課税</v>
          </cell>
        </row>
        <row r="84">
          <cell r="F84" t="str">
            <v>0006312</v>
          </cell>
          <cell r="G84" t="str">
            <v>初期費用</v>
          </cell>
          <cell r="H84" t="str">
            <v>ＰａｙＣｏｕｎｔｅｒ</v>
          </cell>
          <cell r="I84">
            <v>10</v>
          </cell>
          <cell r="N84" t="str">
            <v>課税</v>
          </cell>
        </row>
        <row r="85">
          <cell r="F85" t="str">
            <v>0006402</v>
          </cell>
          <cell r="G85" t="str">
            <v>割引額</v>
          </cell>
          <cell r="H85" t="str">
            <v>設定工事　割引料</v>
          </cell>
          <cell r="I85">
            <v>8</v>
          </cell>
          <cell r="N85" t="str">
            <v>課税</v>
          </cell>
        </row>
        <row r="86">
          <cell r="F86" t="str">
            <v>0007002</v>
          </cell>
          <cell r="G86" t="str">
            <v>工事料</v>
          </cell>
          <cell r="H86" t="str">
            <v>接続速度変更工事料</v>
          </cell>
          <cell r="I86">
            <v>9</v>
          </cell>
          <cell r="N86" t="str">
            <v>課税</v>
          </cell>
        </row>
        <row r="87">
          <cell r="F87" t="str">
            <v>0007102</v>
          </cell>
          <cell r="G87" t="str">
            <v>工事料</v>
          </cell>
          <cell r="H87" t="str">
            <v>移転工事料</v>
          </cell>
          <cell r="I87">
            <v>5</v>
          </cell>
          <cell r="N87" t="str">
            <v>課税</v>
          </cell>
        </row>
        <row r="88">
          <cell r="F88" t="str">
            <v>0007202</v>
          </cell>
          <cell r="G88" t="str">
            <v>工事料</v>
          </cell>
          <cell r="H88" t="str">
            <v>プラン変更料</v>
          </cell>
          <cell r="I88">
            <v>6</v>
          </cell>
          <cell r="N88" t="str">
            <v>課税</v>
          </cell>
        </row>
        <row r="89">
          <cell r="F89" t="str">
            <v>0007302</v>
          </cell>
          <cell r="G89" t="str">
            <v>工事料</v>
          </cell>
          <cell r="H89" t="str">
            <v>設定工事　基本料</v>
          </cell>
          <cell r="I89">
            <v>8</v>
          </cell>
          <cell r="N89" t="str">
            <v>課税</v>
          </cell>
        </row>
        <row r="90">
          <cell r="F90" t="str">
            <v>0007402</v>
          </cell>
          <cell r="G90" t="str">
            <v>工事料</v>
          </cell>
          <cell r="H90" t="str">
            <v>設定工事　追加工事料</v>
          </cell>
          <cell r="I90">
            <v>10</v>
          </cell>
          <cell r="N90" t="str">
            <v>課税</v>
          </cell>
        </row>
        <row r="91">
          <cell r="F91" t="str">
            <v>0008002</v>
          </cell>
          <cell r="G91" t="str">
            <v>機器販売</v>
          </cell>
          <cell r="H91" t="str">
            <v>ＡＤＳＬモデム（１０Ｂａｓｅ－Ｔ）</v>
          </cell>
          <cell r="I91">
            <v>17</v>
          </cell>
          <cell r="N91" t="str">
            <v>課税</v>
          </cell>
        </row>
        <row r="92">
          <cell r="F92" t="str">
            <v>0008102</v>
          </cell>
          <cell r="G92" t="str">
            <v>機器販売</v>
          </cell>
          <cell r="H92" t="str">
            <v>ＡＤＳＬモデム（１０Ｂａｓｅ－Ｔ）</v>
          </cell>
          <cell r="I92">
            <v>17</v>
          </cell>
          <cell r="N92" t="str">
            <v>課税</v>
          </cell>
        </row>
        <row r="93">
          <cell r="F93" t="str">
            <v>0008202</v>
          </cell>
          <cell r="G93" t="str">
            <v>その他</v>
          </cell>
          <cell r="H93" t="str">
            <v>設定工事　付属品購入（ＬＡＮボード）</v>
          </cell>
          <cell r="I93">
            <v>18</v>
          </cell>
          <cell r="N93" t="str">
            <v>課税</v>
          </cell>
        </row>
        <row r="94">
          <cell r="F94" t="str">
            <v>0008302</v>
          </cell>
          <cell r="G94" t="str">
            <v>その他</v>
          </cell>
          <cell r="H94" t="str">
            <v>設定工事　付属品購入（ＬＡＮカード）</v>
          </cell>
          <cell r="I94">
            <v>18</v>
          </cell>
          <cell r="N94" t="str">
            <v>課税</v>
          </cell>
        </row>
        <row r="95">
          <cell r="F95" t="str">
            <v>0008402</v>
          </cell>
          <cell r="G95" t="str">
            <v>その他</v>
          </cell>
          <cell r="H95" t="str">
            <v>設定工事　付属品購入（ＬＡＮケーブル）</v>
          </cell>
          <cell r="I95">
            <v>19</v>
          </cell>
          <cell r="N95" t="str">
            <v>課税</v>
          </cell>
        </row>
        <row r="96">
          <cell r="F96" t="str">
            <v>0008502</v>
          </cell>
          <cell r="G96" t="str">
            <v>その他</v>
          </cell>
          <cell r="H96" t="str">
            <v>設定工事　付属品購入（その他）</v>
          </cell>
          <cell r="I96">
            <v>15</v>
          </cell>
          <cell r="N96" t="str">
            <v>課税</v>
          </cell>
        </row>
        <row r="97">
          <cell r="F97" t="str">
            <v>0009001</v>
          </cell>
          <cell r="G97" t="str">
            <v>料金調整</v>
          </cell>
          <cell r="H97" t="str">
            <v>ＤＩＯＮ料金調整</v>
          </cell>
          <cell r="I97">
            <v>8</v>
          </cell>
          <cell r="J97" t="str">
            <v>なし</v>
          </cell>
          <cell r="K97" t="str">
            <v>9000</v>
          </cell>
          <cell r="L97" t="str">
            <v>対象</v>
          </cell>
          <cell r="M97" t="str">
            <v>対象</v>
          </cell>
          <cell r="N97" t="str">
            <v>課税</v>
          </cell>
        </row>
        <row r="98">
          <cell r="F98" t="str">
            <v>0009002</v>
          </cell>
          <cell r="G98" t="str">
            <v>料金調整</v>
          </cell>
          <cell r="H98" t="str">
            <v>ＤＩＯＮ料金調整</v>
          </cell>
          <cell r="I98">
            <v>8</v>
          </cell>
          <cell r="N98" t="str">
            <v>課税</v>
          </cell>
        </row>
        <row r="99">
          <cell r="F99" t="str">
            <v>0009003</v>
          </cell>
          <cell r="G99" t="str">
            <v>料金調整</v>
          </cell>
          <cell r="H99" t="str">
            <v>ＤＩＯＮ料金調整</v>
          </cell>
          <cell r="I99">
            <v>8</v>
          </cell>
          <cell r="N99" t="str">
            <v>課税</v>
          </cell>
        </row>
        <row r="100">
          <cell r="F100" t="str">
            <v>0009004</v>
          </cell>
          <cell r="G100" t="str">
            <v>料金調整</v>
          </cell>
          <cell r="H100" t="str">
            <v>ＤＩＯＮ料金調整</v>
          </cell>
          <cell r="I100">
            <v>8</v>
          </cell>
          <cell r="N100" t="str">
            <v>課税</v>
          </cell>
        </row>
        <row r="101">
          <cell r="F101" t="str">
            <v>0009005</v>
          </cell>
          <cell r="G101" t="str">
            <v>料金調整</v>
          </cell>
          <cell r="H101" t="str">
            <v>調整金</v>
          </cell>
          <cell r="I101">
            <v>3</v>
          </cell>
          <cell r="N101" t="str">
            <v>課税</v>
          </cell>
        </row>
        <row r="102">
          <cell r="F102" t="str">
            <v>0009006</v>
          </cell>
          <cell r="G102" t="str">
            <v>料金調整</v>
          </cell>
          <cell r="H102" t="str">
            <v>調整金</v>
          </cell>
          <cell r="I102">
            <v>3</v>
          </cell>
          <cell r="N102" t="str">
            <v>課税</v>
          </cell>
        </row>
        <row r="103">
          <cell r="F103" t="str">
            <v>0009007</v>
          </cell>
          <cell r="G103" t="str">
            <v>料金調整</v>
          </cell>
          <cell r="H103" t="str">
            <v>課税調整金</v>
          </cell>
          <cell r="I103">
            <v>5</v>
          </cell>
          <cell r="N103" t="str">
            <v>課税</v>
          </cell>
        </row>
        <row r="104">
          <cell r="F104" t="str">
            <v>0009008</v>
          </cell>
          <cell r="G104" t="str">
            <v>料金調整</v>
          </cell>
          <cell r="H104" t="str">
            <v>ＤＩＯＮ料金調整</v>
          </cell>
          <cell r="I104">
            <v>8</v>
          </cell>
          <cell r="N104" t="str">
            <v>課税</v>
          </cell>
        </row>
        <row r="105">
          <cell r="F105" t="str">
            <v>0009009</v>
          </cell>
          <cell r="G105" t="str">
            <v>料金調整</v>
          </cell>
          <cell r="H105" t="str">
            <v>サーバーレンタル料金調整</v>
          </cell>
          <cell r="I105">
            <v>12</v>
          </cell>
          <cell r="N105" t="str">
            <v>課税</v>
          </cell>
        </row>
        <row r="106">
          <cell r="F106" t="str">
            <v>0009010</v>
          </cell>
          <cell r="G106" t="str">
            <v>料金調整</v>
          </cell>
          <cell r="H106" t="str">
            <v>料金調整額</v>
          </cell>
          <cell r="I106">
            <v>5</v>
          </cell>
          <cell r="N106" t="str">
            <v>課税</v>
          </cell>
        </row>
        <row r="107">
          <cell r="F107" t="str">
            <v>0009011</v>
          </cell>
          <cell r="G107" t="str">
            <v>料金調整</v>
          </cell>
          <cell r="H107" t="str">
            <v>料金調整額</v>
          </cell>
          <cell r="I107">
            <v>5</v>
          </cell>
          <cell r="N107" t="str">
            <v>課税</v>
          </cell>
        </row>
        <row r="108">
          <cell r="F108" t="str">
            <v>0009012</v>
          </cell>
          <cell r="G108" t="str">
            <v>料金調整</v>
          </cell>
          <cell r="H108" t="str">
            <v>料金調整額</v>
          </cell>
          <cell r="I108">
            <v>5</v>
          </cell>
          <cell r="N108" t="str">
            <v>課税</v>
          </cell>
        </row>
        <row r="109">
          <cell r="F109" t="str">
            <v>0009013</v>
          </cell>
          <cell r="G109" t="str">
            <v>料金調整</v>
          </cell>
          <cell r="H109" t="str">
            <v>ＤＩＯＮ料金調整</v>
          </cell>
          <cell r="I109">
            <v>8</v>
          </cell>
          <cell r="N109" t="str">
            <v>課税</v>
          </cell>
        </row>
        <row r="110">
          <cell r="F110" t="str">
            <v>0009014</v>
          </cell>
          <cell r="G110" t="str">
            <v>料金調整</v>
          </cell>
          <cell r="H110" t="str">
            <v>料金調整</v>
          </cell>
          <cell r="I110">
            <v>4</v>
          </cell>
          <cell r="N110" t="str">
            <v>課税</v>
          </cell>
        </row>
        <row r="111">
          <cell r="F111" t="str">
            <v>0009015</v>
          </cell>
          <cell r="G111" t="str">
            <v>料金調整</v>
          </cell>
          <cell r="H111" t="str">
            <v>コンテンツコース料金調整</v>
          </cell>
          <cell r="I111">
            <v>12</v>
          </cell>
          <cell r="N111" t="str">
            <v>課税</v>
          </cell>
        </row>
        <row r="112">
          <cell r="F112" t="str">
            <v>0009016</v>
          </cell>
          <cell r="G112" t="str">
            <v>料金調整</v>
          </cell>
          <cell r="H112" t="str">
            <v>ＩＰ電話料金調整</v>
          </cell>
          <cell r="I112">
            <v>8</v>
          </cell>
          <cell r="N112" t="str">
            <v>課税</v>
          </cell>
        </row>
        <row r="113">
          <cell r="F113" t="str">
            <v>0104001</v>
          </cell>
          <cell r="G113" t="str">
            <v>通信料</v>
          </cell>
          <cell r="H113" t="str">
            <v>ＤＩＯＮ月額利用料</v>
          </cell>
          <cell r="I113">
            <v>9</v>
          </cell>
          <cell r="J113" t="str">
            <v>DABINCI利用量</v>
          </cell>
          <cell r="K113" t="str">
            <v>4</v>
          </cell>
          <cell r="L113" t="str">
            <v>対象</v>
          </cell>
          <cell r="M113" t="str">
            <v>対象</v>
          </cell>
          <cell r="N113" t="str">
            <v>課税</v>
          </cell>
        </row>
        <row r="114">
          <cell r="F114" t="str">
            <v>0104003</v>
          </cell>
          <cell r="G114" t="str">
            <v>通信料</v>
          </cell>
          <cell r="H114" t="str">
            <v>月額利用料（Ｎｅｗｅｂ）</v>
          </cell>
          <cell r="I114">
            <v>12</v>
          </cell>
          <cell r="J114" t="str">
            <v>DABINCI利用量</v>
          </cell>
          <cell r="N114" t="str">
            <v>課税</v>
          </cell>
        </row>
        <row r="115">
          <cell r="F115" t="str">
            <v>0104202</v>
          </cell>
          <cell r="G115" t="str">
            <v>レンタル料</v>
          </cell>
          <cell r="H115" t="str">
            <v>ＡＤＳＬモデム（ＵＳＢ）</v>
          </cell>
          <cell r="I115">
            <v>12</v>
          </cell>
          <cell r="N115" t="str">
            <v>課税</v>
          </cell>
        </row>
        <row r="116">
          <cell r="F116" t="str">
            <v>0104302</v>
          </cell>
          <cell r="G116" t="str">
            <v>レンタル料</v>
          </cell>
          <cell r="H116" t="str">
            <v>ＡＤＳＬモデム（１０Ｂａｓｅ－Ｔ）</v>
          </cell>
          <cell r="I116">
            <v>17</v>
          </cell>
          <cell r="N116" t="str">
            <v>課税</v>
          </cell>
        </row>
        <row r="117">
          <cell r="F117" t="str">
            <v>0104402</v>
          </cell>
          <cell r="G117" t="str">
            <v>レンタル料</v>
          </cell>
          <cell r="H117" t="str">
            <v>ＡＤＳＬモデム（ＵＳＢ）</v>
          </cell>
          <cell r="I117">
            <v>12</v>
          </cell>
          <cell r="N117" t="str">
            <v>課税</v>
          </cell>
        </row>
        <row r="118">
          <cell r="F118" t="str">
            <v>0104502</v>
          </cell>
          <cell r="G118" t="str">
            <v>レンタル料</v>
          </cell>
          <cell r="H118" t="str">
            <v>ＡＤＳＬモデム（１０Ｂａｓｅ－Ｔ）</v>
          </cell>
          <cell r="I118">
            <v>17</v>
          </cell>
          <cell r="N118" t="str">
            <v>課税</v>
          </cell>
        </row>
        <row r="119">
          <cell r="F119" t="str">
            <v>0104802</v>
          </cell>
          <cell r="G119" t="str">
            <v>レンタル料</v>
          </cell>
          <cell r="H119" t="str">
            <v>ＩＰ電話用宅内機器レンタル料</v>
          </cell>
          <cell r="I119">
            <v>14</v>
          </cell>
          <cell r="N119" t="str">
            <v>課税</v>
          </cell>
        </row>
        <row r="120">
          <cell r="F120" t="str">
            <v>0105001</v>
          </cell>
          <cell r="G120" t="str">
            <v>通信料</v>
          </cell>
          <cell r="H120" t="str">
            <v>ＤＩＯＮ利用料（従量分）</v>
          </cell>
          <cell r="I120">
            <v>12</v>
          </cell>
          <cell r="J120" t="str">
            <v>DABINCI利用量</v>
          </cell>
          <cell r="K120" t="str">
            <v>5</v>
          </cell>
          <cell r="L120" t="str">
            <v>対象</v>
          </cell>
          <cell r="M120" t="str">
            <v>対象</v>
          </cell>
          <cell r="N120" t="str">
            <v>課税</v>
          </cell>
        </row>
        <row r="121">
          <cell r="F121" t="str">
            <v>0105003</v>
          </cell>
          <cell r="G121" t="str">
            <v>通信料</v>
          </cell>
          <cell r="H121" t="str">
            <v>接続料（Ｎｅｗｅｂ）</v>
          </cell>
          <cell r="I121">
            <v>10</v>
          </cell>
          <cell r="J121" t="str">
            <v>DABINCI利用量</v>
          </cell>
          <cell r="N121" t="str">
            <v>課税</v>
          </cell>
        </row>
        <row r="122">
          <cell r="F122" t="str">
            <v>0105004</v>
          </cell>
          <cell r="G122" t="str">
            <v>通信料</v>
          </cell>
          <cell r="H122" t="str">
            <v>接続料（モバイルＧＢ）</v>
          </cell>
          <cell r="I122">
            <v>11</v>
          </cell>
          <cell r="J122" t="str">
            <v>DABINCI利用量</v>
          </cell>
          <cell r="N122" t="str">
            <v>課税</v>
          </cell>
        </row>
        <row r="123">
          <cell r="F123" t="str">
            <v>0115100</v>
          </cell>
          <cell r="G123" t="str">
            <v>利用料</v>
          </cell>
          <cell r="H123" t="str">
            <v>海外ローミング（ＫＤＤＩＧ）１０円／分</v>
          </cell>
          <cell r="I123">
            <v>19</v>
          </cell>
          <cell r="J123" t="str">
            <v>DABINCI利用量</v>
          </cell>
          <cell r="N123" t="str">
            <v>非課税</v>
          </cell>
        </row>
        <row r="124">
          <cell r="F124" t="str">
            <v>0115200</v>
          </cell>
          <cell r="G124" t="str">
            <v>利用料</v>
          </cell>
          <cell r="H124" t="str">
            <v>海外ローミング（ＧＲＩＣ）２０円／分</v>
          </cell>
          <cell r="I124">
            <v>18</v>
          </cell>
          <cell r="J124" t="str">
            <v>DABINCI利用量</v>
          </cell>
          <cell r="N124" t="str">
            <v>非課税</v>
          </cell>
        </row>
        <row r="125">
          <cell r="F125" t="str">
            <v>0115300</v>
          </cell>
          <cell r="G125" t="str">
            <v>利用料</v>
          </cell>
          <cell r="H125" t="str">
            <v>海外ローミング（ＩＰＡＳＳ）３０円／分</v>
          </cell>
          <cell r="I125">
            <v>19</v>
          </cell>
          <cell r="J125" t="str">
            <v>DABINCI利用量</v>
          </cell>
          <cell r="N125" t="str">
            <v>非課税</v>
          </cell>
        </row>
        <row r="126">
          <cell r="F126" t="str">
            <v>0130000</v>
          </cell>
          <cell r="G126" t="str">
            <v>登録料</v>
          </cell>
          <cell r="H126" t="str">
            <v>パケットサービス</v>
          </cell>
          <cell r="I126">
            <v>8</v>
          </cell>
          <cell r="N126" t="str">
            <v>課税</v>
          </cell>
        </row>
        <row r="127">
          <cell r="F127" t="str">
            <v>0134000</v>
          </cell>
          <cell r="G127" t="str">
            <v>利用料</v>
          </cell>
          <cell r="H127" t="str">
            <v>パケットサービス月額利用料</v>
          </cell>
          <cell r="I127">
            <v>13</v>
          </cell>
          <cell r="N127" t="str">
            <v>課税</v>
          </cell>
        </row>
        <row r="128">
          <cell r="F128" t="str">
            <v>0136102</v>
          </cell>
          <cell r="G128" t="str">
            <v>割引額</v>
          </cell>
          <cell r="H128" t="str">
            <v>ＡｉｒＨ”　ＡＤＳＬセット割引</v>
          </cell>
          <cell r="I128">
            <v>15</v>
          </cell>
          <cell r="N128" t="str">
            <v>課税</v>
          </cell>
        </row>
        <row r="129">
          <cell r="F129" t="str">
            <v>0145400</v>
          </cell>
          <cell r="G129" t="str">
            <v>利用料</v>
          </cell>
          <cell r="H129" t="str">
            <v>モバイルアクセス（５円／分）</v>
          </cell>
          <cell r="I129">
            <v>14</v>
          </cell>
          <cell r="J129" t="str">
            <v>DABINCI利用量</v>
          </cell>
          <cell r="N129" t="str">
            <v>課税</v>
          </cell>
        </row>
        <row r="130">
          <cell r="F130" t="str">
            <v>0301000</v>
          </cell>
          <cell r="G130" t="str">
            <v>変更料</v>
          </cell>
          <cell r="H130" t="str">
            <v>基本メールアカウント</v>
          </cell>
          <cell r="I130">
            <v>10</v>
          </cell>
          <cell r="N130" t="str">
            <v>課税</v>
          </cell>
        </row>
        <row r="131">
          <cell r="F131" t="str">
            <v>0305000</v>
          </cell>
          <cell r="G131" t="str">
            <v>利用料</v>
          </cell>
          <cell r="H131" t="str">
            <v>メール蓄積容量追加</v>
          </cell>
          <cell r="I131">
            <v>9</v>
          </cell>
          <cell r="N131" t="str">
            <v>課税</v>
          </cell>
        </row>
        <row r="132">
          <cell r="F132" t="str">
            <v>0331000</v>
          </cell>
          <cell r="G132" t="str">
            <v>変更料</v>
          </cell>
          <cell r="H132" t="str">
            <v>追加メールアカウント</v>
          </cell>
          <cell r="I132">
            <v>10</v>
          </cell>
          <cell r="N132" t="str">
            <v>課税</v>
          </cell>
        </row>
        <row r="133">
          <cell r="F133" t="str">
            <v>0334000</v>
          </cell>
          <cell r="G133" t="str">
            <v>利用料</v>
          </cell>
          <cell r="H133" t="str">
            <v>メールアドレス追加</v>
          </cell>
          <cell r="I133">
            <v>9</v>
          </cell>
          <cell r="N133" t="str">
            <v>課税</v>
          </cell>
        </row>
        <row r="134">
          <cell r="F134" t="str">
            <v>0335000</v>
          </cell>
          <cell r="G134" t="str">
            <v>利用料</v>
          </cell>
          <cell r="H134" t="str">
            <v>追加メールアドレス蓄積容量追加</v>
          </cell>
          <cell r="I134">
            <v>15</v>
          </cell>
          <cell r="N134" t="str">
            <v>課税</v>
          </cell>
        </row>
        <row r="135">
          <cell r="F135" t="str">
            <v>0340000</v>
          </cell>
          <cell r="G135" t="str">
            <v>登録料</v>
          </cell>
          <cell r="H135" t="str">
            <v>お好み転送サービス</v>
          </cell>
          <cell r="I135">
            <v>9</v>
          </cell>
          <cell r="N135" t="str">
            <v>課税</v>
          </cell>
        </row>
        <row r="136">
          <cell r="F136" t="str">
            <v>0344000</v>
          </cell>
          <cell r="G136" t="str">
            <v>利用料</v>
          </cell>
          <cell r="H136" t="str">
            <v>お好み転送サービス月額利用料</v>
          </cell>
          <cell r="I136">
            <v>14</v>
          </cell>
          <cell r="N136" t="str">
            <v>課税</v>
          </cell>
        </row>
        <row r="137">
          <cell r="F137" t="str">
            <v>0350000</v>
          </cell>
          <cell r="G137" t="str">
            <v>登録料</v>
          </cell>
          <cell r="H137" t="str">
            <v>お好み着信サービス</v>
          </cell>
          <cell r="I137">
            <v>9</v>
          </cell>
          <cell r="N137" t="str">
            <v>課税</v>
          </cell>
        </row>
        <row r="138">
          <cell r="F138" t="str">
            <v>0354000</v>
          </cell>
          <cell r="G138" t="str">
            <v>利用料</v>
          </cell>
          <cell r="H138" t="str">
            <v>お好み着信サービス月額利用料</v>
          </cell>
          <cell r="I138">
            <v>14</v>
          </cell>
          <cell r="N138" t="str">
            <v>課税</v>
          </cell>
        </row>
        <row r="139">
          <cell r="F139" t="str">
            <v>0605000</v>
          </cell>
          <cell r="G139" t="str">
            <v>利用料</v>
          </cell>
          <cell r="H139" t="str">
            <v>ホームページ公開代理容量追加</v>
          </cell>
          <cell r="I139">
            <v>14</v>
          </cell>
          <cell r="N139" t="str">
            <v>課税</v>
          </cell>
        </row>
        <row r="140">
          <cell r="F140" t="str">
            <v>0634000</v>
          </cell>
          <cell r="G140" t="str">
            <v>利用料</v>
          </cell>
          <cell r="H140" t="str">
            <v>ホームページ公開代理ＵＲＬ追加</v>
          </cell>
          <cell r="I140">
            <v>15</v>
          </cell>
          <cell r="N140" t="str">
            <v>課税</v>
          </cell>
        </row>
        <row r="141">
          <cell r="F141" t="str">
            <v>0634009</v>
          </cell>
          <cell r="G141" t="str">
            <v>利用料</v>
          </cell>
          <cell r="H141" t="str">
            <v>サーバーレンタル月額利用料</v>
          </cell>
          <cell r="I141">
            <v>13</v>
          </cell>
          <cell r="J141" t="str">
            <v>DABINCI利用量</v>
          </cell>
          <cell r="N141" t="str">
            <v>課税</v>
          </cell>
        </row>
        <row r="142">
          <cell r="F142" t="str">
            <v>0635000</v>
          </cell>
          <cell r="G142" t="str">
            <v>利用料</v>
          </cell>
          <cell r="H142" t="str">
            <v>追加ホームページ公開代理ＵＲＬ容量追加</v>
          </cell>
          <cell r="I142">
            <v>19</v>
          </cell>
          <cell r="N142" t="str">
            <v>課税</v>
          </cell>
        </row>
        <row r="143">
          <cell r="F143" t="str">
            <v>0635009</v>
          </cell>
          <cell r="G143" t="str">
            <v>利用料</v>
          </cell>
          <cell r="H143" t="str">
            <v>サーバーレンタル容量追加</v>
          </cell>
          <cell r="I143">
            <v>12</v>
          </cell>
          <cell r="J143" t="str">
            <v>DABINCI利用量</v>
          </cell>
          <cell r="N143" t="str">
            <v>課税</v>
          </cell>
        </row>
        <row r="144">
          <cell r="F144" t="str">
            <v>0904007</v>
          </cell>
          <cell r="G144" t="str">
            <v>利用料</v>
          </cell>
          <cell r="H144" t="str">
            <v>ＶＡ基本料金</v>
          </cell>
          <cell r="I144">
            <v>6</v>
          </cell>
          <cell r="J144" t="str">
            <v>DABINCI利用量</v>
          </cell>
          <cell r="N144" t="str">
            <v>課税</v>
          </cell>
        </row>
        <row r="145">
          <cell r="F145" t="str">
            <v>0905007</v>
          </cell>
          <cell r="G145" t="str">
            <v>利用料</v>
          </cell>
          <cell r="H145" t="str">
            <v>ＶＡ超過料金</v>
          </cell>
          <cell r="I145">
            <v>6</v>
          </cell>
          <cell r="J145" t="str">
            <v>DABINCI利用量</v>
          </cell>
          <cell r="N145" t="str">
            <v>課税</v>
          </cell>
        </row>
        <row r="146">
          <cell r="F146" t="str">
            <v>0934007</v>
          </cell>
          <cell r="G146" t="str">
            <v>利用料</v>
          </cell>
          <cell r="H146" t="str">
            <v>明細サービス料</v>
          </cell>
          <cell r="I146">
            <v>7</v>
          </cell>
          <cell r="N146" t="str">
            <v>課税</v>
          </cell>
        </row>
        <row r="147">
          <cell r="F147" t="str">
            <v>0944007</v>
          </cell>
          <cell r="G147" t="str">
            <v>利用料</v>
          </cell>
          <cell r="H147" t="str">
            <v>明細サービス料</v>
          </cell>
          <cell r="I147">
            <v>7</v>
          </cell>
          <cell r="N147" t="str">
            <v>課税</v>
          </cell>
        </row>
        <row r="148">
          <cell r="F148" t="str">
            <v>0954007</v>
          </cell>
          <cell r="G148" t="str">
            <v>利用料</v>
          </cell>
          <cell r="H148" t="str">
            <v>明細サービス料</v>
          </cell>
          <cell r="I148">
            <v>7</v>
          </cell>
          <cell r="N148" t="str">
            <v>課税</v>
          </cell>
        </row>
        <row r="149">
          <cell r="F149" t="str">
            <v>1005005</v>
          </cell>
          <cell r="G149" t="str">
            <v>通信料</v>
          </cell>
          <cell r="H149" t="str">
            <v>メールインワンＦＡＸ通信料（課税）</v>
          </cell>
          <cell r="I149">
            <v>17</v>
          </cell>
          <cell r="N149" t="str">
            <v>課税</v>
          </cell>
        </row>
        <row r="150">
          <cell r="F150" t="str">
            <v>1005006</v>
          </cell>
          <cell r="G150" t="str">
            <v>通信料</v>
          </cell>
          <cell r="H150" t="str">
            <v>メールインワンＦＡＸ通信料（課税）</v>
          </cell>
          <cell r="I150">
            <v>17</v>
          </cell>
          <cell r="N150" t="str">
            <v>課税</v>
          </cell>
        </row>
        <row r="151">
          <cell r="F151" t="str">
            <v>1005105</v>
          </cell>
          <cell r="G151" t="str">
            <v>通信料</v>
          </cell>
          <cell r="H151" t="str">
            <v>メールインワンＦＡＸ通信料（非課税）</v>
          </cell>
          <cell r="I151">
            <v>18</v>
          </cell>
          <cell r="N151" t="str">
            <v>非課税</v>
          </cell>
        </row>
        <row r="152">
          <cell r="F152" t="str">
            <v>1005106</v>
          </cell>
          <cell r="G152" t="str">
            <v>通信料</v>
          </cell>
          <cell r="H152" t="str">
            <v>メールインワンＦＡＸ通信料（非課税）</v>
          </cell>
          <cell r="I152">
            <v>18</v>
          </cell>
          <cell r="N152" t="str">
            <v>非課税</v>
          </cell>
        </row>
        <row r="153">
          <cell r="F153" t="str">
            <v>1034005</v>
          </cell>
          <cell r="G153" t="str">
            <v>通信料</v>
          </cell>
          <cell r="H153" t="str">
            <v>明細月額利用料</v>
          </cell>
          <cell r="I153">
            <v>7</v>
          </cell>
          <cell r="N153" t="str">
            <v>課税</v>
          </cell>
        </row>
        <row r="154">
          <cell r="F154" t="str">
            <v>1034006</v>
          </cell>
          <cell r="G154" t="str">
            <v>通信料</v>
          </cell>
          <cell r="H154" t="str">
            <v>明細月額利用料</v>
          </cell>
          <cell r="I154">
            <v>7</v>
          </cell>
          <cell r="N154" t="str">
            <v>課税</v>
          </cell>
        </row>
        <row r="155">
          <cell r="F155" t="str">
            <v>1104000</v>
          </cell>
          <cell r="G155" t="str">
            <v>利用料</v>
          </cell>
          <cell r="H155" t="str">
            <v>メーリングリスト月額利用料</v>
          </cell>
          <cell r="I155">
            <v>13</v>
          </cell>
          <cell r="N155" t="str">
            <v>課税</v>
          </cell>
        </row>
        <row r="156">
          <cell r="F156" t="str">
            <v>1200000</v>
          </cell>
          <cell r="G156" t="str">
            <v>手数料</v>
          </cell>
          <cell r="H156" t="str">
            <v>ドメイン名申請手数料</v>
          </cell>
          <cell r="I156">
            <v>10</v>
          </cell>
          <cell r="N156" t="str">
            <v>課税</v>
          </cell>
        </row>
        <row r="157">
          <cell r="F157" t="str">
            <v>1204000</v>
          </cell>
          <cell r="G157" t="str">
            <v>管理料</v>
          </cell>
          <cell r="H157" t="str">
            <v>ドメイン名維持管理料</v>
          </cell>
          <cell r="I157">
            <v>10</v>
          </cell>
          <cell r="N157" t="str">
            <v>課税</v>
          </cell>
        </row>
        <row r="158">
          <cell r="F158" t="str">
            <v>1230008</v>
          </cell>
          <cell r="G158" t="str">
            <v>登録料</v>
          </cell>
          <cell r="H158" t="str">
            <v>メール独自ドメイン</v>
          </cell>
          <cell r="I158">
            <v>9</v>
          </cell>
          <cell r="N158" t="str">
            <v>課税</v>
          </cell>
        </row>
        <row r="159">
          <cell r="F159" t="str">
            <v>1234008</v>
          </cell>
          <cell r="G159" t="str">
            <v>利用料</v>
          </cell>
          <cell r="H159" t="str">
            <v>メール独自ドメイン</v>
          </cell>
          <cell r="I159">
            <v>9</v>
          </cell>
          <cell r="N159" t="str">
            <v>課税</v>
          </cell>
        </row>
        <row r="160">
          <cell r="F160" t="str">
            <v>1240008</v>
          </cell>
          <cell r="G160" t="str">
            <v>登録料</v>
          </cell>
          <cell r="H160" t="str">
            <v>メーリングリスト独自ドメイン</v>
          </cell>
          <cell r="I160">
            <v>14</v>
          </cell>
          <cell r="N160" t="str">
            <v>課税</v>
          </cell>
        </row>
        <row r="161">
          <cell r="F161" t="str">
            <v>1244008</v>
          </cell>
          <cell r="G161" t="str">
            <v>利用料</v>
          </cell>
          <cell r="H161" t="str">
            <v>メーリングリスト独自ドメイン</v>
          </cell>
          <cell r="I161">
            <v>14</v>
          </cell>
          <cell r="N161" t="str">
            <v>課税</v>
          </cell>
        </row>
        <row r="162">
          <cell r="F162" t="str">
            <v>1250008</v>
          </cell>
          <cell r="G162" t="str">
            <v>登録料</v>
          </cell>
          <cell r="H162" t="str">
            <v>ホームページ独自ドメイン</v>
          </cell>
          <cell r="I162">
            <v>12</v>
          </cell>
          <cell r="N162" t="str">
            <v>課税</v>
          </cell>
        </row>
        <row r="163">
          <cell r="F163" t="str">
            <v>1254008</v>
          </cell>
          <cell r="G163" t="str">
            <v>利用料</v>
          </cell>
          <cell r="H163" t="str">
            <v>ホームページ独自ドメイン</v>
          </cell>
          <cell r="I163">
            <v>12</v>
          </cell>
          <cell r="N163" t="str">
            <v>課税</v>
          </cell>
        </row>
        <row r="164">
          <cell r="F164" t="str">
            <v>1330009</v>
          </cell>
          <cell r="G164" t="str">
            <v>登録料</v>
          </cell>
          <cell r="H164" t="str">
            <v>アクセスログ提供サービス</v>
          </cell>
          <cell r="I164">
            <v>12</v>
          </cell>
          <cell r="N164" t="str">
            <v>課税</v>
          </cell>
        </row>
        <row r="165">
          <cell r="F165" t="str">
            <v>1334009</v>
          </cell>
          <cell r="G165" t="str">
            <v>利用料</v>
          </cell>
          <cell r="H165" t="str">
            <v>アクセスログ提供サービス月額利用料</v>
          </cell>
          <cell r="I165">
            <v>17</v>
          </cell>
          <cell r="N165" t="str">
            <v>課税</v>
          </cell>
        </row>
        <row r="166">
          <cell r="F166" t="str">
            <v>1340009</v>
          </cell>
          <cell r="G166" t="str">
            <v>登録料</v>
          </cell>
          <cell r="H166" t="str">
            <v>アクセスログ解析サービス</v>
          </cell>
          <cell r="I166">
            <v>12</v>
          </cell>
          <cell r="N166" t="str">
            <v>課税</v>
          </cell>
        </row>
        <row r="167">
          <cell r="F167" t="str">
            <v>1344009</v>
          </cell>
          <cell r="G167" t="str">
            <v>利用料</v>
          </cell>
          <cell r="H167" t="str">
            <v>アクセスログ解析サービス月額利用料</v>
          </cell>
          <cell r="I167">
            <v>17</v>
          </cell>
          <cell r="N167" t="str">
            <v>課税</v>
          </cell>
        </row>
        <row r="168">
          <cell r="F168" t="str">
            <v>1634012</v>
          </cell>
          <cell r="G168" t="str">
            <v>利用料</v>
          </cell>
          <cell r="H168" t="str">
            <v>第１種クレジット決済月額基本料</v>
          </cell>
          <cell r="I168">
            <v>15</v>
          </cell>
          <cell r="N168" t="str">
            <v>課税</v>
          </cell>
        </row>
        <row r="169">
          <cell r="F169" t="str">
            <v>1636212</v>
          </cell>
          <cell r="G169" t="str">
            <v>割引額</v>
          </cell>
          <cell r="H169" t="str">
            <v>（ＥＣ割引パック）</v>
          </cell>
          <cell r="I169">
            <v>9</v>
          </cell>
          <cell r="N169" t="str">
            <v>課税</v>
          </cell>
        </row>
        <row r="170">
          <cell r="F170" t="str">
            <v>1644012</v>
          </cell>
          <cell r="G170" t="str">
            <v>利用料</v>
          </cell>
          <cell r="H170" t="str">
            <v>コンビニ決済月額基本料</v>
          </cell>
          <cell r="I170">
            <v>11</v>
          </cell>
          <cell r="N170" t="str">
            <v>課税</v>
          </cell>
        </row>
        <row r="171">
          <cell r="F171" t="str">
            <v>1646212</v>
          </cell>
          <cell r="G171" t="str">
            <v>割引額</v>
          </cell>
          <cell r="H171" t="str">
            <v>（ＥＣ割引パック）</v>
          </cell>
          <cell r="I171">
            <v>9</v>
          </cell>
          <cell r="N171" t="str">
            <v>課税</v>
          </cell>
        </row>
        <row r="172">
          <cell r="F172" t="str">
            <v>1654012</v>
          </cell>
          <cell r="G172" t="str">
            <v>利用料</v>
          </cell>
          <cell r="H172" t="str">
            <v>プリペイド決済月額基本料</v>
          </cell>
          <cell r="I172">
            <v>12</v>
          </cell>
          <cell r="N172" t="str">
            <v>課税</v>
          </cell>
        </row>
        <row r="173">
          <cell r="F173" t="str">
            <v>1656212</v>
          </cell>
          <cell r="G173" t="str">
            <v>割引額</v>
          </cell>
          <cell r="H173" t="str">
            <v>（ＥＣ割引パック）</v>
          </cell>
          <cell r="I173">
            <v>9</v>
          </cell>
          <cell r="N173" t="str">
            <v>課税</v>
          </cell>
        </row>
        <row r="174">
          <cell r="F174" t="str">
            <v>1664012</v>
          </cell>
          <cell r="G174" t="str">
            <v>利用料</v>
          </cell>
          <cell r="H174" t="str">
            <v>代引決済月額基本料</v>
          </cell>
          <cell r="I174">
            <v>9</v>
          </cell>
          <cell r="N174" t="str">
            <v>課税</v>
          </cell>
        </row>
        <row r="175">
          <cell r="F175" t="str">
            <v>1665012</v>
          </cell>
          <cell r="G175" t="str">
            <v>その他</v>
          </cell>
          <cell r="H175" t="str">
            <v>代引／物流連携運送料金等</v>
          </cell>
          <cell r="I175">
            <v>12</v>
          </cell>
          <cell r="N175" t="str">
            <v>課税</v>
          </cell>
        </row>
        <row r="176">
          <cell r="F176" t="str">
            <v>1666212</v>
          </cell>
          <cell r="G176" t="str">
            <v>割引額</v>
          </cell>
          <cell r="H176" t="str">
            <v>代引決済割引</v>
          </cell>
          <cell r="I176">
            <v>6</v>
          </cell>
          <cell r="N176" t="str">
            <v>課税</v>
          </cell>
        </row>
        <row r="177">
          <cell r="F177" t="str">
            <v>1674012</v>
          </cell>
          <cell r="G177" t="str">
            <v>利用料</v>
          </cell>
          <cell r="H177" t="str">
            <v>ＤＩＯＮ回収代行月額基本料</v>
          </cell>
          <cell r="I177">
            <v>13</v>
          </cell>
          <cell r="N177" t="str">
            <v>課税</v>
          </cell>
        </row>
        <row r="178">
          <cell r="F178" t="str">
            <v>1684012</v>
          </cell>
          <cell r="G178" t="str">
            <v>利用料</v>
          </cell>
          <cell r="H178" t="str">
            <v>第２種クレジット決済月額基本料</v>
          </cell>
          <cell r="I178">
            <v>15</v>
          </cell>
          <cell r="N178" t="str">
            <v>課税</v>
          </cell>
        </row>
        <row r="179">
          <cell r="F179" t="str">
            <v>1685012</v>
          </cell>
          <cell r="G179" t="str">
            <v>利用料</v>
          </cell>
          <cell r="H179" t="str">
            <v>第２種クレジット決済従量料金</v>
          </cell>
          <cell r="I179">
            <v>14</v>
          </cell>
          <cell r="N179" t="str">
            <v>課税</v>
          </cell>
        </row>
        <row r="180">
          <cell r="F180" t="str">
            <v>1686212</v>
          </cell>
          <cell r="G180" t="str">
            <v>割引額</v>
          </cell>
          <cell r="H180" t="str">
            <v>（ＥＣ割引パック）</v>
          </cell>
          <cell r="I180">
            <v>9</v>
          </cell>
          <cell r="N180" t="str">
            <v>課税</v>
          </cell>
        </row>
        <row r="181">
          <cell r="F181" t="str">
            <v>1694012</v>
          </cell>
          <cell r="G181" t="str">
            <v>利用料</v>
          </cell>
          <cell r="H181" t="str">
            <v>物流連携月額基本料</v>
          </cell>
          <cell r="I181">
            <v>9</v>
          </cell>
          <cell r="N181" t="str">
            <v>課税</v>
          </cell>
        </row>
        <row r="182">
          <cell r="F182" t="str">
            <v>1695012</v>
          </cell>
          <cell r="G182" t="str">
            <v>その他</v>
          </cell>
          <cell r="H182" t="str">
            <v>代引／物流連携運送料金等</v>
          </cell>
          <cell r="I182">
            <v>12</v>
          </cell>
          <cell r="N182" t="str">
            <v>課税</v>
          </cell>
        </row>
        <row r="183">
          <cell r="F183" t="str">
            <v>1734000</v>
          </cell>
          <cell r="G183" t="str">
            <v>利用料</v>
          </cell>
          <cell r="H183" t="str">
            <v>ビデオチャット月額利用料</v>
          </cell>
          <cell r="I183">
            <v>12</v>
          </cell>
          <cell r="N183" t="str">
            <v>課税</v>
          </cell>
        </row>
        <row r="184">
          <cell r="F184" t="str">
            <v>1734015</v>
          </cell>
          <cell r="G184" t="str">
            <v>利用料</v>
          </cell>
          <cell r="H184" t="str">
            <v>ビデオチャットサービス月額利用料</v>
          </cell>
          <cell r="I184">
            <v>16</v>
          </cell>
          <cell r="N184" t="str">
            <v>課税</v>
          </cell>
        </row>
        <row r="185">
          <cell r="F185" t="str">
            <v>1735000</v>
          </cell>
          <cell r="G185" t="str">
            <v>利用料</v>
          </cell>
          <cell r="H185" t="str">
            <v>ビデオチャット日額利用料</v>
          </cell>
          <cell r="I185">
            <v>12</v>
          </cell>
          <cell r="J185" t="str">
            <v>DABINCI利用量</v>
          </cell>
          <cell r="N185" t="str">
            <v>課税</v>
          </cell>
        </row>
        <row r="186">
          <cell r="F186" t="str">
            <v>1735015</v>
          </cell>
          <cell r="G186" t="str">
            <v>利用料</v>
          </cell>
          <cell r="H186" t="str">
            <v>ビデオチャットサービス日額利用料</v>
          </cell>
          <cell r="I186">
            <v>16</v>
          </cell>
          <cell r="J186" t="str">
            <v>DABINCI利用量</v>
          </cell>
          <cell r="N186" t="str">
            <v>課税</v>
          </cell>
        </row>
        <row r="187">
          <cell r="F187" t="str">
            <v>1904816</v>
          </cell>
          <cell r="G187" t="str">
            <v>機能使用料</v>
          </cell>
          <cell r="H187" t="str">
            <v>ＩＰ電話サービス機能使用料</v>
          </cell>
          <cell r="I187">
            <v>13</v>
          </cell>
          <cell r="N187" t="str">
            <v>課税</v>
          </cell>
        </row>
        <row r="188">
          <cell r="F188" t="str">
            <v>1904916</v>
          </cell>
          <cell r="G188" t="str">
            <v>レンタル料</v>
          </cell>
          <cell r="H188" t="str">
            <v>ＩＰ電話アダプターレンタル料</v>
          </cell>
          <cell r="I188">
            <v>14</v>
          </cell>
          <cell r="N188" t="str">
            <v>課税</v>
          </cell>
        </row>
        <row r="189">
          <cell r="F189" t="str">
            <v>1905016</v>
          </cell>
          <cell r="G189" t="str">
            <v>通信料</v>
          </cell>
          <cell r="H189" t="str">
            <v>ＩＰ電話サービス国内通話料（課税）</v>
          </cell>
          <cell r="I189">
            <v>17</v>
          </cell>
          <cell r="J189" t="str">
            <v>DABINCI利用量</v>
          </cell>
          <cell r="N189" t="str">
            <v>課税</v>
          </cell>
        </row>
        <row r="190">
          <cell r="F190" t="str">
            <v>1905116</v>
          </cell>
          <cell r="G190" t="str">
            <v>通信料</v>
          </cell>
          <cell r="H190" t="str">
            <v>ＩＰ電話サービス国際通話料（非課税）</v>
          </cell>
          <cell r="I190">
            <v>18</v>
          </cell>
          <cell r="J190" t="str">
            <v>DABINCI利用量</v>
          </cell>
          <cell r="N190" t="str">
            <v>非課税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kddi.com/smc/fmconline/nwarea/schema/search_area_request" TargetMode="External"/><Relationship Id="rId1" Type="http://schemas.openxmlformats.org/officeDocument/2006/relationships/hyperlink" Target="http://kddi.com/smc/fmconline/nwarea/schema/search_area_respons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28"/>
  <sheetViews>
    <sheetView zoomScale="90" zoomScaleNormal="90" workbookViewId="0">
      <selection activeCell="F21" sqref="F21"/>
    </sheetView>
  </sheetViews>
  <sheetFormatPr defaultRowHeight="12.75"/>
  <sheetData>
    <row r="3" spans="2:11">
      <c r="B3" t="s">
        <v>54</v>
      </c>
    </row>
    <row r="4" spans="2:11">
      <c r="B4" s="33" t="s">
        <v>30</v>
      </c>
    </row>
    <row r="6" spans="2:11">
      <c r="B6" s="42"/>
      <c r="C6" s="29"/>
      <c r="D6" s="29"/>
      <c r="E6" s="29"/>
      <c r="F6" s="29"/>
      <c r="G6" s="29"/>
      <c r="H6" s="29"/>
      <c r="I6" s="29"/>
      <c r="J6" s="29"/>
      <c r="K6" s="29"/>
    </row>
    <row r="7" spans="2:11">
      <c r="B7" s="29"/>
      <c r="C7" s="29"/>
      <c r="D7" s="29"/>
      <c r="E7" s="29"/>
      <c r="F7" s="29"/>
      <c r="G7" s="29"/>
      <c r="H7" s="29"/>
      <c r="I7" s="29"/>
      <c r="J7" s="29"/>
      <c r="K7" s="29"/>
    </row>
    <row r="8" spans="2:11">
      <c r="B8" s="43"/>
      <c r="C8" s="31"/>
      <c r="D8" s="31"/>
      <c r="E8" s="31"/>
      <c r="F8" s="31"/>
      <c r="G8" s="31"/>
      <c r="H8" s="31"/>
      <c r="I8" s="31"/>
      <c r="J8" s="31"/>
      <c r="K8" s="31"/>
    </row>
    <row r="9" spans="2:11">
      <c r="B9" s="31"/>
      <c r="C9" s="31"/>
      <c r="D9" s="31"/>
      <c r="E9" s="31"/>
      <c r="F9" s="31"/>
      <c r="G9" s="31"/>
      <c r="H9" s="31" t="s">
        <v>28</v>
      </c>
      <c r="I9" s="31"/>
      <c r="J9" s="31"/>
      <c r="K9" s="31"/>
    </row>
    <row r="10" spans="2:11">
      <c r="B10" s="30"/>
      <c r="C10" s="30"/>
      <c r="D10" s="30"/>
      <c r="E10" s="30"/>
      <c r="F10" s="30"/>
      <c r="G10" s="30"/>
      <c r="H10" s="30"/>
      <c r="I10" s="30"/>
      <c r="J10" s="30"/>
      <c r="K10" s="30"/>
    </row>
    <row r="11" spans="2:11">
      <c r="B11" s="30"/>
      <c r="C11" s="30"/>
      <c r="D11" s="30"/>
      <c r="E11" s="30"/>
      <c r="F11" s="30"/>
      <c r="G11" s="30"/>
      <c r="H11" s="30"/>
      <c r="I11" s="30"/>
      <c r="J11" s="30"/>
      <c r="K11" s="30"/>
    </row>
    <row r="12" spans="2:11">
      <c r="B12" s="30"/>
      <c r="C12" s="32" t="s">
        <v>34</v>
      </c>
      <c r="D12" s="30"/>
      <c r="E12" s="30"/>
      <c r="F12" s="30"/>
      <c r="G12" s="30"/>
      <c r="H12" s="30"/>
      <c r="I12" s="30"/>
      <c r="J12" s="30"/>
      <c r="K12" s="30"/>
    </row>
    <row r="13" spans="2:11">
      <c r="B13" s="30"/>
      <c r="C13" s="30"/>
      <c r="D13" s="30"/>
      <c r="E13" s="30"/>
      <c r="F13" s="30"/>
      <c r="G13" s="30"/>
      <c r="H13" s="30"/>
      <c r="I13" s="30"/>
      <c r="J13" s="30"/>
      <c r="K13" s="30"/>
    </row>
    <row r="14" spans="2:11">
      <c r="B14" s="30"/>
      <c r="C14" s="30"/>
      <c r="D14" s="30"/>
      <c r="E14" s="30"/>
      <c r="F14" s="30"/>
      <c r="G14" s="30"/>
      <c r="H14" s="30"/>
      <c r="I14" s="30"/>
      <c r="J14" s="30"/>
      <c r="K14" s="30"/>
    </row>
    <row r="15" spans="2:11">
      <c r="B15" s="30"/>
      <c r="C15" s="30"/>
      <c r="D15" s="30"/>
      <c r="E15" s="30"/>
      <c r="F15" s="30"/>
      <c r="G15" s="30"/>
      <c r="H15" s="30"/>
      <c r="I15" s="30"/>
      <c r="J15" s="30"/>
      <c r="K15" s="30"/>
    </row>
    <row r="22" spans="2:3">
      <c r="B22" t="s">
        <v>32</v>
      </c>
    </row>
    <row r="23" spans="2:3">
      <c r="C23" t="s">
        <v>33</v>
      </c>
    </row>
    <row r="24" spans="2:3">
      <c r="B24" s="24"/>
    </row>
    <row r="25" spans="2:3">
      <c r="B25" t="s">
        <v>59</v>
      </c>
    </row>
    <row r="26" spans="2:3">
      <c r="C26" t="s">
        <v>36</v>
      </c>
    </row>
    <row r="27" spans="2:3">
      <c r="C27" t="s">
        <v>56</v>
      </c>
    </row>
    <row r="28" spans="2:3">
      <c r="C28" t="s">
        <v>57</v>
      </c>
    </row>
  </sheetData>
  <phoneticPr fontId="3"/>
  <pageMargins left="0.7" right="0.7" top="0.75" bottom="0.75" header="0.3" footer="0.3"/>
  <pageSetup paperSize="9" orientation="portrait" r:id="rId1"/>
  <headerFooter>
    <oddHeader xml:space="preserve">&amp;R&amp;"ＭＳ Ｐゴシック"&amp;11 &amp;"ＭＳ Ｐゴシック"&amp;9 【社外秘B】&amp;"ＭＳ Ｐゴシック,標準"&amp;11 
</oddHeader>
    <oddFooter xml:space="preserve">&amp;C&amp;"ＭＳ Ｐゴシック"&amp;11 &amp;"ＭＳ Ｐゴシック"&amp;9 KDDI情報システム開発PJ関係各社　情報システム開発関係者のみ&amp;"ＭＳ Ｐゴシック,標準"&amp;11 
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autoLine="0" r:id="rId5">
            <anchor moveWithCells="1">
              <from>
                <xdr:col>1</xdr:col>
                <xdr:colOff>0</xdr:colOff>
                <xdr:row>15</xdr:row>
                <xdr:rowOff>61913</xdr:rowOff>
              </from>
              <to>
                <xdr:col>2</xdr:col>
                <xdr:colOff>342900</xdr:colOff>
                <xdr:row>17</xdr:row>
                <xdr:rowOff>119063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ISheet">
          <controlPr defaultSize="0" autoLine="0" r:id="rId7">
            <anchor moveWithCells="1">
              <from>
                <xdr:col>2</xdr:col>
                <xdr:colOff>280988</xdr:colOff>
                <xdr:row>5</xdr:row>
                <xdr:rowOff>100013</xdr:rowOff>
              </from>
              <to>
                <xdr:col>3</xdr:col>
                <xdr:colOff>604838</xdr:colOff>
                <xdr:row>6</xdr:row>
                <xdr:rowOff>157163</xdr:rowOff>
              </to>
            </anchor>
          </controlPr>
        </control>
      </mc:Choice>
      <mc:Fallback>
        <control shapeId="2050" r:id="rId6" name="ISheet"/>
      </mc:Fallback>
    </mc:AlternateContent>
    <mc:AlternateContent xmlns:mc="http://schemas.openxmlformats.org/markup-compatibility/2006">
      <mc:Choice Requires="x14">
        <control shapeId="2051" r:id="rId8" name="OPath">
          <controlPr defaultSize="0" autoLine="0" r:id="rId9">
            <anchor moveWithCells="1">
              <from>
                <xdr:col>2</xdr:col>
                <xdr:colOff>504825</xdr:colOff>
                <xdr:row>7</xdr:row>
                <xdr:rowOff>90488</xdr:rowOff>
              </from>
              <to>
                <xdr:col>7</xdr:col>
                <xdr:colOff>142875</xdr:colOff>
                <xdr:row>9</xdr:row>
                <xdr:rowOff>4763</xdr:rowOff>
              </to>
            </anchor>
          </controlPr>
        </control>
      </mc:Choice>
      <mc:Fallback>
        <control shapeId="2051" r:id="rId8" name="OPath"/>
      </mc:Fallback>
    </mc:AlternateContent>
    <mc:AlternateContent xmlns:mc="http://schemas.openxmlformats.org/markup-compatibility/2006">
      <mc:Choice Requires="x14">
        <control shapeId="2052" r:id="rId10" name="Label1">
          <controlPr defaultSize="0" autoLine="0" r:id="rId11">
            <anchor moveWithCells="1">
              <from>
                <xdr:col>1</xdr:col>
                <xdr:colOff>0</xdr:colOff>
                <xdr:row>5</xdr:row>
                <xdr:rowOff>133350</xdr:rowOff>
              </from>
              <to>
                <xdr:col>2</xdr:col>
                <xdr:colOff>285750</xdr:colOff>
                <xdr:row>6</xdr:row>
                <xdr:rowOff>123825</xdr:rowOff>
              </to>
            </anchor>
          </controlPr>
        </control>
      </mc:Choice>
      <mc:Fallback>
        <control shapeId="2052" r:id="rId10" name="Label1"/>
      </mc:Fallback>
    </mc:AlternateContent>
    <mc:AlternateContent xmlns:mc="http://schemas.openxmlformats.org/markup-compatibility/2006">
      <mc:Choice Requires="x14">
        <control shapeId="2053" r:id="rId12" name="Label2">
          <controlPr defaultSize="0" autoLine="0" r:id="rId13">
            <anchor moveWithCells="1">
              <from>
                <xdr:col>1</xdr:col>
                <xdr:colOff>9525</xdr:colOff>
                <xdr:row>7</xdr:row>
                <xdr:rowOff>123825</xdr:rowOff>
              </from>
              <to>
                <xdr:col>2</xdr:col>
                <xdr:colOff>514350</xdr:colOff>
                <xdr:row>8</xdr:row>
                <xdr:rowOff>123825</xdr:rowOff>
              </to>
            </anchor>
          </controlPr>
        </control>
      </mc:Choice>
      <mc:Fallback>
        <control shapeId="2053" r:id="rId12" name="Label2"/>
      </mc:Fallback>
    </mc:AlternateContent>
    <mc:AlternateContent xmlns:mc="http://schemas.openxmlformats.org/markup-compatibility/2006">
      <mc:Choice Requires="x14">
        <control shapeId="2054" r:id="rId14" name="CommandButton2">
          <controlPr autoLine="0" r:id="rId15">
            <anchor moveWithCells="1">
              <from>
                <xdr:col>2</xdr:col>
                <xdr:colOff>423863</xdr:colOff>
                <xdr:row>15</xdr:row>
                <xdr:rowOff>61913</xdr:rowOff>
              </from>
              <to>
                <xdr:col>4</xdr:col>
                <xdr:colOff>61913</xdr:colOff>
                <xdr:row>17</xdr:row>
                <xdr:rowOff>109538</xdr:rowOff>
              </to>
            </anchor>
          </controlPr>
        </control>
      </mc:Choice>
      <mc:Fallback>
        <control shapeId="2054" r:id="rId14" name="CommandButton2"/>
      </mc:Fallback>
    </mc:AlternateContent>
    <mc:AlternateContent xmlns:mc="http://schemas.openxmlformats.org/markup-compatibility/2006">
      <mc:Choice Requires="x14">
        <control shapeId="2055" r:id="rId16" name="Label3">
          <controlPr defaultSize="0" autoLine="0" r:id="rId17">
            <anchor moveWithCells="1">
              <from>
                <xdr:col>1</xdr:col>
                <xdr:colOff>9525</xdr:colOff>
                <xdr:row>12</xdr:row>
                <xdr:rowOff>100013</xdr:rowOff>
              </from>
              <to>
                <xdr:col>2</xdr:col>
                <xdr:colOff>514350</xdr:colOff>
                <xdr:row>13</xdr:row>
                <xdr:rowOff>128588</xdr:rowOff>
              </to>
            </anchor>
          </controlPr>
        </control>
      </mc:Choice>
      <mc:Fallback>
        <control shapeId="2055" r:id="rId16" name="Label3"/>
      </mc:Fallback>
    </mc:AlternateContent>
    <mc:AlternateContent xmlns:mc="http://schemas.openxmlformats.org/markup-compatibility/2006">
      <mc:Choice Requires="x14">
        <control shapeId="2056" r:id="rId18" name="OStream">
          <controlPr defaultSize="0" autoLine="0" r:id="rId19">
            <anchor moveWithCells="1">
              <from>
                <xdr:col>2</xdr:col>
                <xdr:colOff>447675</xdr:colOff>
                <xdr:row>12</xdr:row>
                <xdr:rowOff>100013</xdr:rowOff>
              </from>
              <to>
                <xdr:col>11</xdr:col>
                <xdr:colOff>238125</xdr:colOff>
                <xdr:row>14</xdr:row>
                <xdr:rowOff>14288</xdr:rowOff>
              </to>
            </anchor>
          </controlPr>
        </control>
      </mc:Choice>
      <mc:Fallback>
        <control shapeId="2056" r:id="rId18" name="OStream"/>
      </mc:Fallback>
    </mc:AlternateContent>
    <mc:AlternateContent xmlns:mc="http://schemas.openxmlformats.org/markup-compatibility/2006">
      <mc:Choice Requires="x14">
        <control shapeId="2058" r:id="rId20" name="Label4">
          <controlPr defaultSize="0" autoLine="0" r:id="rId21">
            <anchor moveWithCells="1">
              <from>
                <xdr:col>3</xdr:col>
                <xdr:colOff>638175</xdr:colOff>
                <xdr:row>5</xdr:row>
                <xdr:rowOff>119063</xdr:rowOff>
              </from>
              <to>
                <xdr:col>4</xdr:col>
                <xdr:colOff>542925</xdr:colOff>
                <xdr:row>6</xdr:row>
                <xdr:rowOff>157163</xdr:rowOff>
              </to>
            </anchor>
          </controlPr>
        </control>
      </mc:Choice>
      <mc:Fallback>
        <control shapeId="2058" r:id="rId20" name="Label4"/>
      </mc:Fallback>
    </mc:AlternateContent>
    <mc:AlternateContent xmlns:mc="http://schemas.openxmlformats.org/markup-compatibility/2006">
      <mc:Choice Requires="x14">
        <control shapeId="2059" r:id="rId22" name="CaseNo">
          <controlPr defaultSize="0" autoLine="0" r:id="rId23">
            <anchor moveWithCells="1">
              <from>
                <xdr:col>4</xdr:col>
                <xdr:colOff>495300</xdr:colOff>
                <xdr:row>5</xdr:row>
                <xdr:rowOff>100013</xdr:rowOff>
              </from>
              <to>
                <xdr:col>5</xdr:col>
                <xdr:colOff>514350</xdr:colOff>
                <xdr:row>7</xdr:row>
                <xdr:rowOff>4763</xdr:rowOff>
              </to>
            </anchor>
          </controlPr>
        </control>
      </mc:Choice>
      <mc:Fallback>
        <control shapeId="2059" r:id="rId22" name="CaseNo"/>
      </mc:Fallback>
    </mc:AlternateContent>
    <mc:AlternateContent xmlns:mc="http://schemas.openxmlformats.org/markup-compatibility/2006">
      <mc:Choice Requires="x14">
        <control shapeId="2062" r:id="rId24" name="Label6">
          <controlPr defaultSize="0" autoLine="0" r:id="rId25">
            <anchor moveWithCells="1">
              <from>
                <xdr:col>1</xdr:col>
                <xdr:colOff>9525</xdr:colOff>
                <xdr:row>9</xdr:row>
                <xdr:rowOff>52388</xdr:rowOff>
              </from>
              <to>
                <xdr:col>2</xdr:col>
                <xdr:colOff>542925</xdr:colOff>
                <xdr:row>10</xdr:row>
                <xdr:rowOff>90488</xdr:rowOff>
              </to>
            </anchor>
          </controlPr>
        </control>
      </mc:Choice>
      <mc:Fallback>
        <control shapeId="2062" r:id="rId24" name="Label6"/>
      </mc:Fallback>
    </mc:AlternateContent>
    <mc:AlternateContent xmlns:mc="http://schemas.openxmlformats.org/markup-compatibility/2006">
      <mc:Choice Requires="x14">
        <control shapeId="2063" r:id="rId26" name="IFile">
          <controlPr defaultSize="0" autoLine="0" r:id="rId27">
            <anchor moveWithCells="1">
              <from>
                <xdr:col>2</xdr:col>
                <xdr:colOff>504825</xdr:colOff>
                <xdr:row>9</xdr:row>
                <xdr:rowOff>42863</xdr:rowOff>
              </from>
              <to>
                <xdr:col>9</xdr:col>
                <xdr:colOff>352425</xdr:colOff>
                <xdr:row>10</xdr:row>
                <xdr:rowOff>100013</xdr:rowOff>
              </to>
            </anchor>
          </controlPr>
        </control>
      </mc:Choice>
      <mc:Fallback>
        <control shapeId="2063" r:id="rId26" name="IFile"/>
      </mc:Fallback>
    </mc:AlternateContent>
    <mc:AlternateContent xmlns:mc="http://schemas.openxmlformats.org/markup-compatibility/2006">
      <mc:Choice Requires="x14">
        <control shapeId="2064" r:id="rId28" name="Label7">
          <controlPr defaultSize="0" autoLine="0" r:id="rId29">
            <anchor moveWithCells="1">
              <from>
                <xdr:col>8</xdr:col>
                <xdr:colOff>442913</xdr:colOff>
                <xdr:row>5</xdr:row>
                <xdr:rowOff>109538</xdr:rowOff>
              </from>
              <to>
                <xdr:col>10</xdr:col>
                <xdr:colOff>80963</xdr:colOff>
                <xdr:row>6</xdr:row>
                <xdr:rowOff>109538</xdr:rowOff>
              </to>
            </anchor>
          </controlPr>
        </control>
      </mc:Choice>
      <mc:Fallback>
        <control shapeId="2064" r:id="rId28" name="Label7"/>
      </mc:Fallback>
    </mc:AlternateContent>
    <mc:AlternateContent xmlns:mc="http://schemas.openxmlformats.org/markup-compatibility/2006">
      <mc:Choice Requires="x14">
        <control shapeId="2065" r:id="rId30" name="caseCol">
          <controlPr autoLine="0" r:id="rId31">
            <anchor moveWithCells="1">
              <from>
                <xdr:col>10</xdr:col>
                <xdr:colOff>61913</xdr:colOff>
                <xdr:row>5</xdr:row>
                <xdr:rowOff>80963</xdr:rowOff>
              </from>
              <to>
                <xdr:col>10</xdr:col>
                <xdr:colOff>623888</xdr:colOff>
                <xdr:row>6</xdr:row>
                <xdr:rowOff>147638</xdr:rowOff>
              </to>
            </anchor>
          </controlPr>
        </control>
      </mc:Choice>
      <mc:Fallback>
        <control shapeId="2065" r:id="rId30" name="caseCol"/>
      </mc:Fallback>
    </mc:AlternateContent>
    <mc:AlternateContent xmlns:mc="http://schemas.openxmlformats.org/markup-compatibility/2006">
      <mc:Choice Requires="x14">
        <control shapeId="2067" r:id="rId32" name="CommandButton4">
          <controlPr autoLine="0" r:id="rId33">
            <anchor moveWithCells="1">
              <from>
                <xdr:col>4</xdr:col>
                <xdr:colOff>90488</xdr:colOff>
                <xdr:row>15</xdr:row>
                <xdr:rowOff>71438</xdr:rowOff>
              </from>
              <to>
                <xdr:col>5</xdr:col>
                <xdr:colOff>347663</xdr:colOff>
                <xdr:row>17</xdr:row>
                <xdr:rowOff>90488</xdr:rowOff>
              </to>
            </anchor>
          </controlPr>
        </control>
      </mc:Choice>
      <mc:Fallback>
        <control shapeId="2067" r:id="rId32" name="CommandButton4"/>
      </mc:Fallback>
    </mc:AlternateContent>
    <mc:AlternateContent xmlns:mc="http://schemas.openxmlformats.org/markup-compatibility/2006">
      <mc:Choice Requires="x14">
        <control shapeId="2068" r:id="rId34" name="CommandButton3">
          <controlPr autoLine="0" r:id="rId35">
            <anchor moveWithCells="1">
              <from>
                <xdr:col>8</xdr:col>
                <xdr:colOff>476250</xdr:colOff>
                <xdr:row>17</xdr:row>
                <xdr:rowOff>133350</xdr:rowOff>
              </from>
              <to>
                <xdr:col>11</xdr:col>
                <xdr:colOff>142875</xdr:colOff>
                <xdr:row>19</xdr:row>
                <xdr:rowOff>114300</xdr:rowOff>
              </to>
            </anchor>
          </controlPr>
        </control>
      </mc:Choice>
      <mc:Fallback>
        <control shapeId="2068" r:id="rId34" name="CommandButton3"/>
      </mc:Fallback>
    </mc:AlternateContent>
    <mc:AlternateContent xmlns:mc="http://schemas.openxmlformats.org/markup-compatibility/2006">
      <mc:Choice Requires="x14">
        <control shapeId="2069" r:id="rId36" name="CommandButton5">
          <controlPr autoLine="0" r:id="rId37">
            <anchor moveWithCells="1">
              <from>
                <xdr:col>8</xdr:col>
                <xdr:colOff>466725</xdr:colOff>
                <xdr:row>15</xdr:row>
                <xdr:rowOff>71438</xdr:rowOff>
              </from>
              <to>
                <xdr:col>11</xdr:col>
                <xdr:colOff>38100</xdr:colOff>
                <xdr:row>17</xdr:row>
                <xdr:rowOff>52388</xdr:rowOff>
              </to>
            </anchor>
          </controlPr>
        </control>
      </mc:Choice>
      <mc:Fallback>
        <control shapeId="2069" r:id="rId36" name="CommandButton5"/>
      </mc:Fallback>
    </mc:AlternateContent>
    <mc:AlternateContent xmlns:mc="http://schemas.openxmlformats.org/markup-compatibility/2006">
      <mc:Choice Requires="x14">
        <control shapeId="2484" r:id="rId38" name="CommandButton6">
          <controlPr autoLine="0" r:id="rId39">
            <anchor moveWithCells="1">
              <from>
                <xdr:col>6</xdr:col>
                <xdr:colOff>514350</xdr:colOff>
                <xdr:row>15</xdr:row>
                <xdr:rowOff>80963</xdr:rowOff>
              </from>
              <to>
                <xdr:col>8</xdr:col>
                <xdr:colOff>257175</xdr:colOff>
                <xdr:row>17</xdr:row>
                <xdr:rowOff>61913</xdr:rowOff>
              </to>
            </anchor>
          </controlPr>
        </control>
      </mc:Choice>
      <mc:Fallback>
        <control shapeId="2484" r:id="rId38" name="CommandButton6"/>
      </mc:Fallback>
    </mc:AlternateContent>
    <mc:AlternateContent xmlns:mc="http://schemas.openxmlformats.org/markup-compatibility/2006">
      <mc:Choice Requires="x14">
        <control shapeId="2485" r:id="rId40" name="CommandButton7">
          <controlPr autoLine="0" r:id="rId41">
            <anchor moveWithCells="1">
              <from>
                <xdr:col>6</xdr:col>
                <xdr:colOff>504825</xdr:colOff>
                <xdr:row>17</xdr:row>
                <xdr:rowOff>109538</xdr:rowOff>
              </from>
              <to>
                <xdr:col>8</xdr:col>
                <xdr:colOff>314325</xdr:colOff>
                <xdr:row>19</xdr:row>
                <xdr:rowOff>90488</xdr:rowOff>
              </to>
            </anchor>
          </controlPr>
        </control>
      </mc:Choice>
      <mc:Fallback>
        <control shapeId="2485" r:id="rId40" name="CommandButton7"/>
      </mc:Fallback>
    </mc:AlternateContent>
    <mc:AlternateContent xmlns:mc="http://schemas.openxmlformats.org/markup-compatibility/2006">
      <mc:Choice Requires="x14">
        <control shapeId="2486" r:id="rId42" name="CommandButton8">
          <controlPr autoLine="0" r:id="rId43">
            <anchor moveWithCells="1">
              <from>
                <xdr:col>2</xdr:col>
                <xdr:colOff>414338</xdr:colOff>
                <xdr:row>18</xdr:row>
                <xdr:rowOff>9525</xdr:rowOff>
              </from>
              <to>
                <xdr:col>4</xdr:col>
                <xdr:colOff>366713</xdr:colOff>
                <xdr:row>20</xdr:row>
                <xdr:rowOff>57150</xdr:rowOff>
              </to>
            </anchor>
          </controlPr>
        </control>
      </mc:Choice>
      <mc:Fallback>
        <control shapeId="2486" r:id="rId42" name="CommandButton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I25"/>
  <sheetViews>
    <sheetView showGridLines="0" tabSelected="1" zoomScale="70" zoomScaleNormal="70" workbookViewId="0">
      <pane ySplit="3" topLeftCell="A4" activePane="bottomLeft" state="frozen"/>
      <selection pane="bottomLeft" activeCell="H25" sqref="H25"/>
    </sheetView>
  </sheetViews>
  <sheetFormatPr defaultColWidth="9" defaultRowHeight="12.75"/>
  <cols>
    <col min="1" max="1" width="4.3984375" style="33" customWidth="1"/>
    <col min="2" max="2" width="10.59765625" style="33" customWidth="1"/>
    <col min="3" max="3" width="22.1328125" style="387" customWidth="1"/>
    <col min="4" max="4" width="34.59765625" style="387" customWidth="1"/>
    <col min="5" max="5" width="13.3984375" style="387" customWidth="1"/>
    <col min="6" max="6" width="23.265625" style="33" customWidth="1"/>
    <col min="7" max="7" width="17.73046875" style="33" customWidth="1"/>
    <col min="8" max="8" width="36.3984375" style="33" customWidth="1"/>
    <col min="9" max="9" width="69.86328125" style="33" customWidth="1"/>
    <col min="10" max="16384" width="9" style="33"/>
  </cols>
  <sheetData>
    <row r="2" spans="2:9" ht="19.5" customHeight="1">
      <c r="B2" s="478" t="s">
        <v>349</v>
      </c>
      <c r="C2" s="487" t="s">
        <v>350</v>
      </c>
      <c r="D2" s="488"/>
      <c r="E2" s="489"/>
      <c r="F2" s="482" t="s">
        <v>398</v>
      </c>
      <c r="G2" s="482"/>
      <c r="H2" s="482"/>
      <c r="I2" s="478" t="s">
        <v>351</v>
      </c>
    </row>
    <row r="3" spans="2:9" ht="32.25" customHeight="1">
      <c r="B3" s="479"/>
      <c r="C3" s="389" t="s">
        <v>336</v>
      </c>
      <c r="D3" s="389" t="s">
        <v>78</v>
      </c>
      <c r="E3" s="389" t="s">
        <v>271</v>
      </c>
      <c r="F3" s="390" t="s">
        <v>396</v>
      </c>
      <c r="G3" s="392" t="s">
        <v>319</v>
      </c>
      <c r="H3" s="390" t="s">
        <v>397</v>
      </c>
      <c r="I3" s="479"/>
    </row>
    <row r="4" spans="2:9" ht="20.25" customHeight="1">
      <c r="B4" s="395" t="s">
        <v>291</v>
      </c>
      <c r="C4" s="394" t="s">
        <v>1</v>
      </c>
      <c r="D4" s="394" t="s">
        <v>383</v>
      </c>
      <c r="E4" s="394" t="s">
        <v>358</v>
      </c>
      <c r="F4" s="396" t="s">
        <v>348</v>
      </c>
      <c r="G4" s="396" t="s">
        <v>352</v>
      </c>
      <c r="H4" s="396" t="s">
        <v>389</v>
      </c>
      <c r="I4" s="396" t="s">
        <v>391</v>
      </c>
    </row>
    <row r="5" spans="2:9" ht="83.25" customHeight="1">
      <c r="B5" s="395" t="s">
        <v>278</v>
      </c>
      <c r="C5" s="394" t="s">
        <v>198</v>
      </c>
      <c r="D5" s="394" t="s">
        <v>384</v>
      </c>
      <c r="E5" s="394" t="s">
        <v>342</v>
      </c>
      <c r="F5" s="396" t="s">
        <v>343</v>
      </c>
      <c r="G5" s="396" t="s">
        <v>345</v>
      </c>
      <c r="H5" s="396" t="s">
        <v>390</v>
      </c>
      <c r="I5" s="396" t="s">
        <v>392</v>
      </c>
    </row>
    <row r="6" spans="2:9" ht="83.25" customHeight="1">
      <c r="B6" s="395" t="s">
        <v>387</v>
      </c>
      <c r="C6" s="394" t="s">
        <v>199</v>
      </c>
      <c r="D6" s="394" t="s">
        <v>385</v>
      </c>
      <c r="E6" s="394" t="s">
        <v>358</v>
      </c>
      <c r="F6" s="396" t="s">
        <v>348</v>
      </c>
      <c r="G6" s="396" t="s">
        <v>353</v>
      </c>
      <c r="H6" s="396" t="s">
        <v>393</v>
      </c>
      <c r="I6" s="396" t="s">
        <v>394</v>
      </c>
    </row>
    <row r="7" spans="2:9" ht="20.25" customHeight="1">
      <c r="B7" s="395" t="s">
        <v>299</v>
      </c>
      <c r="C7" s="394" t="s">
        <v>1</v>
      </c>
      <c r="D7" s="394" t="s">
        <v>386</v>
      </c>
      <c r="E7" s="394" t="s">
        <v>342</v>
      </c>
      <c r="F7" s="396" t="s">
        <v>343</v>
      </c>
      <c r="G7" s="396" t="s">
        <v>352</v>
      </c>
      <c r="H7" s="396" t="s">
        <v>389</v>
      </c>
      <c r="I7" s="396" t="s">
        <v>391</v>
      </c>
    </row>
    <row r="8" spans="2:9" s="26" customFormat="1" ht="51.75" customHeight="1">
      <c r="B8" s="395" t="s">
        <v>300</v>
      </c>
      <c r="C8" s="394" t="s">
        <v>1</v>
      </c>
      <c r="D8" s="60" t="s">
        <v>79</v>
      </c>
      <c r="E8" s="394" t="s">
        <v>358</v>
      </c>
      <c r="F8" s="396" t="s">
        <v>348</v>
      </c>
      <c r="G8" s="60" t="s">
        <v>322</v>
      </c>
      <c r="H8" s="396" t="s">
        <v>514</v>
      </c>
      <c r="I8" s="396" t="s">
        <v>395</v>
      </c>
    </row>
    <row r="9" spans="2:9" s="26" customFormat="1" ht="51.75" customHeight="1">
      <c r="B9" s="395" t="s">
        <v>301</v>
      </c>
      <c r="C9" s="394" t="s">
        <v>199</v>
      </c>
      <c r="D9" s="60" t="s">
        <v>79</v>
      </c>
      <c r="E9" s="394" t="s">
        <v>342</v>
      </c>
      <c r="F9" s="396" t="s">
        <v>347</v>
      </c>
      <c r="G9" s="60" t="s">
        <v>322</v>
      </c>
      <c r="H9" s="396" t="s">
        <v>515</v>
      </c>
      <c r="I9" s="396" t="s">
        <v>516</v>
      </c>
    </row>
    <row r="11" spans="2:9">
      <c r="B11" s="391" t="s">
        <v>377</v>
      </c>
      <c r="C11"/>
      <c r="D11"/>
      <c r="E11"/>
      <c r="F11"/>
    </row>
    <row r="12" spans="2:9">
      <c r="B12" t="s">
        <v>382</v>
      </c>
      <c r="C12"/>
      <c r="D12"/>
      <c r="E12"/>
      <c r="F12"/>
    </row>
    <row r="13" spans="2:9">
      <c r="C13" s="33"/>
      <c r="D13" s="397" t="s">
        <v>374</v>
      </c>
      <c r="E13" s="398" t="s">
        <v>375</v>
      </c>
    </row>
    <row r="14" spans="2:9">
      <c r="B14" s="485" t="s">
        <v>370</v>
      </c>
      <c r="C14" s="485"/>
      <c r="D14" s="400" t="s">
        <v>371</v>
      </c>
      <c r="E14" s="399" t="s">
        <v>372</v>
      </c>
      <c r="F14" s="483" t="s">
        <v>373</v>
      </c>
      <c r="G14" s="483"/>
    </row>
    <row r="15" spans="2:9">
      <c r="B15" s="484" t="s">
        <v>388</v>
      </c>
      <c r="C15" s="484"/>
      <c r="D15" s="393" t="s">
        <v>380</v>
      </c>
      <c r="E15" s="480" t="s">
        <v>404</v>
      </c>
      <c r="F15" s="486" t="s">
        <v>376</v>
      </c>
      <c r="G15" s="486"/>
    </row>
    <row r="16" spans="2:9">
      <c r="B16" s="484" t="s">
        <v>406</v>
      </c>
      <c r="C16" s="481"/>
      <c r="D16" s="393" t="s">
        <v>381</v>
      </c>
      <c r="E16" s="480"/>
      <c r="F16" s="486"/>
      <c r="G16" s="486"/>
    </row>
    <row r="17" spans="2:7">
      <c r="B17" s="484" t="s">
        <v>489</v>
      </c>
      <c r="C17" s="481"/>
      <c r="D17" s="393" t="s">
        <v>378</v>
      </c>
      <c r="E17" s="480" t="s">
        <v>368</v>
      </c>
      <c r="F17" s="486" t="s">
        <v>369</v>
      </c>
      <c r="G17" s="486"/>
    </row>
    <row r="18" spans="2:7">
      <c r="B18" s="484" t="s">
        <v>490</v>
      </c>
      <c r="C18" s="481"/>
      <c r="D18" s="393" t="s">
        <v>379</v>
      </c>
      <c r="E18" s="481"/>
      <c r="F18" s="486"/>
      <c r="G18" s="486"/>
    </row>
    <row r="20" spans="2:7">
      <c r="B20" s="388" t="s">
        <v>517</v>
      </c>
    </row>
    <row r="21" spans="2:7">
      <c r="B21" s="388" t="s">
        <v>518</v>
      </c>
    </row>
    <row r="22" spans="2:7">
      <c r="B22" s="388" t="s">
        <v>519</v>
      </c>
    </row>
    <row r="23" spans="2:7">
      <c r="B23" s="388" t="s">
        <v>416</v>
      </c>
    </row>
    <row r="24" spans="2:7">
      <c r="B24" s="388" t="s">
        <v>520</v>
      </c>
    </row>
    <row r="25" spans="2:7">
      <c r="B25" s="388" t="s">
        <v>521</v>
      </c>
    </row>
  </sheetData>
  <mergeCells count="14">
    <mergeCell ref="B2:B3"/>
    <mergeCell ref="C2:E2"/>
    <mergeCell ref="B15:C15"/>
    <mergeCell ref="B16:C16"/>
    <mergeCell ref="B17:C17"/>
    <mergeCell ref="B18:C18"/>
    <mergeCell ref="B14:C14"/>
    <mergeCell ref="I2:I3"/>
    <mergeCell ref="E15:E16"/>
    <mergeCell ref="E17:E18"/>
    <mergeCell ref="F2:H2"/>
    <mergeCell ref="F14:G14"/>
    <mergeCell ref="F17:G18"/>
    <mergeCell ref="F15:G16"/>
  </mergeCells>
  <phoneticPr fontId="3"/>
  <pageMargins left="0.7" right="0.7" top="0.75" bottom="0.75" header="0.3" footer="0.3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pageSetUpPr fitToPage="1"/>
  </sheetPr>
  <dimension ref="A1:AO140"/>
  <sheetViews>
    <sheetView showGridLines="0" view="pageBreakPreview" zoomScale="85" zoomScaleNormal="80" zoomScaleSheetLayoutView="85" workbookViewId="0">
      <pane xSplit="34" ySplit="7" topLeftCell="AI8" activePane="bottomRight" state="frozen"/>
      <selection pane="topRight" activeCell="AI1" sqref="AI1"/>
      <selection pane="bottomLeft" activeCell="A8" sqref="A8"/>
      <selection pane="bottomRight" activeCell="J22" sqref="J22"/>
    </sheetView>
  </sheetViews>
  <sheetFormatPr defaultColWidth="3" defaultRowHeight="15" customHeight="1"/>
  <cols>
    <col min="1" max="24" width="2.73046875" style="45" customWidth="1"/>
    <col min="25" max="25" width="2.86328125" style="45" customWidth="1"/>
    <col min="26" max="33" width="2.73046875" style="45" customWidth="1"/>
    <col min="34" max="34" width="4.59765625" style="177" customWidth="1"/>
    <col min="35" max="41" width="6.1328125" style="45" customWidth="1"/>
    <col min="42" max="16384" width="3" style="45"/>
  </cols>
  <sheetData>
    <row r="1" spans="1:41" ht="15" customHeight="1" thickBot="1"/>
    <row r="2" spans="1:41" ht="12" customHeight="1">
      <c r="A2" s="274" t="s">
        <v>60</v>
      </c>
      <c r="B2" s="275"/>
      <c r="C2" s="275"/>
      <c r="D2" s="275"/>
      <c r="E2" s="276"/>
      <c r="F2" s="277" t="s">
        <v>296</v>
      </c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9"/>
      <c r="U2" s="520" t="s">
        <v>61</v>
      </c>
      <c r="V2" s="511"/>
      <c r="W2" s="521"/>
      <c r="X2" s="521"/>
      <c r="Y2" s="521"/>
      <c r="Z2" s="521"/>
      <c r="AA2" s="521"/>
      <c r="AB2" s="521"/>
      <c r="AC2" s="521"/>
      <c r="AD2" s="521"/>
      <c r="AE2" s="521"/>
      <c r="AF2" s="521"/>
      <c r="AG2" s="522"/>
      <c r="AH2" s="280" t="s">
        <v>62</v>
      </c>
      <c r="AI2" s="262" t="s">
        <v>415</v>
      </c>
      <c r="AJ2" s="193"/>
      <c r="AK2" s="193"/>
      <c r="AL2" s="193"/>
      <c r="AM2" s="193"/>
      <c r="AN2" s="193"/>
      <c r="AO2" s="272"/>
    </row>
    <row r="3" spans="1:41" ht="13.5" customHeight="1">
      <c r="A3" s="281" t="s">
        <v>63</v>
      </c>
      <c r="B3" s="282"/>
      <c r="C3" s="282"/>
      <c r="D3" s="282"/>
      <c r="E3" s="283"/>
      <c r="F3" s="282" t="s">
        <v>413</v>
      </c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284"/>
      <c r="T3" s="285"/>
      <c r="U3" s="523"/>
      <c r="V3" s="524"/>
      <c r="W3" s="524"/>
      <c r="X3" s="524"/>
      <c r="Y3" s="524"/>
      <c r="Z3" s="524"/>
      <c r="AA3" s="524"/>
      <c r="AB3" s="524"/>
      <c r="AC3" s="524"/>
      <c r="AD3" s="524"/>
      <c r="AE3" s="524"/>
      <c r="AF3" s="524"/>
      <c r="AG3" s="525"/>
      <c r="AH3" s="286" t="s">
        <v>64</v>
      </c>
      <c r="AI3" s="263" t="s">
        <v>216</v>
      </c>
      <c r="AJ3" s="46"/>
      <c r="AK3" s="46"/>
      <c r="AL3" s="46"/>
      <c r="AM3" s="46"/>
      <c r="AN3" s="46"/>
      <c r="AO3" s="150"/>
    </row>
    <row r="4" spans="1:41" ht="13.5" customHeight="1">
      <c r="A4" s="281" t="s">
        <v>65</v>
      </c>
      <c r="B4" s="282"/>
      <c r="C4" s="282"/>
      <c r="D4" s="282"/>
      <c r="E4" s="283"/>
      <c r="F4" s="282" t="s">
        <v>297</v>
      </c>
      <c r="G4" s="284"/>
      <c r="H4" s="284"/>
      <c r="I4" s="284"/>
      <c r="J4" s="284"/>
      <c r="K4" s="284"/>
      <c r="L4" s="284"/>
      <c r="M4" s="284"/>
      <c r="N4" s="284"/>
      <c r="O4" s="284"/>
      <c r="P4" s="284"/>
      <c r="Q4" s="284"/>
      <c r="R4" s="284"/>
      <c r="S4" s="284"/>
      <c r="T4" s="285"/>
      <c r="U4" s="526"/>
      <c r="V4" s="527"/>
      <c r="W4" s="527"/>
      <c r="X4" s="527"/>
      <c r="Y4" s="527"/>
      <c r="Z4" s="527"/>
      <c r="AA4" s="527"/>
      <c r="AB4" s="527"/>
      <c r="AC4" s="527"/>
      <c r="AD4" s="527"/>
      <c r="AE4" s="527"/>
      <c r="AF4" s="527"/>
      <c r="AG4" s="528"/>
      <c r="AH4" s="286" t="s">
        <v>66</v>
      </c>
      <c r="AI4" s="263" t="s">
        <v>212</v>
      </c>
      <c r="AJ4" s="46"/>
      <c r="AK4" s="46"/>
      <c r="AL4" s="46"/>
      <c r="AM4" s="46"/>
      <c r="AN4" s="46"/>
      <c r="AO4" s="150"/>
    </row>
    <row r="5" spans="1:41" ht="21" customHeight="1" thickBot="1">
      <c r="A5" s="287" t="s">
        <v>67</v>
      </c>
      <c r="B5" s="288"/>
      <c r="C5" s="288"/>
      <c r="D5" s="288"/>
      <c r="E5" s="289"/>
      <c r="F5" s="496" t="s">
        <v>414</v>
      </c>
      <c r="G5" s="497"/>
      <c r="H5" s="497"/>
      <c r="I5" s="498"/>
      <c r="J5" s="498"/>
      <c r="K5" s="498"/>
      <c r="L5" s="498"/>
      <c r="M5" s="498"/>
      <c r="N5" s="498"/>
      <c r="O5" s="498"/>
      <c r="P5" s="498"/>
      <c r="Q5" s="498"/>
      <c r="R5" s="498"/>
      <c r="S5" s="498"/>
      <c r="T5" s="499"/>
      <c r="U5" s="500" t="s">
        <v>68</v>
      </c>
      <c r="V5" s="501"/>
      <c r="W5" s="502"/>
      <c r="X5" s="502"/>
      <c r="Y5" s="502"/>
      <c r="Z5" s="502"/>
      <c r="AA5" s="502"/>
      <c r="AB5" s="502"/>
      <c r="AC5" s="502"/>
      <c r="AD5" s="502"/>
      <c r="AE5" s="502"/>
      <c r="AF5" s="502"/>
      <c r="AG5" s="502"/>
      <c r="AH5" s="502"/>
      <c r="AI5" s="503"/>
      <c r="AJ5" s="504"/>
      <c r="AK5" s="504"/>
      <c r="AL5" s="504"/>
      <c r="AM5" s="504"/>
      <c r="AN5" s="504"/>
      <c r="AO5" s="505"/>
    </row>
    <row r="6" spans="1:41" ht="95.25" customHeight="1">
      <c r="A6" s="510" t="s">
        <v>221</v>
      </c>
      <c r="B6" s="511"/>
      <c r="C6" s="511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2"/>
      <c r="U6" s="520" t="s">
        <v>222</v>
      </c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12"/>
      <c r="AI6" s="473" t="s">
        <v>590</v>
      </c>
      <c r="AJ6" s="476" t="s">
        <v>593</v>
      </c>
      <c r="AK6" s="475" t="s">
        <v>590</v>
      </c>
      <c r="AL6" s="474" t="s">
        <v>591</v>
      </c>
      <c r="AM6" s="346" t="s">
        <v>592</v>
      </c>
      <c r="AN6" s="474" t="s">
        <v>589</v>
      </c>
      <c r="AO6" s="290"/>
    </row>
    <row r="7" spans="1:41" ht="45" customHeight="1" thickBot="1">
      <c r="A7" s="513"/>
      <c r="B7" s="514"/>
      <c r="C7" s="514"/>
      <c r="D7" s="514"/>
      <c r="E7" s="514"/>
      <c r="F7" s="514"/>
      <c r="G7" s="514"/>
      <c r="H7" s="514"/>
      <c r="I7" s="514"/>
      <c r="J7" s="514"/>
      <c r="K7" s="514"/>
      <c r="L7" s="514"/>
      <c r="M7" s="514"/>
      <c r="N7" s="514"/>
      <c r="O7" s="514"/>
      <c r="P7" s="514"/>
      <c r="Q7" s="514"/>
      <c r="R7" s="514"/>
      <c r="S7" s="514"/>
      <c r="T7" s="515"/>
      <c r="U7" s="529"/>
      <c r="V7" s="514"/>
      <c r="W7" s="514"/>
      <c r="X7" s="514"/>
      <c r="Y7" s="514"/>
      <c r="Z7" s="514"/>
      <c r="AA7" s="514"/>
      <c r="AB7" s="514"/>
      <c r="AC7" s="514"/>
      <c r="AD7" s="514"/>
      <c r="AE7" s="514"/>
      <c r="AF7" s="514"/>
      <c r="AG7" s="514"/>
      <c r="AH7" s="515"/>
      <c r="AI7" s="350" t="s">
        <v>298</v>
      </c>
      <c r="AJ7" s="351" t="s">
        <v>278</v>
      </c>
      <c r="AK7" s="351" t="s">
        <v>279</v>
      </c>
      <c r="AL7" s="351" t="s">
        <v>299</v>
      </c>
      <c r="AM7" s="351" t="s">
        <v>300</v>
      </c>
      <c r="AN7" s="351" t="s">
        <v>301</v>
      </c>
      <c r="AO7" s="291"/>
    </row>
    <row r="8" spans="1:41" s="151" customFormat="1" ht="15" customHeight="1" thickTop="1">
      <c r="A8" s="255" t="s">
        <v>196</v>
      </c>
      <c r="B8" s="204"/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4"/>
      <c r="V8" s="204"/>
      <c r="W8" s="204"/>
      <c r="X8" s="204"/>
      <c r="Y8" s="204"/>
      <c r="Z8" s="204"/>
      <c r="AA8" s="204"/>
      <c r="AB8" s="204"/>
      <c r="AC8" s="204"/>
      <c r="AD8" s="204"/>
      <c r="AE8" s="204"/>
      <c r="AF8" s="204"/>
      <c r="AG8" s="204"/>
      <c r="AH8" s="206"/>
      <c r="AI8" s="264"/>
      <c r="AJ8" s="126"/>
      <c r="AK8" s="126"/>
      <c r="AL8" s="126"/>
      <c r="AM8" s="126"/>
      <c r="AN8" s="126"/>
      <c r="AO8" s="292"/>
    </row>
    <row r="9" spans="1:41" s="151" customFormat="1" ht="15" customHeight="1">
      <c r="A9" s="146"/>
      <c r="B9" s="49" t="s">
        <v>69</v>
      </c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178"/>
      <c r="AI9" s="265"/>
      <c r="AJ9" s="240"/>
      <c r="AK9" s="240"/>
      <c r="AL9" s="240"/>
      <c r="AM9" s="240"/>
      <c r="AN9" s="240"/>
      <c r="AO9" s="341"/>
    </row>
    <row r="10" spans="1:41" s="151" customFormat="1" ht="15" customHeight="1">
      <c r="A10" s="146"/>
      <c r="B10" s="174"/>
      <c r="C10" s="48" t="s">
        <v>71</v>
      </c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178"/>
      <c r="AI10" s="47" t="s">
        <v>223</v>
      </c>
      <c r="AJ10" s="47" t="s">
        <v>223</v>
      </c>
      <c r="AK10" s="47"/>
      <c r="AL10" s="242" t="s">
        <v>223</v>
      </c>
      <c r="AM10" s="241" t="s">
        <v>223</v>
      </c>
      <c r="AN10" s="241"/>
      <c r="AO10" s="342"/>
    </row>
    <row r="11" spans="1:41" s="151" customFormat="1" ht="15" customHeight="1">
      <c r="A11" s="146"/>
      <c r="B11" s="175"/>
      <c r="C11" s="48" t="s">
        <v>70</v>
      </c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178"/>
      <c r="AI11" s="266"/>
      <c r="AJ11" s="241"/>
      <c r="AK11" s="241" t="s">
        <v>223</v>
      </c>
      <c r="AL11" s="242"/>
      <c r="AM11" s="241"/>
      <c r="AN11" s="241" t="s">
        <v>223</v>
      </c>
      <c r="AO11" s="342"/>
    </row>
    <row r="12" spans="1:41" s="151" customFormat="1" ht="15" customHeight="1">
      <c r="A12" s="146"/>
      <c r="B12" s="195" t="s">
        <v>197</v>
      </c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178"/>
      <c r="AI12" s="266"/>
      <c r="AJ12" s="241"/>
      <c r="AK12" s="241"/>
      <c r="AL12" s="242"/>
      <c r="AM12" s="241"/>
      <c r="AN12" s="241"/>
      <c r="AO12" s="342"/>
    </row>
    <row r="13" spans="1:41" s="151" customFormat="1" ht="15" customHeight="1">
      <c r="A13" s="146"/>
      <c r="B13" s="195"/>
      <c r="C13" s="49" t="s">
        <v>72</v>
      </c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178"/>
      <c r="AI13" s="266"/>
      <c r="AJ13" s="241"/>
      <c r="AK13" s="241"/>
      <c r="AL13" s="242"/>
      <c r="AM13" s="241"/>
      <c r="AN13" s="241"/>
      <c r="AO13" s="342"/>
    </row>
    <row r="14" spans="1:41" s="151" customFormat="1" ht="15" customHeight="1">
      <c r="A14" s="146"/>
      <c r="B14" s="195"/>
      <c r="C14" s="174"/>
      <c r="D14" s="48" t="s">
        <v>73</v>
      </c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178"/>
      <c r="AI14" s="266"/>
      <c r="AJ14" s="241"/>
      <c r="AK14" s="241"/>
      <c r="AL14" s="242"/>
      <c r="AM14" s="241"/>
      <c r="AN14" s="241"/>
      <c r="AO14" s="342"/>
    </row>
    <row r="15" spans="1:41" s="151" customFormat="1" ht="15" customHeight="1">
      <c r="A15" s="146"/>
      <c r="B15" s="195"/>
      <c r="C15" s="174"/>
      <c r="D15" s="174"/>
      <c r="E15" s="48" t="s">
        <v>74</v>
      </c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178"/>
      <c r="AI15" s="266" t="s">
        <v>223</v>
      </c>
      <c r="AJ15" s="241" t="s">
        <v>223</v>
      </c>
      <c r="AK15" s="241" t="s">
        <v>223</v>
      </c>
      <c r="AL15" s="242" t="s">
        <v>223</v>
      </c>
      <c r="AM15" s="242" t="s">
        <v>223</v>
      </c>
      <c r="AN15" s="242" t="s">
        <v>223</v>
      </c>
      <c r="AO15" s="342"/>
    </row>
    <row r="16" spans="1:41" s="151" customFormat="1" ht="15" customHeight="1">
      <c r="A16" s="146"/>
      <c r="B16" s="195"/>
      <c r="C16" s="174"/>
      <c r="D16" s="174"/>
      <c r="E16" s="48" t="s">
        <v>50</v>
      </c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178"/>
      <c r="AI16" s="266"/>
      <c r="AJ16" s="241"/>
      <c r="AK16" s="241"/>
      <c r="AL16" s="242"/>
      <c r="AM16" s="241"/>
      <c r="AN16" s="241"/>
      <c r="AO16" s="342"/>
    </row>
    <row r="17" spans="1:41" s="151" customFormat="1" ht="15" customHeight="1">
      <c r="A17" s="146"/>
      <c r="B17" s="195"/>
      <c r="C17" s="174"/>
      <c r="D17" s="196"/>
      <c r="E17" s="174"/>
      <c r="F17" s="48" t="s">
        <v>1</v>
      </c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178"/>
      <c r="AI17" s="241" t="s">
        <v>223</v>
      </c>
      <c r="AJ17" s="241"/>
      <c r="AK17" s="241"/>
      <c r="AL17" s="242" t="s">
        <v>223</v>
      </c>
      <c r="AM17" s="242" t="s">
        <v>223</v>
      </c>
      <c r="AN17" s="241"/>
      <c r="AO17" s="342"/>
    </row>
    <row r="18" spans="1:41" s="151" customFormat="1" ht="15" customHeight="1">
      <c r="A18" s="146"/>
      <c r="B18" s="195"/>
      <c r="C18" s="174"/>
      <c r="D18" s="196"/>
      <c r="E18" s="174"/>
      <c r="F18" s="48" t="s">
        <v>198</v>
      </c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178"/>
      <c r="AI18" s="266"/>
      <c r="AJ18" s="241" t="s">
        <v>223</v>
      </c>
      <c r="AK18" s="241"/>
      <c r="AL18" s="242"/>
      <c r="AM18" s="241"/>
      <c r="AN18" s="241"/>
      <c r="AO18" s="342"/>
    </row>
    <row r="19" spans="1:41" s="151" customFormat="1" ht="15" customHeight="1">
      <c r="A19" s="146"/>
      <c r="B19" s="195"/>
      <c r="C19" s="174"/>
      <c r="D19" s="196"/>
      <c r="E19" s="174"/>
      <c r="F19" s="48" t="s">
        <v>199</v>
      </c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178"/>
      <c r="AI19" s="266"/>
      <c r="AJ19" s="241"/>
      <c r="AK19" s="241" t="s">
        <v>223</v>
      </c>
      <c r="AL19" s="242"/>
      <c r="AM19" s="241"/>
      <c r="AN19" s="242" t="s">
        <v>223</v>
      </c>
      <c r="AO19" s="342"/>
    </row>
    <row r="20" spans="1:41" s="151" customFormat="1" ht="15" customHeight="1">
      <c r="A20" s="146"/>
      <c r="B20" s="195"/>
      <c r="C20" s="49" t="s">
        <v>75</v>
      </c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178"/>
      <c r="AI20" s="266"/>
      <c r="AJ20" s="241"/>
      <c r="AK20" s="241"/>
      <c r="AL20" s="242"/>
      <c r="AM20" s="241"/>
      <c r="AN20" s="241"/>
      <c r="AO20" s="342"/>
    </row>
    <row r="21" spans="1:41" s="151" customFormat="1" ht="15" customHeight="1">
      <c r="A21" s="146"/>
      <c r="B21" s="195"/>
      <c r="C21" s="195"/>
      <c r="D21" s="49" t="s">
        <v>76</v>
      </c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178"/>
      <c r="AI21" s="266"/>
      <c r="AJ21" s="241"/>
      <c r="AK21" s="241"/>
      <c r="AL21" s="241"/>
      <c r="AM21" s="241"/>
      <c r="AN21" s="241"/>
      <c r="AO21" s="342"/>
    </row>
    <row r="22" spans="1:41" s="151" customFormat="1" ht="15" customHeight="1">
      <c r="A22" s="146"/>
      <c r="B22" s="195"/>
      <c r="C22" s="195"/>
      <c r="D22" s="174"/>
      <c r="E22" s="48" t="s">
        <v>77</v>
      </c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178"/>
      <c r="AI22" s="241" t="s">
        <v>223</v>
      </c>
      <c r="AJ22" s="241"/>
      <c r="AK22" s="241" t="s">
        <v>223</v>
      </c>
      <c r="AL22" s="241"/>
      <c r="AM22" s="241" t="s">
        <v>223</v>
      </c>
      <c r="AN22" s="241"/>
      <c r="AO22" s="342"/>
    </row>
    <row r="23" spans="1:41" s="151" customFormat="1" ht="15" customHeight="1">
      <c r="A23" s="146"/>
      <c r="B23" s="195"/>
      <c r="C23" s="195"/>
      <c r="D23" s="175"/>
      <c r="E23" s="48" t="s">
        <v>200</v>
      </c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178"/>
      <c r="AI23" s="241"/>
      <c r="AJ23" s="241" t="s">
        <v>223</v>
      </c>
      <c r="AK23" s="241"/>
      <c r="AL23" s="241" t="s">
        <v>223</v>
      </c>
      <c r="AM23" s="241"/>
      <c r="AN23" s="241" t="s">
        <v>223</v>
      </c>
      <c r="AO23" s="342"/>
    </row>
    <row r="24" spans="1:41" s="151" customFormat="1" ht="15" customHeight="1">
      <c r="A24" s="146"/>
      <c r="B24" s="195"/>
      <c r="C24" s="195"/>
      <c r="D24" s="49" t="s">
        <v>78</v>
      </c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178"/>
      <c r="AI24" s="241"/>
      <c r="AJ24" s="241"/>
      <c r="AK24" s="241"/>
      <c r="AL24" s="241"/>
      <c r="AM24" s="241"/>
      <c r="AN24" s="241"/>
      <c r="AO24" s="342"/>
    </row>
    <row r="25" spans="1:41" s="151" customFormat="1" ht="15" customHeight="1">
      <c r="A25" s="146"/>
      <c r="B25" s="195"/>
      <c r="C25" s="195"/>
      <c r="D25" s="195"/>
      <c r="E25" s="148" t="s">
        <v>402</v>
      </c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178"/>
      <c r="AI25" s="241" t="s">
        <v>223</v>
      </c>
      <c r="AJ25" s="241"/>
      <c r="AK25" s="241"/>
      <c r="AL25" s="241"/>
      <c r="AM25" s="241"/>
      <c r="AN25" s="241"/>
      <c r="AO25" s="342"/>
    </row>
    <row r="26" spans="1:41" s="151" customFormat="1" ht="15" customHeight="1">
      <c r="A26" s="146"/>
      <c r="B26" s="195"/>
      <c r="C26" s="195"/>
      <c r="D26" s="174"/>
      <c r="E26" s="48" t="s">
        <v>399</v>
      </c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178"/>
      <c r="AI26" s="241"/>
      <c r="AJ26" s="241" t="s">
        <v>223</v>
      </c>
      <c r="AK26" s="241"/>
      <c r="AL26" s="241"/>
      <c r="AM26" s="241"/>
      <c r="AN26" s="241"/>
      <c r="AO26" s="342"/>
    </row>
    <row r="27" spans="1:41" s="151" customFormat="1" ht="15" customHeight="1">
      <c r="A27" s="146"/>
      <c r="B27" s="195"/>
      <c r="C27" s="195"/>
      <c r="D27" s="195"/>
      <c r="E27" s="148" t="s">
        <v>400</v>
      </c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178"/>
      <c r="AI27" s="241"/>
      <c r="AJ27" s="241"/>
      <c r="AK27" s="241" t="s">
        <v>223</v>
      </c>
      <c r="AL27" s="241"/>
      <c r="AM27" s="241"/>
      <c r="AN27" s="241"/>
      <c r="AO27" s="342"/>
    </row>
    <row r="28" spans="1:41" s="151" customFormat="1" ht="15" customHeight="1">
      <c r="A28" s="146"/>
      <c r="B28" s="195"/>
      <c r="C28" s="195"/>
      <c r="D28" s="174"/>
      <c r="E28" s="48" t="s">
        <v>401</v>
      </c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178"/>
      <c r="AI28" s="241"/>
      <c r="AJ28" s="241"/>
      <c r="AK28" s="241"/>
      <c r="AL28" s="241" t="s">
        <v>223</v>
      </c>
      <c r="AM28" s="241"/>
      <c r="AN28" s="241"/>
      <c r="AO28" s="342"/>
    </row>
    <row r="29" spans="1:41" s="151" customFormat="1" ht="15" customHeight="1">
      <c r="A29" s="146"/>
      <c r="B29" s="195"/>
      <c r="C29" s="195"/>
      <c r="D29" s="195"/>
      <c r="E29" s="148" t="s">
        <v>79</v>
      </c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178"/>
      <c r="AI29" s="241"/>
      <c r="AJ29" s="242"/>
      <c r="AK29" s="242"/>
      <c r="AL29" s="241"/>
      <c r="AM29" s="241" t="s">
        <v>223</v>
      </c>
      <c r="AN29" s="241" t="s">
        <v>223</v>
      </c>
      <c r="AO29" s="342"/>
    </row>
    <row r="30" spans="1:41" s="151" customFormat="1" ht="15" customHeight="1">
      <c r="A30" s="146"/>
      <c r="B30" s="195"/>
      <c r="C30" s="174"/>
      <c r="D30" s="49" t="s">
        <v>80</v>
      </c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178"/>
      <c r="AI30" s="241"/>
      <c r="AJ30" s="242"/>
      <c r="AK30" s="242"/>
      <c r="AL30" s="241"/>
      <c r="AM30" s="241"/>
      <c r="AN30" s="241"/>
      <c r="AO30" s="342"/>
    </row>
    <row r="31" spans="1:41" s="151" customFormat="1" ht="15" customHeight="1">
      <c r="A31" s="146"/>
      <c r="B31" s="195"/>
      <c r="C31" s="174"/>
      <c r="D31" s="195"/>
      <c r="E31" s="148" t="s">
        <v>403</v>
      </c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178"/>
      <c r="AI31" s="241"/>
      <c r="AJ31" s="242" t="s">
        <v>223</v>
      </c>
      <c r="AK31" s="242"/>
      <c r="AL31" s="242" t="s">
        <v>223</v>
      </c>
      <c r="AM31" s="241"/>
      <c r="AN31" s="242" t="s">
        <v>223</v>
      </c>
      <c r="AO31" s="342"/>
    </row>
    <row r="32" spans="1:41" s="151" customFormat="1" ht="15" customHeight="1">
      <c r="A32" s="146"/>
      <c r="B32" s="49" t="s">
        <v>81</v>
      </c>
      <c r="C32" s="149"/>
      <c r="D32" s="48"/>
      <c r="E32" s="48"/>
      <c r="F32" s="48"/>
      <c r="G32" s="48"/>
      <c r="H32" s="48"/>
      <c r="I32" s="48"/>
      <c r="J32" s="48"/>
      <c r="K32" s="48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149"/>
      <c r="W32" s="149"/>
      <c r="X32" s="149"/>
      <c r="Y32" s="149"/>
      <c r="Z32" s="149"/>
      <c r="AA32" s="149"/>
      <c r="AB32" s="149"/>
      <c r="AC32" s="149"/>
      <c r="AD32" s="149"/>
      <c r="AE32" s="149"/>
      <c r="AF32" s="149"/>
      <c r="AG32" s="149"/>
      <c r="AH32" s="208"/>
      <c r="AI32" s="265"/>
      <c r="AJ32" s="240"/>
      <c r="AK32" s="374"/>
      <c r="AL32" s="374"/>
      <c r="AM32" s="374"/>
      <c r="AN32" s="374"/>
      <c r="AO32" s="341"/>
    </row>
    <row r="33" spans="1:41" s="151" customFormat="1" ht="15" customHeight="1">
      <c r="A33" s="146"/>
      <c r="B33" s="174"/>
      <c r="C33" s="151" t="s">
        <v>82</v>
      </c>
      <c r="D33" s="147"/>
      <c r="E33" s="147"/>
      <c r="F33" s="147"/>
      <c r="G33" s="147"/>
      <c r="H33" s="147"/>
      <c r="I33" s="147"/>
      <c r="J33" s="147"/>
      <c r="K33" s="147"/>
      <c r="L33" s="147"/>
      <c r="M33" s="477" t="s">
        <v>563</v>
      </c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208"/>
      <c r="AI33" s="267"/>
      <c r="AJ33" s="47"/>
      <c r="AK33" s="243"/>
      <c r="AL33" s="243"/>
      <c r="AM33" s="243"/>
      <c r="AN33" s="243"/>
      <c r="AO33" s="246"/>
    </row>
    <row r="34" spans="1:41" s="151" customFormat="1" ht="15" customHeight="1">
      <c r="A34" s="146"/>
      <c r="B34" s="239"/>
      <c r="C34" s="174"/>
      <c r="D34" s="199" t="s">
        <v>259</v>
      </c>
      <c r="E34" s="176"/>
      <c r="F34" s="176"/>
      <c r="H34" s="176"/>
      <c r="I34" s="176"/>
      <c r="J34" s="176"/>
      <c r="K34" s="176"/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76"/>
      <c r="W34" s="176"/>
      <c r="X34" s="176"/>
      <c r="Y34" s="176"/>
      <c r="Z34" s="176"/>
      <c r="AA34" s="176"/>
      <c r="AB34" s="176"/>
      <c r="AC34" s="176"/>
      <c r="AD34" s="176"/>
      <c r="AE34" s="176"/>
      <c r="AF34" s="176"/>
      <c r="AG34" s="176"/>
      <c r="AH34" s="178"/>
      <c r="AI34" s="266"/>
      <c r="AJ34" s="241"/>
      <c r="AK34" s="241"/>
      <c r="AL34" s="241"/>
      <c r="AM34" s="241"/>
      <c r="AN34" s="241"/>
      <c r="AO34" s="246"/>
    </row>
    <row r="35" spans="1:41" s="151" customFormat="1" ht="15" customHeight="1">
      <c r="A35" s="146"/>
      <c r="B35" s="239"/>
      <c r="C35" s="174"/>
      <c r="D35" s="197"/>
      <c r="E35" s="198" t="s">
        <v>405</v>
      </c>
      <c r="F35" s="176"/>
      <c r="G35" s="48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176"/>
      <c r="AH35" s="178"/>
      <c r="AI35" s="241" t="s">
        <v>223</v>
      </c>
      <c r="AJ35" s="241"/>
      <c r="AK35" s="241"/>
      <c r="AL35" s="241"/>
      <c r="AM35" s="241"/>
      <c r="AN35" s="241"/>
      <c r="AO35" s="246"/>
    </row>
    <row r="36" spans="1:41" s="151" customFormat="1" ht="15" customHeight="1">
      <c r="A36" s="146"/>
      <c r="B36" s="239"/>
      <c r="C36" s="174"/>
      <c r="D36" s="197"/>
      <c r="E36" s="198" t="s">
        <v>491</v>
      </c>
      <c r="F36" s="147"/>
      <c r="G36" s="149"/>
      <c r="H36" s="147"/>
      <c r="I36" s="147"/>
      <c r="J36" s="147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6"/>
      <c r="W36" s="176"/>
      <c r="X36" s="176"/>
      <c r="Y36" s="176"/>
      <c r="Z36" s="176"/>
      <c r="AA36" s="176"/>
      <c r="AB36" s="176"/>
      <c r="AC36" s="176"/>
      <c r="AD36" s="176"/>
      <c r="AE36" s="176"/>
      <c r="AF36" s="176"/>
      <c r="AG36" s="176"/>
      <c r="AH36" s="178"/>
      <c r="AI36" s="266"/>
      <c r="AJ36" s="241"/>
      <c r="AK36" s="241" t="s">
        <v>223</v>
      </c>
      <c r="AL36" s="241"/>
      <c r="AM36" s="241"/>
      <c r="AN36" s="241"/>
      <c r="AO36" s="246"/>
    </row>
    <row r="37" spans="1:41" s="151" customFormat="1" ht="15" customHeight="1">
      <c r="A37" s="146"/>
      <c r="B37" s="239"/>
      <c r="C37" s="174"/>
      <c r="D37" s="199" t="s">
        <v>509</v>
      </c>
      <c r="E37" s="147"/>
      <c r="F37" s="147"/>
      <c r="G37" s="147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6"/>
      <c r="Y37" s="176"/>
      <c r="Z37" s="176"/>
      <c r="AA37" s="176"/>
      <c r="AB37" s="176"/>
      <c r="AC37" s="176"/>
      <c r="AD37" s="176"/>
      <c r="AE37" s="176"/>
      <c r="AF37" s="176"/>
      <c r="AG37" s="176"/>
      <c r="AH37" s="178"/>
      <c r="AI37" s="266"/>
      <c r="AJ37" s="241"/>
      <c r="AK37" s="241"/>
      <c r="AL37" s="241"/>
      <c r="AM37" s="241"/>
      <c r="AN37" s="241"/>
      <c r="AO37" s="246"/>
    </row>
    <row r="38" spans="1:41" s="151" customFormat="1" ht="15" customHeight="1">
      <c r="A38" s="146"/>
      <c r="B38" s="239"/>
      <c r="C38" s="174"/>
      <c r="D38" s="197"/>
      <c r="E38" s="198" t="s">
        <v>510</v>
      </c>
      <c r="F38" s="147"/>
      <c r="G38" s="147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176"/>
      <c r="Z38" s="176"/>
      <c r="AA38" s="176"/>
      <c r="AB38" s="176"/>
      <c r="AC38" s="176"/>
      <c r="AD38" s="176"/>
      <c r="AE38" s="176"/>
      <c r="AF38" s="176"/>
      <c r="AG38" s="176"/>
      <c r="AH38" s="178"/>
      <c r="AI38" s="266" t="s">
        <v>223</v>
      </c>
      <c r="AJ38" s="241"/>
      <c r="AK38" s="241"/>
      <c r="AL38" s="241"/>
      <c r="AM38" s="241"/>
      <c r="AN38" s="241"/>
      <c r="AO38" s="246"/>
    </row>
    <row r="39" spans="1:41" s="151" customFormat="1" ht="15" customHeight="1">
      <c r="A39" s="146"/>
      <c r="B39" s="239"/>
      <c r="C39" s="174"/>
      <c r="D39" s="197"/>
      <c r="E39" s="198" t="s">
        <v>511</v>
      </c>
      <c r="F39" s="147"/>
      <c r="G39" s="147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176"/>
      <c r="Z39" s="176"/>
      <c r="AA39" s="176"/>
      <c r="AB39" s="176"/>
      <c r="AC39" s="176"/>
      <c r="AD39" s="176"/>
      <c r="AE39" s="176"/>
      <c r="AF39" s="176"/>
      <c r="AG39" s="176"/>
      <c r="AH39" s="178"/>
      <c r="AI39" s="266"/>
      <c r="AJ39" s="241"/>
      <c r="AK39" s="241"/>
      <c r="AL39" s="241"/>
      <c r="AM39" s="241"/>
      <c r="AN39" s="241"/>
      <c r="AO39" s="246"/>
    </row>
    <row r="40" spans="1:41" s="151" customFormat="1" ht="15" customHeight="1">
      <c r="A40" s="146"/>
      <c r="B40" s="239"/>
      <c r="C40" s="174"/>
      <c r="D40" s="197"/>
      <c r="E40" s="148" t="s">
        <v>318</v>
      </c>
      <c r="F40" s="147"/>
      <c r="G40" s="147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176"/>
      <c r="Z40" s="176"/>
      <c r="AA40" s="176"/>
      <c r="AB40" s="176"/>
      <c r="AC40" s="176"/>
      <c r="AD40" s="176"/>
      <c r="AE40" s="176"/>
      <c r="AF40" s="176"/>
      <c r="AG40" s="176"/>
      <c r="AH40" s="178"/>
      <c r="AI40" s="266"/>
      <c r="AJ40" s="241"/>
      <c r="AK40" s="241" t="s">
        <v>223</v>
      </c>
      <c r="AL40" s="241"/>
      <c r="AM40" s="241"/>
      <c r="AN40" s="241"/>
      <c r="AO40" s="246"/>
    </row>
    <row r="41" spans="1:41" s="151" customFormat="1" ht="15" customHeight="1">
      <c r="A41" s="146"/>
      <c r="B41" s="239"/>
      <c r="C41" s="174"/>
      <c r="D41" s="199" t="s">
        <v>339</v>
      </c>
      <c r="E41" s="197"/>
      <c r="F41" s="147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176"/>
      <c r="Z41" s="176"/>
      <c r="AA41" s="176"/>
      <c r="AB41" s="176"/>
      <c r="AC41" s="176"/>
      <c r="AD41" s="176"/>
      <c r="AE41" s="176"/>
      <c r="AF41" s="176"/>
      <c r="AG41" s="176"/>
      <c r="AH41" s="178"/>
      <c r="AI41" s="266"/>
      <c r="AJ41" s="241"/>
      <c r="AK41" s="241"/>
      <c r="AL41" s="241"/>
      <c r="AM41" s="241"/>
      <c r="AN41" s="241"/>
      <c r="AO41" s="246"/>
    </row>
    <row r="42" spans="1:41" s="151" customFormat="1" ht="15" customHeight="1">
      <c r="A42" s="146"/>
      <c r="B42" s="239"/>
      <c r="C42" s="174"/>
      <c r="D42" s="197"/>
      <c r="E42" s="361" t="s">
        <v>340</v>
      </c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176"/>
      <c r="Z42" s="176"/>
      <c r="AA42" s="176"/>
      <c r="AB42" s="176"/>
      <c r="AC42" s="176"/>
      <c r="AD42" s="176"/>
      <c r="AE42" s="176"/>
      <c r="AF42" s="176"/>
      <c r="AG42" s="176"/>
      <c r="AH42" s="178"/>
      <c r="AI42" s="266" t="s">
        <v>223</v>
      </c>
      <c r="AJ42" s="241"/>
      <c r="AK42" s="241"/>
      <c r="AL42" s="241"/>
      <c r="AM42" s="241"/>
      <c r="AN42" s="241"/>
      <c r="AO42" s="246"/>
    </row>
    <row r="43" spans="1:41" s="151" customFormat="1" ht="15" customHeight="1">
      <c r="A43" s="146"/>
      <c r="B43" s="239"/>
      <c r="C43" s="174"/>
      <c r="E43" s="373" t="s">
        <v>341</v>
      </c>
      <c r="F43" s="147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176"/>
      <c r="Z43" s="176"/>
      <c r="AA43" s="176"/>
      <c r="AB43" s="176"/>
      <c r="AC43" s="176"/>
      <c r="AD43" s="176"/>
      <c r="AE43" s="176"/>
      <c r="AF43" s="176"/>
      <c r="AG43" s="176"/>
      <c r="AH43" s="178"/>
      <c r="AI43" s="266"/>
      <c r="AJ43" s="241"/>
      <c r="AK43" s="241" t="s">
        <v>223</v>
      </c>
      <c r="AL43" s="241"/>
      <c r="AM43" s="241"/>
      <c r="AN43" s="241"/>
      <c r="AO43" s="246"/>
    </row>
    <row r="44" spans="1:41" s="151" customFormat="1" ht="15" customHeight="1">
      <c r="A44" s="146"/>
      <c r="B44" s="239"/>
      <c r="C44" s="174"/>
      <c r="D44" s="199" t="s">
        <v>319</v>
      </c>
      <c r="E44" s="197"/>
      <c r="F44" s="147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176"/>
      <c r="Z44" s="176"/>
      <c r="AA44" s="176"/>
      <c r="AB44" s="176"/>
      <c r="AC44" s="176"/>
      <c r="AD44" s="176"/>
      <c r="AE44" s="176"/>
      <c r="AF44" s="176"/>
      <c r="AG44" s="176"/>
      <c r="AH44" s="178"/>
      <c r="AI44" s="266"/>
      <c r="AJ44" s="241"/>
      <c r="AK44" s="241"/>
      <c r="AL44" s="241"/>
      <c r="AM44" s="241"/>
      <c r="AN44" s="241"/>
      <c r="AO44" s="246"/>
    </row>
    <row r="45" spans="1:41" s="151" customFormat="1" ht="15" customHeight="1">
      <c r="A45" s="146"/>
      <c r="B45" s="239"/>
      <c r="C45" s="174"/>
      <c r="D45" s="197"/>
      <c r="E45" s="49" t="s">
        <v>344</v>
      </c>
      <c r="F45" s="149"/>
      <c r="G45" s="149"/>
      <c r="H45" s="149"/>
      <c r="I45" s="149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8"/>
      <c r="AI45" s="266" t="s">
        <v>223</v>
      </c>
      <c r="AJ45" s="241"/>
      <c r="AK45" s="241"/>
      <c r="AL45" s="241"/>
      <c r="AM45" s="241"/>
      <c r="AN45" s="241"/>
      <c r="AO45" s="246"/>
    </row>
    <row r="46" spans="1:41" s="151" customFormat="1" ht="15" customHeight="1">
      <c r="A46" s="146"/>
      <c r="B46" s="239"/>
      <c r="C46" s="174"/>
      <c r="E46" s="49" t="s">
        <v>346</v>
      </c>
      <c r="F46" s="149"/>
      <c r="G46" s="149"/>
      <c r="H46" s="149"/>
      <c r="I46" s="149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8"/>
      <c r="AI46" s="266"/>
      <c r="AJ46" s="241"/>
      <c r="AK46" s="241" t="s">
        <v>223</v>
      </c>
      <c r="AL46" s="241"/>
      <c r="AM46" s="241"/>
      <c r="AN46" s="241"/>
      <c r="AO46" s="246"/>
    </row>
    <row r="47" spans="1:41" s="151" customFormat="1" ht="15" customHeight="1">
      <c r="A47" s="146"/>
      <c r="B47" s="239"/>
      <c r="C47" s="174"/>
      <c r="E47" s="49" t="s">
        <v>322</v>
      </c>
      <c r="F47" s="48"/>
      <c r="G47" s="48"/>
      <c r="H47" s="48"/>
      <c r="I47" s="48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8"/>
      <c r="AI47" s="266"/>
      <c r="AJ47" s="241"/>
      <c r="AK47" s="241"/>
      <c r="AL47" s="241"/>
      <c r="AM47" s="241"/>
      <c r="AN47" s="241"/>
      <c r="AO47" s="246"/>
    </row>
    <row r="48" spans="1:41" s="151" customFormat="1" ht="15" customHeight="1">
      <c r="A48" s="146"/>
      <c r="B48" s="239"/>
      <c r="C48" s="174"/>
      <c r="D48" s="199" t="s">
        <v>334</v>
      </c>
      <c r="E48" s="176"/>
      <c r="F48" s="147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8"/>
      <c r="AI48" s="266"/>
      <c r="AJ48" s="241"/>
      <c r="AK48" s="241"/>
      <c r="AL48" s="241"/>
      <c r="AM48" s="241"/>
      <c r="AN48" s="241"/>
      <c r="AO48" s="246"/>
    </row>
    <row r="49" spans="1:41" s="151" customFormat="1" ht="15" customHeight="1">
      <c r="A49" s="146"/>
      <c r="B49" s="239"/>
      <c r="C49" s="174"/>
      <c r="D49" s="197"/>
      <c r="E49" s="361" t="s">
        <v>340</v>
      </c>
      <c r="F49" s="147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8"/>
      <c r="AI49" s="266" t="s">
        <v>223</v>
      </c>
      <c r="AJ49" s="241"/>
      <c r="AK49" s="241"/>
      <c r="AL49" s="241"/>
      <c r="AM49" s="241"/>
      <c r="AN49" s="241"/>
      <c r="AO49" s="246"/>
    </row>
    <row r="50" spans="1:41" s="151" customFormat="1" ht="15" customHeight="1">
      <c r="A50" s="146"/>
      <c r="B50" s="239"/>
      <c r="C50" s="174"/>
      <c r="E50" s="148" t="s">
        <v>318</v>
      </c>
      <c r="F50" s="147"/>
      <c r="G50" s="147"/>
      <c r="H50" s="147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8"/>
      <c r="AI50" s="266"/>
      <c r="AJ50" s="241"/>
      <c r="AK50" s="241" t="s">
        <v>223</v>
      </c>
      <c r="AL50" s="241"/>
      <c r="AM50" s="241"/>
      <c r="AN50" s="241"/>
      <c r="AO50" s="246"/>
    </row>
    <row r="51" spans="1:41" s="151" customFormat="1" ht="15.75" customHeight="1">
      <c r="A51" s="146"/>
      <c r="B51" s="239"/>
      <c r="C51" s="174"/>
      <c r="D51" s="48" t="s">
        <v>512</v>
      </c>
      <c r="E51" s="149"/>
      <c r="F51" s="149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8"/>
      <c r="AI51" s="267"/>
      <c r="AJ51" s="47"/>
      <c r="AK51" s="47"/>
      <c r="AL51" s="241"/>
      <c r="AM51" s="241" t="s">
        <v>223</v>
      </c>
      <c r="AN51" s="241"/>
      <c r="AO51" s="246"/>
    </row>
    <row r="52" spans="1:41" s="151" customFormat="1" ht="15" customHeight="1">
      <c r="A52" s="146"/>
      <c r="B52" s="174"/>
      <c r="C52" s="49" t="s">
        <v>83</v>
      </c>
      <c r="D52" s="147"/>
      <c r="E52" s="147"/>
      <c r="F52" s="147"/>
      <c r="G52" s="147"/>
      <c r="H52" s="147"/>
      <c r="I52" s="147"/>
      <c r="J52" s="147"/>
      <c r="K52" s="147"/>
      <c r="L52" s="147"/>
      <c r="M52" s="477" t="s">
        <v>564</v>
      </c>
      <c r="N52" s="147"/>
      <c r="O52" s="147"/>
      <c r="P52" s="147"/>
      <c r="Q52" s="147"/>
      <c r="R52" s="147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208"/>
      <c r="AI52" s="267"/>
      <c r="AJ52" s="47"/>
      <c r="AK52" s="243"/>
      <c r="AL52" s="243"/>
      <c r="AM52" s="243"/>
      <c r="AN52" s="243"/>
      <c r="AO52" s="246"/>
    </row>
    <row r="53" spans="1:41" s="151" customFormat="1" ht="15" customHeight="1">
      <c r="A53" s="146"/>
      <c r="B53" s="239"/>
      <c r="C53" s="174"/>
      <c r="D53" s="199" t="s">
        <v>259</v>
      </c>
      <c r="E53" s="147"/>
      <c r="F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6"/>
      <c r="W53" s="176"/>
      <c r="X53" s="176"/>
      <c r="Y53" s="176"/>
      <c r="Z53" s="176"/>
      <c r="AA53" s="176"/>
      <c r="AB53" s="176"/>
      <c r="AC53" s="176"/>
      <c r="AD53" s="176"/>
      <c r="AE53" s="176"/>
      <c r="AF53" s="176"/>
      <c r="AG53" s="176"/>
      <c r="AH53" s="178"/>
      <c r="AI53" s="266"/>
      <c r="AJ53" s="241"/>
      <c r="AK53" s="241"/>
      <c r="AL53" s="241"/>
      <c r="AM53" s="241"/>
      <c r="AN53" s="241"/>
      <c r="AO53" s="246"/>
    </row>
    <row r="54" spans="1:41" s="151" customFormat="1" ht="15" customHeight="1">
      <c r="A54" s="146"/>
      <c r="B54" s="239"/>
      <c r="C54" s="174"/>
      <c r="D54" s="197"/>
      <c r="E54" s="198" t="s">
        <v>407</v>
      </c>
      <c r="F54" s="147"/>
      <c r="G54" s="149"/>
      <c r="H54" s="147"/>
      <c r="I54" s="147"/>
      <c r="J54" s="147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8"/>
      <c r="AI54" s="266"/>
      <c r="AJ54" s="241" t="s">
        <v>223</v>
      </c>
      <c r="AK54" s="241"/>
      <c r="AL54" s="241"/>
      <c r="AM54" s="241"/>
      <c r="AN54" s="241"/>
      <c r="AO54" s="246"/>
    </row>
    <row r="55" spans="1:41" s="151" customFormat="1" ht="15" customHeight="1">
      <c r="A55" s="146"/>
      <c r="B55" s="239"/>
      <c r="C55" s="174"/>
      <c r="D55" s="197"/>
      <c r="E55" s="198" t="s">
        <v>408</v>
      </c>
      <c r="F55" s="147"/>
      <c r="G55" s="149"/>
      <c r="H55" s="147"/>
      <c r="I55" s="147"/>
      <c r="J55" s="147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176"/>
      <c r="Z55" s="176"/>
      <c r="AA55" s="176"/>
      <c r="AB55" s="176"/>
      <c r="AC55" s="176"/>
      <c r="AD55" s="176"/>
      <c r="AE55" s="176"/>
      <c r="AF55" s="176"/>
      <c r="AG55" s="176"/>
      <c r="AH55" s="178"/>
      <c r="AI55" s="266"/>
      <c r="AJ55" s="241"/>
      <c r="AK55" s="241"/>
      <c r="AL55" s="241" t="s">
        <v>223</v>
      </c>
      <c r="AM55" s="241"/>
      <c r="AN55" s="241"/>
      <c r="AO55" s="246"/>
    </row>
    <row r="56" spans="1:41" s="151" customFormat="1" ht="15" customHeight="1">
      <c r="A56" s="146"/>
      <c r="B56" s="239"/>
      <c r="C56" s="174"/>
      <c r="D56" s="199" t="s">
        <v>509</v>
      </c>
      <c r="E56" s="147"/>
      <c r="F56" s="147"/>
      <c r="G56" s="147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176"/>
      <c r="Z56" s="176"/>
      <c r="AA56" s="176"/>
      <c r="AB56" s="176"/>
      <c r="AC56" s="176"/>
      <c r="AD56" s="176"/>
      <c r="AE56" s="176"/>
      <c r="AF56" s="176"/>
      <c r="AG56" s="176"/>
      <c r="AH56" s="178"/>
      <c r="AI56" s="266"/>
      <c r="AJ56" s="241"/>
      <c r="AK56" s="241"/>
      <c r="AL56" s="241"/>
      <c r="AM56" s="241"/>
      <c r="AN56" s="241"/>
      <c r="AO56" s="246"/>
    </row>
    <row r="57" spans="1:41" s="151" customFormat="1" ht="15" customHeight="1">
      <c r="A57" s="146"/>
      <c r="B57" s="239"/>
      <c r="C57" s="174"/>
      <c r="D57" s="197"/>
      <c r="E57" s="198" t="s">
        <v>510</v>
      </c>
      <c r="F57" s="147"/>
      <c r="G57" s="147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76"/>
      <c r="AE57" s="176"/>
      <c r="AF57" s="176"/>
      <c r="AG57" s="176"/>
      <c r="AH57" s="178"/>
      <c r="AI57" s="266"/>
      <c r="AJ57" s="241" t="s">
        <v>223</v>
      </c>
      <c r="AK57" s="241"/>
      <c r="AL57" s="241"/>
      <c r="AM57" s="241"/>
      <c r="AN57" s="241"/>
      <c r="AO57" s="246"/>
    </row>
    <row r="58" spans="1:41" s="151" customFormat="1" ht="15" customHeight="1">
      <c r="A58" s="146"/>
      <c r="B58" s="239"/>
      <c r="C58" s="174"/>
      <c r="D58" s="197"/>
      <c r="E58" s="198" t="s">
        <v>511</v>
      </c>
      <c r="F58" s="147"/>
      <c r="G58" s="147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6"/>
      <c r="Y58" s="176"/>
      <c r="Z58" s="176"/>
      <c r="AA58" s="176"/>
      <c r="AB58" s="176"/>
      <c r="AC58" s="176"/>
      <c r="AD58" s="176"/>
      <c r="AE58" s="176"/>
      <c r="AF58" s="176"/>
      <c r="AG58" s="176"/>
      <c r="AH58" s="178"/>
      <c r="AI58" s="266"/>
      <c r="AJ58" s="241"/>
      <c r="AK58" s="241"/>
      <c r="AL58" s="241" t="s">
        <v>223</v>
      </c>
      <c r="AM58" s="241"/>
      <c r="AN58" s="241"/>
      <c r="AO58" s="246"/>
    </row>
    <row r="59" spans="1:41" s="151" customFormat="1" ht="15" customHeight="1">
      <c r="A59" s="146"/>
      <c r="B59" s="239"/>
      <c r="C59" s="174"/>
      <c r="D59" s="197"/>
      <c r="E59" s="148" t="s">
        <v>318</v>
      </c>
      <c r="F59" s="147"/>
      <c r="G59" s="147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76"/>
      <c r="AA59" s="176"/>
      <c r="AB59" s="176"/>
      <c r="AC59" s="176"/>
      <c r="AD59" s="176"/>
      <c r="AE59" s="176"/>
      <c r="AF59" s="176"/>
      <c r="AG59" s="176"/>
      <c r="AH59" s="178"/>
      <c r="AI59" s="266"/>
      <c r="AJ59" s="241"/>
      <c r="AK59" s="241"/>
      <c r="AL59" s="241"/>
      <c r="AM59" s="241"/>
      <c r="AN59" s="241"/>
      <c r="AO59" s="246"/>
    </row>
    <row r="60" spans="1:41" s="151" customFormat="1" ht="15" customHeight="1">
      <c r="A60" s="146"/>
      <c r="B60" s="239"/>
      <c r="C60" s="174"/>
      <c r="D60" s="199" t="s">
        <v>339</v>
      </c>
      <c r="E60" s="197"/>
      <c r="F60" s="147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176"/>
      <c r="Z60" s="176"/>
      <c r="AA60" s="176"/>
      <c r="AB60" s="176"/>
      <c r="AC60" s="176"/>
      <c r="AD60" s="176"/>
      <c r="AE60" s="176"/>
      <c r="AF60" s="176"/>
      <c r="AG60" s="176"/>
      <c r="AH60" s="178"/>
      <c r="AI60" s="266"/>
      <c r="AJ60" s="241"/>
      <c r="AK60" s="241"/>
      <c r="AL60" s="241"/>
      <c r="AM60" s="241"/>
      <c r="AN60" s="241"/>
      <c r="AO60" s="246"/>
    </row>
    <row r="61" spans="1:41" s="151" customFormat="1" ht="15" customHeight="1">
      <c r="A61" s="146"/>
      <c r="B61" s="239"/>
      <c r="C61" s="174"/>
      <c r="D61" s="197"/>
      <c r="E61" s="361" t="s">
        <v>340</v>
      </c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176"/>
      <c r="X61" s="176"/>
      <c r="Y61" s="176"/>
      <c r="Z61" s="176"/>
      <c r="AA61" s="176"/>
      <c r="AB61" s="176"/>
      <c r="AC61" s="176"/>
      <c r="AD61" s="176"/>
      <c r="AE61" s="176"/>
      <c r="AF61" s="176"/>
      <c r="AG61" s="176"/>
      <c r="AH61" s="178"/>
      <c r="AI61" s="266"/>
      <c r="AJ61" s="241"/>
      <c r="AK61" s="241"/>
      <c r="AL61" s="241" t="s">
        <v>223</v>
      </c>
      <c r="AM61" s="241"/>
      <c r="AN61" s="241"/>
      <c r="AO61" s="246"/>
    </row>
    <row r="62" spans="1:41" s="151" customFormat="1" ht="15" customHeight="1">
      <c r="A62" s="146"/>
      <c r="B62" s="239"/>
      <c r="C62" s="174"/>
      <c r="E62" s="373" t="s">
        <v>341</v>
      </c>
      <c r="F62" s="147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6"/>
      <c r="Y62" s="176"/>
      <c r="Z62" s="176"/>
      <c r="AA62" s="176"/>
      <c r="AB62" s="176"/>
      <c r="AC62" s="176"/>
      <c r="AD62" s="176"/>
      <c r="AE62" s="176"/>
      <c r="AF62" s="176"/>
      <c r="AG62" s="176"/>
      <c r="AH62" s="178"/>
      <c r="AI62" s="266"/>
      <c r="AJ62" s="241" t="s">
        <v>223</v>
      </c>
      <c r="AK62" s="241"/>
      <c r="AL62" s="241"/>
      <c r="AM62" s="241"/>
      <c r="AN62" s="241"/>
      <c r="AO62" s="246"/>
    </row>
    <row r="63" spans="1:41" s="151" customFormat="1" ht="15" customHeight="1">
      <c r="A63" s="146"/>
      <c r="B63" s="239"/>
      <c r="C63" s="174"/>
      <c r="D63" s="199" t="s">
        <v>319</v>
      </c>
      <c r="E63" s="197"/>
      <c r="F63" s="147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76"/>
      <c r="AH63" s="178"/>
      <c r="AI63" s="266"/>
      <c r="AJ63" s="241"/>
      <c r="AK63" s="241"/>
      <c r="AL63" s="241"/>
      <c r="AM63" s="241"/>
      <c r="AN63" s="241"/>
      <c r="AO63" s="246"/>
    </row>
    <row r="64" spans="1:41" s="151" customFormat="1" ht="15" customHeight="1">
      <c r="A64" s="146"/>
      <c r="B64" s="239"/>
      <c r="C64" s="174"/>
      <c r="D64" s="197"/>
      <c r="E64" s="49" t="s">
        <v>344</v>
      </c>
      <c r="F64" s="149"/>
      <c r="G64" s="149"/>
      <c r="H64" s="149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76"/>
      <c r="AA64" s="176"/>
      <c r="AB64" s="176"/>
      <c r="AC64" s="176"/>
      <c r="AD64" s="176"/>
      <c r="AE64" s="176"/>
      <c r="AF64" s="176"/>
      <c r="AG64" s="176"/>
      <c r="AH64" s="178"/>
      <c r="AI64" s="266"/>
      <c r="AJ64" s="241"/>
      <c r="AK64" s="241"/>
      <c r="AL64" s="241" t="s">
        <v>223</v>
      </c>
      <c r="AM64" s="241"/>
      <c r="AN64" s="241"/>
      <c r="AO64" s="246"/>
    </row>
    <row r="65" spans="1:41" s="151" customFormat="1" ht="15" customHeight="1">
      <c r="A65" s="146"/>
      <c r="B65" s="239"/>
      <c r="C65" s="174"/>
      <c r="E65" s="49" t="s">
        <v>345</v>
      </c>
      <c r="F65" s="48"/>
      <c r="G65" s="48"/>
      <c r="H65" s="149"/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  <c r="AF65" s="176"/>
      <c r="AG65" s="176"/>
      <c r="AH65" s="178"/>
      <c r="AI65" s="266"/>
      <c r="AJ65" s="241" t="s">
        <v>223</v>
      </c>
      <c r="AK65" s="241"/>
      <c r="AL65" s="241"/>
      <c r="AM65" s="241"/>
      <c r="AN65" s="241"/>
      <c r="AO65" s="246"/>
    </row>
    <row r="66" spans="1:41" s="151" customFormat="1" ht="15" customHeight="1">
      <c r="A66" s="146"/>
      <c r="B66" s="239"/>
      <c r="C66" s="174"/>
      <c r="D66" s="199" t="s">
        <v>334</v>
      </c>
      <c r="E66" s="176"/>
      <c r="F66" s="147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  <c r="S66" s="176"/>
      <c r="T66" s="176"/>
      <c r="U66" s="176"/>
      <c r="V66" s="176"/>
      <c r="W66" s="176"/>
      <c r="X66" s="176"/>
      <c r="Y66" s="176"/>
      <c r="Z66" s="176"/>
      <c r="AA66" s="176"/>
      <c r="AB66" s="176"/>
      <c r="AC66" s="176"/>
      <c r="AD66" s="176"/>
      <c r="AE66" s="176"/>
      <c r="AF66" s="176"/>
      <c r="AG66" s="176"/>
      <c r="AH66" s="178"/>
      <c r="AI66" s="266"/>
      <c r="AJ66" s="241"/>
      <c r="AK66" s="241"/>
      <c r="AL66" s="241"/>
      <c r="AM66" s="241"/>
      <c r="AN66" s="241"/>
      <c r="AO66" s="246"/>
    </row>
    <row r="67" spans="1:41" s="151" customFormat="1" ht="15" customHeight="1">
      <c r="A67" s="146"/>
      <c r="B67" s="239"/>
      <c r="C67" s="174"/>
      <c r="D67" s="197"/>
      <c r="E67" s="361" t="s">
        <v>340</v>
      </c>
      <c r="F67" s="147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  <c r="S67" s="176"/>
      <c r="T67" s="176"/>
      <c r="U67" s="176"/>
      <c r="V67" s="176"/>
      <c r="W67" s="176"/>
      <c r="X67" s="176"/>
      <c r="Y67" s="176"/>
      <c r="Z67" s="176"/>
      <c r="AA67" s="176"/>
      <c r="AB67" s="176"/>
      <c r="AC67" s="176"/>
      <c r="AD67" s="176"/>
      <c r="AE67" s="176"/>
      <c r="AF67" s="176"/>
      <c r="AG67" s="176"/>
      <c r="AH67" s="178"/>
      <c r="AI67" s="266"/>
      <c r="AJ67" s="241"/>
      <c r="AK67" s="241"/>
      <c r="AL67" s="241" t="s">
        <v>223</v>
      </c>
      <c r="AM67" s="241"/>
      <c r="AN67" s="241"/>
      <c r="AO67" s="246"/>
    </row>
    <row r="68" spans="1:41" s="151" customFormat="1" ht="15" customHeight="1">
      <c r="A68" s="146"/>
      <c r="B68" s="239"/>
      <c r="C68" s="174"/>
      <c r="E68" s="148" t="s">
        <v>318</v>
      </c>
      <c r="F68" s="147"/>
      <c r="G68" s="147"/>
      <c r="H68" s="147"/>
      <c r="I68" s="176"/>
      <c r="J68" s="176"/>
      <c r="K68" s="176"/>
      <c r="L68" s="176"/>
      <c r="M68" s="176"/>
      <c r="N68" s="176"/>
      <c r="O68" s="176"/>
      <c r="P68" s="176"/>
      <c r="Q68" s="176"/>
      <c r="R68" s="176"/>
      <c r="S68" s="176"/>
      <c r="T68" s="176"/>
      <c r="U68" s="176"/>
      <c r="V68" s="176"/>
      <c r="W68" s="176"/>
      <c r="X68" s="176"/>
      <c r="Y68" s="176"/>
      <c r="Z68" s="176"/>
      <c r="AA68" s="176"/>
      <c r="AB68" s="176"/>
      <c r="AC68" s="176"/>
      <c r="AD68" s="176"/>
      <c r="AE68" s="176"/>
      <c r="AF68" s="176"/>
      <c r="AG68" s="176"/>
      <c r="AH68" s="178"/>
      <c r="AI68" s="266"/>
      <c r="AJ68" s="241" t="s">
        <v>223</v>
      </c>
      <c r="AK68" s="241"/>
      <c r="AL68" s="241"/>
      <c r="AM68" s="241"/>
      <c r="AN68" s="241"/>
      <c r="AO68" s="246"/>
    </row>
    <row r="69" spans="1:41" s="151" customFormat="1" ht="15" customHeight="1">
      <c r="A69" s="146"/>
      <c r="B69" s="239"/>
      <c r="C69" s="174"/>
      <c r="D69" s="199" t="s">
        <v>337</v>
      </c>
      <c r="E69" s="197"/>
      <c r="F69" s="147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  <c r="S69" s="176"/>
      <c r="T69" s="176"/>
      <c r="U69" s="176"/>
      <c r="V69" s="176"/>
      <c r="W69" s="176"/>
      <c r="X69" s="176"/>
      <c r="Y69" s="176"/>
      <c r="Z69" s="176"/>
      <c r="AA69" s="176"/>
      <c r="AB69" s="176"/>
      <c r="AC69" s="176"/>
      <c r="AD69" s="176"/>
      <c r="AE69" s="176"/>
      <c r="AF69" s="176"/>
      <c r="AG69" s="176"/>
      <c r="AH69" s="178"/>
      <c r="AI69" s="266"/>
      <c r="AJ69" s="241"/>
      <c r="AK69" s="241"/>
      <c r="AL69" s="241"/>
      <c r="AM69" s="241"/>
      <c r="AN69" s="241"/>
      <c r="AO69" s="246"/>
    </row>
    <row r="70" spans="1:41" s="151" customFormat="1" ht="15" customHeight="1">
      <c r="A70" s="146"/>
      <c r="B70" s="239"/>
      <c r="C70" s="174"/>
      <c r="D70" s="197"/>
      <c r="E70" s="148" t="s">
        <v>338</v>
      </c>
      <c r="F70" s="147"/>
      <c r="G70" s="147"/>
      <c r="H70" s="147"/>
      <c r="I70" s="147"/>
      <c r="J70" s="147"/>
      <c r="K70" s="176"/>
      <c r="L70" s="176"/>
      <c r="M70" s="176"/>
      <c r="N70" s="176"/>
      <c r="O70" s="176"/>
      <c r="P70" s="176"/>
      <c r="Q70" s="176"/>
      <c r="R70" s="176"/>
      <c r="S70" s="176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76"/>
      <c r="AH70" s="178"/>
      <c r="AI70" s="266"/>
      <c r="AJ70" s="241" t="s">
        <v>223</v>
      </c>
      <c r="AK70" s="241"/>
      <c r="AL70" s="241"/>
      <c r="AM70" s="241"/>
      <c r="AN70" s="241"/>
      <c r="AO70" s="246"/>
    </row>
    <row r="71" spans="1:41" s="151" customFormat="1" ht="15.75" customHeight="1">
      <c r="A71" s="146"/>
      <c r="B71" s="239"/>
      <c r="C71" s="174"/>
      <c r="D71" s="48" t="s">
        <v>513</v>
      </c>
      <c r="E71" s="149"/>
      <c r="F71" s="149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  <c r="S71" s="176"/>
      <c r="T71" s="176"/>
      <c r="U71" s="176"/>
      <c r="V71" s="176"/>
      <c r="W71" s="176"/>
      <c r="X71" s="176"/>
      <c r="Y71" s="176"/>
      <c r="Z71" s="176"/>
      <c r="AA71" s="176"/>
      <c r="AB71" s="176"/>
      <c r="AC71" s="176"/>
      <c r="AD71" s="176"/>
      <c r="AE71" s="176"/>
      <c r="AF71" s="176"/>
      <c r="AG71" s="176"/>
      <c r="AH71" s="178"/>
      <c r="AI71" s="267"/>
      <c r="AJ71" s="47"/>
      <c r="AK71" s="47"/>
      <c r="AL71" s="241"/>
      <c r="AM71" s="241"/>
      <c r="AN71" s="241" t="s">
        <v>223</v>
      </c>
      <c r="AO71" s="246"/>
    </row>
    <row r="72" spans="1:41" s="151" customFormat="1" ht="15" customHeight="1">
      <c r="A72" s="146"/>
      <c r="B72" s="148"/>
      <c r="C72" s="149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208"/>
      <c r="AI72" s="267"/>
      <c r="AJ72" s="47"/>
      <c r="AK72" s="243"/>
      <c r="AL72" s="243"/>
      <c r="AM72" s="243"/>
      <c r="AN72" s="243"/>
      <c r="AO72" s="246"/>
    </row>
    <row r="73" spans="1:41" s="151" customFormat="1" ht="7.5" customHeight="1" thickBot="1">
      <c r="A73" s="146"/>
      <c r="B73" s="200"/>
      <c r="C73" s="201"/>
      <c r="D73" s="202"/>
      <c r="E73" s="202"/>
      <c r="F73" s="202"/>
      <c r="G73" s="202"/>
      <c r="H73" s="202"/>
      <c r="I73" s="202"/>
      <c r="J73" s="202"/>
      <c r="K73" s="202"/>
      <c r="L73" s="202"/>
      <c r="M73" s="202"/>
      <c r="N73" s="202"/>
      <c r="O73" s="202"/>
      <c r="P73" s="202"/>
      <c r="Q73" s="202"/>
      <c r="R73" s="202"/>
      <c r="S73" s="202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  <c r="AD73" s="202"/>
      <c r="AE73" s="202"/>
      <c r="AF73" s="202"/>
      <c r="AG73" s="202"/>
      <c r="AH73" s="247"/>
      <c r="AI73" s="267"/>
      <c r="AJ73" s="47"/>
      <c r="AK73" s="47"/>
      <c r="AL73" s="47"/>
      <c r="AM73" s="47"/>
      <c r="AN73" s="47"/>
      <c r="AO73" s="246"/>
    </row>
    <row r="74" spans="1:41" s="151" customFormat="1" ht="15" customHeight="1" thickTop="1">
      <c r="A74" s="203" t="s">
        <v>84</v>
      </c>
      <c r="B74" s="204"/>
      <c r="C74" s="204"/>
      <c r="D74" s="204"/>
      <c r="E74" s="204"/>
      <c r="F74" s="204"/>
      <c r="G74" s="204"/>
      <c r="H74" s="204"/>
      <c r="I74" s="204"/>
      <c r="J74" s="204"/>
      <c r="K74" s="205"/>
      <c r="L74" s="205"/>
      <c r="M74" s="205"/>
      <c r="N74" s="205"/>
      <c r="O74" s="205"/>
      <c r="P74" s="205"/>
      <c r="Q74" s="205"/>
      <c r="R74" s="205"/>
      <c r="S74" s="205"/>
      <c r="T74" s="205"/>
      <c r="U74" s="205"/>
      <c r="V74" s="205"/>
      <c r="W74" s="205"/>
      <c r="X74" s="205"/>
      <c r="Y74" s="205"/>
      <c r="Z74" s="205"/>
      <c r="AA74" s="205"/>
      <c r="AB74" s="205"/>
      <c r="AC74" s="205"/>
      <c r="AD74" s="205"/>
      <c r="AE74" s="205"/>
      <c r="AF74" s="205"/>
      <c r="AG74" s="205"/>
      <c r="AH74" s="206"/>
      <c r="AI74" s="268"/>
      <c r="AJ74" s="244"/>
      <c r="AK74" s="244"/>
      <c r="AL74" s="244"/>
      <c r="AM74" s="244"/>
      <c r="AN74" s="244"/>
      <c r="AO74" s="343"/>
    </row>
    <row r="75" spans="1:41" s="151" customFormat="1" ht="30" customHeight="1">
      <c r="A75" s="207"/>
      <c r="B75" s="506" t="s">
        <v>85</v>
      </c>
      <c r="C75" s="507"/>
      <c r="D75" s="507"/>
      <c r="E75" s="507"/>
      <c r="F75" s="507"/>
      <c r="G75" s="507"/>
      <c r="H75" s="507"/>
      <c r="I75" s="507"/>
      <c r="J75" s="507"/>
      <c r="K75" s="507"/>
      <c r="L75" s="507"/>
      <c r="M75" s="507"/>
      <c r="N75" s="507"/>
      <c r="O75" s="507"/>
      <c r="P75" s="507"/>
      <c r="Q75" s="507"/>
      <c r="R75" s="507"/>
      <c r="S75" s="507"/>
      <c r="T75" s="507"/>
      <c r="U75" s="507"/>
      <c r="V75" s="507"/>
      <c r="W75" s="507"/>
      <c r="X75" s="507"/>
      <c r="Y75" s="507"/>
      <c r="Z75" s="507"/>
      <c r="AA75" s="507"/>
      <c r="AB75" s="507"/>
      <c r="AC75" s="507"/>
      <c r="AD75" s="507"/>
      <c r="AE75" s="507"/>
      <c r="AF75" s="507"/>
      <c r="AG75" s="507"/>
      <c r="AH75" s="507"/>
      <c r="AI75" s="269"/>
      <c r="AJ75" s="245"/>
      <c r="AK75" s="245"/>
      <c r="AL75" s="245"/>
      <c r="AM75" s="245"/>
      <c r="AN75" s="245"/>
      <c r="AO75" s="344"/>
    </row>
    <row r="76" spans="1:41" s="151" customFormat="1" ht="15" customHeight="1">
      <c r="A76" s="146"/>
      <c r="B76" s="49" t="s">
        <v>86</v>
      </c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178"/>
      <c r="AI76" s="265"/>
      <c r="AJ76" s="240"/>
      <c r="AK76" s="240"/>
      <c r="AL76" s="240"/>
      <c r="AM76" s="240"/>
      <c r="AN76" s="240"/>
      <c r="AO76" s="341"/>
    </row>
    <row r="77" spans="1:41" s="151" customFormat="1" ht="15" customHeight="1">
      <c r="A77" s="146"/>
      <c r="B77" s="195"/>
      <c r="C77" s="362" t="s">
        <v>320</v>
      </c>
      <c r="D77" s="49"/>
      <c r="E77" s="48"/>
      <c r="F77" s="48"/>
      <c r="G77" s="48"/>
      <c r="H77" s="48"/>
      <c r="I77" s="48"/>
      <c r="J77" s="48"/>
      <c r="K77" s="48"/>
      <c r="L77" s="48"/>
      <c r="M77" s="149"/>
      <c r="N77" s="48"/>
      <c r="O77" s="149"/>
      <c r="P77" s="149"/>
      <c r="Q77" s="48"/>
      <c r="R77" s="48"/>
      <c r="S77" s="149"/>
      <c r="T77" s="149"/>
      <c r="U77" s="149"/>
      <c r="V77" s="149"/>
      <c r="W77" s="149"/>
      <c r="X77" s="149"/>
      <c r="Y77" s="149"/>
      <c r="Z77" s="149"/>
      <c r="AA77" s="149"/>
      <c r="AB77" s="149"/>
      <c r="AC77" s="149"/>
      <c r="AD77" s="149"/>
      <c r="AE77" s="149"/>
      <c r="AF77" s="149"/>
      <c r="AG77" s="208"/>
      <c r="AH77" s="345"/>
      <c r="AI77" s="267"/>
      <c r="AJ77" s="47"/>
      <c r="AK77" s="47"/>
      <c r="AL77" s="47"/>
      <c r="AM77" s="47"/>
      <c r="AN77" s="47"/>
      <c r="AO77" s="246"/>
    </row>
    <row r="78" spans="1:41" s="151" customFormat="1" ht="15" customHeight="1">
      <c r="A78" s="146"/>
      <c r="B78" s="195"/>
      <c r="C78" s="360"/>
      <c r="D78" s="363" t="s">
        <v>360</v>
      </c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149"/>
      <c r="T78" s="149"/>
      <c r="U78" s="149"/>
      <c r="V78" s="149"/>
      <c r="W78" s="149"/>
      <c r="X78" s="149"/>
      <c r="Y78" s="149"/>
      <c r="Z78" s="149"/>
      <c r="AA78" s="149"/>
      <c r="AB78" s="149"/>
      <c r="AC78" s="149"/>
      <c r="AD78" s="149"/>
      <c r="AE78" s="149"/>
      <c r="AF78" s="149"/>
      <c r="AG78" s="208"/>
      <c r="AH78" s="349"/>
      <c r="AI78" s="47"/>
      <c r="AJ78" s="241"/>
      <c r="AK78" s="241" t="s">
        <v>223</v>
      </c>
      <c r="AL78" s="47"/>
      <c r="AM78" s="47"/>
      <c r="AN78" s="47" t="s">
        <v>223</v>
      </c>
      <c r="AO78" s="246"/>
    </row>
    <row r="79" spans="1:41" s="151" customFormat="1" ht="15" customHeight="1">
      <c r="A79" s="146"/>
      <c r="B79" s="195"/>
      <c r="C79" s="49" t="s">
        <v>72</v>
      </c>
      <c r="D79" s="48"/>
      <c r="E79" s="48"/>
      <c r="F79" s="48"/>
      <c r="G79" s="149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149"/>
      <c r="T79" s="149"/>
      <c r="U79" s="149"/>
      <c r="V79" s="149"/>
      <c r="W79" s="149"/>
      <c r="X79" s="149"/>
      <c r="Y79" s="149"/>
      <c r="Z79" s="149"/>
      <c r="AA79" s="149"/>
      <c r="AB79" s="149"/>
      <c r="AC79" s="149"/>
      <c r="AD79" s="149"/>
      <c r="AE79" s="149"/>
      <c r="AF79" s="149"/>
      <c r="AG79" s="208"/>
      <c r="AH79" s="349"/>
      <c r="AI79" s="47"/>
      <c r="AJ79" s="47"/>
      <c r="AK79" s="47"/>
      <c r="AL79" s="47"/>
      <c r="AM79" s="47"/>
      <c r="AN79" s="47"/>
      <c r="AO79" s="246"/>
    </row>
    <row r="80" spans="1:41" s="151" customFormat="1" ht="15" customHeight="1">
      <c r="A80" s="146"/>
      <c r="B80" s="195"/>
      <c r="C80" s="174"/>
      <c r="D80" s="48" t="s">
        <v>52</v>
      </c>
      <c r="E80" s="48"/>
      <c r="F80" s="48"/>
      <c r="G80" s="149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149"/>
      <c r="T80" s="149"/>
      <c r="U80" s="149"/>
      <c r="V80" s="149"/>
      <c r="W80" s="149"/>
      <c r="X80" s="149"/>
      <c r="Y80" s="149"/>
      <c r="Z80" s="149"/>
      <c r="AA80" s="149"/>
      <c r="AB80" s="149"/>
      <c r="AC80" s="149"/>
      <c r="AD80" s="149"/>
      <c r="AE80" s="149"/>
      <c r="AF80" s="149"/>
      <c r="AG80" s="208"/>
      <c r="AH80" s="345"/>
      <c r="AI80" s="267"/>
      <c r="AJ80" s="47"/>
      <c r="AK80" s="47"/>
      <c r="AL80" s="47"/>
      <c r="AM80" s="47"/>
      <c r="AN80" s="47"/>
      <c r="AO80" s="246"/>
    </row>
    <row r="81" spans="1:41" s="151" customFormat="1" ht="15" customHeight="1">
      <c r="A81" s="146"/>
      <c r="B81" s="195"/>
      <c r="C81" s="174"/>
      <c r="D81" s="174"/>
      <c r="E81" s="48" t="s">
        <v>321</v>
      </c>
      <c r="F81" s="48"/>
      <c r="G81" s="149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149"/>
      <c r="T81" s="149"/>
      <c r="U81" s="149"/>
      <c r="V81" s="149"/>
      <c r="W81" s="149"/>
      <c r="X81" s="149"/>
      <c r="Y81" s="149"/>
      <c r="Z81" s="149"/>
      <c r="AA81" s="149"/>
      <c r="AB81" s="149"/>
      <c r="AC81" s="149"/>
      <c r="AD81" s="149"/>
      <c r="AE81" s="149"/>
      <c r="AF81" s="149"/>
      <c r="AG81" s="208"/>
      <c r="AH81" s="349"/>
      <c r="AI81" s="47" t="s">
        <v>223</v>
      </c>
      <c r="AJ81" s="241" t="s">
        <v>223</v>
      </c>
      <c r="AK81" s="241" t="s">
        <v>223</v>
      </c>
      <c r="AL81" s="241" t="s">
        <v>223</v>
      </c>
      <c r="AM81" s="241" t="s">
        <v>223</v>
      </c>
      <c r="AN81" s="241" t="s">
        <v>223</v>
      </c>
      <c r="AO81" s="246"/>
    </row>
    <row r="82" spans="1:41" s="151" customFormat="1" ht="15" customHeight="1">
      <c r="A82" s="146"/>
      <c r="B82" s="195"/>
      <c r="C82" s="49" t="s">
        <v>75</v>
      </c>
      <c r="D82" s="149"/>
      <c r="E82" s="48"/>
      <c r="F82" s="48"/>
      <c r="G82" s="149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149"/>
      <c r="T82" s="149"/>
      <c r="U82" s="149"/>
      <c r="V82" s="149"/>
      <c r="W82" s="149"/>
      <c r="X82" s="149"/>
      <c r="Y82" s="149"/>
      <c r="Z82" s="149"/>
      <c r="AA82" s="149"/>
      <c r="AB82" s="149"/>
      <c r="AC82" s="149"/>
      <c r="AD82" s="149"/>
      <c r="AE82" s="149"/>
      <c r="AF82" s="149"/>
      <c r="AG82" s="208"/>
      <c r="AH82" s="349"/>
      <c r="AI82" s="47"/>
      <c r="AJ82" s="47"/>
      <c r="AK82" s="47"/>
      <c r="AL82" s="47"/>
      <c r="AM82" s="47"/>
      <c r="AN82" s="47"/>
      <c r="AO82" s="246"/>
    </row>
    <row r="83" spans="1:41" s="151" customFormat="1" ht="15" customHeight="1">
      <c r="A83" s="146"/>
      <c r="B83" s="195"/>
      <c r="C83" s="195"/>
      <c r="D83" s="195" t="s">
        <v>323</v>
      </c>
      <c r="E83" s="48"/>
      <c r="F83" s="48"/>
      <c r="G83" s="149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149"/>
      <c r="T83" s="149"/>
      <c r="U83" s="149"/>
      <c r="V83" s="149"/>
      <c r="W83" s="149"/>
      <c r="X83" s="149"/>
      <c r="Y83" s="149"/>
      <c r="Z83" s="149"/>
      <c r="AA83" s="149"/>
      <c r="AB83" s="149"/>
      <c r="AC83" s="149"/>
      <c r="AD83" s="149"/>
      <c r="AE83" s="149"/>
      <c r="AF83" s="149"/>
      <c r="AG83" s="208"/>
      <c r="AH83" s="345"/>
      <c r="AI83" s="267"/>
      <c r="AJ83" s="47"/>
      <c r="AK83" s="47"/>
      <c r="AL83" s="47"/>
      <c r="AM83" s="47"/>
      <c r="AN83" s="47"/>
      <c r="AO83" s="246"/>
    </row>
    <row r="84" spans="1:41" s="151" customFormat="1" ht="15" customHeight="1">
      <c r="A84" s="146"/>
      <c r="B84" s="195"/>
      <c r="C84" s="195"/>
      <c r="D84" s="174"/>
      <c r="E84" s="375" t="s">
        <v>359</v>
      </c>
      <c r="F84" s="149"/>
      <c r="G84" s="149"/>
      <c r="H84" s="149"/>
      <c r="I84" s="149"/>
      <c r="J84" s="149"/>
      <c r="K84" s="48"/>
      <c r="L84" s="48"/>
      <c r="M84" s="48"/>
      <c r="N84" s="48"/>
      <c r="O84" s="48"/>
      <c r="P84" s="48"/>
      <c r="Q84" s="48"/>
      <c r="R84" s="48"/>
      <c r="S84" s="149"/>
      <c r="T84" s="149"/>
      <c r="U84" s="149"/>
      <c r="V84" s="149"/>
      <c r="W84" s="149"/>
      <c r="X84" s="149"/>
      <c r="Y84" s="149"/>
      <c r="Z84" s="149"/>
      <c r="AA84" s="149"/>
      <c r="AB84" s="149"/>
      <c r="AC84" s="149"/>
      <c r="AD84" s="149"/>
      <c r="AE84" s="149"/>
      <c r="AF84" s="149"/>
      <c r="AG84" s="208"/>
      <c r="AH84" s="349"/>
      <c r="AI84" s="47" t="s">
        <v>223</v>
      </c>
      <c r="AJ84" s="241" t="s">
        <v>223</v>
      </c>
      <c r="AK84" s="241" t="s">
        <v>223</v>
      </c>
      <c r="AL84" s="241" t="s">
        <v>223</v>
      </c>
      <c r="AM84" s="241" t="s">
        <v>223</v>
      </c>
      <c r="AN84" s="241" t="s">
        <v>223</v>
      </c>
      <c r="AO84" s="246"/>
    </row>
    <row r="85" spans="1:41" s="151" customFormat="1" ht="15" customHeight="1">
      <c r="A85" s="146"/>
      <c r="B85" s="195"/>
      <c r="C85" s="195"/>
      <c r="D85" s="49" t="s">
        <v>355</v>
      </c>
      <c r="E85" s="23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149"/>
      <c r="T85" s="149"/>
      <c r="U85" s="149"/>
      <c r="V85" s="149"/>
      <c r="W85" s="149"/>
      <c r="X85" s="149"/>
      <c r="Y85" s="149"/>
      <c r="Z85" s="149"/>
      <c r="AA85" s="149"/>
      <c r="AB85" s="149"/>
      <c r="AC85" s="149"/>
      <c r="AD85" s="149"/>
      <c r="AE85" s="149"/>
      <c r="AF85" s="149"/>
      <c r="AG85" s="208"/>
      <c r="AH85" s="345"/>
      <c r="AI85" s="267"/>
      <c r="AJ85" s="47"/>
      <c r="AK85" s="47"/>
      <c r="AL85" s="47"/>
      <c r="AM85" s="47"/>
      <c r="AN85" s="47"/>
      <c r="AO85" s="246"/>
    </row>
    <row r="86" spans="1:41" s="151" customFormat="1" ht="15" customHeight="1">
      <c r="A86" s="146"/>
      <c r="B86" s="195"/>
      <c r="C86" s="195"/>
      <c r="D86" s="195"/>
      <c r="E86" s="198" t="s">
        <v>523</v>
      </c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149"/>
      <c r="T86" s="149"/>
      <c r="U86" s="149"/>
      <c r="V86" s="149"/>
      <c r="W86" s="149"/>
      <c r="X86" s="149"/>
      <c r="Y86" s="149"/>
      <c r="Z86" s="149"/>
      <c r="AA86" s="149"/>
      <c r="AB86" s="149"/>
      <c r="AC86" s="149"/>
      <c r="AD86" s="149"/>
      <c r="AE86" s="149"/>
      <c r="AF86" s="149"/>
      <c r="AG86" s="208"/>
      <c r="AH86" s="345"/>
      <c r="AI86" s="267"/>
      <c r="AJ86" s="47"/>
      <c r="AK86" s="47" t="s">
        <v>223</v>
      </c>
      <c r="AL86" s="47"/>
      <c r="AM86" s="47"/>
      <c r="AN86" s="47"/>
      <c r="AO86" s="246"/>
    </row>
    <row r="87" spans="1:41" s="151" customFormat="1" ht="15" customHeight="1">
      <c r="A87" s="146"/>
      <c r="B87" s="195"/>
      <c r="C87" s="195"/>
      <c r="D87" s="195"/>
      <c r="E87" s="198" t="s">
        <v>522</v>
      </c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149"/>
      <c r="T87" s="149"/>
      <c r="U87" s="149"/>
      <c r="V87" s="149"/>
      <c r="W87" s="149"/>
      <c r="X87" s="149"/>
      <c r="Y87" s="149"/>
      <c r="Z87" s="149"/>
      <c r="AA87" s="149"/>
      <c r="AB87" s="149"/>
      <c r="AC87" s="149"/>
      <c r="AD87" s="149"/>
      <c r="AE87" s="149"/>
      <c r="AF87" s="149"/>
      <c r="AG87" s="208"/>
      <c r="AH87" s="345"/>
      <c r="AI87" s="267"/>
      <c r="AJ87" s="47"/>
      <c r="AK87" s="47"/>
      <c r="AL87" s="47"/>
      <c r="AM87" s="47"/>
      <c r="AN87" s="47" t="s">
        <v>223</v>
      </c>
      <c r="AO87" s="246"/>
    </row>
    <row r="88" spans="1:41" s="151" customFormat="1" ht="15" customHeight="1">
      <c r="A88" s="146"/>
      <c r="B88" s="195"/>
      <c r="C88" s="195"/>
      <c r="D88" s="49" t="s">
        <v>324</v>
      </c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149"/>
      <c r="T88" s="149"/>
      <c r="U88" s="149"/>
      <c r="V88" s="149"/>
      <c r="W88" s="149"/>
      <c r="X88" s="149"/>
      <c r="Y88" s="149"/>
      <c r="Z88" s="149"/>
      <c r="AA88" s="149"/>
      <c r="AB88" s="149"/>
      <c r="AC88" s="149"/>
      <c r="AD88" s="149"/>
      <c r="AE88" s="149"/>
      <c r="AF88" s="149"/>
      <c r="AG88" s="208"/>
      <c r="AH88" s="349"/>
      <c r="AI88" s="47"/>
      <c r="AJ88" s="47"/>
      <c r="AK88" s="47"/>
      <c r="AL88" s="47"/>
      <c r="AM88" s="47"/>
      <c r="AN88" s="47"/>
      <c r="AO88" s="246"/>
    </row>
    <row r="89" spans="1:41" s="151" customFormat="1" ht="15" customHeight="1">
      <c r="A89" s="146"/>
      <c r="B89" s="195"/>
      <c r="C89" s="195"/>
      <c r="D89" s="174"/>
      <c r="E89" s="48" t="s">
        <v>87</v>
      </c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149"/>
      <c r="T89" s="149"/>
      <c r="U89" s="149"/>
      <c r="V89" s="149"/>
      <c r="W89" s="149"/>
      <c r="X89" s="149"/>
      <c r="Y89" s="149"/>
      <c r="Z89" s="149"/>
      <c r="AA89" s="149"/>
      <c r="AB89" s="149"/>
      <c r="AC89" s="149"/>
      <c r="AD89" s="149"/>
      <c r="AE89" s="149"/>
      <c r="AF89" s="149"/>
      <c r="AG89" s="208"/>
      <c r="AH89" s="349"/>
      <c r="AI89" s="47"/>
      <c r="AJ89" s="47"/>
      <c r="AK89" s="47"/>
      <c r="AL89" s="47"/>
      <c r="AM89" s="47"/>
      <c r="AN89" s="47"/>
      <c r="AO89" s="246"/>
    </row>
    <row r="90" spans="1:41" s="151" customFormat="1" ht="15" customHeight="1">
      <c r="A90" s="146"/>
      <c r="B90" s="195"/>
      <c r="C90" s="195"/>
      <c r="D90" s="174"/>
      <c r="E90" s="175"/>
      <c r="F90" s="48" t="s">
        <v>524</v>
      </c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149"/>
      <c r="T90" s="149"/>
      <c r="U90" s="149"/>
      <c r="V90" s="149"/>
      <c r="W90" s="149"/>
      <c r="X90" s="149"/>
      <c r="Y90" s="149"/>
      <c r="Z90" s="149"/>
      <c r="AA90" s="149"/>
      <c r="AB90" s="149"/>
      <c r="AC90" s="149"/>
      <c r="AD90" s="149"/>
      <c r="AE90" s="149"/>
      <c r="AF90" s="149"/>
      <c r="AG90" s="208"/>
      <c r="AH90" s="345"/>
      <c r="AI90" s="47" t="s">
        <v>223</v>
      </c>
      <c r="AJ90" s="241" t="s">
        <v>223</v>
      </c>
      <c r="AK90" s="241" t="s">
        <v>223</v>
      </c>
      <c r="AL90" s="241" t="s">
        <v>223</v>
      </c>
      <c r="AM90" s="241" t="s">
        <v>223</v>
      </c>
      <c r="AN90" s="241" t="s">
        <v>223</v>
      </c>
      <c r="AO90" s="246"/>
    </row>
    <row r="91" spans="1:41" s="151" customFormat="1" ht="15" customHeight="1">
      <c r="A91" s="146"/>
      <c r="B91" s="195"/>
      <c r="C91" s="195"/>
      <c r="D91" s="174"/>
      <c r="E91" s="48" t="s">
        <v>78</v>
      </c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149"/>
      <c r="T91" s="149"/>
      <c r="U91" s="149"/>
      <c r="V91" s="149"/>
      <c r="W91" s="149"/>
      <c r="X91" s="149"/>
      <c r="Y91" s="149"/>
      <c r="Z91" s="149"/>
      <c r="AA91" s="149"/>
      <c r="AB91" s="149"/>
      <c r="AC91" s="149"/>
      <c r="AD91" s="149"/>
      <c r="AE91" s="149"/>
      <c r="AF91" s="149"/>
      <c r="AG91" s="208"/>
      <c r="AH91" s="349"/>
      <c r="AI91" s="47"/>
      <c r="AJ91" s="47"/>
      <c r="AK91" s="47"/>
      <c r="AL91" s="47"/>
      <c r="AM91" s="47"/>
      <c r="AN91" s="47"/>
      <c r="AO91" s="246"/>
    </row>
    <row r="92" spans="1:41" s="151" customFormat="1" ht="15" customHeight="1">
      <c r="A92" s="146"/>
      <c r="B92" s="195"/>
      <c r="C92" s="195"/>
      <c r="D92" s="174"/>
      <c r="F92" s="148" t="s">
        <v>402</v>
      </c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149"/>
      <c r="T92" s="149"/>
      <c r="U92" s="149"/>
      <c r="V92" s="149"/>
      <c r="W92" s="149"/>
      <c r="X92" s="149"/>
      <c r="Y92" s="149"/>
      <c r="Z92" s="149"/>
      <c r="AA92" s="149"/>
      <c r="AB92" s="149"/>
      <c r="AC92" s="149"/>
      <c r="AD92" s="149"/>
      <c r="AE92" s="149"/>
      <c r="AF92" s="149"/>
      <c r="AG92" s="208"/>
      <c r="AH92" s="349"/>
      <c r="AI92" s="241" t="s">
        <v>223</v>
      </c>
      <c r="AJ92" s="241"/>
      <c r="AK92" s="241"/>
      <c r="AL92" s="241"/>
      <c r="AM92" s="47"/>
      <c r="AN92" s="47"/>
      <c r="AO92" s="246"/>
    </row>
    <row r="93" spans="1:41" s="151" customFormat="1" ht="15" customHeight="1">
      <c r="A93" s="146"/>
      <c r="B93" s="195"/>
      <c r="C93" s="195"/>
      <c r="D93" s="174"/>
      <c r="F93" s="49" t="s">
        <v>399</v>
      </c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149"/>
      <c r="T93" s="149"/>
      <c r="U93" s="149"/>
      <c r="V93" s="149"/>
      <c r="W93" s="149"/>
      <c r="X93" s="149"/>
      <c r="Y93" s="149"/>
      <c r="Z93" s="149"/>
      <c r="AA93" s="149"/>
      <c r="AB93" s="149"/>
      <c r="AC93" s="149"/>
      <c r="AD93" s="149"/>
      <c r="AE93" s="149"/>
      <c r="AF93" s="149"/>
      <c r="AG93" s="208"/>
      <c r="AH93" s="349"/>
      <c r="AI93" s="241"/>
      <c r="AJ93" s="241" t="s">
        <v>223</v>
      </c>
      <c r="AK93" s="241"/>
      <c r="AL93" s="241"/>
      <c r="AM93" s="47"/>
      <c r="AN93" s="47"/>
      <c r="AO93" s="246"/>
    </row>
    <row r="94" spans="1:41" s="151" customFormat="1" ht="15" customHeight="1">
      <c r="A94" s="146"/>
      <c r="B94" s="195"/>
      <c r="C94" s="195"/>
      <c r="D94" s="174"/>
      <c r="E94" s="195"/>
      <c r="F94" s="148" t="s">
        <v>400</v>
      </c>
      <c r="G94" s="149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149"/>
      <c r="T94" s="149"/>
      <c r="U94" s="149"/>
      <c r="V94" s="149"/>
      <c r="W94" s="149"/>
      <c r="X94" s="149"/>
      <c r="Y94" s="149"/>
      <c r="Z94" s="149"/>
      <c r="AA94" s="149"/>
      <c r="AB94" s="149"/>
      <c r="AC94" s="149"/>
      <c r="AD94" s="149"/>
      <c r="AE94" s="149"/>
      <c r="AF94" s="149"/>
      <c r="AG94" s="208"/>
      <c r="AH94" s="349"/>
      <c r="AI94" s="241"/>
      <c r="AJ94" s="241"/>
      <c r="AK94" s="241" t="s">
        <v>223</v>
      </c>
      <c r="AL94" s="241"/>
      <c r="AM94" s="47"/>
      <c r="AN94" s="47"/>
      <c r="AO94" s="246"/>
    </row>
    <row r="95" spans="1:41" s="151" customFormat="1" ht="15" customHeight="1">
      <c r="A95" s="146"/>
      <c r="B95" s="195"/>
      <c r="C95" s="195"/>
      <c r="D95" s="174"/>
      <c r="E95" s="174"/>
      <c r="F95" s="48" t="s">
        <v>401</v>
      </c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149"/>
      <c r="T95" s="149"/>
      <c r="U95" s="149"/>
      <c r="V95" s="149"/>
      <c r="W95" s="149"/>
      <c r="X95" s="149"/>
      <c r="Y95" s="149"/>
      <c r="Z95" s="149"/>
      <c r="AA95" s="149"/>
      <c r="AB95" s="149"/>
      <c r="AC95" s="149"/>
      <c r="AD95" s="149"/>
      <c r="AE95" s="149"/>
      <c r="AF95" s="149"/>
      <c r="AG95" s="208"/>
      <c r="AH95" s="349"/>
      <c r="AI95" s="241"/>
      <c r="AJ95" s="241"/>
      <c r="AK95" s="241"/>
      <c r="AL95" s="241" t="s">
        <v>223</v>
      </c>
      <c r="AM95" s="47"/>
      <c r="AN95" s="47"/>
      <c r="AO95" s="246"/>
    </row>
    <row r="96" spans="1:41" s="151" customFormat="1" ht="15" customHeight="1">
      <c r="A96" s="146"/>
      <c r="B96" s="195"/>
      <c r="C96" s="195"/>
      <c r="D96" s="174"/>
      <c r="E96" s="49" t="s">
        <v>325</v>
      </c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149"/>
      <c r="T96" s="149"/>
      <c r="U96" s="149"/>
      <c r="V96" s="149"/>
      <c r="W96" s="149"/>
      <c r="X96" s="149"/>
      <c r="Y96" s="149"/>
      <c r="Z96" s="149"/>
      <c r="AA96" s="149"/>
      <c r="AB96" s="149"/>
      <c r="AC96" s="149"/>
      <c r="AD96" s="149"/>
      <c r="AE96" s="149"/>
      <c r="AF96" s="149"/>
      <c r="AG96" s="208"/>
      <c r="AH96" s="345"/>
      <c r="AI96" s="267"/>
      <c r="AJ96" s="47"/>
      <c r="AK96" s="47"/>
      <c r="AL96" s="47"/>
      <c r="AM96" s="47"/>
      <c r="AN96" s="47"/>
      <c r="AO96" s="246"/>
    </row>
    <row r="97" spans="1:41" s="151" customFormat="1" ht="15" customHeight="1">
      <c r="A97" s="146"/>
      <c r="B97" s="195"/>
      <c r="C97" s="195"/>
      <c r="D97" s="174"/>
      <c r="E97" s="195"/>
      <c r="F97" s="148" t="s">
        <v>409</v>
      </c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149"/>
      <c r="T97" s="149"/>
      <c r="U97" s="149"/>
      <c r="V97" s="149"/>
      <c r="W97" s="149"/>
      <c r="X97" s="149"/>
      <c r="Y97" s="149"/>
      <c r="Z97" s="149"/>
      <c r="AA97" s="149"/>
      <c r="AB97" s="149"/>
      <c r="AC97" s="149"/>
      <c r="AD97" s="149"/>
      <c r="AE97" s="149"/>
      <c r="AF97" s="149"/>
      <c r="AG97" s="208"/>
      <c r="AH97" s="345"/>
      <c r="AI97" s="241" t="s">
        <v>223</v>
      </c>
      <c r="AJ97" s="241"/>
      <c r="AK97" s="241"/>
      <c r="AL97" s="241"/>
      <c r="AM97" s="47"/>
      <c r="AN97" s="47"/>
      <c r="AO97" s="246"/>
    </row>
    <row r="98" spans="1:41" s="151" customFormat="1" ht="15" customHeight="1">
      <c r="A98" s="146"/>
      <c r="B98" s="195"/>
      <c r="C98" s="195"/>
      <c r="D98" s="174"/>
      <c r="E98" s="174"/>
      <c r="F98" s="148" t="s">
        <v>410</v>
      </c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149"/>
      <c r="T98" s="149"/>
      <c r="U98" s="149"/>
      <c r="V98" s="149"/>
      <c r="W98" s="149"/>
      <c r="X98" s="149"/>
      <c r="Y98" s="149"/>
      <c r="Z98" s="149"/>
      <c r="AA98" s="149"/>
      <c r="AB98" s="149"/>
      <c r="AC98" s="149"/>
      <c r="AD98" s="149"/>
      <c r="AE98" s="149"/>
      <c r="AF98" s="149"/>
      <c r="AG98" s="208"/>
      <c r="AH98" s="349"/>
      <c r="AI98" s="241"/>
      <c r="AJ98" s="241" t="s">
        <v>223</v>
      </c>
      <c r="AK98" s="241"/>
      <c r="AL98" s="241"/>
      <c r="AM98" s="47"/>
      <c r="AN98" s="47"/>
      <c r="AO98" s="246"/>
    </row>
    <row r="99" spans="1:41" s="151" customFormat="1" ht="15" customHeight="1">
      <c r="A99" s="146"/>
      <c r="B99" s="195"/>
      <c r="C99" s="195"/>
      <c r="D99" s="174"/>
      <c r="E99" s="174"/>
      <c r="F99" s="148" t="s">
        <v>411</v>
      </c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149"/>
      <c r="T99" s="149"/>
      <c r="U99" s="149"/>
      <c r="V99" s="149"/>
      <c r="W99" s="149"/>
      <c r="X99" s="149"/>
      <c r="Y99" s="149"/>
      <c r="Z99" s="149"/>
      <c r="AA99" s="149"/>
      <c r="AB99" s="149"/>
      <c r="AC99" s="149"/>
      <c r="AD99" s="149"/>
      <c r="AE99" s="149"/>
      <c r="AF99" s="149"/>
      <c r="AG99" s="208"/>
      <c r="AH99" s="345"/>
      <c r="AI99" s="241"/>
      <c r="AJ99" s="241"/>
      <c r="AK99" s="241" t="s">
        <v>223</v>
      </c>
      <c r="AL99" s="241"/>
      <c r="AM99" s="47"/>
      <c r="AN99" s="47"/>
      <c r="AO99" s="246"/>
    </row>
    <row r="100" spans="1:41" s="151" customFormat="1" ht="15" customHeight="1">
      <c r="A100" s="146"/>
      <c r="B100" s="195"/>
      <c r="C100" s="195"/>
      <c r="D100" s="174"/>
      <c r="E100" s="175"/>
      <c r="F100" s="148" t="s">
        <v>412</v>
      </c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149"/>
      <c r="T100" s="149"/>
      <c r="U100" s="149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49"/>
      <c r="AF100" s="149"/>
      <c r="AG100" s="208"/>
      <c r="AH100" s="349"/>
      <c r="AI100" s="241"/>
      <c r="AJ100" s="241"/>
      <c r="AK100" s="241"/>
      <c r="AL100" s="241" t="s">
        <v>223</v>
      </c>
      <c r="AM100" s="47"/>
      <c r="AN100" s="47"/>
      <c r="AO100" s="246"/>
    </row>
    <row r="101" spans="1:41" s="151" customFormat="1" ht="15" customHeight="1">
      <c r="A101" s="146"/>
      <c r="B101" s="195"/>
      <c r="C101" s="195"/>
      <c r="D101" s="174"/>
      <c r="E101" s="48" t="s">
        <v>326</v>
      </c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149"/>
      <c r="T101" s="149"/>
      <c r="U101" s="149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49"/>
      <c r="AF101" s="149"/>
      <c r="AG101" s="208"/>
      <c r="AH101" s="349"/>
      <c r="AI101" s="241"/>
      <c r="AJ101" s="47"/>
      <c r="AK101" s="47"/>
      <c r="AL101" s="47"/>
      <c r="AM101" s="47"/>
      <c r="AN101" s="47"/>
      <c r="AO101" s="246"/>
    </row>
    <row r="102" spans="1:41" s="151" customFormat="1" ht="15" customHeight="1">
      <c r="A102" s="146"/>
      <c r="B102" s="195"/>
      <c r="C102" s="195"/>
      <c r="D102" s="174"/>
      <c r="E102" s="174"/>
      <c r="F102" s="364" t="s">
        <v>361</v>
      </c>
      <c r="G102" s="365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149"/>
      <c r="T102" s="149"/>
      <c r="U102" s="149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49"/>
      <c r="AF102" s="149"/>
      <c r="AG102" s="208"/>
      <c r="AH102" s="345"/>
      <c r="AI102" s="267" t="s">
        <v>223</v>
      </c>
      <c r="AJ102" s="47"/>
      <c r="AK102" s="47"/>
      <c r="AL102" s="47" t="s">
        <v>223</v>
      </c>
      <c r="AM102" s="384"/>
      <c r="AN102" s="47"/>
      <c r="AO102" s="246"/>
    </row>
    <row r="103" spans="1:41" s="151" customFormat="1" ht="15" customHeight="1">
      <c r="A103" s="146"/>
      <c r="B103" s="195"/>
      <c r="C103" s="195"/>
      <c r="D103" s="174"/>
      <c r="E103" s="174"/>
      <c r="F103" s="364" t="s">
        <v>362</v>
      </c>
      <c r="G103" s="365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149"/>
      <c r="T103" s="149"/>
      <c r="U103" s="149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49"/>
      <c r="AF103" s="149"/>
      <c r="AG103" s="208"/>
      <c r="AH103" s="349"/>
      <c r="AI103" s="47"/>
      <c r="AJ103" s="241" t="s">
        <v>223</v>
      </c>
      <c r="AK103" s="47"/>
      <c r="AL103" s="47"/>
      <c r="AM103" s="47"/>
      <c r="AN103" s="47"/>
      <c r="AO103" s="246"/>
    </row>
    <row r="104" spans="1:41" s="151" customFormat="1" ht="15" customHeight="1">
      <c r="A104" s="146"/>
      <c r="B104" s="195"/>
      <c r="C104" s="195"/>
      <c r="D104" s="174"/>
      <c r="F104" s="366" t="s">
        <v>363</v>
      </c>
      <c r="G104" s="367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149"/>
      <c r="T104" s="149"/>
      <c r="U104" s="149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49"/>
      <c r="AF104" s="149"/>
      <c r="AG104" s="208"/>
      <c r="AH104" s="349"/>
      <c r="AI104" s="47"/>
      <c r="AJ104" s="47"/>
      <c r="AK104" s="241" t="s">
        <v>223</v>
      </c>
      <c r="AL104" s="47"/>
      <c r="AM104" s="383"/>
      <c r="AN104" s="47"/>
      <c r="AO104" s="246"/>
    </row>
    <row r="105" spans="1:41" s="151" customFormat="1" ht="15" customHeight="1">
      <c r="A105" s="146"/>
      <c r="B105" s="195"/>
      <c r="C105" s="195"/>
      <c r="D105" s="174"/>
      <c r="F105" s="148" t="s">
        <v>366</v>
      </c>
      <c r="G105" s="367"/>
      <c r="H105" s="367"/>
      <c r="I105" s="367"/>
      <c r="J105" s="48"/>
      <c r="K105" s="48"/>
      <c r="L105" s="48"/>
      <c r="M105" s="48"/>
      <c r="N105" s="48"/>
      <c r="O105" s="48"/>
      <c r="P105" s="48"/>
      <c r="Q105" s="48"/>
      <c r="R105" s="48"/>
      <c r="S105" s="149"/>
      <c r="T105" s="149"/>
      <c r="U105" s="149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49"/>
      <c r="AF105" s="149"/>
      <c r="AG105" s="208"/>
      <c r="AH105" s="349"/>
      <c r="AI105" s="47"/>
      <c r="AJ105" s="47"/>
      <c r="AK105" s="241"/>
      <c r="AL105" s="47"/>
      <c r="AM105" s="47"/>
      <c r="AN105" s="47"/>
      <c r="AO105" s="246"/>
    </row>
    <row r="106" spans="1:41" s="151" customFormat="1" ht="15" customHeight="1">
      <c r="A106" s="146"/>
      <c r="B106" s="195"/>
      <c r="C106" s="195"/>
      <c r="D106" s="174"/>
      <c r="E106" s="366" t="s">
        <v>327</v>
      </c>
      <c r="F106" s="365"/>
      <c r="G106" s="365"/>
      <c r="H106" s="365"/>
      <c r="I106" s="365"/>
      <c r="J106" s="149"/>
      <c r="K106" s="48"/>
      <c r="L106" s="48"/>
      <c r="M106" s="48"/>
      <c r="N106" s="48"/>
      <c r="O106" s="48"/>
      <c r="P106" s="48"/>
      <c r="Q106" s="48"/>
      <c r="R106" s="48"/>
      <c r="S106" s="149"/>
      <c r="T106" s="149"/>
      <c r="U106" s="149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49"/>
      <c r="AF106" s="149"/>
      <c r="AG106" s="208"/>
      <c r="AH106" s="345"/>
      <c r="AI106" s="267"/>
      <c r="AJ106" s="47"/>
      <c r="AK106" s="47"/>
      <c r="AL106" s="47"/>
      <c r="AM106" s="47"/>
      <c r="AN106" s="47"/>
      <c r="AO106" s="246"/>
    </row>
    <row r="107" spans="1:41" s="151" customFormat="1" ht="15" customHeight="1">
      <c r="A107" s="146"/>
      <c r="B107" s="195"/>
      <c r="C107" s="195"/>
      <c r="D107" s="174"/>
      <c r="E107" s="368"/>
      <c r="F107" s="364" t="s">
        <v>0</v>
      </c>
      <c r="G107" s="365"/>
      <c r="H107" s="365"/>
      <c r="I107" s="365"/>
      <c r="J107" s="48"/>
      <c r="K107" s="48"/>
      <c r="L107" s="48"/>
      <c r="M107" s="48"/>
      <c r="N107" s="48"/>
      <c r="O107" s="48"/>
      <c r="P107" s="48"/>
      <c r="Q107" s="48"/>
      <c r="R107" s="48"/>
      <c r="S107" s="149"/>
      <c r="T107" s="149"/>
      <c r="U107" s="149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49"/>
      <c r="AF107" s="149"/>
      <c r="AG107" s="208"/>
      <c r="AH107" s="349"/>
      <c r="AI107" s="241" t="s">
        <v>223</v>
      </c>
      <c r="AJ107" s="47"/>
      <c r="AK107" s="47"/>
      <c r="AL107" s="241" t="s">
        <v>223</v>
      </c>
      <c r="AM107" s="384"/>
      <c r="AN107" s="47"/>
      <c r="AO107" s="246"/>
    </row>
    <row r="108" spans="1:41" s="151" customFormat="1" ht="15" customHeight="1">
      <c r="A108" s="146"/>
      <c r="B108" s="195"/>
      <c r="C108" s="195"/>
      <c r="D108" s="174"/>
      <c r="E108" s="368"/>
      <c r="F108" s="366" t="s">
        <v>328</v>
      </c>
      <c r="G108" s="367"/>
      <c r="H108" s="365"/>
      <c r="I108" s="365"/>
      <c r="J108" s="48"/>
      <c r="K108" s="48"/>
      <c r="L108" s="48"/>
      <c r="M108" s="48"/>
      <c r="N108" s="48"/>
      <c r="O108" s="48"/>
      <c r="P108" s="48"/>
      <c r="Q108" s="48"/>
      <c r="R108" s="48"/>
      <c r="S108" s="149"/>
      <c r="T108" s="149"/>
      <c r="U108" s="149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49"/>
      <c r="AF108" s="149"/>
      <c r="AG108" s="208"/>
      <c r="AH108" s="349"/>
      <c r="AI108" s="47"/>
      <c r="AJ108" s="47"/>
      <c r="AK108" s="47"/>
      <c r="AL108" s="47"/>
      <c r="AM108" s="47"/>
      <c r="AN108" s="47"/>
      <c r="AO108" s="246"/>
    </row>
    <row r="109" spans="1:41" s="151" customFormat="1" ht="15" customHeight="1">
      <c r="A109" s="146"/>
      <c r="B109" s="195"/>
      <c r="C109" s="195"/>
      <c r="D109" s="174"/>
      <c r="E109" s="368"/>
      <c r="F109" s="369"/>
      <c r="G109" s="364" t="s">
        <v>329</v>
      </c>
      <c r="H109" s="365"/>
      <c r="I109" s="365"/>
      <c r="J109" s="48"/>
      <c r="K109" s="48"/>
      <c r="L109" s="48"/>
      <c r="M109" s="48"/>
      <c r="N109" s="48"/>
      <c r="O109" s="48"/>
      <c r="P109" s="48"/>
      <c r="Q109" s="48"/>
      <c r="R109" s="48"/>
      <c r="S109" s="149"/>
      <c r="T109" s="149"/>
      <c r="U109" s="149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49"/>
      <c r="AF109" s="149"/>
      <c r="AG109" s="208"/>
      <c r="AH109" s="345"/>
      <c r="AI109" s="267"/>
      <c r="AJ109" s="241" t="s">
        <v>223</v>
      </c>
      <c r="AK109" s="47"/>
      <c r="AL109" s="47"/>
      <c r="AM109" s="47"/>
      <c r="AN109" s="47"/>
      <c r="AO109" s="246"/>
    </row>
    <row r="110" spans="1:41" s="151" customFormat="1" ht="15" customHeight="1">
      <c r="A110" s="146"/>
      <c r="B110" s="195"/>
      <c r="C110" s="195"/>
      <c r="D110" s="174"/>
      <c r="E110" s="368"/>
      <c r="F110" s="370" t="s">
        <v>330</v>
      </c>
      <c r="G110" s="365"/>
      <c r="H110" s="365"/>
      <c r="I110" s="365"/>
      <c r="J110" s="48"/>
      <c r="K110" s="48"/>
      <c r="L110" s="48"/>
      <c r="M110" s="48"/>
      <c r="N110" s="48"/>
      <c r="O110" s="48"/>
      <c r="P110" s="48"/>
      <c r="Q110" s="48"/>
      <c r="R110" s="48"/>
      <c r="S110" s="149"/>
      <c r="T110" s="149"/>
      <c r="U110" s="149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49"/>
      <c r="AF110" s="149"/>
      <c r="AG110" s="208"/>
      <c r="AH110" s="349"/>
      <c r="AI110" s="47"/>
      <c r="AJ110" s="47"/>
      <c r="AK110" s="241" t="s">
        <v>223</v>
      </c>
      <c r="AL110" s="47"/>
      <c r="AM110" s="47"/>
      <c r="AN110" s="47"/>
      <c r="AO110" s="246"/>
    </row>
    <row r="111" spans="1:41" s="151" customFormat="1" ht="15" customHeight="1">
      <c r="A111" s="146"/>
      <c r="B111" s="195"/>
      <c r="C111" s="195"/>
      <c r="D111" s="174"/>
      <c r="E111" s="48" t="s">
        <v>331</v>
      </c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149"/>
      <c r="T111" s="149"/>
      <c r="U111" s="149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49"/>
      <c r="AF111" s="149"/>
      <c r="AG111" s="208"/>
      <c r="AH111" s="349"/>
      <c r="AI111" s="47"/>
      <c r="AJ111" s="47"/>
      <c r="AK111" s="47"/>
      <c r="AL111" s="47"/>
      <c r="AM111" s="47"/>
      <c r="AN111" s="47"/>
      <c r="AO111" s="246"/>
    </row>
    <row r="112" spans="1:41" s="151" customFormat="1" ht="15" customHeight="1">
      <c r="A112" s="146"/>
      <c r="B112" s="195"/>
      <c r="C112" s="195"/>
      <c r="D112" s="174"/>
      <c r="F112" s="148" t="s">
        <v>332</v>
      </c>
      <c r="G112" s="147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149"/>
      <c r="T112" s="149"/>
      <c r="U112" s="149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49"/>
      <c r="AF112" s="149"/>
      <c r="AG112" s="208"/>
      <c r="AH112" s="345"/>
      <c r="AI112" s="241" t="s">
        <v>223</v>
      </c>
      <c r="AJ112" s="47"/>
      <c r="AK112" s="47"/>
      <c r="AL112" s="47" t="s">
        <v>223</v>
      </c>
      <c r="AM112" s="47"/>
      <c r="AN112" s="47"/>
      <c r="AO112" s="246"/>
    </row>
    <row r="113" spans="1:41" s="151" customFormat="1" ht="15" customHeight="1">
      <c r="A113" s="146"/>
      <c r="B113" s="195"/>
      <c r="C113" s="195"/>
      <c r="D113" s="174"/>
      <c r="F113" s="148" t="s">
        <v>333</v>
      </c>
      <c r="G113" s="176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149"/>
      <c r="T113" s="149"/>
      <c r="U113" s="149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49"/>
      <c r="AF113" s="149"/>
      <c r="AG113" s="208"/>
      <c r="AH113" s="349"/>
      <c r="AI113" s="47"/>
      <c r="AJ113" s="241" t="s">
        <v>223</v>
      </c>
      <c r="AK113" s="47" t="s">
        <v>223</v>
      </c>
      <c r="AL113" s="47"/>
      <c r="AM113" s="47"/>
      <c r="AN113" s="47"/>
      <c r="AO113" s="246"/>
    </row>
    <row r="114" spans="1:41" s="151" customFormat="1" ht="15" customHeight="1">
      <c r="A114" s="146"/>
      <c r="B114" s="195"/>
      <c r="C114" s="371"/>
      <c r="D114" s="372"/>
      <c r="E114" s="49" t="s">
        <v>259</v>
      </c>
      <c r="F114" s="48"/>
      <c r="G114" s="176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149"/>
      <c r="T114" s="149"/>
      <c r="U114" s="149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49"/>
      <c r="AF114" s="149"/>
      <c r="AG114" s="208"/>
      <c r="AH114" s="349"/>
      <c r="AI114" s="47"/>
      <c r="AJ114" s="47"/>
      <c r="AK114" s="47"/>
      <c r="AL114" s="47"/>
      <c r="AM114" s="47"/>
      <c r="AN114" s="47"/>
      <c r="AO114" s="246"/>
    </row>
    <row r="115" spans="1:41" s="151" customFormat="1" ht="15" customHeight="1">
      <c r="A115" s="146"/>
      <c r="B115" s="195"/>
      <c r="C115" s="371"/>
      <c r="D115" s="372"/>
      <c r="F115" s="198" t="s">
        <v>405</v>
      </c>
      <c r="G115" s="176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149"/>
      <c r="T115" s="149"/>
      <c r="U115" s="149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49"/>
      <c r="AF115" s="149"/>
      <c r="AG115" s="208"/>
      <c r="AH115" s="349"/>
      <c r="AI115" s="243" t="s">
        <v>223</v>
      </c>
      <c r="AJ115" s="47"/>
      <c r="AK115" s="47"/>
      <c r="AL115" s="47"/>
      <c r="AM115" s="47"/>
      <c r="AN115" s="47"/>
      <c r="AO115" s="246"/>
    </row>
    <row r="116" spans="1:41" s="151" customFormat="1" ht="15" customHeight="1">
      <c r="A116" s="146"/>
      <c r="B116" s="195"/>
      <c r="C116" s="371"/>
      <c r="D116" s="372"/>
      <c r="F116" s="198" t="s">
        <v>407</v>
      </c>
      <c r="G116" s="176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149"/>
      <c r="T116" s="149"/>
      <c r="U116" s="149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49"/>
      <c r="AF116" s="149"/>
      <c r="AG116" s="208"/>
      <c r="AH116" s="349"/>
      <c r="AI116" s="243"/>
      <c r="AJ116" s="47" t="s">
        <v>223</v>
      </c>
      <c r="AK116" s="47"/>
      <c r="AL116" s="47"/>
      <c r="AM116" s="47"/>
      <c r="AN116" s="47"/>
      <c r="AO116" s="246"/>
    </row>
    <row r="117" spans="1:41" s="151" customFormat="1" ht="15" customHeight="1">
      <c r="A117" s="146"/>
      <c r="B117" s="195"/>
      <c r="C117" s="371"/>
      <c r="D117" s="372"/>
      <c r="F117" s="198" t="s">
        <v>491</v>
      </c>
      <c r="G117" s="176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149"/>
      <c r="T117" s="149"/>
      <c r="U117" s="149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49"/>
      <c r="AF117" s="149"/>
      <c r="AG117" s="208"/>
      <c r="AH117" s="345"/>
      <c r="AI117" s="267"/>
      <c r="AJ117" s="47"/>
      <c r="AK117" s="47" t="s">
        <v>223</v>
      </c>
      <c r="AL117" s="47"/>
      <c r="AM117" s="47"/>
      <c r="AN117" s="47"/>
      <c r="AO117" s="246"/>
    </row>
    <row r="118" spans="1:41" s="151" customFormat="1" ht="15" customHeight="1">
      <c r="A118" s="146"/>
      <c r="B118" s="195"/>
      <c r="C118" s="371"/>
      <c r="D118" s="372"/>
      <c r="F118" s="198" t="s">
        <v>492</v>
      </c>
      <c r="G118" s="176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149"/>
      <c r="T118" s="149"/>
      <c r="U118" s="149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49"/>
      <c r="AF118" s="149"/>
      <c r="AG118" s="208"/>
      <c r="AH118" s="345"/>
      <c r="AI118" s="267"/>
      <c r="AJ118" s="241"/>
      <c r="AK118" s="47"/>
      <c r="AL118" s="47" t="s">
        <v>223</v>
      </c>
      <c r="AM118" s="47"/>
      <c r="AN118" s="47"/>
      <c r="AO118" s="246"/>
    </row>
    <row r="119" spans="1:41" s="151" customFormat="1" ht="15" customHeight="1">
      <c r="A119" s="146"/>
      <c r="B119" s="195"/>
      <c r="C119" s="195"/>
      <c r="D119" s="174"/>
      <c r="E119" s="48" t="s">
        <v>334</v>
      </c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149"/>
      <c r="T119" s="149"/>
      <c r="U119" s="149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49"/>
      <c r="AF119" s="149"/>
      <c r="AG119" s="208"/>
      <c r="AH119" s="349"/>
      <c r="AI119" s="47"/>
      <c r="AJ119" s="47"/>
      <c r="AK119" s="47"/>
      <c r="AL119" s="47"/>
      <c r="AM119" s="47"/>
      <c r="AN119" s="47"/>
      <c r="AO119" s="246"/>
    </row>
    <row r="120" spans="1:41" s="151" customFormat="1" ht="15" customHeight="1">
      <c r="A120" s="146"/>
      <c r="B120" s="195"/>
      <c r="C120" s="195"/>
      <c r="D120" s="174"/>
      <c r="E120" s="174"/>
      <c r="F120" s="48" t="s">
        <v>335</v>
      </c>
      <c r="G120" s="147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149"/>
      <c r="T120" s="149"/>
      <c r="U120" s="149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49"/>
      <c r="AF120" s="149"/>
      <c r="AG120" s="208"/>
      <c r="AH120" s="349"/>
      <c r="AI120" s="241" t="s">
        <v>223</v>
      </c>
      <c r="AJ120" s="383"/>
      <c r="AK120" s="47"/>
      <c r="AL120" s="47" t="s">
        <v>223</v>
      </c>
      <c r="AM120" s="47"/>
      <c r="AN120" s="47"/>
      <c r="AO120" s="246"/>
    </row>
    <row r="121" spans="1:41" s="151" customFormat="1" ht="15" customHeight="1">
      <c r="A121" s="146"/>
      <c r="B121" s="195"/>
      <c r="C121" s="195"/>
      <c r="D121" s="174"/>
      <c r="E121" s="174"/>
      <c r="F121" s="48" t="s">
        <v>356</v>
      </c>
      <c r="G121" s="176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149"/>
      <c r="T121" s="149"/>
      <c r="U121" s="149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49"/>
      <c r="AF121" s="149"/>
      <c r="AG121" s="208"/>
      <c r="AH121" s="345"/>
      <c r="AI121" s="267"/>
      <c r="AJ121" s="47"/>
      <c r="AK121" s="47" t="s">
        <v>223</v>
      </c>
      <c r="AL121" s="47"/>
      <c r="AM121" s="47"/>
      <c r="AN121" s="47"/>
      <c r="AO121" s="246"/>
    </row>
    <row r="122" spans="1:41" s="151" customFormat="1" ht="15" customHeight="1">
      <c r="A122" s="146"/>
      <c r="B122" s="195"/>
      <c r="C122" s="195"/>
      <c r="D122" s="174"/>
      <c r="E122" s="174"/>
      <c r="F122" s="148" t="s">
        <v>357</v>
      </c>
      <c r="G122" s="176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149"/>
      <c r="T122" s="149"/>
      <c r="U122" s="149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49"/>
      <c r="AF122" s="149"/>
      <c r="AG122" s="208"/>
      <c r="AH122" s="349"/>
      <c r="AI122" s="47"/>
      <c r="AJ122" s="241" t="s">
        <v>223</v>
      </c>
      <c r="AK122" s="47"/>
      <c r="AL122" s="47"/>
      <c r="AM122" s="47"/>
      <c r="AN122" s="47"/>
      <c r="AO122" s="246"/>
    </row>
    <row r="123" spans="1:41" s="151" customFormat="1" ht="15" customHeight="1">
      <c r="A123" s="146"/>
      <c r="B123" s="195"/>
      <c r="C123" s="174"/>
      <c r="D123" s="238" t="s">
        <v>354</v>
      </c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149"/>
      <c r="T123" s="149"/>
      <c r="U123" s="149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49"/>
      <c r="AF123" s="149"/>
      <c r="AG123" s="208"/>
      <c r="AH123" s="349"/>
      <c r="AI123" s="47"/>
      <c r="AJ123" s="47"/>
      <c r="AK123" s="47"/>
      <c r="AL123" s="47"/>
      <c r="AM123" s="47" t="s">
        <v>223</v>
      </c>
      <c r="AN123" s="47" t="s">
        <v>223</v>
      </c>
      <c r="AO123" s="246"/>
    </row>
    <row r="124" spans="1:41" s="151" customFormat="1" ht="15" customHeight="1">
      <c r="A124" s="146"/>
      <c r="B124" s="49" t="s">
        <v>302</v>
      </c>
      <c r="C124" s="149"/>
      <c r="D124" s="176"/>
      <c r="E124" s="176"/>
      <c r="F124" s="176"/>
      <c r="G124" s="176"/>
      <c r="H124" s="176"/>
      <c r="I124" s="176"/>
      <c r="J124" s="176"/>
      <c r="K124" s="176"/>
      <c r="L124" s="176"/>
      <c r="M124" s="176"/>
      <c r="N124" s="176"/>
      <c r="O124" s="176"/>
      <c r="P124" s="176"/>
      <c r="Q124" s="176"/>
      <c r="R124" s="176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349"/>
      <c r="AI124" s="267"/>
      <c r="AJ124" s="47"/>
      <c r="AK124" s="47"/>
      <c r="AL124" s="47"/>
      <c r="AM124" s="47"/>
      <c r="AN124" s="47"/>
      <c r="AO124" s="246"/>
    </row>
    <row r="125" spans="1:41" s="151" customFormat="1" ht="15" customHeight="1">
      <c r="A125" s="146"/>
      <c r="B125" s="174"/>
      <c r="C125" s="49" t="s">
        <v>552</v>
      </c>
      <c r="D125" s="149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149"/>
      <c r="T125" s="149"/>
      <c r="U125" s="149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49"/>
      <c r="AF125" s="149"/>
      <c r="AG125" s="149"/>
      <c r="AH125" s="345"/>
      <c r="AI125" s="267" t="s">
        <v>223</v>
      </c>
      <c r="AJ125" s="47" t="s">
        <v>223</v>
      </c>
      <c r="AK125" s="47" t="s">
        <v>223</v>
      </c>
      <c r="AL125" s="47" t="s">
        <v>223</v>
      </c>
      <c r="AM125" s="47" t="s">
        <v>223</v>
      </c>
      <c r="AN125" s="47" t="s">
        <v>223</v>
      </c>
      <c r="AO125" s="246"/>
    </row>
    <row r="126" spans="1:41" s="151" customFormat="1" ht="15" customHeight="1">
      <c r="A126" s="146"/>
      <c r="B126" s="174"/>
      <c r="C126" s="49" t="s">
        <v>290</v>
      </c>
      <c r="D126" s="149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149"/>
      <c r="T126" s="149"/>
      <c r="U126" s="149"/>
      <c r="V126" s="209"/>
      <c r="AH126" s="348"/>
      <c r="AI126" s="267"/>
      <c r="AJ126" s="47"/>
      <c r="AK126" s="47"/>
      <c r="AL126" s="47"/>
      <c r="AM126" s="47"/>
      <c r="AN126" s="47"/>
      <c r="AO126" s="246"/>
    </row>
    <row r="127" spans="1:41" s="151" customFormat="1" ht="15" customHeight="1">
      <c r="A127" s="146"/>
      <c r="B127" s="174"/>
      <c r="C127" s="174"/>
      <c r="D127" s="48" t="s">
        <v>281</v>
      </c>
      <c r="E127" s="149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148" t="s">
        <v>292</v>
      </c>
      <c r="T127" s="149"/>
      <c r="U127" s="149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49"/>
      <c r="AF127" s="149"/>
      <c r="AG127" s="149"/>
      <c r="AH127" s="345"/>
      <c r="AI127" s="267" t="s">
        <v>223</v>
      </c>
      <c r="AJ127" s="47"/>
      <c r="AK127" s="47" t="s">
        <v>223</v>
      </c>
      <c r="AL127" s="47"/>
      <c r="AM127" s="47" t="s">
        <v>223</v>
      </c>
      <c r="AN127" s="47" t="s">
        <v>223</v>
      </c>
      <c r="AO127" s="246"/>
    </row>
    <row r="128" spans="1:41" s="151" customFormat="1" ht="15" customHeight="1">
      <c r="A128" s="146"/>
      <c r="B128" s="175"/>
      <c r="C128" s="175"/>
      <c r="D128" s="149" t="s">
        <v>280</v>
      </c>
      <c r="E128" s="149"/>
      <c r="F128" s="149"/>
      <c r="G128" s="149"/>
      <c r="H128" s="149"/>
      <c r="I128" s="149"/>
      <c r="J128" s="149"/>
      <c r="K128" s="149"/>
      <c r="L128" s="149"/>
      <c r="M128" s="149"/>
      <c r="N128" s="48"/>
      <c r="O128" s="48"/>
      <c r="P128" s="48"/>
      <c r="Q128" s="48"/>
      <c r="R128" s="48"/>
      <c r="S128" s="148" t="s">
        <v>293</v>
      </c>
      <c r="T128" s="149"/>
      <c r="U128" s="149"/>
      <c r="V128" s="149"/>
      <c r="AH128" s="348"/>
      <c r="AI128" s="267"/>
      <c r="AJ128" s="47" t="s">
        <v>223</v>
      </c>
      <c r="AK128" s="47"/>
      <c r="AL128" s="47" t="s">
        <v>223</v>
      </c>
      <c r="AM128" s="47"/>
      <c r="AN128" s="47" t="s">
        <v>223</v>
      </c>
      <c r="AO128" s="246"/>
    </row>
    <row r="129" spans="1:41" s="151" customFormat="1" ht="8.25" customHeight="1">
      <c r="A129" s="146"/>
      <c r="B129" s="195"/>
      <c r="C129" s="210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178"/>
      <c r="AI129" s="267"/>
      <c r="AJ129" s="47"/>
      <c r="AK129" s="47"/>
      <c r="AL129" s="47"/>
      <c r="AM129" s="47"/>
      <c r="AN129" s="47"/>
      <c r="AO129" s="246"/>
    </row>
    <row r="130" spans="1:41" s="151" customFormat="1" ht="8.25" customHeight="1" thickBot="1">
      <c r="A130" s="293"/>
      <c r="B130" s="294"/>
      <c r="C130" s="295"/>
      <c r="D130" s="294"/>
      <c r="E130" s="294"/>
      <c r="F130" s="294"/>
      <c r="G130" s="294"/>
      <c r="H130" s="294"/>
      <c r="I130" s="294"/>
      <c r="J130" s="294"/>
      <c r="K130" s="294"/>
      <c r="L130" s="294"/>
      <c r="M130" s="296"/>
      <c r="N130" s="296"/>
      <c r="O130" s="296"/>
      <c r="P130" s="296"/>
      <c r="Q130" s="296"/>
      <c r="R130" s="296"/>
      <c r="S130" s="296"/>
      <c r="T130" s="296"/>
      <c r="U130" s="296"/>
      <c r="V130" s="296"/>
      <c r="W130" s="296"/>
      <c r="X130" s="296"/>
      <c r="Y130" s="296"/>
      <c r="Z130" s="296"/>
      <c r="AA130" s="296"/>
      <c r="AB130" s="296"/>
      <c r="AC130" s="296"/>
      <c r="AD130" s="296"/>
      <c r="AE130" s="296"/>
      <c r="AF130" s="296"/>
      <c r="AG130" s="296"/>
      <c r="AH130" s="273"/>
      <c r="AI130" s="270"/>
      <c r="AJ130" s="271"/>
      <c r="AK130" s="271"/>
      <c r="AL130" s="194"/>
      <c r="AM130" s="194"/>
      <c r="AN130" s="194"/>
      <c r="AO130" s="297"/>
    </row>
    <row r="131" spans="1:41" ht="15" customHeight="1" thickBot="1">
      <c r="A131" s="298"/>
      <c r="B131" s="299"/>
      <c r="C131" s="299"/>
      <c r="D131" s="299"/>
      <c r="E131" s="299"/>
      <c r="F131" s="299"/>
      <c r="G131" s="299"/>
      <c r="H131" s="299"/>
      <c r="I131" s="299"/>
      <c r="J131" s="299"/>
      <c r="K131" s="299"/>
      <c r="L131" s="299"/>
      <c r="M131" s="299"/>
      <c r="N131" s="299"/>
      <c r="O131" s="299"/>
      <c r="P131" s="299"/>
      <c r="Q131" s="299"/>
      <c r="R131" s="299"/>
      <c r="S131" s="299"/>
      <c r="T131" s="300"/>
      <c r="U131" s="299" t="s">
        <v>88</v>
      </c>
      <c r="V131" s="299"/>
      <c r="W131" s="299"/>
      <c r="X131" s="299"/>
      <c r="Y131" s="299"/>
      <c r="Z131" s="299"/>
      <c r="AA131" s="299"/>
      <c r="AB131" s="299"/>
      <c r="AC131" s="299"/>
      <c r="AD131" s="299"/>
      <c r="AE131" s="299"/>
      <c r="AF131" s="299"/>
      <c r="AG131" s="299"/>
      <c r="AH131" s="301"/>
      <c r="AI131" s="508"/>
      <c r="AJ131" s="516"/>
      <c r="AK131" s="516"/>
      <c r="AL131" s="516"/>
      <c r="AM131" s="516"/>
      <c r="AN131" s="516"/>
      <c r="AO131" s="302"/>
    </row>
    <row r="132" spans="1:41" ht="15" customHeight="1">
      <c r="A132" s="303" t="s">
        <v>89</v>
      </c>
      <c r="B132" s="304"/>
      <c r="C132" s="304"/>
      <c r="D132" s="304"/>
      <c r="E132" s="304"/>
      <c r="F132" s="304"/>
      <c r="G132" s="304"/>
      <c r="H132" s="304"/>
      <c r="I132" s="304"/>
      <c r="J132" s="304"/>
      <c r="K132" s="304"/>
      <c r="L132" s="304"/>
      <c r="M132" s="304"/>
      <c r="N132" s="304"/>
      <c r="O132" s="304"/>
      <c r="P132" s="304"/>
      <c r="Q132" s="304"/>
      <c r="R132" s="304"/>
      <c r="S132" s="305"/>
      <c r="T132" s="306"/>
      <c r="U132" s="209"/>
      <c r="V132" s="209"/>
      <c r="W132" s="209"/>
      <c r="X132" s="209"/>
      <c r="Y132" s="209"/>
      <c r="Z132" s="209"/>
      <c r="AA132" s="209"/>
      <c r="AB132" s="209"/>
      <c r="AC132" s="209"/>
      <c r="AD132" s="209"/>
      <c r="AE132" s="209"/>
      <c r="AF132" s="209"/>
      <c r="AG132" s="209"/>
      <c r="AH132" s="307" t="s">
        <v>90</v>
      </c>
      <c r="AI132" s="509"/>
      <c r="AJ132" s="517"/>
      <c r="AK132" s="517"/>
      <c r="AL132" s="517"/>
      <c r="AM132" s="517"/>
      <c r="AN132" s="517"/>
      <c r="AO132" s="308"/>
    </row>
    <row r="133" spans="1:41" ht="15" customHeight="1">
      <c r="A133" s="309">
        <v>1</v>
      </c>
      <c r="B133" s="310"/>
      <c r="C133" s="310"/>
      <c r="D133" s="310"/>
      <c r="E133" s="310"/>
      <c r="F133" s="310"/>
      <c r="G133" s="310"/>
      <c r="H133" s="310"/>
      <c r="I133" s="310"/>
      <c r="J133" s="310"/>
      <c r="K133" s="311"/>
      <c r="L133" s="311"/>
      <c r="M133" s="311"/>
      <c r="N133" s="311"/>
      <c r="O133" s="311"/>
      <c r="P133" s="311"/>
      <c r="Q133" s="311"/>
      <c r="R133" s="311"/>
      <c r="S133" s="312"/>
      <c r="T133" s="306"/>
      <c r="U133" s="151" t="s">
        <v>91</v>
      </c>
      <c r="V133" s="151"/>
      <c r="W133" s="151"/>
      <c r="X133" s="151"/>
      <c r="Y133" s="151"/>
      <c r="Z133" s="151"/>
      <c r="AA133" s="151"/>
      <c r="AB133" s="151"/>
      <c r="AC133" s="151"/>
      <c r="AD133" s="151"/>
      <c r="AE133" s="151"/>
      <c r="AF133" s="151"/>
      <c r="AG133" s="151"/>
      <c r="AH133" s="313" t="s">
        <v>92</v>
      </c>
      <c r="AI133" s="354"/>
      <c r="AJ133" s="347"/>
      <c r="AK133" s="347"/>
      <c r="AL133" s="347"/>
      <c r="AM133" s="347"/>
      <c r="AN133" s="347"/>
      <c r="AO133" s="314"/>
    </row>
    <row r="134" spans="1:41" ht="15" customHeight="1">
      <c r="A134" s="315">
        <v>2</v>
      </c>
      <c r="B134" s="316"/>
      <c r="C134" s="317"/>
      <c r="D134" s="317"/>
      <c r="E134" s="317"/>
      <c r="F134" s="317"/>
      <c r="G134" s="317"/>
      <c r="H134" s="317"/>
      <c r="I134" s="317"/>
      <c r="J134" s="318"/>
      <c r="K134" s="319"/>
      <c r="L134" s="317"/>
      <c r="M134" s="319"/>
      <c r="N134" s="319"/>
      <c r="O134" s="319"/>
      <c r="P134" s="319"/>
      <c r="Q134" s="319"/>
      <c r="R134" s="319"/>
      <c r="S134" s="320"/>
      <c r="T134" s="321"/>
      <c r="U134" s="322"/>
      <c r="V134" s="322"/>
      <c r="W134" s="322"/>
      <c r="X134" s="322"/>
      <c r="Y134" s="322"/>
      <c r="Z134" s="322"/>
      <c r="AA134" s="322"/>
      <c r="AB134" s="322"/>
      <c r="AC134" s="322"/>
      <c r="AD134" s="322"/>
      <c r="AE134" s="322"/>
      <c r="AF134" s="322"/>
      <c r="AG134" s="322"/>
      <c r="AH134" s="307" t="s">
        <v>93</v>
      </c>
      <c r="AI134" s="386"/>
      <c r="AJ134" s="385"/>
      <c r="AK134" s="385"/>
      <c r="AL134" s="385"/>
      <c r="AM134" s="385"/>
      <c r="AN134" s="385"/>
      <c r="AO134" s="323"/>
    </row>
    <row r="135" spans="1:41" ht="15" customHeight="1">
      <c r="A135" s="315">
        <v>3</v>
      </c>
      <c r="B135" s="316"/>
      <c r="C135" s="319"/>
      <c r="D135" s="319"/>
      <c r="E135" s="319"/>
      <c r="F135" s="319"/>
      <c r="G135" s="319"/>
      <c r="H135" s="319"/>
      <c r="I135" s="319"/>
      <c r="J135" s="318"/>
      <c r="K135" s="317"/>
      <c r="L135" s="324"/>
      <c r="M135" s="317"/>
      <c r="N135" s="317"/>
      <c r="O135" s="317"/>
      <c r="P135" s="317"/>
      <c r="Q135" s="317"/>
      <c r="R135" s="317"/>
      <c r="S135" s="325"/>
      <c r="T135" s="306"/>
      <c r="U135" s="151" t="s">
        <v>91</v>
      </c>
      <c r="V135" s="151"/>
      <c r="W135" s="151"/>
      <c r="X135" s="151"/>
      <c r="Y135" s="151"/>
      <c r="Z135" s="151"/>
      <c r="AA135" s="151"/>
      <c r="AB135" s="151"/>
      <c r="AC135" s="151"/>
      <c r="AD135" s="151"/>
      <c r="AE135" s="151"/>
      <c r="AF135" s="151"/>
      <c r="AG135" s="151"/>
      <c r="AH135" s="313" t="s">
        <v>92</v>
      </c>
      <c r="AI135" s="354"/>
      <c r="AJ135" s="347"/>
      <c r="AK135" s="347"/>
      <c r="AL135" s="347"/>
      <c r="AM135" s="347"/>
      <c r="AN135" s="347"/>
      <c r="AO135" s="326"/>
    </row>
    <row r="136" spans="1:41" ht="15" customHeight="1">
      <c r="A136" s="315">
        <v>4</v>
      </c>
      <c r="B136" s="316"/>
      <c r="C136" s="317"/>
      <c r="D136" s="317"/>
      <c r="E136" s="317"/>
      <c r="F136" s="317"/>
      <c r="G136" s="317"/>
      <c r="H136" s="317"/>
      <c r="I136" s="317"/>
      <c r="J136" s="318"/>
      <c r="K136" s="319"/>
      <c r="L136" s="317"/>
      <c r="M136" s="319"/>
      <c r="N136" s="319"/>
      <c r="O136" s="319"/>
      <c r="P136" s="319"/>
      <c r="Q136" s="319"/>
      <c r="R136" s="319"/>
      <c r="S136" s="320"/>
      <c r="T136" s="321"/>
      <c r="U136" s="322"/>
      <c r="V136" s="322"/>
      <c r="W136" s="322"/>
      <c r="X136" s="322"/>
      <c r="Y136" s="322"/>
      <c r="Z136" s="322"/>
      <c r="AA136" s="322"/>
      <c r="AB136" s="322"/>
      <c r="AC136" s="322"/>
      <c r="AD136" s="322"/>
      <c r="AE136" s="322"/>
      <c r="AF136" s="322"/>
      <c r="AG136" s="322"/>
      <c r="AH136" s="307" t="s">
        <v>93</v>
      </c>
      <c r="AI136" s="386"/>
      <c r="AJ136" s="385"/>
      <c r="AK136" s="385"/>
      <c r="AL136" s="385"/>
      <c r="AM136" s="385"/>
      <c r="AN136" s="385"/>
      <c r="AO136" s="327"/>
    </row>
    <row r="137" spans="1:41" ht="15" customHeight="1">
      <c r="A137" s="328">
        <v>5</v>
      </c>
      <c r="B137" s="316"/>
      <c r="C137" s="319"/>
      <c r="D137" s="319"/>
      <c r="E137" s="319"/>
      <c r="F137" s="319"/>
      <c r="G137" s="319"/>
      <c r="H137" s="319"/>
      <c r="I137" s="319"/>
      <c r="J137" s="318"/>
      <c r="K137" s="317"/>
      <c r="L137" s="324"/>
      <c r="M137" s="317"/>
      <c r="N137" s="317"/>
      <c r="O137" s="317"/>
      <c r="P137" s="317"/>
      <c r="Q137" s="317"/>
      <c r="R137" s="317"/>
      <c r="S137" s="325"/>
      <c r="T137" s="306"/>
      <c r="U137" s="151" t="s">
        <v>94</v>
      </c>
      <c r="V137" s="151"/>
      <c r="W137" s="151"/>
      <c r="X137" s="151"/>
      <c r="Y137" s="151"/>
      <c r="Z137" s="151"/>
      <c r="AA137" s="151"/>
      <c r="AB137" s="151"/>
      <c r="AC137" s="151"/>
      <c r="AD137" s="151"/>
      <c r="AE137" s="151"/>
      <c r="AF137" s="151"/>
      <c r="AG137" s="151"/>
      <c r="AH137" s="329" t="s">
        <v>209</v>
      </c>
      <c r="AI137" s="492"/>
      <c r="AJ137" s="518"/>
      <c r="AK137" s="518"/>
      <c r="AL137" s="518"/>
      <c r="AM137" s="518"/>
      <c r="AN137" s="518"/>
      <c r="AO137" s="330"/>
    </row>
    <row r="138" spans="1:41" ht="15" customHeight="1">
      <c r="A138" s="315">
        <v>6</v>
      </c>
      <c r="B138" s="316"/>
      <c r="C138" s="317"/>
      <c r="D138" s="317"/>
      <c r="E138" s="317"/>
      <c r="F138" s="317"/>
      <c r="G138" s="317"/>
      <c r="H138" s="317"/>
      <c r="I138" s="317"/>
      <c r="J138" s="318"/>
      <c r="K138" s="317"/>
      <c r="L138" s="317"/>
      <c r="M138" s="317"/>
      <c r="N138" s="317"/>
      <c r="O138" s="317"/>
      <c r="P138" s="317"/>
      <c r="Q138" s="317"/>
      <c r="R138" s="317"/>
      <c r="S138" s="325"/>
      <c r="T138" s="306"/>
      <c r="U138" s="209"/>
      <c r="V138" s="209"/>
      <c r="W138" s="209"/>
      <c r="X138" s="209"/>
      <c r="Y138" s="209"/>
      <c r="Z138" s="209"/>
      <c r="AA138" s="209"/>
      <c r="AB138" s="209"/>
      <c r="AC138" s="209"/>
      <c r="AD138" s="209"/>
      <c r="AE138" s="209"/>
      <c r="AF138" s="209"/>
      <c r="AG138" s="209"/>
      <c r="AH138" s="331" t="s">
        <v>210</v>
      </c>
      <c r="AI138" s="493"/>
      <c r="AJ138" s="519"/>
      <c r="AK138" s="519"/>
      <c r="AL138" s="519"/>
      <c r="AM138" s="519"/>
      <c r="AN138" s="519"/>
      <c r="AO138" s="332"/>
    </row>
    <row r="139" spans="1:41" ht="15" customHeight="1">
      <c r="A139" s="315">
        <v>7</v>
      </c>
      <c r="B139" s="316"/>
      <c r="C139" s="317"/>
      <c r="D139" s="317"/>
      <c r="E139" s="317"/>
      <c r="F139" s="317"/>
      <c r="G139" s="317"/>
      <c r="H139" s="317"/>
      <c r="I139" s="317"/>
      <c r="J139" s="318"/>
      <c r="K139" s="317"/>
      <c r="L139" s="317"/>
      <c r="M139" s="317"/>
      <c r="N139" s="317"/>
      <c r="O139" s="317"/>
      <c r="P139" s="317"/>
      <c r="Q139" s="317"/>
      <c r="R139" s="317"/>
      <c r="S139" s="325"/>
      <c r="T139" s="306"/>
      <c r="U139" s="151" t="s">
        <v>95</v>
      </c>
      <c r="V139" s="151"/>
      <c r="W139" s="151"/>
      <c r="X139" s="151"/>
      <c r="Y139" s="151"/>
      <c r="Z139" s="151"/>
      <c r="AA139" s="151"/>
      <c r="AB139" s="151"/>
      <c r="AC139" s="151"/>
      <c r="AD139" s="151"/>
      <c r="AE139" s="151"/>
      <c r="AF139" s="151"/>
      <c r="AG139" s="151"/>
      <c r="AH139" s="313"/>
      <c r="AI139" s="494"/>
      <c r="AJ139" s="490"/>
      <c r="AK139" s="490"/>
      <c r="AL139" s="490"/>
      <c r="AM139" s="490"/>
      <c r="AN139" s="490"/>
      <c r="AO139" s="333"/>
    </row>
    <row r="140" spans="1:41" ht="15" customHeight="1" thickBot="1">
      <c r="A140" s="334">
        <v>8</v>
      </c>
      <c r="B140" s="335"/>
      <c r="C140" s="336"/>
      <c r="D140" s="336"/>
      <c r="E140" s="336"/>
      <c r="F140" s="336"/>
      <c r="G140" s="336"/>
      <c r="H140" s="336"/>
      <c r="I140" s="336"/>
      <c r="J140" s="336"/>
      <c r="K140" s="336"/>
      <c r="L140" s="336"/>
      <c r="M140" s="336"/>
      <c r="N140" s="336"/>
      <c r="O140" s="336"/>
      <c r="P140" s="336"/>
      <c r="Q140" s="336"/>
      <c r="R140" s="336"/>
      <c r="S140" s="337"/>
      <c r="T140" s="321"/>
      <c r="U140" s="338"/>
      <c r="V140" s="338"/>
      <c r="W140" s="338"/>
      <c r="X140" s="338"/>
      <c r="Y140" s="338"/>
      <c r="Z140" s="338"/>
      <c r="AA140" s="338"/>
      <c r="AB140" s="338"/>
      <c r="AC140" s="338"/>
      <c r="AD140" s="338"/>
      <c r="AE140" s="338"/>
      <c r="AF140" s="338"/>
      <c r="AG140" s="338"/>
      <c r="AH140" s="339"/>
      <c r="AI140" s="495"/>
      <c r="AJ140" s="491"/>
      <c r="AK140" s="491"/>
      <c r="AL140" s="491"/>
      <c r="AM140" s="491"/>
      <c r="AN140" s="491"/>
      <c r="AO140" s="340"/>
    </row>
  </sheetData>
  <mergeCells count="25">
    <mergeCell ref="U2:AG4"/>
    <mergeCell ref="AJ137:AJ138"/>
    <mergeCell ref="AN137:AN138"/>
    <mergeCell ref="U6:AH7"/>
    <mergeCell ref="AK137:AK138"/>
    <mergeCell ref="AJ131:AJ132"/>
    <mergeCell ref="AK131:AK132"/>
    <mergeCell ref="AN139:AN140"/>
    <mergeCell ref="AI139:AI140"/>
    <mergeCell ref="F5:T5"/>
    <mergeCell ref="U5:AH5"/>
    <mergeCell ref="AI5:AO5"/>
    <mergeCell ref="B75:AH75"/>
    <mergeCell ref="AI131:AI132"/>
    <mergeCell ref="A6:T7"/>
    <mergeCell ref="AL131:AL132"/>
    <mergeCell ref="AM131:AM132"/>
    <mergeCell ref="AN131:AN132"/>
    <mergeCell ref="AL137:AL138"/>
    <mergeCell ref="AM137:AM138"/>
    <mergeCell ref="AJ139:AJ140"/>
    <mergeCell ref="AI137:AI138"/>
    <mergeCell ref="AK139:AK140"/>
    <mergeCell ref="AL139:AL140"/>
    <mergeCell ref="AM139:AM140"/>
  </mergeCells>
  <phoneticPr fontId="3"/>
  <printOptions horizontalCentered="1" verticalCentered="1"/>
  <pageMargins left="0.19685039370078741" right="0.19685039370078741" top="0.27559055118110237" bottom="0.27559055118110237" header="0.15748031496062992" footer="0.15748031496062992"/>
  <pageSetup paperSize="8" scale="49" orientation="portrait" r:id="rId1"/>
  <headerFooter alignWithMargins="0">
    <oddHeader>&amp;L&amp;F&amp;C&amp;A&amp;R&amp;9  &amp;"ＭＳ Ｐゴシック"&amp;11 &amp;"ＭＳ Ｐゴシック"&amp;9 【社外秘B】&amp;"ＭＳ Ｐゴシック,標準"&amp;11 
&amp;11  
&amp;"ＭＳ Ｐゴシック,太字 斜体"HP</oddHeader>
    <oddFooter xml:space="preserve">&amp;C&amp;"ＭＳ Ｐゴシック,標準"&amp;11 &amp;P / &amp;N ページ_x000D_
&amp;"ＭＳ Ｐゴシック"&amp;11 &amp;"ＭＳ Ｐゴシック"&amp;9 KDDI情報システム開発PJ関係各社　情報システム開発関係者のみ&amp;"ＭＳ Ｐゴシック,標準"&amp;11 
</oddFooter>
  </headerFooter>
  <rowBreaks count="1" manualBreakCount="1">
    <brk id="73" max="48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FFFF00"/>
  </sheetPr>
  <dimension ref="A1:BM457"/>
  <sheetViews>
    <sheetView showGridLines="0" view="pageBreakPreview" zoomScale="70" zoomScaleNormal="100" zoomScaleSheetLayoutView="70" workbookViewId="0">
      <pane xSplit="29" ySplit="7" topLeftCell="AD8" activePane="bottomRight" state="frozen"/>
      <selection pane="topRight" activeCell="AD1" sqref="AD1"/>
      <selection pane="bottomLeft" activeCell="A8" sqref="A8"/>
      <selection pane="bottomRight" activeCell="J20" sqref="J20"/>
    </sheetView>
  </sheetViews>
  <sheetFormatPr defaultColWidth="21.86328125" defaultRowHeight="12.75"/>
  <cols>
    <col min="1" max="1" width="1.265625" style="20" customWidth="1"/>
    <col min="2" max="2" width="3.3984375" style="34" customWidth="1"/>
    <col min="3" max="3" width="1.73046875" style="34" customWidth="1"/>
    <col min="4" max="5" width="1.73046875" style="35" customWidth="1"/>
    <col min="6" max="7" width="1.73046875" style="20" customWidth="1"/>
    <col min="8" max="8" width="24.86328125" style="20" customWidth="1"/>
    <col min="9" max="9" width="3.59765625" style="20" customWidth="1"/>
    <col min="10" max="10" width="3.46484375" style="20" bestFit="1" customWidth="1"/>
    <col min="11" max="12" width="5" style="20" bestFit="1" customWidth="1"/>
    <col min="13" max="13" width="47.73046875" style="20" customWidth="1"/>
    <col min="14" max="14" width="6.73046875" style="20" customWidth="1"/>
    <col min="15" max="15" width="7.73046875" style="35" customWidth="1"/>
    <col min="16" max="16" width="3.86328125" style="35" hidden="1" customWidth="1"/>
    <col min="17" max="17" width="5.59765625" style="35" hidden="1" customWidth="1"/>
    <col min="18" max="18" width="5.265625" style="35" hidden="1" customWidth="1"/>
    <col min="19" max="20" width="5" style="35" hidden="1" customWidth="1"/>
    <col min="21" max="21" width="4.59765625" style="35" hidden="1" customWidth="1"/>
    <col min="22" max="22" width="10.73046875" style="35" hidden="1" customWidth="1"/>
    <col min="23" max="23" width="3.3984375" style="35" hidden="1" customWidth="1"/>
    <col min="24" max="24" width="17.3984375" style="35" hidden="1" customWidth="1"/>
    <col min="25" max="25" width="4.46484375" style="35" hidden="1" customWidth="1"/>
    <col min="26" max="26" width="5.59765625" style="20" hidden="1" customWidth="1"/>
    <col min="27" max="27" width="4.46484375" style="35" hidden="1" customWidth="1"/>
    <col min="28" max="28" width="4.59765625" style="20" hidden="1" customWidth="1"/>
    <col min="29" max="29" width="11.265625" style="20" hidden="1" customWidth="1"/>
    <col min="30" max="31" width="12.46484375" style="38" customWidth="1"/>
    <col min="32" max="32" width="12.46484375" style="224" hidden="1" customWidth="1"/>
    <col min="33" max="33" width="8.265625" style="224" hidden="1" customWidth="1"/>
    <col min="34" max="34" width="12.46484375" style="38" customWidth="1"/>
    <col min="35" max="35" width="8.1328125" style="38" customWidth="1"/>
    <col min="36" max="37" width="12.46484375" style="38" customWidth="1"/>
    <col min="38" max="38" width="12.46484375" style="224" hidden="1" customWidth="1"/>
    <col min="39" max="39" width="8.265625" style="224" hidden="1" customWidth="1"/>
    <col min="40" max="40" width="12.46484375" style="38" customWidth="1"/>
    <col min="41" max="41" width="8.1328125" style="38" customWidth="1"/>
    <col min="42" max="43" width="12.46484375" style="38" customWidth="1"/>
    <col min="44" max="44" width="12.46484375" style="224" customWidth="1"/>
    <col min="45" max="45" width="8.265625" style="224" customWidth="1"/>
    <col min="46" max="46" width="12.46484375" style="38" hidden="1" customWidth="1"/>
    <col min="47" max="47" width="8.1328125" style="38" hidden="1" customWidth="1"/>
    <col min="48" max="49" width="12.46484375" style="38" customWidth="1"/>
    <col min="50" max="50" width="12.46484375" style="224" hidden="1" customWidth="1"/>
    <col min="51" max="51" width="8.265625" style="224" hidden="1" customWidth="1"/>
    <col min="52" max="52" width="12.46484375" style="38" customWidth="1"/>
    <col min="53" max="53" width="8.1328125" style="38" customWidth="1"/>
    <col min="54" max="55" width="12.46484375" style="38" customWidth="1"/>
    <col min="56" max="56" width="12.46484375" style="224" hidden="1" customWidth="1"/>
    <col min="57" max="57" width="8.265625" style="224" hidden="1" customWidth="1"/>
    <col min="58" max="58" width="12.46484375" style="38" customWidth="1"/>
    <col min="59" max="59" width="8.1328125" style="38" customWidth="1"/>
    <col min="60" max="61" width="12.46484375" style="38" customWidth="1"/>
    <col min="62" max="62" width="12.46484375" style="224" customWidth="1"/>
    <col min="63" max="63" width="8.265625" style="224" customWidth="1"/>
    <col min="64" max="64" width="12.46484375" style="38" hidden="1" customWidth="1"/>
    <col min="65" max="65" width="8.1328125" style="38" hidden="1" customWidth="1"/>
  </cols>
  <sheetData>
    <row r="1" spans="1:65" ht="13.15" thickBot="1">
      <c r="B1" s="50" t="s">
        <v>96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20"/>
      <c r="AA1" s="20"/>
    </row>
    <row r="2" spans="1:65" ht="13.15" thickBot="1">
      <c r="B2" s="532" t="s">
        <v>417</v>
      </c>
      <c r="C2" s="532"/>
      <c r="D2" s="532"/>
      <c r="E2" s="532"/>
      <c r="F2" s="533" t="s">
        <v>418</v>
      </c>
      <c r="G2" s="534"/>
      <c r="H2" s="535"/>
      <c r="I2" s="536" t="s">
        <v>9</v>
      </c>
      <c r="J2" s="536"/>
      <c r="K2" s="536"/>
      <c r="L2" s="537" t="s">
        <v>419</v>
      </c>
      <c r="M2" s="538"/>
      <c r="N2" s="538"/>
      <c r="O2" s="539"/>
      <c r="P2" s="540" t="s">
        <v>10</v>
      </c>
      <c r="Q2" s="541"/>
      <c r="R2" s="541"/>
      <c r="S2" s="542"/>
      <c r="T2" s="543" t="s">
        <v>420</v>
      </c>
      <c r="U2" s="544"/>
      <c r="V2" s="545"/>
      <c r="W2" s="18"/>
      <c r="X2" s="39"/>
      <c r="Y2" s="39"/>
      <c r="AA2" s="20"/>
    </row>
    <row r="3" spans="1:65" ht="13.15" thickBot="1">
      <c r="B3" s="549" t="s">
        <v>2</v>
      </c>
      <c r="C3" s="550"/>
      <c r="D3" s="550"/>
      <c r="E3" s="550"/>
      <c r="F3" s="550"/>
      <c r="G3" s="550"/>
      <c r="H3" s="550"/>
      <c r="I3" s="550"/>
      <c r="J3" s="550"/>
      <c r="K3" s="551"/>
      <c r="L3" s="552" t="s">
        <v>421</v>
      </c>
      <c r="M3" s="553"/>
      <c r="N3" s="553"/>
      <c r="O3" s="553"/>
      <c r="P3" s="553"/>
      <c r="Q3" s="553"/>
      <c r="R3" s="553"/>
      <c r="S3" s="553"/>
      <c r="T3" s="553"/>
      <c r="U3" s="553"/>
      <c r="V3" s="553"/>
      <c r="W3" s="18"/>
      <c r="X3" s="39"/>
      <c r="Y3" s="39"/>
      <c r="AA3" s="20"/>
      <c r="AD3" s="401"/>
      <c r="AJ3" s="401"/>
      <c r="AP3" s="401"/>
      <c r="AV3" s="401"/>
      <c r="BB3" s="401"/>
      <c r="BH3" s="401"/>
    </row>
    <row r="4" spans="1:65" ht="13.15" thickBot="1">
      <c r="B4" s="549" t="s">
        <v>3</v>
      </c>
      <c r="C4" s="550"/>
      <c r="D4" s="550"/>
      <c r="E4" s="550"/>
      <c r="F4" s="550"/>
      <c r="G4" s="550"/>
      <c r="H4" s="550"/>
      <c r="I4" s="550"/>
      <c r="J4" s="550"/>
      <c r="K4" s="551"/>
      <c r="L4" s="552" t="s">
        <v>422</v>
      </c>
      <c r="M4" s="553"/>
      <c r="N4" s="553"/>
      <c r="O4" s="553"/>
      <c r="P4" s="553"/>
      <c r="Q4" s="553"/>
      <c r="R4" s="553"/>
      <c r="S4" s="553"/>
      <c r="T4" s="553"/>
      <c r="U4" s="553"/>
      <c r="V4" s="553"/>
      <c r="W4" s="40"/>
      <c r="X4" s="41"/>
      <c r="Y4" s="41"/>
      <c r="AA4" s="20"/>
      <c r="AD4" s="401" t="s">
        <v>563</v>
      </c>
      <c r="AJ4" s="401" t="s">
        <v>564</v>
      </c>
      <c r="AP4" s="401" t="s">
        <v>563</v>
      </c>
      <c r="AV4" s="401" t="s">
        <v>564</v>
      </c>
      <c r="BB4" s="401" t="s">
        <v>563</v>
      </c>
      <c r="BH4" s="401" t="s">
        <v>564</v>
      </c>
    </row>
    <row r="5" spans="1:65" ht="13.15" thickBot="1">
      <c r="O5" s="20"/>
      <c r="P5" s="20"/>
      <c r="Q5" s="20"/>
      <c r="R5" s="20"/>
      <c r="S5" s="20"/>
      <c r="T5" s="20"/>
      <c r="U5" s="20"/>
      <c r="V5" s="20"/>
      <c r="W5" s="20"/>
      <c r="Z5" s="35"/>
      <c r="AD5" s="401" t="s">
        <v>543</v>
      </c>
      <c r="AJ5" s="401" t="s">
        <v>542</v>
      </c>
      <c r="AP5" s="401" t="s">
        <v>550</v>
      </c>
      <c r="AV5" s="401" t="s">
        <v>549</v>
      </c>
      <c r="BB5" s="401" t="s">
        <v>587</v>
      </c>
      <c r="BH5" s="401" t="s">
        <v>588</v>
      </c>
    </row>
    <row r="6" spans="1:65">
      <c r="B6" s="554" t="s">
        <v>20</v>
      </c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6"/>
      <c r="P6" s="557" t="s">
        <v>21</v>
      </c>
      <c r="Q6" s="558"/>
      <c r="R6" s="558"/>
      <c r="S6" s="558"/>
      <c r="T6" s="558"/>
      <c r="U6" s="558"/>
      <c r="V6" s="558"/>
      <c r="W6" s="546" t="s">
        <v>22</v>
      </c>
      <c r="X6" s="547"/>
      <c r="Y6" s="547"/>
      <c r="Z6" s="547"/>
      <c r="AA6" s="547"/>
      <c r="AB6" s="547"/>
      <c r="AC6" s="548"/>
      <c r="AD6" s="530"/>
      <c r="AE6" s="530"/>
      <c r="AF6" s="530"/>
      <c r="AG6" s="530"/>
      <c r="AH6" s="530"/>
      <c r="AI6" s="531"/>
      <c r="AJ6" s="530"/>
      <c r="AK6" s="530"/>
      <c r="AL6" s="530"/>
      <c r="AM6" s="530"/>
      <c r="AN6" s="530"/>
      <c r="AO6" s="531"/>
      <c r="AP6" s="530"/>
      <c r="AQ6" s="530"/>
      <c r="AR6" s="530"/>
      <c r="AS6" s="530"/>
      <c r="AT6" s="530"/>
      <c r="AU6" s="531"/>
      <c r="AV6" s="530"/>
      <c r="AW6" s="530"/>
      <c r="AX6" s="530"/>
      <c r="AY6" s="530"/>
      <c r="AZ6" s="530"/>
      <c r="BA6" s="531"/>
      <c r="BB6" s="530"/>
      <c r="BC6" s="530"/>
      <c r="BD6" s="530"/>
      <c r="BE6" s="530"/>
      <c r="BF6" s="530"/>
      <c r="BG6" s="531"/>
      <c r="BH6" s="530"/>
      <c r="BI6" s="530"/>
      <c r="BJ6" s="530"/>
      <c r="BK6" s="530"/>
      <c r="BL6" s="530"/>
      <c r="BM6" s="531"/>
    </row>
    <row r="7" spans="1:65" ht="77.650000000000006" thickBot="1">
      <c r="B7" s="152" t="s">
        <v>11</v>
      </c>
      <c r="C7" s="568" t="s">
        <v>5</v>
      </c>
      <c r="D7" s="569"/>
      <c r="E7" s="569"/>
      <c r="F7" s="569"/>
      <c r="G7" s="569"/>
      <c r="H7" s="570"/>
      <c r="I7" s="153" t="s">
        <v>13</v>
      </c>
      <c r="J7" s="153" t="s">
        <v>14</v>
      </c>
      <c r="K7" s="154" t="s">
        <v>8</v>
      </c>
      <c r="L7" s="154" t="s">
        <v>23</v>
      </c>
      <c r="M7" s="155" t="s">
        <v>16</v>
      </c>
      <c r="N7" s="154" t="s">
        <v>423</v>
      </c>
      <c r="O7" s="154" t="s">
        <v>4</v>
      </c>
      <c r="P7" s="156" t="s">
        <v>24</v>
      </c>
      <c r="Q7" s="157" t="s">
        <v>424</v>
      </c>
      <c r="R7" s="158" t="s">
        <v>425</v>
      </c>
      <c r="S7" s="159" t="s">
        <v>25</v>
      </c>
      <c r="T7" s="159" t="s">
        <v>26</v>
      </c>
      <c r="U7" s="160" t="s">
        <v>426</v>
      </c>
      <c r="V7" s="161" t="s">
        <v>17</v>
      </c>
      <c r="W7" s="162" t="s">
        <v>12</v>
      </c>
      <c r="X7" s="163" t="s">
        <v>15</v>
      </c>
      <c r="Y7" s="164" t="s">
        <v>6</v>
      </c>
      <c r="Z7" s="164" t="s">
        <v>7</v>
      </c>
      <c r="AA7" s="163" t="s">
        <v>427</v>
      </c>
      <c r="AB7" s="165" t="s">
        <v>428</v>
      </c>
      <c r="AC7" s="166" t="s">
        <v>17</v>
      </c>
      <c r="AD7" s="220" t="s">
        <v>429</v>
      </c>
      <c r="AE7" s="221" t="s">
        <v>430</v>
      </c>
      <c r="AF7" s="251" t="s">
        <v>431</v>
      </c>
      <c r="AG7" s="222" t="s">
        <v>432</v>
      </c>
      <c r="AH7" s="249" t="s">
        <v>433</v>
      </c>
      <c r="AI7" s="250" t="s">
        <v>434</v>
      </c>
      <c r="AJ7" s="220" t="s">
        <v>533</v>
      </c>
      <c r="AK7" s="221" t="s">
        <v>534</v>
      </c>
      <c r="AL7" s="251" t="s">
        <v>431</v>
      </c>
      <c r="AM7" s="222" t="s">
        <v>432</v>
      </c>
      <c r="AN7" s="249" t="s">
        <v>433</v>
      </c>
      <c r="AO7" s="250" t="s">
        <v>434</v>
      </c>
      <c r="AP7" s="220" t="s">
        <v>544</v>
      </c>
      <c r="AQ7" s="221" t="s">
        <v>545</v>
      </c>
      <c r="AR7" s="251" t="s">
        <v>431</v>
      </c>
      <c r="AS7" s="222" t="s">
        <v>432</v>
      </c>
      <c r="AT7" s="249" t="s">
        <v>433</v>
      </c>
      <c r="AU7" s="250" t="s">
        <v>434</v>
      </c>
      <c r="AV7" s="220" t="s">
        <v>555</v>
      </c>
      <c r="AW7" s="221" t="s">
        <v>556</v>
      </c>
      <c r="AX7" s="251" t="s">
        <v>431</v>
      </c>
      <c r="AY7" s="222" t="s">
        <v>432</v>
      </c>
      <c r="AZ7" s="249" t="s">
        <v>433</v>
      </c>
      <c r="BA7" s="250" t="s">
        <v>434</v>
      </c>
      <c r="BB7" s="220" t="s">
        <v>565</v>
      </c>
      <c r="BC7" s="221" t="s">
        <v>566</v>
      </c>
      <c r="BD7" s="251" t="s">
        <v>431</v>
      </c>
      <c r="BE7" s="222" t="s">
        <v>432</v>
      </c>
      <c r="BF7" s="249" t="s">
        <v>433</v>
      </c>
      <c r="BG7" s="250" t="s">
        <v>434</v>
      </c>
      <c r="BH7" s="220" t="s">
        <v>569</v>
      </c>
      <c r="BI7" s="221" t="s">
        <v>570</v>
      </c>
      <c r="BJ7" s="251" t="s">
        <v>431</v>
      </c>
      <c r="BK7" s="222" t="s">
        <v>432</v>
      </c>
      <c r="BL7" s="249" t="s">
        <v>433</v>
      </c>
      <c r="BM7" s="250" t="s">
        <v>434</v>
      </c>
    </row>
    <row r="8" spans="1:65" s="33" customFormat="1" ht="13.15" thickTop="1">
      <c r="A8" s="20"/>
      <c r="B8" s="143">
        <v>1</v>
      </c>
      <c r="C8" s="123" t="s">
        <v>37</v>
      </c>
      <c r="D8" s="85"/>
      <c r="E8" s="85"/>
      <c r="F8" s="85"/>
      <c r="G8" s="85"/>
      <c r="H8" s="86"/>
      <c r="I8" s="105"/>
      <c r="J8" s="105" t="s">
        <v>223</v>
      </c>
      <c r="K8" s="87"/>
      <c r="L8" s="87"/>
      <c r="M8" s="112" t="s">
        <v>190</v>
      </c>
      <c r="N8" s="87"/>
      <c r="O8" s="120"/>
      <c r="P8" s="181"/>
      <c r="Q8" s="119"/>
      <c r="R8" s="105"/>
      <c r="S8" s="112"/>
      <c r="T8" s="112"/>
      <c r="U8" s="105"/>
      <c r="V8" s="120"/>
      <c r="W8" s="185" t="str">
        <f t="shared" ref="W8:W18" si="0">IF(C8&lt;&gt;"","0",IF(D8&lt;&gt;"","1",IF(E8&lt;&gt;"","2",IF(F8&lt;&gt;"","3",IF(G8&lt;&gt;"","4",IF(H8&lt;&gt;"","5"))))))</f>
        <v>0</v>
      </c>
      <c r="X8" s="88" t="s">
        <v>224</v>
      </c>
      <c r="Y8" s="88"/>
      <c r="Z8" s="88"/>
      <c r="AA8" s="87"/>
      <c r="AB8" s="87" t="s">
        <v>225</v>
      </c>
      <c r="AC8" s="186"/>
      <c r="AD8" s="219"/>
      <c r="AE8" s="171"/>
      <c r="AF8" s="261" t="s">
        <v>286</v>
      </c>
      <c r="AG8" s="225" t="str">
        <f t="shared" ref="AG8:AG71" si="1">IF(OR(AE$8="判定対象外",AF$8="判定対象外",AF8="-"),"-",IF(AE8=AF8,"OK","NG"))</f>
        <v>-</v>
      </c>
      <c r="AH8" s="402"/>
      <c r="AI8" s="225" t="str">
        <f>IF(OR(AE$8="判定対象外",AH$8="判定対象外",AH8="-"),"-",IF(AE8=AH8,"OK","NG"))</f>
        <v>OK</v>
      </c>
      <c r="AJ8" s="219"/>
      <c r="AK8" s="171"/>
      <c r="AL8" s="261" t="s">
        <v>286</v>
      </c>
      <c r="AM8" s="225" t="str">
        <f t="shared" ref="AM8:AM71" si="2">IF(OR(AK$8="判定対象外",AL$8="判定対象外",AL8="-"),"-",IF(AK8=AL8,"OK","NG"))</f>
        <v>-</v>
      </c>
      <c r="AN8" s="402"/>
      <c r="AO8" s="225" t="str">
        <f t="shared" ref="AO8:AO36" si="3">IF(OR(AK$8="判定対象外",AN$8="判定対象外",AN8="-"),"-",IF(AK8=AN8,"OK","NG"))</f>
        <v>OK</v>
      </c>
      <c r="AP8" s="219"/>
      <c r="AQ8" s="171"/>
      <c r="AR8" s="261" t="s">
        <v>553</v>
      </c>
      <c r="AS8" s="225" t="str">
        <f t="shared" ref="AS8:AS66" si="4">IF(OR(AQ$8="判定対象外",AR$8="判定対象外",AR8="-"),"-",IF(AQ8=AR8,"OK","NG"))</f>
        <v>NG</v>
      </c>
      <c r="AT8" s="402" t="s">
        <v>554</v>
      </c>
      <c r="AU8" s="225" t="str">
        <f t="shared" ref="AU8:AU36" si="5">IF(OR(AQ$8="判定対象外",AT$8="判定対象外",AT8="-"),"-",IF(AQ8=AT8,"OK","NG"))</f>
        <v>-</v>
      </c>
      <c r="AV8" s="219"/>
      <c r="AW8" s="171"/>
      <c r="AX8" s="261" t="s">
        <v>286</v>
      </c>
      <c r="AY8" s="225" t="str">
        <f t="shared" ref="AY8:AY71" si="6">IF(OR(AW$8="判定対象外",AX$8="判定対象外",AX8="-"),"-",IF(AW8=AX8,"OK","NG"))</f>
        <v>-</v>
      </c>
      <c r="AZ8" s="402"/>
      <c r="BA8" s="225" t="str">
        <f t="shared" ref="BA8:BA36" si="7">IF(OR(AW$8="判定対象外",AZ$8="判定対象外",AZ8="-"),"-",IF(AW8=AZ8,"OK","NG"))</f>
        <v>OK</v>
      </c>
      <c r="BB8" s="219"/>
      <c r="BC8" s="171"/>
      <c r="BD8" s="261" t="s">
        <v>567</v>
      </c>
      <c r="BE8" s="225" t="str">
        <f t="shared" ref="BE8:BE71" si="8">IF(OR(BC$8="判定対象外",BD$8="判定対象外",BD8="-"),"-",IF(BC8=BD8,"OK","NG"))</f>
        <v>-</v>
      </c>
      <c r="BF8" s="402"/>
      <c r="BG8" s="225" t="str">
        <f t="shared" ref="BG8:BG36" si="9">IF(OR(BC$8="判定対象外",BF$8="判定対象外",BF8="-"),"-",IF(BC8=BF8,"OK","NG"))</f>
        <v>OK</v>
      </c>
      <c r="BH8" s="219"/>
      <c r="BI8" s="171"/>
      <c r="BJ8" s="261" t="s">
        <v>553</v>
      </c>
      <c r="BK8" s="225" t="str">
        <f t="shared" ref="BK8:BK69" si="10">IF(OR(BI$8="判定対象外",BJ$8="判定対象外",BJ8="-"),"-",IF(BI8=BJ8,"OK","NG"))</f>
        <v>NG</v>
      </c>
      <c r="BL8" s="402"/>
      <c r="BM8" s="225" t="str">
        <f t="shared" ref="BM8:BM36" si="11">IF(OR(BI$8="判定対象外",BL$8="判定対象外",BL8="-"),"-",IF(BI8=BL8,"OK","NG"))</f>
        <v>OK</v>
      </c>
    </row>
    <row r="9" spans="1:65" s="33" customFormat="1">
      <c r="A9" s="20"/>
      <c r="B9" s="144">
        <v>1</v>
      </c>
      <c r="C9" s="53" t="s">
        <v>38</v>
      </c>
      <c r="D9" s="100"/>
      <c r="E9" s="66"/>
      <c r="F9" s="66"/>
      <c r="G9" s="66"/>
      <c r="H9" s="61"/>
      <c r="I9" s="107"/>
      <c r="J9" s="107" t="s">
        <v>29</v>
      </c>
      <c r="K9" s="17"/>
      <c r="L9" s="17"/>
      <c r="M9" s="106" t="s">
        <v>39</v>
      </c>
      <c r="N9" s="17"/>
      <c r="O9" s="108"/>
      <c r="P9" s="129"/>
      <c r="Q9" s="124"/>
      <c r="R9" s="107"/>
      <c r="S9" s="106"/>
      <c r="T9" s="106"/>
      <c r="U9" s="107"/>
      <c r="V9" s="108"/>
      <c r="W9" s="25" t="str">
        <f t="shared" si="0"/>
        <v>0</v>
      </c>
      <c r="X9" s="15" t="s">
        <v>31</v>
      </c>
      <c r="Y9" s="15"/>
      <c r="Z9" s="15"/>
      <c r="AA9" s="17"/>
      <c r="AB9" s="17" t="s">
        <v>226</v>
      </c>
      <c r="AC9" s="128"/>
      <c r="AD9" s="51"/>
      <c r="AE9" s="167"/>
      <c r="AF9" s="167" t="str">
        <f>IF(AH9="-","-",AH9&amp;REPT(IF($R9="N","　",IF($R9="9","0"," ")),$Z9-LEN(AH9)))</f>
        <v/>
      </c>
      <c r="AG9" s="213" t="str">
        <f t="shared" si="1"/>
        <v>-</v>
      </c>
      <c r="AH9" s="167"/>
      <c r="AI9" s="225" t="str">
        <f>IF(OR(AE$8="判定対象外",AH$8="判定対象外",AH9="-"),"-",IF(AE9=AH9,"OK","NG"))</f>
        <v>OK</v>
      </c>
      <c r="AJ9" s="51"/>
      <c r="AK9" s="167"/>
      <c r="AL9" s="167" t="str">
        <f>IF(AN9="-","-",AN9&amp;REPT(IF($R9="N","　",IF($R9="9","0"," ")),$Z9-LEN(AN9)))</f>
        <v/>
      </c>
      <c r="AM9" s="213" t="str">
        <f t="shared" si="2"/>
        <v>-</v>
      </c>
      <c r="AN9" s="167"/>
      <c r="AO9" s="225" t="str">
        <f t="shared" si="3"/>
        <v>OK</v>
      </c>
      <c r="AP9" s="51"/>
      <c r="AQ9" s="167"/>
      <c r="AR9" s="167" t="str">
        <f>IF(AT9="-","-",AT9&amp;REPT(IF($R9="N","　",IF($R9="9","0"," ")),$Z9-LEN(AT9)))</f>
        <v/>
      </c>
      <c r="AS9" s="213" t="str">
        <f t="shared" si="4"/>
        <v>OK</v>
      </c>
      <c r="AT9" s="167"/>
      <c r="AU9" s="225" t="str">
        <f t="shared" si="5"/>
        <v>-</v>
      </c>
      <c r="AV9" s="51"/>
      <c r="AW9" s="167"/>
      <c r="AX9" s="167" t="str">
        <f>IF(AZ9="-","-",AZ9&amp;REPT(IF($R9="N","　",IF($R9="9","0"," ")),$Z9-LEN(AZ9)))</f>
        <v/>
      </c>
      <c r="AY9" s="213" t="str">
        <f t="shared" si="6"/>
        <v>-</v>
      </c>
      <c r="AZ9" s="167"/>
      <c r="BA9" s="225" t="str">
        <f t="shared" si="7"/>
        <v>OK</v>
      </c>
      <c r="BB9" s="51"/>
      <c r="BC9" s="167"/>
      <c r="BD9" s="167" t="str">
        <f>IF(BF9="-","-",BF9&amp;REPT(IF($R9="N","　",IF($R9="9","0"," ")),$Z9-LEN(BF9)))</f>
        <v/>
      </c>
      <c r="BE9" s="213" t="str">
        <f t="shared" si="8"/>
        <v>-</v>
      </c>
      <c r="BF9" s="167"/>
      <c r="BG9" s="225" t="str">
        <f t="shared" si="9"/>
        <v>OK</v>
      </c>
      <c r="BH9" s="51"/>
      <c r="BI9" s="167"/>
      <c r="BJ9" s="167" t="str">
        <f>IF(BL9="-","-",BL9&amp;REPT(IF($R9="N","　",IF($R9="9","0"," ")),$Z9-LEN(BL9)))</f>
        <v/>
      </c>
      <c r="BK9" s="213" t="str">
        <f t="shared" si="10"/>
        <v>OK</v>
      </c>
      <c r="BL9" s="167"/>
      <c r="BM9" s="225" t="str">
        <f t="shared" si="11"/>
        <v>OK</v>
      </c>
    </row>
    <row r="10" spans="1:65" s="33" customFormat="1">
      <c r="A10" s="20"/>
      <c r="B10" s="145">
        <v>2</v>
      </c>
      <c r="C10" s="7"/>
      <c r="D10" s="121" t="s">
        <v>40</v>
      </c>
      <c r="E10" s="16"/>
      <c r="F10" s="16"/>
      <c r="G10" s="16"/>
      <c r="H10" s="13"/>
      <c r="I10" s="21"/>
      <c r="J10" s="21" t="s">
        <v>223</v>
      </c>
      <c r="K10" s="8"/>
      <c r="L10" s="8"/>
      <c r="M10" s="94"/>
      <c r="N10" s="8"/>
      <c r="O10" s="10"/>
      <c r="P10" s="93"/>
      <c r="Q10" s="113"/>
      <c r="R10" s="21"/>
      <c r="S10" s="94"/>
      <c r="T10" s="94"/>
      <c r="U10" s="21"/>
      <c r="V10" s="10"/>
      <c r="W10" s="25" t="str">
        <f t="shared" si="0"/>
        <v>1</v>
      </c>
      <c r="X10" s="1" t="s">
        <v>227</v>
      </c>
      <c r="Y10" s="1"/>
      <c r="Z10" s="1"/>
      <c r="AA10" s="8"/>
      <c r="AB10" s="8" t="s">
        <v>213</v>
      </c>
      <c r="AC10" s="56"/>
      <c r="AD10" s="51"/>
      <c r="AE10" s="167"/>
      <c r="AF10" s="167" t="str">
        <f>IF(AH10="-","-",AH10&amp;REPT(IF($R10="N","　",IF($R10="9","0"," ")),$Z10-LEN(AH10)))</f>
        <v/>
      </c>
      <c r="AG10" s="213" t="str">
        <f t="shared" si="1"/>
        <v>-</v>
      </c>
      <c r="AH10" s="167"/>
      <c r="AI10" s="225" t="str">
        <f t="shared" ref="AI10:AI66" si="12">IF(OR(AE$8="判定対象外",AH$8="判定対象外",AH10="-"),"-",IF(AE10=AH10,"OK","NG"))</f>
        <v>OK</v>
      </c>
      <c r="AJ10" s="51"/>
      <c r="AK10" s="167"/>
      <c r="AL10" s="167" t="str">
        <f>IF(AN10="-","-",AN10&amp;REPT(IF($R10="N","　",IF($R10="9","0"," ")),$Z10-LEN(AN10)))</f>
        <v/>
      </c>
      <c r="AM10" s="213" t="str">
        <f t="shared" si="2"/>
        <v>-</v>
      </c>
      <c r="AN10" s="167"/>
      <c r="AO10" s="225" t="str">
        <f t="shared" si="3"/>
        <v>OK</v>
      </c>
      <c r="AP10" s="51"/>
      <c r="AQ10" s="167"/>
      <c r="AR10" s="167" t="str">
        <f>IF(AT10="-","-",AT10&amp;REPT(IF($R10="N","　",IF($R10="9","0"," ")),$Z10-LEN(AT10)))</f>
        <v/>
      </c>
      <c r="AS10" s="213" t="str">
        <f t="shared" si="4"/>
        <v>OK</v>
      </c>
      <c r="AT10" s="167"/>
      <c r="AU10" s="225" t="str">
        <f t="shared" si="5"/>
        <v>-</v>
      </c>
      <c r="AV10" s="51"/>
      <c r="AW10" s="167"/>
      <c r="AX10" s="167" t="str">
        <f>IF(AZ10="-","-",AZ10&amp;REPT(IF($R10="N","　",IF($R10="9","0"," ")),$Z10-LEN(AZ10)))</f>
        <v/>
      </c>
      <c r="AY10" s="213" t="str">
        <f t="shared" si="6"/>
        <v>-</v>
      </c>
      <c r="AZ10" s="167"/>
      <c r="BA10" s="225" t="str">
        <f t="shared" si="7"/>
        <v>OK</v>
      </c>
      <c r="BB10" s="51"/>
      <c r="BC10" s="167"/>
      <c r="BD10" s="167" t="str">
        <f>IF(BF10="-","-",BF10&amp;REPT(IF($R10="N","　",IF($R10="9","0"," ")),$Z10-LEN(BF10)))</f>
        <v/>
      </c>
      <c r="BE10" s="213" t="str">
        <f t="shared" si="8"/>
        <v>-</v>
      </c>
      <c r="BF10" s="167"/>
      <c r="BG10" s="225" t="str">
        <f t="shared" si="9"/>
        <v>OK</v>
      </c>
      <c r="BH10" s="51"/>
      <c r="BI10" s="167"/>
      <c r="BJ10" s="167" t="str">
        <f>IF(BL10="-","-",BL10&amp;REPT(IF($R10="N","　",IF($R10="9","0"," ")),$Z10-LEN(BL10)))</f>
        <v/>
      </c>
      <c r="BK10" s="213" t="str">
        <f t="shared" si="10"/>
        <v>OK</v>
      </c>
      <c r="BL10" s="167"/>
      <c r="BM10" s="225" t="str">
        <f t="shared" si="11"/>
        <v>OK</v>
      </c>
    </row>
    <row r="11" spans="1:65" s="33" customFormat="1" ht="25.5">
      <c r="A11" s="20"/>
      <c r="B11" s="2">
        <v>3</v>
      </c>
      <c r="C11" s="7"/>
      <c r="D11" s="7"/>
      <c r="E11" s="22" t="s">
        <v>228</v>
      </c>
      <c r="F11" s="16"/>
      <c r="G11" s="16"/>
      <c r="H11" s="13"/>
      <c r="I11" s="8"/>
      <c r="J11" s="8" t="s">
        <v>223</v>
      </c>
      <c r="K11" s="8"/>
      <c r="L11" s="8"/>
      <c r="M11" s="9" t="s">
        <v>191</v>
      </c>
      <c r="N11" s="8"/>
      <c r="O11" s="10"/>
      <c r="P11" s="93">
        <v>1</v>
      </c>
      <c r="Q11" s="113">
        <v>5</v>
      </c>
      <c r="R11" s="21" t="s">
        <v>229</v>
      </c>
      <c r="S11" s="94"/>
      <c r="T11" s="94"/>
      <c r="U11" s="21" t="s">
        <v>213</v>
      </c>
      <c r="V11" s="10" t="s">
        <v>41</v>
      </c>
      <c r="W11" s="25" t="str">
        <f t="shared" si="0"/>
        <v>2</v>
      </c>
      <c r="X11" s="1" t="s">
        <v>230</v>
      </c>
      <c r="Y11" s="1">
        <v>4</v>
      </c>
      <c r="Z11" s="1">
        <v>4</v>
      </c>
      <c r="AA11" s="8" t="s">
        <v>229</v>
      </c>
      <c r="AB11" s="8" t="s">
        <v>213</v>
      </c>
      <c r="AC11" s="56"/>
      <c r="AD11" s="91" t="s">
        <v>211</v>
      </c>
      <c r="AE11" s="168"/>
      <c r="AF11" s="90" t="s">
        <v>285</v>
      </c>
      <c r="AG11" s="213" t="str">
        <f t="shared" si="1"/>
        <v>-</v>
      </c>
      <c r="AH11" s="90" t="str">
        <f t="shared" ref="AH11:AH20" si="13">IF(AD11&lt;&gt;"",AD11,"")</f>
        <v>B004</v>
      </c>
      <c r="AI11" s="225" t="str">
        <f t="shared" si="12"/>
        <v>NG</v>
      </c>
      <c r="AJ11" s="91" t="s">
        <v>211</v>
      </c>
      <c r="AK11" s="168"/>
      <c r="AL11" s="90" t="s">
        <v>285</v>
      </c>
      <c r="AM11" s="213" t="str">
        <f t="shared" si="2"/>
        <v>-</v>
      </c>
      <c r="AN11" s="90" t="str">
        <f t="shared" ref="AN11:AN20" si="14">IF(AJ11&lt;&gt;"",AJ11,"")</f>
        <v>B004</v>
      </c>
      <c r="AO11" s="225" t="str">
        <f t="shared" si="3"/>
        <v>NG</v>
      </c>
      <c r="AP11" s="91" t="s">
        <v>211</v>
      </c>
      <c r="AQ11" s="168"/>
      <c r="AR11" s="90" t="s">
        <v>285</v>
      </c>
      <c r="AS11" s="213" t="str">
        <f t="shared" si="4"/>
        <v>NG</v>
      </c>
      <c r="AT11" s="90" t="str">
        <f t="shared" ref="AT11:AT20" si="15">IF(AP11&lt;&gt;"",AP11,"")</f>
        <v>B004</v>
      </c>
      <c r="AU11" s="225" t="str">
        <f t="shared" si="5"/>
        <v>-</v>
      </c>
      <c r="AV11" s="91" t="s">
        <v>211</v>
      </c>
      <c r="AW11" s="168"/>
      <c r="AX11" s="90" t="s">
        <v>285</v>
      </c>
      <c r="AY11" s="213" t="str">
        <f t="shared" si="6"/>
        <v>-</v>
      </c>
      <c r="AZ11" s="90" t="str">
        <f t="shared" ref="AZ11:AZ20" si="16">IF(AV11&lt;&gt;"",AV11,"")</f>
        <v>B004</v>
      </c>
      <c r="BA11" s="225" t="str">
        <f t="shared" si="7"/>
        <v>NG</v>
      </c>
      <c r="BB11" s="91" t="s">
        <v>211</v>
      </c>
      <c r="BC11" s="168"/>
      <c r="BD11" s="90" t="s">
        <v>285</v>
      </c>
      <c r="BE11" s="213" t="str">
        <f t="shared" si="8"/>
        <v>-</v>
      </c>
      <c r="BF11" s="90" t="str">
        <f t="shared" ref="BF11:BF20" si="17">IF(BB11&lt;&gt;"",BB11,"")</f>
        <v>B004</v>
      </c>
      <c r="BG11" s="225" t="str">
        <f t="shared" si="9"/>
        <v>NG</v>
      </c>
      <c r="BH11" s="91" t="s">
        <v>211</v>
      </c>
      <c r="BI11" s="168"/>
      <c r="BJ11" s="90" t="s">
        <v>285</v>
      </c>
      <c r="BK11" s="213" t="str">
        <f t="shared" si="10"/>
        <v>NG</v>
      </c>
      <c r="BL11" s="90" t="str">
        <f t="shared" ref="BL11:BL20" si="18">IF(BH11&lt;&gt;"",BH11,"")</f>
        <v>B004</v>
      </c>
      <c r="BM11" s="225" t="str">
        <f t="shared" si="11"/>
        <v>NG</v>
      </c>
    </row>
    <row r="12" spans="1:65" s="33" customFormat="1" ht="25.5">
      <c r="A12" s="20"/>
      <c r="B12" s="2">
        <v>4</v>
      </c>
      <c r="C12" s="7"/>
      <c r="D12" s="7"/>
      <c r="E12" s="22" t="s">
        <v>435</v>
      </c>
      <c r="F12" s="16"/>
      <c r="G12" s="16"/>
      <c r="H12" s="13"/>
      <c r="I12" s="8"/>
      <c r="J12" s="8" t="s">
        <v>436</v>
      </c>
      <c r="K12" s="8"/>
      <c r="L12" s="8"/>
      <c r="M12" s="9" t="s">
        <v>192</v>
      </c>
      <c r="N12" s="8"/>
      <c r="O12" s="10"/>
      <c r="P12" s="93">
        <v>2</v>
      </c>
      <c r="Q12" s="113">
        <v>2</v>
      </c>
      <c r="R12" s="21" t="s">
        <v>437</v>
      </c>
      <c r="S12" s="94"/>
      <c r="T12" s="94"/>
      <c r="U12" s="21" t="s">
        <v>438</v>
      </c>
      <c r="V12" s="10"/>
      <c r="W12" s="25" t="str">
        <f t="shared" si="0"/>
        <v>2</v>
      </c>
      <c r="X12" s="1" t="s">
        <v>439</v>
      </c>
      <c r="Y12" s="1">
        <v>2</v>
      </c>
      <c r="Z12" s="1">
        <v>2</v>
      </c>
      <c r="AA12" s="8">
        <v>9</v>
      </c>
      <c r="AB12" s="8" t="s">
        <v>438</v>
      </c>
      <c r="AC12" s="56"/>
      <c r="AD12" s="91" t="s">
        <v>55</v>
      </c>
      <c r="AE12" s="168"/>
      <c r="AF12" s="90" t="str">
        <f>IF(AH12="-","-",AH12&amp;REPT(IF($R12="N","　",IF($R12="9","0"," ")),$Z12-LENB(AH12)))</f>
        <v>10</v>
      </c>
      <c r="AG12" s="213" t="str">
        <f t="shared" si="1"/>
        <v>-</v>
      </c>
      <c r="AH12" s="90" t="str">
        <f t="shared" si="13"/>
        <v>10</v>
      </c>
      <c r="AI12" s="225" t="str">
        <f t="shared" si="12"/>
        <v>NG</v>
      </c>
      <c r="AJ12" s="91" t="s">
        <v>55</v>
      </c>
      <c r="AK12" s="168"/>
      <c r="AL12" s="90" t="str">
        <f>IF(AN12="-","-",AN12&amp;REPT(IF($R12="N","　",IF($R12="9","0"," ")),$Z12-LENB(AN12)))</f>
        <v>10</v>
      </c>
      <c r="AM12" s="213" t="str">
        <f t="shared" si="2"/>
        <v>-</v>
      </c>
      <c r="AN12" s="90" t="str">
        <f t="shared" si="14"/>
        <v>10</v>
      </c>
      <c r="AO12" s="225" t="str">
        <f t="shared" si="3"/>
        <v>NG</v>
      </c>
      <c r="AP12" s="91" t="s">
        <v>55</v>
      </c>
      <c r="AQ12" s="168"/>
      <c r="AR12" s="90" t="str">
        <f>IF(AT12="-","-",AT12&amp;REPT(IF($R12="N","　",IF($R12="9","0"," ")),$Z12-LENB(AT12)))</f>
        <v>10</v>
      </c>
      <c r="AS12" s="213" t="str">
        <f t="shared" si="4"/>
        <v>NG</v>
      </c>
      <c r="AT12" s="90" t="str">
        <f t="shared" si="15"/>
        <v>10</v>
      </c>
      <c r="AU12" s="225" t="str">
        <f t="shared" si="5"/>
        <v>-</v>
      </c>
      <c r="AV12" s="91" t="s">
        <v>55</v>
      </c>
      <c r="AW12" s="168"/>
      <c r="AX12" s="90" t="str">
        <f>IF(AZ12="-","-",AZ12&amp;REPT(IF($R12="N","　",IF($R12="9","0"," ")),$Z12-LENB(AZ12)))</f>
        <v>10</v>
      </c>
      <c r="AY12" s="213" t="str">
        <f t="shared" si="6"/>
        <v>-</v>
      </c>
      <c r="AZ12" s="90" t="str">
        <f t="shared" si="16"/>
        <v>10</v>
      </c>
      <c r="BA12" s="225" t="str">
        <f t="shared" si="7"/>
        <v>NG</v>
      </c>
      <c r="BB12" s="91" t="s">
        <v>55</v>
      </c>
      <c r="BC12" s="168"/>
      <c r="BD12" s="90" t="str">
        <f>IF(BF12="-","-",BF12&amp;REPT(IF($R12="N","　",IF($R12="9","0"," ")),$Z12-LENB(BF12)))</f>
        <v>10</v>
      </c>
      <c r="BE12" s="213" t="str">
        <f t="shared" si="8"/>
        <v>-</v>
      </c>
      <c r="BF12" s="90" t="str">
        <f t="shared" si="17"/>
        <v>10</v>
      </c>
      <c r="BG12" s="225" t="str">
        <f t="shared" si="9"/>
        <v>NG</v>
      </c>
      <c r="BH12" s="91" t="s">
        <v>55</v>
      </c>
      <c r="BI12" s="168"/>
      <c r="BJ12" s="90" t="str">
        <f>IF(BL12="-","-",BL12&amp;REPT(IF($R12="N","　",IF($R12="9","0"," ")),$Z12-LENB(BL12)))</f>
        <v>10</v>
      </c>
      <c r="BK12" s="213" t="str">
        <f t="shared" si="10"/>
        <v>NG</v>
      </c>
      <c r="BL12" s="90" t="str">
        <f t="shared" si="18"/>
        <v>10</v>
      </c>
      <c r="BM12" s="225" t="str">
        <f t="shared" si="11"/>
        <v>NG</v>
      </c>
    </row>
    <row r="13" spans="1:65" s="33" customFormat="1">
      <c r="A13" s="20"/>
      <c r="B13" s="2">
        <v>5</v>
      </c>
      <c r="C13" s="7"/>
      <c r="D13" s="7"/>
      <c r="E13" s="22" t="s">
        <v>42</v>
      </c>
      <c r="F13" s="16"/>
      <c r="G13" s="16"/>
      <c r="H13" s="13"/>
      <c r="I13" s="21"/>
      <c r="J13" s="21" t="s">
        <v>436</v>
      </c>
      <c r="K13" s="8"/>
      <c r="L13" s="8"/>
      <c r="M13" s="94" t="s">
        <v>440</v>
      </c>
      <c r="N13" s="8"/>
      <c r="O13" s="10"/>
      <c r="P13" s="93">
        <v>3</v>
      </c>
      <c r="Q13" s="113">
        <v>14</v>
      </c>
      <c r="R13" s="21" t="s">
        <v>437</v>
      </c>
      <c r="S13" s="94"/>
      <c r="T13" s="94"/>
      <c r="U13" s="21" t="s">
        <v>438</v>
      </c>
      <c r="V13" s="10"/>
      <c r="W13" s="25" t="str">
        <f t="shared" si="0"/>
        <v>2</v>
      </c>
      <c r="X13" s="1" t="s">
        <v>441</v>
      </c>
      <c r="Y13" s="1">
        <v>14</v>
      </c>
      <c r="Z13" s="1">
        <v>14</v>
      </c>
      <c r="AA13" s="8">
        <v>9</v>
      </c>
      <c r="AB13" s="8" t="s">
        <v>438</v>
      </c>
      <c r="AC13" s="56"/>
      <c r="AD13" s="92" t="s">
        <v>442</v>
      </c>
      <c r="AE13" s="169"/>
      <c r="AF13" s="90" t="str">
        <f>IF(AH13="-","-",AH13&amp;REPT(IF($R13="N","　",IF($R13="9","0"," ")),$Z13-LENB(AH13)))</f>
        <v>20170707120000</v>
      </c>
      <c r="AG13" s="213" t="str">
        <f t="shared" si="1"/>
        <v>-</v>
      </c>
      <c r="AH13" s="90" t="str">
        <f t="shared" si="13"/>
        <v>20170707120000</v>
      </c>
      <c r="AI13" s="225" t="str">
        <f t="shared" si="12"/>
        <v>NG</v>
      </c>
      <c r="AJ13" s="92" t="s">
        <v>442</v>
      </c>
      <c r="AK13" s="169"/>
      <c r="AL13" s="90" t="str">
        <f>IF(AN13="-","-",AN13&amp;REPT(IF($R13="N","　",IF($R13="9","0"," ")),$Z13-LENB(AN13)))</f>
        <v>20170707120000</v>
      </c>
      <c r="AM13" s="213" t="str">
        <f t="shared" si="2"/>
        <v>-</v>
      </c>
      <c r="AN13" s="90" t="str">
        <f t="shared" si="14"/>
        <v>20170707120000</v>
      </c>
      <c r="AO13" s="225" t="str">
        <f t="shared" si="3"/>
        <v>NG</v>
      </c>
      <c r="AP13" s="92" t="s">
        <v>442</v>
      </c>
      <c r="AQ13" s="169"/>
      <c r="AR13" s="90" t="str">
        <f>IF(AT13="-","-",AT13&amp;REPT(IF($R13="N","　",IF($R13="9","0"," ")),$Z13-LENB(AT13)))</f>
        <v>20170707120000</v>
      </c>
      <c r="AS13" s="213" t="str">
        <f t="shared" si="4"/>
        <v>NG</v>
      </c>
      <c r="AT13" s="90" t="str">
        <f t="shared" si="15"/>
        <v>20170707120000</v>
      </c>
      <c r="AU13" s="225" t="str">
        <f t="shared" si="5"/>
        <v>-</v>
      </c>
      <c r="AV13" s="92" t="s">
        <v>442</v>
      </c>
      <c r="AW13" s="169"/>
      <c r="AX13" s="90" t="str">
        <f>IF(AZ13="-","-",AZ13&amp;REPT(IF($R13="N","　",IF($R13="9","0"," ")),$Z13-LENB(AZ13)))</f>
        <v>20170707120000</v>
      </c>
      <c r="AY13" s="213" t="str">
        <f t="shared" si="6"/>
        <v>-</v>
      </c>
      <c r="AZ13" s="90" t="str">
        <f t="shared" si="16"/>
        <v>20170707120000</v>
      </c>
      <c r="BA13" s="225" t="str">
        <f t="shared" si="7"/>
        <v>NG</v>
      </c>
      <c r="BB13" s="92" t="s">
        <v>442</v>
      </c>
      <c r="BC13" s="169"/>
      <c r="BD13" s="90" t="str">
        <f>IF(BF13="-","-",BF13&amp;REPT(IF($R13="N","　",IF($R13="9","0"," ")),$Z13-LENB(BF13)))</f>
        <v>20170707120000</v>
      </c>
      <c r="BE13" s="213" t="str">
        <f t="shared" si="8"/>
        <v>-</v>
      </c>
      <c r="BF13" s="90" t="str">
        <f t="shared" si="17"/>
        <v>20170707120000</v>
      </c>
      <c r="BG13" s="225" t="str">
        <f t="shared" si="9"/>
        <v>NG</v>
      </c>
      <c r="BH13" s="92" t="s">
        <v>442</v>
      </c>
      <c r="BI13" s="169"/>
      <c r="BJ13" s="90" t="str">
        <f>IF(BL13="-","-",BL13&amp;REPT(IF($R13="N","　",IF($R13="9","0"," ")),$Z13-LENB(BL13)))</f>
        <v>20170707120000</v>
      </c>
      <c r="BK13" s="213" t="str">
        <f t="shared" si="10"/>
        <v>NG</v>
      </c>
      <c r="BL13" s="90" t="str">
        <f t="shared" si="18"/>
        <v>20170707120000</v>
      </c>
      <c r="BM13" s="225" t="str">
        <f t="shared" si="11"/>
        <v>NG</v>
      </c>
    </row>
    <row r="14" spans="1:65" s="33" customFormat="1">
      <c r="A14" s="20"/>
      <c r="B14" s="2">
        <v>6</v>
      </c>
      <c r="C14" s="7"/>
      <c r="D14" s="7"/>
      <c r="E14" s="121" t="s">
        <v>43</v>
      </c>
      <c r="F14" s="16"/>
      <c r="G14" s="16"/>
      <c r="H14" s="13"/>
      <c r="I14" s="21"/>
      <c r="J14" s="21" t="s">
        <v>436</v>
      </c>
      <c r="K14" s="8"/>
      <c r="L14" s="8"/>
      <c r="M14" s="94"/>
      <c r="N14" s="8"/>
      <c r="O14" s="10"/>
      <c r="P14" s="93"/>
      <c r="Q14" s="113"/>
      <c r="R14" s="21"/>
      <c r="S14" s="94"/>
      <c r="T14" s="94"/>
      <c r="U14" s="21"/>
      <c r="V14" s="10"/>
      <c r="W14" s="25" t="str">
        <f t="shared" si="0"/>
        <v>2</v>
      </c>
      <c r="X14" s="1" t="s">
        <v>443</v>
      </c>
      <c r="Y14" s="1"/>
      <c r="Z14" s="1"/>
      <c r="AA14" s="8"/>
      <c r="AB14" s="8" t="s">
        <v>438</v>
      </c>
      <c r="AC14" s="56"/>
      <c r="AD14" s="91"/>
      <c r="AE14" s="170"/>
      <c r="AF14" s="90" t="str">
        <f t="shared" ref="AF14:AF77" si="19">IF(AH14="-","-",AH14&amp;REPT(IF($R14="N","　",IF($R14="9","0"," ")),$Z14-LENB(AH14)))</f>
        <v/>
      </c>
      <c r="AG14" s="213" t="str">
        <f t="shared" si="1"/>
        <v>-</v>
      </c>
      <c r="AH14" s="90" t="str">
        <f t="shared" si="13"/>
        <v/>
      </c>
      <c r="AI14" s="225" t="str">
        <f t="shared" si="12"/>
        <v>OK</v>
      </c>
      <c r="AJ14" s="91"/>
      <c r="AK14" s="170"/>
      <c r="AL14" s="90" t="str">
        <f t="shared" ref="AL14:AL77" si="20">IF(AN14="-","-",AN14&amp;REPT(IF($R14="N","　",IF($R14="9","0"," ")),$Z14-LENB(AN14)))</f>
        <v/>
      </c>
      <c r="AM14" s="213" t="str">
        <f t="shared" si="2"/>
        <v>-</v>
      </c>
      <c r="AN14" s="90" t="str">
        <f t="shared" si="14"/>
        <v/>
      </c>
      <c r="AO14" s="225" t="str">
        <f t="shared" si="3"/>
        <v>OK</v>
      </c>
      <c r="AP14" s="91"/>
      <c r="AQ14" s="170"/>
      <c r="AR14" s="90" t="str">
        <f t="shared" ref="AR14:AR77" si="21">IF(AT14="-","-",AT14&amp;REPT(IF($R14="N","　",IF($R14="9","0"," ")),$Z14-LENB(AT14)))</f>
        <v/>
      </c>
      <c r="AS14" s="213" t="str">
        <f t="shared" si="4"/>
        <v>OK</v>
      </c>
      <c r="AT14" s="90" t="str">
        <f t="shared" si="15"/>
        <v/>
      </c>
      <c r="AU14" s="225" t="str">
        <f t="shared" si="5"/>
        <v>-</v>
      </c>
      <c r="AV14" s="91"/>
      <c r="AW14" s="170"/>
      <c r="AX14" s="90" t="str">
        <f t="shared" ref="AX14:AX77" si="22">IF(AZ14="-","-",AZ14&amp;REPT(IF($R14="N","　",IF($R14="9","0"," ")),$Z14-LENB(AZ14)))</f>
        <v/>
      </c>
      <c r="AY14" s="213" t="str">
        <f t="shared" si="6"/>
        <v>-</v>
      </c>
      <c r="AZ14" s="90" t="str">
        <f t="shared" si="16"/>
        <v/>
      </c>
      <c r="BA14" s="225" t="str">
        <f t="shared" si="7"/>
        <v>OK</v>
      </c>
      <c r="BB14" s="91"/>
      <c r="BC14" s="170"/>
      <c r="BD14" s="90" t="str">
        <f t="shared" ref="BD14:BD77" si="23">IF(BF14="-","-",BF14&amp;REPT(IF($R14="N","　",IF($R14="9","0"," ")),$Z14-LENB(BF14)))</f>
        <v/>
      </c>
      <c r="BE14" s="213" t="str">
        <f t="shared" si="8"/>
        <v>-</v>
      </c>
      <c r="BF14" s="90" t="str">
        <f t="shared" si="17"/>
        <v/>
      </c>
      <c r="BG14" s="225" t="str">
        <f t="shared" si="9"/>
        <v>OK</v>
      </c>
      <c r="BH14" s="91"/>
      <c r="BI14" s="170"/>
      <c r="BJ14" s="90" t="str">
        <f t="shared" ref="BJ14:BJ77" si="24">IF(BL14="-","-",BL14&amp;REPT(IF($R14="N","　",IF($R14="9","0"," ")),$Z14-LENB(BL14)))</f>
        <v/>
      </c>
      <c r="BK14" s="213" t="str">
        <f t="shared" si="10"/>
        <v>OK</v>
      </c>
      <c r="BL14" s="90" t="str">
        <f t="shared" si="18"/>
        <v/>
      </c>
      <c r="BM14" s="225" t="str">
        <f t="shared" si="11"/>
        <v>OK</v>
      </c>
    </row>
    <row r="15" spans="1:65" s="33" customFormat="1">
      <c r="A15" s="20"/>
      <c r="B15" s="2">
        <v>7</v>
      </c>
      <c r="C15" s="7"/>
      <c r="D15" s="7"/>
      <c r="E15" s="7"/>
      <c r="F15" s="22" t="s">
        <v>44</v>
      </c>
      <c r="G15" s="22"/>
      <c r="H15" s="13"/>
      <c r="I15" s="21"/>
      <c r="J15" s="21" t="s">
        <v>436</v>
      </c>
      <c r="K15" s="8"/>
      <c r="L15" s="8"/>
      <c r="M15" s="122" t="s">
        <v>45</v>
      </c>
      <c r="N15" s="1"/>
      <c r="O15" s="10"/>
      <c r="P15" s="93">
        <v>4</v>
      </c>
      <c r="Q15" s="113">
        <v>4</v>
      </c>
      <c r="R15" s="21" t="s">
        <v>437</v>
      </c>
      <c r="S15" s="94"/>
      <c r="T15" s="94"/>
      <c r="U15" s="21" t="s">
        <v>438</v>
      </c>
      <c r="V15" s="10"/>
      <c r="W15" s="25" t="str">
        <f t="shared" si="0"/>
        <v>3</v>
      </c>
      <c r="X15" s="1" t="s">
        <v>444</v>
      </c>
      <c r="Y15" s="1">
        <v>1</v>
      </c>
      <c r="Z15" s="1">
        <v>4</v>
      </c>
      <c r="AA15" s="8" t="s">
        <v>437</v>
      </c>
      <c r="AB15" s="8" t="s">
        <v>438</v>
      </c>
      <c r="AC15" s="56"/>
      <c r="AD15" s="91" t="s">
        <v>445</v>
      </c>
      <c r="AE15" s="168"/>
      <c r="AF15" s="90" t="str">
        <f t="shared" si="19"/>
        <v xml:space="preserve">FMC </v>
      </c>
      <c r="AG15" s="213" t="str">
        <f t="shared" si="1"/>
        <v>-</v>
      </c>
      <c r="AH15" s="90" t="str">
        <f t="shared" si="13"/>
        <v>FMC</v>
      </c>
      <c r="AI15" s="225" t="str">
        <f t="shared" si="12"/>
        <v>NG</v>
      </c>
      <c r="AJ15" s="91" t="s">
        <v>445</v>
      </c>
      <c r="AK15" s="168"/>
      <c r="AL15" s="90" t="str">
        <f t="shared" si="20"/>
        <v xml:space="preserve">FMC </v>
      </c>
      <c r="AM15" s="213" t="str">
        <f t="shared" si="2"/>
        <v>-</v>
      </c>
      <c r="AN15" s="90" t="str">
        <f t="shared" si="14"/>
        <v>FMC</v>
      </c>
      <c r="AO15" s="225" t="str">
        <f t="shared" si="3"/>
        <v>NG</v>
      </c>
      <c r="AP15" s="91" t="s">
        <v>445</v>
      </c>
      <c r="AQ15" s="168"/>
      <c r="AR15" s="90" t="str">
        <f t="shared" si="21"/>
        <v xml:space="preserve">FMC </v>
      </c>
      <c r="AS15" s="213" t="str">
        <f t="shared" si="4"/>
        <v>NG</v>
      </c>
      <c r="AT15" s="90" t="str">
        <f t="shared" si="15"/>
        <v>FMC</v>
      </c>
      <c r="AU15" s="225" t="str">
        <f t="shared" si="5"/>
        <v>-</v>
      </c>
      <c r="AV15" s="91" t="s">
        <v>445</v>
      </c>
      <c r="AW15" s="168"/>
      <c r="AX15" s="90" t="str">
        <f t="shared" si="22"/>
        <v xml:space="preserve">FMC </v>
      </c>
      <c r="AY15" s="213" t="str">
        <f t="shared" si="6"/>
        <v>-</v>
      </c>
      <c r="AZ15" s="90" t="str">
        <f t="shared" si="16"/>
        <v>FMC</v>
      </c>
      <c r="BA15" s="225" t="str">
        <f t="shared" si="7"/>
        <v>NG</v>
      </c>
      <c r="BB15" s="91" t="s">
        <v>445</v>
      </c>
      <c r="BC15" s="168"/>
      <c r="BD15" s="90" t="str">
        <f t="shared" si="23"/>
        <v xml:space="preserve">FMC </v>
      </c>
      <c r="BE15" s="213" t="str">
        <f t="shared" si="8"/>
        <v>-</v>
      </c>
      <c r="BF15" s="90" t="str">
        <f t="shared" si="17"/>
        <v>FMC</v>
      </c>
      <c r="BG15" s="225" t="str">
        <f t="shared" si="9"/>
        <v>NG</v>
      </c>
      <c r="BH15" s="91" t="s">
        <v>445</v>
      </c>
      <c r="BI15" s="168"/>
      <c r="BJ15" s="90" t="str">
        <f t="shared" si="24"/>
        <v xml:space="preserve">FMC </v>
      </c>
      <c r="BK15" s="213" t="str">
        <f t="shared" si="10"/>
        <v>NG</v>
      </c>
      <c r="BL15" s="90" t="str">
        <f t="shared" si="18"/>
        <v>FMC</v>
      </c>
      <c r="BM15" s="225" t="str">
        <f t="shared" si="11"/>
        <v>NG</v>
      </c>
    </row>
    <row r="16" spans="1:65" s="33" customFormat="1" ht="89.25">
      <c r="A16" s="20"/>
      <c r="B16" s="2">
        <v>8</v>
      </c>
      <c r="C16" s="7"/>
      <c r="D16" s="7"/>
      <c r="E16" s="7"/>
      <c r="F16" s="22" t="s">
        <v>46</v>
      </c>
      <c r="G16" s="22"/>
      <c r="H16" s="13"/>
      <c r="I16" s="21"/>
      <c r="J16" s="8" t="s">
        <v>446</v>
      </c>
      <c r="K16" s="8"/>
      <c r="L16" s="8"/>
      <c r="M16" s="9" t="s">
        <v>193</v>
      </c>
      <c r="N16" s="8"/>
      <c r="O16" s="10"/>
      <c r="P16" s="93">
        <v>5</v>
      </c>
      <c r="Q16" s="113">
        <v>7</v>
      </c>
      <c r="R16" s="21" t="s">
        <v>437</v>
      </c>
      <c r="S16" s="94"/>
      <c r="T16" s="94"/>
      <c r="U16" s="21" t="s">
        <v>438</v>
      </c>
      <c r="V16" s="10"/>
      <c r="W16" s="25" t="str">
        <f t="shared" si="0"/>
        <v>3</v>
      </c>
      <c r="X16" s="1" t="s">
        <v>447</v>
      </c>
      <c r="Y16" s="1">
        <v>7</v>
      </c>
      <c r="Z16" s="1">
        <v>7</v>
      </c>
      <c r="AA16" s="8" t="s">
        <v>437</v>
      </c>
      <c r="AB16" s="8" t="s">
        <v>438</v>
      </c>
      <c r="AC16" s="56"/>
      <c r="AD16" s="91" t="s">
        <v>448</v>
      </c>
      <c r="AE16" s="168"/>
      <c r="AF16" s="90" t="str">
        <f t="shared" si="19"/>
        <v>E845001</v>
      </c>
      <c r="AG16" s="213" t="str">
        <f t="shared" si="1"/>
        <v>-</v>
      </c>
      <c r="AH16" s="90" t="str">
        <f t="shared" si="13"/>
        <v>E845001</v>
      </c>
      <c r="AI16" s="225" t="str">
        <f t="shared" si="12"/>
        <v>NG</v>
      </c>
      <c r="AJ16" s="91" t="s">
        <v>448</v>
      </c>
      <c r="AK16" s="168"/>
      <c r="AL16" s="90" t="str">
        <f t="shared" si="20"/>
        <v>E845001</v>
      </c>
      <c r="AM16" s="213" t="str">
        <f t="shared" si="2"/>
        <v>-</v>
      </c>
      <c r="AN16" s="90" t="str">
        <f t="shared" si="14"/>
        <v>E845001</v>
      </c>
      <c r="AO16" s="225" t="str">
        <f t="shared" si="3"/>
        <v>NG</v>
      </c>
      <c r="AP16" s="91" t="s">
        <v>557</v>
      </c>
      <c r="AQ16" s="168"/>
      <c r="AR16" s="90" t="str">
        <f t="shared" si="21"/>
        <v>A080601</v>
      </c>
      <c r="AS16" s="213" t="str">
        <f t="shared" si="4"/>
        <v>NG</v>
      </c>
      <c r="AT16" s="90" t="str">
        <f t="shared" si="15"/>
        <v>A080601</v>
      </c>
      <c r="AU16" s="225" t="str">
        <f t="shared" si="5"/>
        <v>-</v>
      </c>
      <c r="AV16" s="91" t="s">
        <v>448</v>
      </c>
      <c r="AW16" s="168"/>
      <c r="AX16" s="90" t="str">
        <f t="shared" si="22"/>
        <v>E845001</v>
      </c>
      <c r="AY16" s="213" t="str">
        <f t="shared" si="6"/>
        <v>-</v>
      </c>
      <c r="AZ16" s="90" t="str">
        <f t="shared" si="16"/>
        <v>E845001</v>
      </c>
      <c r="BA16" s="225" t="str">
        <f t="shared" si="7"/>
        <v>NG</v>
      </c>
      <c r="BB16" s="91" t="s">
        <v>448</v>
      </c>
      <c r="BC16" s="168"/>
      <c r="BD16" s="90" t="str">
        <f t="shared" si="23"/>
        <v>E845001</v>
      </c>
      <c r="BE16" s="213" t="str">
        <f t="shared" si="8"/>
        <v>-</v>
      </c>
      <c r="BF16" s="90" t="str">
        <f t="shared" si="17"/>
        <v>E845001</v>
      </c>
      <c r="BG16" s="225" t="str">
        <f t="shared" si="9"/>
        <v>NG</v>
      </c>
      <c r="BH16" s="91" t="s">
        <v>557</v>
      </c>
      <c r="BI16" s="168"/>
      <c r="BJ16" s="90" t="str">
        <f t="shared" si="24"/>
        <v>A080601</v>
      </c>
      <c r="BK16" s="213" t="str">
        <f t="shared" si="10"/>
        <v>NG</v>
      </c>
      <c r="BL16" s="90" t="str">
        <f t="shared" si="18"/>
        <v>A080601</v>
      </c>
      <c r="BM16" s="225" t="str">
        <f t="shared" si="11"/>
        <v>NG</v>
      </c>
    </row>
    <row r="17" spans="1:65" s="33" customFormat="1">
      <c r="A17" s="20"/>
      <c r="B17" s="2">
        <v>9</v>
      </c>
      <c r="C17" s="7"/>
      <c r="D17" s="7"/>
      <c r="E17" s="7"/>
      <c r="F17" s="22" t="s">
        <v>47</v>
      </c>
      <c r="G17" s="22"/>
      <c r="H17" s="13"/>
      <c r="I17" s="21"/>
      <c r="J17" s="21" t="s">
        <v>436</v>
      </c>
      <c r="K17" s="8"/>
      <c r="L17" s="8"/>
      <c r="M17" s="94" t="s">
        <v>48</v>
      </c>
      <c r="N17" s="8"/>
      <c r="O17" s="10"/>
      <c r="P17" s="93">
        <v>6</v>
      </c>
      <c r="Q17" s="113">
        <v>8</v>
      </c>
      <c r="R17" s="21" t="s">
        <v>437</v>
      </c>
      <c r="S17" s="94"/>
      <c r="T17" s="94"/>
      <c r="U17" s="21" t="s">
        <v>438</v>
      </c>
      <c r="V17" s="10"/>
      <c r="W17" s="25" t="str">
        <f t="shared" si="0"/>
        <v>3</v>
      </c>
      <c r="X17" s="1" t="s">
        <v>449</v>
      </c>
      <c r="Y17" s="1">
        <v>8</v>
      </c>
      <c r="Z17" s="1">
        <v>8</v>
      </c>
      <c r="AA17" s="8" t="s">
        <v>437</v>
      </c>
      <c r="AB17" s="8" t="s">
        <v>438</v>
      </c>
      <c r="AC17" s="56"/>
      <c r="AD17" s="92" t="s">
        <v>450</v>
      </c>
      <c r="AE17" s="168"/>
      <c r="AF17" s="90" t="str">
        <f t="shared" si="19"/>
        <v>CASE0010</v>
      </c>
      <c r="AG17" s="213" t="str">
        <f t="shared" si="1"/>
        <v>-</v>
      </c>
      <c r="AH17" s="90" t="str">
        <f t="shared" si="13"/>
        <v>CASE0010</v>
      </c>
      <c r="AI17" s="225" t="str">
        <f t="shared" si="12"/>
        <v>NG</v>
      </c>
      <c r="AJ17" s="92" t="s">
        <v>450</v>
      </c>
      <c r="AK17" s="168"/>
      <c r="AL17" s="90" t="str">
        <f t="shared" si="20"/>
        <v>CASE0010</v>
      </c>
      <c r="AM17" s="213" t="str">
        <f t="shared" si="2"/>
        <v>-</v>
      </c>
      <c r="AN17" s="90" t="str">
        <f t="shared" si="14"/>
        <v>CASE0010</v>
      </c>
      <c r="AO17" s="225" t="str">
        <f t="shared" si="3"/>
        <v>NG</v>
      </c>
      <c r="AP17" s="92" t="s">
        <v>450</v>
      </c>
      <c r="AQ17" s="168"/>
      <c r="AR17" s="90" t="str">
        <f t="shared" si="21"/>
        <v>CASE0010</v>
      </c>
      <c r="AS17" s="213" t="str">
        <f t="shared" si="4"/>
        <v>NG</v>
      </c>
      <c r="AT17" s="90" t="str">
        <f t="shared" si="15"/>
        <v>CASE0010</v>
      </c>
      <c r="AU17" s="225" t="str">
        <f t="shared" si="5"/>
        <v>-</v>
      </c>
      <c r="AV17" s="92" t="s">
        <v>450</v>
      </c>
      <c r="AW17" s="168"/>
      <c r="AX17" s="90" t="str">
        <f t="shared" si="22"/>
        <v>CASE0010</v>
      </c>
      <c r="AY17" s="213" t="str">
        <f t="shared" si="6"/>
        <v>-</v>
      </c>
      <c r="AZ17" s="90" t="str">
        <f t="shared" si="16"/>
        <v>CASE0010</v>
      </c>
      <c r="BA17" s="225" t="str">
        <f t="shared" si="7"/>
        <v>NG</v>
      </c>
      <c r="BB17" s="92" t="s">
        <v>450</v>
      </c>
      <c r="BC17" s="168"/>
      <c r="BD17" s="90" t="str">
        <f t="shared" si="23"/>
        <v>CASE0010</v>
      </c>
      <c r="BE17" s="213" t="str">
        <f t="shared" si="8"/>
        <v>-</v>
      </c>
      <c r="BF17" s="90" t="str">
        <f t="shared" si="17"/>
        <v>CASE0010</v>
      </c>
      <c r="BG17" s="225" t="str">
        <f t="shared" si="9"/>
        <v>NG</v>
      </c>
      <c r="BH17" s="92" t="s">
        <v>450</v>
      </c>
      <c r="BI17" s="168"/>
      <c r="BJ17" s="90" t="str">
        <f t="shared" si="24"/>
        <v>CASE0010</v>
      </c>
      <c r="BK17" s="213" t="str">
        <f t="shared" si="10"/>
        <v>NG</v>
      </c>
      <c r="BL17" s="90" t="str">
        <f t="shared" si="18"/>
        <v>CASE0010</v>
      </c>
      <c r="BM17" s="225" t="str">
        <f t="shared" si="11"/>
        <v>NG</v>
      </c>
    </row>
    <row r="18" spans="1:65" s="26" customFormat="1" ht="38.25">
      <c r="B18" s="2">
        <v>10</v>
      </c>
      <c r="C18" s="7"/>
      <c r="D18" s="7"/>
      <c r="E18" s="7"/>
      <c r="F18" s="16" t="s">
        <v>49</v>
      </c>
      <c r="G18" s="22"/>
      <c r="H18" s="13"/>
      <c r="I18" s="21"/>
      <c r="J18" s="21" t="s">
        <v>436</v>
      </c>
      <c r="K18" s="8"/>
      <c r="L18" s="8"/>
      <c r="M18" s="182" t="s">
        <v>232</v>
      </c>
      <c r="N18" s="8"/>
      <c r="O18" s="10" t="s">
        <v>451</v>
      </c>
      <c r="P18" s="93">
        <v>7</v>
      </c>
      <c r="Q18" s="113">
        <v>15</v>
      </c>
      <c r="R18" s="21" t="s">
        <v>437</v>
      </c>
      <c r="S18" s="94"/>
      <c r="T18" s="94"/>
      <c r="U18" s="21" t="s">
        <v>438</v>
      </c>
      <c r="V18" s="10"/>
      <c r="W18" s="25" t="str">
        <f t="shared" si="0"/>
        <v>3</v>
      </c>
      <c r="X18" s="1" t="s">
        <v>452</v>
      </c>
      <c r="Y18" s="1">
        <v>7</v>
      </c>
      <c r="Z18" s="1">
        <v>15</v>
      </c>
      <c r="AA18" s="8" t="s">
        <v>437</v>
      </c>
      <c r="AB18" s="8" t="s">
        <v>438</v>
      </c>
      <c r="AC18" s="56"/>
      <c r="AD18" s="248" t="s">
        <v>453</v>
      </c>
      <c r="AE18" s="168"/>
      <c r="AF18" s="90" t="str">
        <f t="shared" si="19"/>
        <v>192.168.134.174</v>
      </c>
      <c r="AG18" s="213" t="str">
        <f t="shared" si="1"/>
        <v>-</v>
      </c>
      <c r="AH18" s="90" t="str">
        <f t="shared" si="13"/>
        <v>192.168.134.174</v>
      </c>
      <c r="AI18" s="225" t="str">
        <f t="shared" si="12"/>
        <v>NG</v>
      </c>
      <c r="AJ18" s="248" t="s">
        <v>453</v>
      </c>
      <c r="AK18" s="168"/>
      <c r="AL18" s="90" t="str">
        <f t="shared" si="20"/>
        <v>192.168.134.174</v>
      </c>
      <c r="AM18" s="213" t="str">
        <f t="shared" si="2"/>
        <v>-</v>
      </c>
      <c r="AN18" s="90" t="str">
        <f t="shared" si="14"/>
        <v>192.168.134.174</v>
      </c>
      <c r="AO18" s="225" t="str">
        <f t="shared" si="3"/>
        <v>NG</v>
      </c>
      <c r="AP18" s="248" t="s">
        <v>546</v>
      </c>
      <c r="AQ18" s="168"/>
      <c r="AR18" s="90" t="str">
        <f t="shared" si="21"/>
        <v xml:space="preserve">172.24.1.1     </v>
      </c>
      <c r="AS18" s="213" t="str">
        <f t="shared" si="4"/>
        <v>NG</v>
      </c>
      <c r="AT18" s="90" t="str">
        <f t="shared" si="15"/>
        <v>172.24.1.1</v>
      </c>
      <c r="AU18" s="225" t="str">
        <f t="shared" si="5"/>
        <v>-</v>
      </c>
      <c r="AV18" s="248" t="s">
        <v>453</v>
      </c>
      <c r="AW18" s="168"/>
      <c r="AX18" s="90" t="str">
        <f t="shared" si="22"/>
        <v>192.168.134.174</v>
      </c>
      <c r="AY18" s="213" t="str">
        <f t="shared" si="6"/>
        <v>-</v>
      </c>
      <c r="AZ18" s="90" t="str">
        <f t="shared" si="16"/>
        <v>192.168.134.174</v>
      </c>
      <c r="BA18" s="225" t="str">
        <f t="shared" si="7"/>
        <v>NG</v>
      </c>
      <c r="BB18" s="248" t="s">
        <v>453</v>
      </c>
      <c r="BC18" s="168"/>
      <c r="BD18" s="90" t="str">
        <f t="shared" si="23"/>
        <v>192.168.134.174</v>
      </c>
      <c r="BE18" s="213" t="str">
        <f t="shared" si="8"/>
        <v>-</v>
      </c>
      <c r="BF18" s="90" t="str">
        <f t="shared" si="17"/>
        <v>192.168.134.174</v>
      </c>
      <c r="BG18" s="225" t="str">
        <f t="shared" si="9"/>
        <v>NG</v>
      </c>
      <c r="BH18" s="248" t="s">
        <v>546</v>
      </c>
      <c r="BI18" s="168"/>
      <c r="BJ18" s="90" t="str">
        <f t="shared" si="24"/>
        <v xml:space="preserve">172.24.1.1     </v>
      </c>
      <c r="BK18" s="213" t="str">
        <f t="shared" si="10"/>
        <v>NG</v>
      </c>
      <c r="BL18" s="90" t="str">
        <f t="shared" si="18"/>
        <v>172.24.1.1</v>
      </c>
      <c r="BM18" s="225" t="str">
        <f t="shared" si="11"/>
        <v>NG</v>
      </c>
    </row>
    <row r="19" spans="1:65" s="26" customFormat="1" ht="63.75">
      <c r="B19" s="19">
        <v>11</v>
      </c>
      <c r="C19" s="7"/>
      <c r="D19" s="7"/>
      <c r="E19" s="7"/>
      <c r="F19" s="3" t="s">
        <v>50</v>
      </c>
      <c r="G19" s="3"/>
      <c r="H19" s="4"/>
      <c r="I19" s="37"/>
      <c r="J19" s="37" t="s">
        <v>436</v>
      </c>
      <c r="K19" s="6"/>
      <c r="L19" s="6"/>
      <c r="M19" s="183" t="s">
        <v>233</v>
      </c>
      <c r="N19" s="23" t="s">
        <v>454</v>
      </c>
      <c r="O19" s="27"/>
      <c r="P19" s="93">
        <v>8</v>
      </c>
      <c r="Q19" s="114">
        <v>6</v>
      </c>
      <c r="R19" s="21" t="s">
        <v>437</v>
      </c>
      <c r="S19" s="94"/>
      <c r="T19" s="94"/>
      <c r="U19" s="21" t="s">
        <v>438</v>
      </c>
      <c r="V19" s="10"/>
      <c r="W19" s="28">
        <v>3</v>
      </c>
      <c r="X19" s="5" t="s">
        <v>455</v>
      </c>
      <c r="Y19" s="5">
        <v>6</v>
      </c>
      <c r="Z19" s="5">
        <v>6</v>
      </c>
      <c r="AA19" s="6" t="s">
        <v>437</v>
      </c>
      <c r="AB19" s="8" t="s">
        <v>438</v>
      </c>
      <c r="AC19" s="54"/>
      <c r="AD19" s="92" t="s">
        <v>456</v>
      </c>
      <c r="AE19" s="168"/>
      <c r="AF19" s="90" t="str">
        <f t="shared" si="19"/>
        <v>ORANGE</v>
      </c>
      <c r="AG19" s="213" t="str">
        <f t="shared" si="1"/>
        <v>-</v>
      </c>
      <c r="AH19" s="90" t="str">
        <f t="shared" si="13"/>
        <v>ORANGE</v>
      </c>
      <c r="AI19" s="225" t="str">
        <f t="shared" si="12"/>
        <v>NG</v>
      </c>
      <c r="AJ19" s="92" t="s">
        <v>541</v>
      </c>
      <c r="AK19" s="168"/>
      <c r="AL19" s="90" t="str">
        <f t="shared" si="20"/>
        <v>PASCAL</v>
      </c>
      <c r="AM19" s="213" t="str">
        <f t="shared" si="2"/>
        <v>-</v>
      </c>
      <c r="AN19" s="90" t="str">
        <f t="shared" si="14"/>
        <v>PASCAL</v>
      </c>
      <c r="AO19" s="225" t="str">
        <f t="shared" si="3"/>
        <v>NG</v>
      </c>
      <c r="AP19" s="91" t="s">
        <v>547</v>
      </c>
      <c r="AQ19" s="168"/>
      <c r="AR19" s="90" t="str">
        <f t="shared" si="21"/>
        <v>EKIDEN</v>
      </c>
      <c r="AS19" s="213" t="str">
        <f t="shared" si="4"/>
        <v>NG</v>
      </c>
      <c r="AT19" s="90" t="str">
        <f t="shared" si="15"/>
        <v>EKIDEN</v>
      </c>
      <c r="AU19" s="225" t="str">
        <f t="shared" si="5"/>
        <v>-</v>
      </c>
      <c r="AV19" s="92" t="s">
        <v>1</v>
      </c>
      <c r="AW19" s="168"/>
      <c r="AX19" s="90" t="str">
        <f t="shared" si="22"/>
        <v>ORANGE</v>
      </c>
      <c r="AY19" s="213" t="str">
        <f t="shared" si="6"/>
        <v>-</v>
      </c>
      <c r="AZ19" s="90" t="str">
        <f t="shared" si="16"/>
        <v>ORANGE</v>
      </c>
      <c r="BA19" s="225" t="str">
        <f t="shared" si="7"/>
        <v>NG</v>
      </c>
      <c r="BB19" s="92" t="s">
        <v>1</v>
      </c>
      <c r="BC19" s="168"/>
      <c r="BD19" s="90" t="str">
        <f t="shared" si="23"/>
        <v>ORANGE</v>
      </c>
      <c r="BE19" s="213" t="str">
        <f t="shared" si="8"/>
        <v>-</v>
      </c>
      <c r="BF19" s="90" t="str">
        <f t="shared" si="17"/>
        <v>ORANGE</v>
      </c>
      <c r="BG19" s="225" t="str">
        <f t="shared" si="9"/>
        <v>NG</v>
      </c>
      <c r="BH19" s="91" t="s">
        <v>547</v>
      </c>
      <c r="BI19" s="168"/>
      <c r="BJ19" s="90" t="str">
        <f t="shared" si="24"/>
        <v>EKIDEN</v>
      </c>
      <c r="BK19" s="213" t="str">
        <f t="shared" si="10"/>
        <v>NG</v>
      </c>
      <c r="BL19" s="90" t="str">
        <f t="shared" si="18"/>
        <v>EKIDEN</v>
      </c>
      <c r="BM19" s="225" t="str">
        <f t="shared" si="11"/>
        <v>NG</v>
      </c>
    </row>
    <row r="20" spans="1:65" s="26" customFormat="1" ht="76.5">
      <c r="B20" s="19">
        <v>12</v>
      </c>
      <c r="C20" s="7"/>
      <c r="D20" s="7"/>
      <c r="E20" s="15"/>
      <c r="F20" s="3" t="s">
        <v>51</v>
      </c>
      <c r="G20" s="3"/>
      <c r="H20" s="4"/>
      <c r="I20" s="37"/>
      <c r="J20" s="37" t="s">
        <v>457</v>
      </c>
      <c r="K20" s="6"/>
      <c r="L20" s="6"/>
      <c r="M20" s="183" t="s">
        <v>234</v>
      </c>
      <c r="N20" s="6"/>
      <c r="O20" s="27"/>
      <c r="P20" s="93">
        <v>9</v>
      </c>
      <c r="Q20" s="114">
        <v>8</v>
      </c>
      <c r="R20" s="21" t="s">
        <v>458</v>
      </c>
      <c r="S20" s="94"/>
      <c r="T20" s="94"/>
      <c r="U20" s="21" t="s">
        <v>459</v>
      </c>
      <c r="V20" s="10"/>
      <c r="W20" s="28">
        <v>3</v>
      </c>
      <c r="X20" s="5" t="s">
        <v>460</v>
      </c>
      <c r="Y20" s="5">
        <v>6</v>
      </c>
      <c r="Z20" s="5">
        <v>8</v>
      </c>
      <c r="AA20" s="6" t="s">
        <v>458</v>
      </c>
      <c r="AB20" s="8" t="s">
        <v>459</v>
      </c>
      <c r="AC20" s="187" t="s">
        <v>235</v>
      </c>
      <c r="AD20" s="92" t="s">
        <v>461</v>
      </c>
      <c r="AE20" s="168"/>
      <c r="AF20" s="90" t="str">
        <f t="shared" si="19"/>
        <v>ORANGE01</v>
      </c>
      <c r="AG20" s="213" t="str">
        <f t="shared" si="1"/>
        <v>-</v>
      </c>
      <c r="AH20" s="90" t="str">
        <f t="shared" si="13"/>
        <v>ORANGE01</v>
      </c>
      <c r="AI20" s="225" t="str">
        <f t="shared" si="12"/>
        <v>NG</v>
      </c>
      <c r="AJ20" s="92" t="s">
        <v>198</v>
      </c>
      <c r="AK20" s="168"/>
      <c r="AL20" s="90" t="str">
        <f t="shared" si="20"/>
        <v xml:space="preserve">PASCAL  </v>
      </c>
      <c r="AM20" s="213" t="str">
        <f t="shared" si="2"/>
        <v>-</v>
      </c>
      <c r="AN20" s="90" t="str">
        <f t="shared" si="14"/>
        <v>PASCAL</v>
      </c>
      <c r="AO20" s="225" t="str">
        <f t="shared" si="3"/>
        <v>NG</v>
      </c>
      <c r="AP20" s="91" t="s">
        <v>548</v>
      </c>
      <c r="AQ20" s="168"/>
      <c r="AR20" s="90" t="str">
        <f t="shared" si="21"/>
        <v>EKIDEN01</v>
      </c>
      <c r="AS20" s="213" t="str">
        <f t="shared" si="4"/>
        <v>NG</v>
      </c>
      <c r="AT20" s="90" t="str">
        <f t="shared" si="15"/>
        <v>EKIDEN01</v>
      </c>
      <c r="AU20" s="225" t="str">
        <f t="shared" si="5"/>
        <v>-</v>
      </c>
      <c r="AV20" s="92" t="s">
        <v>461</v>
      </c>
      <c r="AW20" s="168"/>
      <c r="AX20" s="90" t="str">
        <f t="shared" si="22"/>
        <v>ORANGE01</v>
      </c>
      <c r="AY20" s="213" t="str">
        <f t="shared" si="6"/>
        <v>-</v>
      </c>
      <c r="AZ20" s="90" t="str">
        <f t="shared" si="16"/>
        <v>ORANGE01</v>
      </c>
      <c r="BA20" s="225" t="str">
        <f t="shared" si="7"/>
        <v>NG</v>
      </c>
      <c r="BB20" s="92" t="s">
        <v>461</v>
      </c>
      <c r="BC20" s="168"/>
      <c r="BD20" s="90" t="str">
        <f t="shared" si="23"/>
        <v>ORANGE01</v>
      </c>
      <c r="BE20" s="213" t="str">
        <f t="shared" si="8"/>
        <v>-</v>
      </c>
      <c r="BF20" s="90" t="str">
        <f t="shared" si="17"/>
        <v>ORANGE01</v>
      </c>
      <c r="BG20" s="225" t="str">
        <f t="shared" si="9"/>
        <v>NG</v>
      </c>
      <c r="BH20" s="91" t="s">
        <v>548</v>
      </c>
      <c r="BI20" s="168"/>
      <c r="BJ20" s="90" t="str">
        <f t="shared" si="24"/>
        <v>EKIDEN01</v>
      </c>
      <c r="BK20" s="213" t="str">
        <f t="shared" si="10"/>
        <v>NG</v>
      </c>
      <c r="BL20" s="90" t="str">
        <f t="shared" si="18"/>
        <v>EKIDEN01</v>
      </c>
      <c r="BM20" s="225" t="str">
        <f t="shared" si="11"/>
        <v>NG</v>
      </c>
    </row>
    <row r="21" spans="1:65" s="26" customFormat="1" ht="216.75">
      <c r="B21" s="2">
        <v>13</v>
      </c>
      <c r="C21" s="7"/>
      <c r="D21" s="7"/>
      <c r="E21" s="22" t="s">
        <v>52</v>
      </c>
      <c r="F21" s="16"/>
      <c r="G21" s="16"/>
      <c r="H21" s="13"/>
      <c r="I21" s="8"/>
      <c r="J21" s="8" t="s">
        <v>231</v>
      </c>
      <c r="K21" s="8"/>
      <c r="L21" s="8"/>
      <c r="M21" s="182" t="s">
        <v>295</v>
      </c>
      <c r="N21" s="11"/>
      <c r="O21" s="95"/>
      <c r="P21" s="93">
        <v>10</v>
      </c>
      <c r="Q21" s="113">
        <v>2</v>
      </c>
      <c r="R21" s="21" t="s">
        <v>229</v>
      </c>
      <c r="S21" s="94"/>
      <c r="T21" s="94"/>
      <c r="U21" s="21" t="s">
        <v>213</v>
      </c>
      <c r="V21" s="98" t="s">
        <v>236</v>
      </c>
      <c r="W21" s="25" t="str">
        <f>IF(C21&lt;&gt;"","0",IF(D21&lt;&gt;"","1",IF(E21&lt;&gt;"","2",IF(F21&lt;&gt;"","3",IF(G21&lt;&gt;"","4",IF(H21&lt;&gt;"","5"))))))</f>
        <v>2</v>
      </c>
      <c r="X21" s="1" t="s">
        <v>237</v>
      </c>
      <c r="Y21" s="1">
        <v>2</v>
      </c>
      <c r="Z21" s="1">
        <v>2</v>
      </c>
      <c r="AA21" s="8" t="s">
        <v>229</v>
      </c>
      <c r="AB21" s="8" t="s">
        <v>226</v>
      </c>
      <c r="AC21" s="98"/>
      <c r="AD21" s="125" t="s">
        <v>214</v>
      </c>
      <c r="AE21" s="217"/>
      <c r="AF21" s="252" t="str">
        <f t="shared" si="19"/>
        <v>00</v>
      </c>
      <c r="AG21" s="213" t="str">
        <f t="shared" si="1"/>
        <v>-</v>
      </c>
      <c r="AH21" s="253" t="s">
        <v>58</v>
      </c>
      <c r="AI21" s="225" t="str">
        <f>IF(OR(AE$8="判定対象外",AH$8="判定対象外",AH21="-"),"-",IF(AE21=AH21,"OK","NG"))</f>
        <v>NG</v>
      </c>
      <c r="AJ21" s="125" t="s">
        <v>214</v>
      </c>
      <c r="AK21" s="217"/>
      <c r="AL21" s="252" t="str">
        <f t="shared" si="20"/>
        <v>00</v>
      </c>
      <c r="AM21" s="213" t="str">
        <f t="shared" si="2"/>
        <v>-</v>
      </c>
      <c r="AN21" s="253" t="s">
        <v>58</v>
      </c>
      <c r="AO21" s="225" t="str">
        <f t="shared" si="3"/>
        <v>NG</v>
      </c>
      <c r="AP21" s="125" t="s">
        <v>214</v>
      </c>
      <c r="AQ21" s="217"/>
      <c r="AR21" s="252" t="str">
        <f t="shared" si="21"/>
        <v>00</v>
      </c>
      <c r="AS21" s="213" t="str">
        <f t="shared" si="4"/>
        <v>NG</v>
      </c>
      <c r="AT21" s="253" t="s">
        <v>58</v>
      </c>
      <c r="AU21" s="225" t="str">
        <f t="shared" si="5"/>
        <v>-</v>
      </c>
      <c r="AV21" s="125" t="s">
        <v>214</v>
      </c>
      <c r="AW21" s="217"/>
      <c r="AX21" s="252" t="str">
        <f t="shared" si="22"/>
        <v>00</v>
      </c>
      <c r="AY21" s="213" t="str">
        <f t="shared" si="6"/>
        <v>-</v>
      </c>
      <c r="AZ21" s="253" t="s">
        <v>58</v>
      </c>
      <c r="BA21" s="225" t="str">
        <f t="shared" si="7"/>
        <v>NG</v>
      </c>
      <c r="BB21" s="125" t="s">
        <v>214</v>
      </c>
      <c r="BC21" s="217"/>
      <c r="BD21" s="252" t="str">
        <f t="shared" si="23"/>
        <v>00</v>
      </c>
      <c r="BE21" s="213" t="str">
        <f t="shared" si="8"/>
        <v>-</v>
      </c>
      <c r="BF21" s="253" t="s">
        <v>58</v>
      </c>
      <c r="BG21" s="225" t="str">
        <f t="shared" si="9"/>
        <v>NG</v>
      </c>
      <c r="BH21" s="125" t="s">
        <v>214</v>
      </c>
      <c r="BI21" s="217"/>
      <c r="BJ21" s="252" t="str">
        <f t="shared" si="24"/>
        <v>00</v>
      </c>
      <c r="BK21" s="213" t="str">
        <f t="shared" si="10"/>
        <v>NG</v>
      </c>
      <c r="BL21" s="253" t="s">
        <v>58</v>
      </c>
      <c r="BM21" s="225" t="str">
        <f t="shared" si="11"/>
        <v>NG</v>
      </c>
    </row>
    <row r="22" spans="1:65" s="26" customFormat="1" ht="76.900000000000006" thickBot="1">
      <c r="B22" s="130">
        <v>14</v>
      </c>
      <c r="C22" s="131"/>
      <c r="D22" s="132"/>
      <c r="E22" s="133" t="s">
        <v>238</v>
      </c>
      <c r="F22" s="133"/>
      <c r="G22" s="133"/>
      <c r="H22" s="134"/>
      <c r="I22" s="135"/>
      <c r="J22" s="135" t="s">
        <v>231</v>
      </c>
      <c r="K22" s="135"/>
      <c r="L22" s="135"/>
      <c r="M22" s="136" t="s">
        <v>53</v>
      </c>
      <c r="N22" s="135"/>
      <c r="O22" s="188"/>
      <c r="P22" s="137">
        <v>11</v>
      </c>
      <c r="Q22" s="138">
        <v>1</v>
      </c>
      <c r="R22" s="139" t="s">
        <v>229</v>
      </c>
      <c r="S22" s="140"/>
      <c r="T22" s="140"/>
      <c r="U22" s="139" t="s">
        <v>213</v>
      </c>
      <c r="V22" s="141" t="s">
        <v>236</v>
      </c>
      <c r="W22" s="189" t="str">
        <f>IF(C22&lt;&gt;"","0",IF(D22&lt;&gt;"","1",IF(E22&lt;&gt;"","2",IF(F22&lt;&gt;"","3",IF(G22&lt;&gt;"","4",IF(H22&lt;&gt;"","5"))))))</f>
        <v>2</v>
      </c>
      <c r="X22" s="142" t="s">
        <v>239</v>
      </c>
      <c r="Y22" s="142">
        <v>1</v>
      </c>
      <c r="Z22" s="142">
        <v>1</v>
      </c>
      <c r="AA22" s="135" t="s">
        <v>229</v>
      </c>
      <c r="AB22" s="135"/>
      <c r="AC22" s="141"/>
      <c r="AD22" s="214" t="s">
        <v>35</v>
      </c>
      <c r="AE22" s="215"/>
      <c r="AF22" s="218" t="str">
        <f t="shared" si="19"/>
        <v xml:space="preserve"> </v>
      </c>
      <c r="AG22" s="226" t="str">
        <f t="shared" si="1"/>
        <v>-</v>
      </c>
      <c r="AH22" s="215"/>
      <c r="AI22" s="403" t="str">
        <f t="shared" si="12"/>
        <v>OK</v>
      </c>
      <c r="AJ22" s="214" t="s">
        <v>35</v>
      </c>
      <c r="AK22" s="215"/>
      <c r="AL22" s="218" t="str">
        <f t="shared" si="20"/>
        <v xml:space="preserve"> </v>
      </c>
      <c r="AM22" s="226" t="str">
        <f t="shared" si="2"/>
        <v>-</v>
      </c>
      <c r="AN22" s="215"/>
      <c r="AO22" s="403" t="str">
        <f t="shared" si="3"/>
        <v>OK</v>
      </c>
      <c r="AP22" s="214" t="s">
        <v>35</v>
      </c>
      <c r="AQ22" s="215"/>
      <c r="AR22" s="218" t="str">
        <f t="shared" si="21"/>
        <v xml:space="preserve"> </v>
      </c>
      <c r="AS22" s="226" t="str">
        <f t="shared" si="4"/>
        <v>NG</v>
      </c>
      <c r="AT22" s="215"/>
      <c r="AU22" s="403" t="str">
        <f t="shared" si="5"/>
        <v>-</v>
      </c>
      <c r="AV22" s="214" t="s">
        <v>35</v>
      </c>
      <c r="AW22" s="215"/>
      <c r="AX22" s="218" t="str">
        <f t="shared" si="22"/>
        <v xml:space="preserve"> </v>
      </c>
      <c r="AY22" s="226" t="str">
        <f t="shared" si="6"/>
        <v>-</v>
      </c>
      <c r="AZ22" s="215"/>
      <c r="BA22" s="403" t="str">
        <f t="shared" si="7"/>
        <v>OK</v>
      </c>
      <c r="BB22" s="214" t="s">
        <v>35</v>
      </c>
      <c r="BC22" s="215"/>
      <c r="BD22" s="218" t="str">
        <f t="shared" si="23"/>
        <v xml:space="preserve"> </v>
      </c>
      <c r="BE22" s="226" t="str">
        <f t="shared" si="8"/>
        <v>-</v>
      </c>
      <c r="BF22" s="215"/>
      <c r="BG22" s="403" t="str">
        <f t="shared" si="9"/>
        <v>OK</v>
      </c>
      <c r="BH22" s="214" t="s">
        <v>35</v>
      </c>
      <c r="BI22" s="215"/>
      <c r="BJ22" s="218" t="str">
        <f t="shared" si="24"/>
        <v xml:space="preserve"> </v>
      </c>
      <c r="BK22" s="226" t="str">
        <f t="shared" si="10"/>
        <v>NG</v>
      </c>
      <c r="BL22" s="215"/>
      <c r="BM22" s="403" t="str">
        <f t="shared" si="11"/>
        <v>OK</v>
      </c>
    </row>
    <row r="23" spans="1:65" s="33" customFormat="1" ht="13.15" thickTop="1">
      <c r="A23" s="20"/>
      <c r="B23" s="2">
        <f t="shared" ref="B23:B86" si="25">ROW()-7</f>
        <v>16</v>
      </c>
      <c r="C23" s="190"/>
      <c r="D23" s="3" t="s">
        <v>98</v>
      </c>
      <c r="E23" s="16"/>
      <c r="F23" s="16"/>
      <c r="G23" s="13"/>
      <c r="H23" s="13"/>
      <c r="I23" s="8"/>
      <c r="J23" s="8" t="s">
        <v>29</v>
      </c>
      <c r="K23" s="8"/>
      <c r="L23" s="87"/>
      <c r="M23" s="94"/>
      <c r="N23" s="88"/>
      <c r="O23" s="186"/>
      <c r="P23" s="181"/>
      <c r="Q23" s="88"/>
      <c r="R23" s="105"/>
      <c r="S23" s="191"/>
      <c r="T23" s="112"/>
      <c r="U23" s="105"/>
      <c r="V23" s="120"/>
      <c r="W23" s="25">
        <v>1</v>
      </c>
      <c r="X23" s="1" t="s">
        <v>99</v>
      </c>
      <c r="Y23" s="88"/>
      <c r="Z23" s="88"/>
      <c r="AA23" s="8"/>
      <c r="AB23" s="8" t="s">
        <v>213</v>
      </c>
      <c r="AC23" s="12"/>
      <c r="AD23" s="118"/>
      <c r="AE23" s="171"/>
      <c r="AF23" s="89" t="str">
        <f t="shared" si="19"/>
        <v/>
      </c>
      <c r="AG23" s="213" t="str">
        <f t="shared" si="1"/>
        <v>-</v>
      </c>
      <c r="AH23" s="171"/>
      <c r="AI23" s="404" t="str">
        <f t="shared" si="12"/>
        <v>OK</v>
      </c>
      <c r="AJ23" s="118"/>
      <c r="AK23" s="171"/>
      <c r="AL23" s="89" t="str">
        <f t="shared" si="20"/>
        <v/>
      </c>
      <c r="AM23" s="213" t="str">
        <f t="shared" si="2"/>
        <v>-</v>
      </c>
      <c r="AN23" s="171"/>
      <c r="AO23" s="404" t="str">
        <f t="shared" si="3"/>
        <v>OK</v>
      </c>
      <c r="AP23" s="118"/>
      <c r="AQ23" s="171"/>
      <c r="AR23" s="89" t="str">
        <f t="shared" si="21"/>
        <v/>
      </c>
      <c r="AS23" s="213" t="str">
        <f t="shared" si="4"/>
        <v>OK</v>
      </c>
      <c r="AT23" s="171"/>
      <c r="AU23" s="404" t="str">
        <f t="shared" si="5"/>
        <v>-</v>
      </c>
      <c r="AV23" s="118"/>
      <c r="AW23" s="171"/>
      <c r="AX23" s="89" t="str">
        <f t="shared" si="22"/>
        <v/>
      </c>
      <c r="AY23" s="213" t="str">
        <f t="shared" si="6"/>
        <v>-</v>
      </c>
      <c r="AZ23" s="171"/>
      <c r="BA23" s="404" t="str">
        <f t="shared" si="7"/>
        <v>OK</v>
      </c>
      <c r="BB23" s="118"/>
      <c r="BC23" s="171"/>
      <c r="BD23" s="89" t="str">
        <f t="shared" si="23"/>
        <v/>
      </c>
      <c r="BE23" s="213" t="str">
        <f t="shared" si="8"/>
        <v>-</v>
      </c>
      <c r="BF23" s="171"/>
      <c r="BG23" s="404" t="str">
        <f t="shared" si="9"/>
        <v>OK</v>
      </c>
      <c r="BH23" s="118"/>
      <c r="BI23" s="171"/>
      <c r="BJ23" s="89" t="str">
        <f t="shared" si="24"/>
        <v/>
      </c>
      <c r="BK23" s="213" t="str">
        <f t="shared" si="10"/>
        <v>OK</v>
      </c>
      <c r="BL23" s="171"/>
      <c r="BM23" s="404" t="str">
        <f t="shared" si="11"/>
        <v>OK</v>
      </c>
    </row>
    <row r="24" spans="1:65" s="33" customFormat="1">
      <c r="A24" s="20"/>
      <c r="B24" s="2">
        <f t="shared" si="25"/>
        <v>17</v>
      </c>
      <c r="C24" s="36"/>
      <c r="D24" s="109"/>
      <c r="E24" s="562" t="s">
        <v>462</v>
      </c>
      <c r="F24" s="563"/>
      <c r="G24" s="563"/>
      <c r="H24" s="564"/>
      <c r="I24" s="8"/>
      <c r="J24" s="8" t="s">
        <v>29</v>
      </c>
      <c r="K24" s="8"/>
      <c r="L24" s="8"/>
      <c r="M24" s="94"/>
      <c r="N24" s="1"/>
      <c r="O24" s="56"/>
      <c r="P24" s="93">
        <v>1</v>
      </c>
      <c r="Q24" s="113">
        <v>11</v>
      </c>
      <c r="R24" s="21" t="str">
        <f>IF(AA24="M","NX",AA24)</f>
        <v>X</v>
      </c>
      <c r="S24" s="96"/>
      <c r="T24" s="94"/>
      <c r="U24" s="21" t="s">
        <v>213</v>
      </c>
      <c r="V24" s="10"/>
      <c r="W24" s="25">
        <v>2</v>
      </c>
      <c r="X24" s="1" t="s">
        <v>100</v>
      </c>
      <c r="Y24" s="1">
        <v>11</v>
      </c>
      <c r="Z24" s="1">
        <v>11</v>
      </c>
      <c r="AA24" s="8" t="s">
        <v>229</v>
      </c>
      <c r="AB24" s="8" t="s">
        <v>27</v>
      </c>
      <c r="AC24" s="12"/>
      <c r="AD24" s="379">
        <v>17070000001</v>
      </c>
      <c r="AE24" s="167"/>
      <c r="AF24" s="90" t="str">
        <f t="shared" si="19"/>
        <v xml:space="preserve">           </v>
      </c>
      <c r="AG24" s="213" t="str">
        <f t="shared" si="1"/>
        <v>-</v>
      </c>
      <c r="AH24" s="167" t="str">
        <f>IF(AD$19="EKIDEN",AD24,"")</f>
        <v/>
      </c>
      <c r="AI24" s="405" t="str">
        <f t="shared" si="12"/>
        <v>OK</v>
      </c>
      <c r="AJ24" s="379">
        <v>17070000001</v>
      </c>
      <c r="AK24" s="167"/>
      <c r="AL24" s="90" t="str">
        <f t="shared" si="20"/>
        <v xml:space="preserve">           </v>
      </c>
      <c r="AM24" s="213" t="str">
        <f t="shared" si="2"/>
        <v>-</v>
      </c>
      <c r="AN24" s="167" t="str">
        <f>IF(AJ$19="EKIDEN",AJ24,"")</f>
        <v/>
      </c>
      <c r="AO24" s="405" t="str">
        <f t="shared" si="3"/>
        <v>OK</v>
      </c>
      <c r="AP24" s="379">
        <v>17070000001</v>
      </c>
      <c r="AQ24" s="167"/>
      <c r="AR24" s="90" t="str">
        <f t="shared" si="21"/>
        <v>17070000001</v>
      </c>
      <c r="AS24" s="213" t="str">
        <f t="shared" si="4"/>
        <v>NG</v>
      </c>
      <c r="AT24" s="167">
        <f>IF(AP$19="EKIDEN",AP24,"")</f>
        <v>17070000001</v>
      </c>
      <c r="AU24" s="405" t="str">
        <f t="shared" si="5"/>
        <v>-</v>
      </c>
      <c r="AV24" s="379">
        <v>17070000001</v>
      </c>
      <c r="AW24" s="167"/>
      <c r="AX24" s="90" t="str">
        <f t="shared" si="22"/>
        <v xml:space="preserve">           </v>
      </c>
      <c r="AY24" s="213" t="str">
        <f t="shared" si="6"/>
        <v>-</v>
      </c>
      <c r="AZ24" s="167" t="str">
        <f>IF(AV$19="EKIDEN",AV24,"")</f>
        <v/>
      </c>
      <c r="BA24" s="405" t="str">
        <f t="shared" si="7"/>
        <v>OK</v>
      </c>
      <c r="BB24" s="379">
        <v>17070000001</v>
      </c>
      <c r="BC24" s="167"/>
      <c r="BD24" s="90" t="str">
        <f t="shared" si="23"/>
        <v xml:space="preserve">           </v>
      </c>
      <c r="BE24" s="213" t="str">
        <f t="shared" si="8"/>
        <v>-</v>
      </c>
      <c r="BF24" s="167" t="str">
        <f>IF(BB$19="EKIDEN",BB24,"")</f>
        <v/>
      </c>
      <c r="BG24" s="405" t="str">
        <f t="shared" si="9"/>
        <v>OK</v>
      </c>
      <c r="BH24" s="379">
        <v>17070000001</v>
      </c>
      <c r="BI24" s="167"/>
      <c r="BJ24" s="90" t="str">
        <f t="shared" si="24"/>
        <v>17070000001</v>
      </c>
      <c r="BK24" s="213" t="str">
        <f t="shared" si="10"/>
        <v>NG</v>
      </c>
      <c r="BL24" s="167">
        <f>IF(BH$19="EKIDEN",BH24,"")</f>
        <v>17070000001</v>
      </c>
      <c r="BM24" s="405" t="str">
        <f t="shared" si="11"/>
        <v>NG</v>
      </c>
    </row>
    <row r="25" spans="1:65" s="33" customFormat="1">
      <c r="A25" s="20"/>
      <c r="B25" s="2">
        <f t="shared" si="25"/>
        <v>18</v>
      </c>
      <c r="C25" s="36"/>
      <c r="D25" s="109"/>
      <c r="E25" s="559" t="s">
        <v>101</v>
      </c>
      <c r="F25" s="560"/>
      <c r="G25" s="560"/>
      <c r="H25" s="561"/>
      <c r="I25" s="8"/>
      <c r="J25" s="8"/>
      <c r="K25" s="8"/>
      <c r="L25" s="8"/>
      <c r="M25" s="94" t="s">
        <v>102</v>
      </c>
      <c r="N25" s="1"/>
      <c r="O25" s="56"/>
      <c r="P25" s="93">
        <f t="shared" ref="P25:P36" si="26">P24+1</f>
        <v>2</v>
      </c>
      <c r="Q25" s="113">
        <v>10</v>
      </c>
      <c r="R25" s="21" t="s">
        <v>229</v>
      </c>
      <c r="S25" s="96"/>
      <c r="T25" s="94"/>
      <c r="U25" s="21" t="s">
        <v>213</v>
      </c>
      <c r="V25" s="10"/>
      <c r="W25" s="25">
        <v>2</v>
      </c>
      <c r="X25" s="1" t="s">
        <v>103</v>
      </c>
      <c r="Y25" s="1">
        <v>10</v>
      </c>
      <c r="Z25" s="1">
        <v>10</v>
      </c>
      <c r="AA25" s="8">
        <v>9</v>
      </c>
      <c r="AB25" s="8" t="s">
        <v>27</v>
      </c>
      <c r="AC25" s="12"/>
      <c r="AD25" s="227" t="s">
        <v>270</v>
      </c>
      <c r="AE25" s="167"/>
      <c r="AF25" s="90" t="str">
        <f t="shared" si="19"/>
        <v xml:space="preserve">          </v>
      </c>
      <c r="AG25" s="213" t="str">
        <f t="shared" si="1"/>
        <v>-</v>
      </c>
      <c r="AH25" s="167" t="str">
        <f t="shared" ref="AH25:AH32" si="27">IF(AD$19="EKIDEN",AD25,"")</f>
        <v/>
      </c>
      <c r="AI25" s="405" t="str">
        <f t="shared" si="12"/>
        <v>OK</v>
      </c>
      <c r="AJ25" s="227" t="s">
        <v>270</v>
      </c>
      <c r="AK25" s="167"/>
      <c r="AL25" s="90" t="str">
        <f t="shared" si="20"/>
        <v xml:space="preserve">          </v>
      </c>
      <c r="AM25" s="213" t="str">
        <f t="shared" si="2"/>
        <v>-</v>
      </c>
      <c r="AN25" s="167" t="str">
        <f t="shared" ref="AN25:AN32" si="28">IF(AJ$19="EKIDEN",AJ25,"")</f>
        <v/>
      </c>
      <c r="AO25" s="405" t="str">
        <f t="shared" si="3"/>
        <v>OK</v>
      </c>
      <c r="AP25" s="227" t="s">
        <v>270</v>
      </c>
      <c r="AQ25" s="167"/>
      <c r="AR25" s="90" t="str">
        <f t="shared" si="21"/>
        <v>0334439999</v>
      </c>
      <c r="AS25" s="213" t="str">
        <f t="shared" si="4"/>
        <v>NG</v>
      </c>
      <c r="AT25" s="167" t="str">
        <f t="shared" ref="AT25:AT32" si="29">IF(AP$19="EKIDEN",AP25,"")</f>
        <v>0334439999</v>
      </c>
      <c r="AU25" s="405" t="str">
        <f t="shared" si="5"/>
        <v>-</v>
      </c>
      <c r="AV25" s="227" t="s">
        <v>270</v>
      </c>
      <c r="AW25" s="167"/>
      <c r="AX25" s="90" t="str">
        <f t="shared" si="22"/>
        <v xml:space="preserve">          </v>
      </c>
      <c r="AY25" s="213" t="str">
        <f t="shared" si="6"/>
        <v>-</v>
      </c>
      <c r="AZ25" s="167" t="str">
        <f t="shared" ref="AZ25:AZ32" si="30">IF(AV$19="EKIDEN",AV25,"")</f>
        <v/>
      </c>
      <c r="BA25" s="405" t="str">
        <f t="shared" si="7"/>
        <v>OK</v>
      </c>
      <c r="BB25" s="227" t="s">
        <v>270</v>
      </c>
      <c r="BC25" s="167"/>
      <c r="BD25" s="90" t="str">
        <f t="shared" si="23"/>
        <v xml:space="preserve">          </v>
      </c>
      <c r="BE25" s="213" t="str">
        <f t="shared" si="8"/>
        <v>-</v>
      </c>
      <c r="BF25" s="167" t="str">
        <f t="shared" ref="BF25:BF32" si="31">IF(BB$19="EKIDEN",BB25,"")</f>
        <v/>
      </c>
      <c r="BG25" s="405" t="str">
        <f t="shared" si="9"/>
        <v>OK</v>
      </c>
      <c r="BH25" s="227" t="s">
        <v>270</v>
      </c>
      <c r="BI25" s="167"/>
      <c r="BJ25" s="90" t="str">
        <f t="shared" si="24"/>
        <v>0334439999</v>
      </c>
      <c r="BK25" s="213" t="str">
        <f t="shared" si="10"/>
        <v>NG</v>
      </c>
      <c r="BL25" s="167" t="str">
        <f t="shared" ref="BL25:BL32" si="32">IF(BH$19="EKIDEN",BH25,"")</f>
        <v>0334439999</v>
      </c>
      <c r="BM25" s="405" t="str">
        <f t="shared" si="11"/>
        <v>NG</v>
      </c>
    </row>
    <row r="26" spans="1:65" s="33" customFormat="1">
      <c r="A26" s="20"/>
      <c r="B26" s="2">
        <f t="shared" si="25"/>
        <v>19</v>
      </c>
      <c r="C26" s="36"/>
      <c r="D26" s="109"/>
      <c r="E26" s="562" t="s">
        <v>104</v>
      </c>
      <c r="F26" s="563"/>
      <c r="G26" s="563"/>
      <c r="H26" s="564"/>
      <c r="I26" s="8"/>
      <c r="J26" s="8" t="s">
        <v>29</v>
      </c>
      <c r="K26" s="8"/>
      <c r="L26" s="8"/>
      <c r="M26" s="94" t="s">
        <v>105</v>
      </c>
      <c r="N26" s="1"/>
      <c r="O26" s="56"/>
      <c r="P26" s="93">
        <f t="shared" si="26"/>
        <v>3</v>
      </c>
      <c r="Q26" s="113">
        <v>7</v>
      </c>
      <c r="R26" s="21" t="s">
        <v>229</v>
      </c>
      <c r="S26" s="96"/>
      <c r="T26" s="94"/>
      <c r="U26" s="21" t="s">
        <v>213</v>
      </c>
      <c r="V26" s="10"/>
      <c r="W26" s="25">
        <v>2</v>
      </c>
      <c r="X26" s="1" t="s">
        <v>106</v>
      </c>
      <c r="Y26" s="1">
        <v>7</v>
      </c>
      <c r="Z26" s="1">
        <v>7</v>
      </c>
      <c r="AA26" s="8">
        <v>9</v>
      </c>
      <c r="AB26" s="8" t="s">
        <v>27</v>
      </c>
      <c r="AC26" s="12"/>
      <c r="AD26" s="59">
        <v>1001701</v>
      </c>
      <c r="AE26" s="167"/>
      <c r="AF26" s="90" t="str">
        <f t="shared" si="19"/>
        <v xml:space="preserve">       </v>
      </c>
      <c r="AG26" s="213" t="str">
        <f t="shared" si="1"/>
        <v>-</v>
      </c>
      <c r="AH26" s="167" t="str">
        <f t="shared" si="27"/>
        <v/>
      </c>
      <c r="AI26" s="405" t="str">
        <f t="shared" si="12"/>
        <v>OK</v>
      </c>
      <c r="AJ26" s="59">
        <v>1001701</v>
      </c>
      <c r="AK26" s="167"/>
      <c r="AL26" s="90" t="str">
        <f t="shared" si="20"/>
        <v xml:space="preserve">       </v>
      </c>
      <c r="AM26" s="213" t="str">
        <f t="shared" si="2"/>
        <v>-</v>
      </c>
      <c r="AN26" s="167" t="str">
        <f t="shared" si="28"/>
        <v/>
      </c>
      <c r="AO26" s="405" t="str">
        <f t="shared" si="3"/>
        <v>OK</v>
      </c>
      <c r="AP26" s="59">
        <v>1001701</v>
      </c>
      <c r="AQ26" s="167"/>
      <c r="AR26" s="90" t="str">
        <f t="shared" si="21"/>
        <v>1001701</v>
      </c>
      <c r="AS26" s="213" t="str">
        <f t="shared" si="4"/>
        <v>NG</v>
      </c>
      <c r="AT26" s="167">
        <f t="shared" si="29"/>
        <v>1001701</v>
      </c>
      <c r="AU26" s="405" t="str">
        <f t="shared" si="5"/>
        <v>-</v>
      </c>
      <c r="AV26" s="59">
        <v>1001701</v>
      </c>
      <c r="AW26" s="167"/>
      <c r="AX26" s="90" t="str">
        <f t="shared" si="22"/>
        <v xml:space="preserve">       </v>
      </c>
      <c r="AY26" s="213" t="str">
        <f t="shared" si="6"/>
        <v>-</v>
      </c>
      <c r="AZ26" s="167" t="str">
        <f t="shared" si="30"/>
        <v/>
      </c>
      <c r="BA26" s="405" t="str">
        <f t="shared" si="7"/>
        <v>OK</v>
      </c>
      <c r="BB26" s="59">
        <v>1001701</v>
      </c>
      <c r="BC26" s="167"/>
      <c r="BD26" s="90" t="str">
        <f t="shared" si="23"/>
        <v xml:space="preserve">       </v>
      </c>
      <c r="BE26" s="213" t="str">
        <f t="shared" si="8"/>
        <v>-</v>
      </c>
      <c r="BF26" s="167" t="str">
        <f t="shared" si="31"/>
        <v/>
      </c>
      <c r="BG26" s="405" t="str">
        <f t="shared" si="9"/>
        <v>OK</v>
      </c>
      <c r="BH26" s="59">
        <v>1001701</v>
      </c>
      <c r="BI26" s="167"/>
      <c r="BJ26" s="90" t="str">
        <f t="shared" si="24"/>
        <v>1001701</v>
      </c>
      <c r="BK26" s="213" t="str">
        <f t="shared" si="10"/>
        <v>NG</v>
      </c>
      <c r="BL26" s="167">
        <f t="shared" si="32"/>
        <v>1001701</v>
      </c>
      <c r="BM26" s="405" t="str">
        <f t="shared" si="11"/>
        <v>NG</v>
      </c>
    </row>
    <row r="27" spans="1:65" s="33" customFormat="1" ht="38.25">
      <c r="A27" s="20"/>
      <c r="B27" s="2">
        <f t="shared" si="25"/>
        <v>20</v>
      </c>
      <c r="C27" s="36"/>
      <c r="D27" s="109"/>
      <c r="E27" s="562" t="s">
        <v>271</v>
      </c>
      <c r="F27" s="563"/>
      <c r="G27" s="563"/>
      <c r="H27" s="564"/>
      <c r="I27" s="8"/>
      <c r="J27" s="8" t="s">
        <v>29</v>
      </c>
      <c r="K27" s="8"/>
      <c r="L27" s="8"/>
      <c r="M27" s="9" t="s">
        <v>303</v>
      </c>
      <c r="N27" s="1" t="s">
        <v>240</v>
      </c>
      <c r="O27" s="56"/>
      <c r="P27" s="93">
        <f t="shared" si="26"/>
        <v>4</v>
      </c>
      <c r="Q27" s="113">
        <v>1</v>
      </c>
      <c r="R27" s="21" t="s">
        <v>229</v>
      </c>
      <c r="S27" s="96"/>
      <c r="T27" s="94"/>
      <c r="U27" s="21" t="s">
        <v>213</v>
      </c>
      <c r="V27" s="10"/>
      <c r="W27" s="25">
        <v>2</v>
      </c>
      <c r="X27" s="1" t="s">
        <v>107</v>
      </c>
      <c r="Y27" s="1">
        <v>1</v>
      </c>
      <c r="Z27" s="1">
        <v>1</v>
      </c>
      <c r="AA27" s="8">
        <v>9</v>
      </c>
      <c r="AB27" s="8" t="s">
        <v>27</v>
      </c>
      <c r="AC27" s="12"/>
      <c r="AD27" s="379">
        <v>0</v>
      </c>
      <c r="AE27" s="167"/>
      <c r="AF27" s="90" t="str">
        <f t="shared" si="19"/>
        <v xml:space="preserve"> </v>
      </c>
      <c r="AG27" s="213" t="str">
        <f t="shared" si="1"/>
        <v>-</v>
      </c>
      <c r="AH27" s="167" t="str">
        <f t="shared" si="27"/>
        <v/>
      </c>
      <c r="AI27" s="405" t="str">
        <f t="shared" si="12"/>
        <v>OK</v>
      </c>
      <c r="AJ27" s="379">
        <v>1</v>
      </c>
      <c r="AK27" s="167"/>
      <c r="AL27" s="90" t="str">
        <f t="shared" si="20"/>
        <v xml:space="preserve"> </v>
      </c>
      <c r="AM27" s="213" t="str">
        <f t="shared" si="2"/>
        <v>-</v>
      </c>
      <c r="AN27" s="167" t="str">
        <f t="shared" si="28"/>
        <v/>
      </c>
      <c r="AO27" s="405" t="str">
        <f t="shared" si="3"/>
        <v>OK</v>
      </c>
      <c r="AP27" s="379">
        <v>0</v>
      </c>
      <c r="AQ27" s="167"/>
      <c r="AR27" s="90" t="str">
        <f t="shared" si="21"/>
        <v>0</v>
      </c>
      <c r="AS27" s="213" t="str">
        <f t="shared" si="4"/>
        <v>NG</v>
      </c>
      <c r="AT27" s="167">
        <f t="shared" si="29"/>
        <v>0</v>
      </c>
      <c r="AU27" s="405" t="str">
        <f t="shared" si="5"/>
        <v>-</v>
      </c>
      <c r="AV27" s="379">
        <v>1</v>
      </c>
      <c r="AW27" s="167"/>
      <c r="AX27" s="90" t="str">
        <f t="shared" si="22"/>
        <v xml:space="preserve"> </v>
      </c>
      <c r="AY27" s="213" t="str">
        <f t="shared" si="6"/>
        <v>-</v>
      </c>
      <c r="AZ27" s="167" t="str">
        <f t="shared" si="30"/>
        <v/>
      </c>
      <c r="BA27" s="405" t="str">
        <f t="shared" si="7"/>
        <v>OK</v>
      </c>
      <c r="BB27" s="379">
        <v>0</v>
      </c>
      <c r="BC27" s="167"/>
      <c r="BD27" s="90" t="str">
        <f t="shared" si="23"/>
        <v xml:space="preserve"> </v>
      </c>
      <c r="BE27" s="213" t="str">
        <f t="shared" si="8"/>
        <v>-</v>
      </c>
      <c r="BF27" s="167" t="str">
        <f t="shared" si="31"/>
        <v/>
      </c>
      <c r="BG27" s="405" t="str">
        <f t="shared" si="9"/>
        <v>OK</v>
      </c>
      <c r="BH27" s="379">
        <v>1</v>
      </c>
      <c r="BI27" s="167"/>
      <c r="BJ27" s="90" t="str">
        <f t="shared" si="24"/>
        <v>1</v>
      </c>
      <c r="BK27" s="213" t="str">
        <f t="shared" si="10"/>
        <v>NG</v>
      </c>
      <c r="BL27" s="167">
        <f t="shared" si="32"/>
        <v>1</v>
      </c>
      <c r="BM27" s="405" t="str">
        <f t="shared" si="11"/>
        <v>NG</v>
      </c>
    </row>
    <row r="28" spans="1:65" s="33" customFormat="1" ht="38.25">
      <c r="A28" s="20"/>
      <c r="B28" s="2">
        <f t="shared" si="25"/>
        <v>21</v>
      </c>
      <c r="C28" s="36"/>
      <c r="D28" s="109"/>
      <c r="E28" s="559" t="s">
        <v>241</v>
      </c>
      <c r="F28" s="560"/>
      <c r="G28" s="560"/>
      <c r="H28" s="561"/>
      <c r="I28" s="8"/>
      <c r="J28" s="8" t="s">
        <v>29</v>
      </c>
      <c r="K28" s="8"/>
      <c r="L28" s="8"/>
      <c r="M28" s="9" t="s">
        <v>242</v>
      </c>
      <c r="N28" s="1" t="s">
        <v>240</v>
      </c>
      <c r="O28" s="56"/>
      <c r="P28" s="93">
        <f t="shared" si="26"/>
        <v>5</v>
      </c>
      <c r="Q28" s="113">
        <v>1</v>
      </c>
      <c r="R28" s="21" t="s">
        <v>229</v>
      </c>
      <c r="S28" s="96"/>
      <c r="T28" s="94"/>
      <c r="U28" s="21" t="s">
        <v>213</v>
      </c>
      <c r="V28" s="10"/>
      <c r="W28" s="25">
        <v>2</v>
      </c>
      <c r="X28" s="1" t="s">
        <v>108</v>
      </c>
      <c r="Y28" s="1">
        <v>1</v>
      </c>
      <c r="Z28" s="1">
        <v>1</v>
      </c>
      <c r="AA28" s="8">
        <v>9</v>
      </c>
      <c r="AB28" s="8" t="s">
        <v>27</v>
      </c>
      <c r="AC28" s="12"/>
      <c r="AD28" s="59">
        <v>0</v>
      </c>
      <c r="AE28" s="167"/>
      <c r="AF28" s="90" t="str">
        <f t="shared" si="19"/>
        <v xml:space="preserve"> </v>
      </c>
      <c r="AG28" s="213" t="str">
        <f t="shared" si="1"/>
        <v>-</v>
      </c>
      <c r="AH28" s="167" t="str">
        <f t="shared" si="27"/>
        <v/>
      </c>
      <c r="AI28" s="405" t="str">
        <f t="shared" si="12"/>
        <v>OK</v>
      </c>
      <c r="AJ28" s="59">
        <v>0</v>
      </c>
      <c r="AK28" s="167"/>
      <c r="AL28" s="90" t="str">
        <f t="shared" si="20"/>
        <v xml:space="preserve"> </v>
      </c>
      <c r="AM28" s="213" t="str">
        <f t="shared" si="2"/>
        <v>-</v>
      </c>
      <c r="AN28" s="167" t="str">
        <f t="shared" si="28"/>
        <v/>
      </c>
      <c r="AO28" s="405" t="str">
        <f t="shared" si="3"/>
        <v>OK</v>
      </c>
      <c r="AP28" s="59">
        <v>0</v>
      </c>
      <c r="AQ28" s="167"/>
      <c r="AR28" s="90" t="str">
        <f t="shared" si="21"/>
        <v>0</v>
      </c>
      <c r="AS28" s="213" t="str">
        <f t="shared" si="4"/>
        <v>NG</v>
      </c>
      <c r="AT28" s="167">
        <f t="shared" si="29"/>
        <v>0</v>
      </c>
      <c r="AU28" s="405" t="str">
        <f t="shared" si="5"/>
        <v>-</v>
      </c>
      <c r="AV28" s="59">
        <v>0</v>
      </c>
      <c r="AW28" s="167"/>
      <c r="AX28" s="90" t="str">
        <f t="shared" si="22"/>
        <v xml:space="preserve"> </v>
      </c>
      <c r="AY28" s="213" t="str">
        <f t="shared" si="6"/>
        <v>-</v>
      </c>
      <c r="AZ28" s="167" t="str">
        <f t="shared" si="30"/>
        <v/>
      </c>
      <c r="BA28" s="405" t="str">
        <f t="shared" si="7"/>
        <v>OK</v>
      </c>
      <c r="BB28" s="59">
        <v>0</v>
      </c>
      <c r="BC28" s="167"/>
      <c r="BD28" s="90" t="str">
        <f t="shared" si="23"/>
        <v xml:space="preserve"> </v>
      </c>
      <c r="BE28" s="213" t="str">
        <f t="shared" si="8"/>
        <v>-</v>
      </c>
      <c r="BF28" s="167" t="str">
        <f t="shared" si="31"/>
        <v/>
      </c>
      <c r="BG28" s="405" t="str">
        <f t="shared" si="9"/>
        <v>OK</v>
      </c>
      <c r="BH28" s="59">
        <v>0</v>
      </c>
      <c r="BI28" s="167"/>
      <c r="BJ28" s="90" t="str">
        <f t="shared" si="24"/>
        <v>0</v>
      </c>
      <c r="BK28" s="213" t="str">
        <f t="shared" si="10"/>
        <v>NG</v>
      </c>
      <c r="BL28" s="167">
        <f t="shared" si="32"/>
        <v>0</v>
      </c>
      <c r="BM28" s="405" t="str">
        <f t="shared" si="11"/>
        <v>OK</v>
      </c>
    </row>
    <row r="29" spans="1:65" s="26" customFormat="1" ht="384" customHeight="1">
      <c r="B29" s="2">
        <f t="shared" si="25"/>
        <v>22</v>
      </c>
      <c r="C29" s="127"/>
      <c r="D29" s="7"/>
      <c r="E29" s="110" t="s">
        <v>304</v>
      </c>
      <c r="F29" s="16"/>
      <c r="G29" s="16"/>
      <c r="H29" s="13"/>
      <c r="I29" s="8"/>
      <c r="J29" s="8"/>
      <c r="K29" s="8"/>
      <c r="L29" s="8"/>
      <c r="M29" s="355" t="s">
        <v>463</v>
      </c>
      <c r="N29" s="356" t="s">
        <v>464</v>
      </c>
      <c r="O29" s="56"/>
      <c r="P29" s="93">
        <f t="shared" si="26"/>
        <v>6</v>
      </c>
      <c r="Q29" s="113">
        <v>2</v>
      </c>
      <c r="R29" s="21" t="str">
        <f>IF(AA29="M","NX",AA29)</f>
        <v>X</v>
      </c>
      <c r="S29" s="96"/>
      <c r="T29" s="94"/>
      <c r="U29" s="21" t="s">
        <v>213</v>
      </c>
      <c r="V29" s="10"/>
      <c r="W29" s="25">
        <v>2</v>
      </c>
      <c r="X29" s="1" t="s">
        <v>243</v>
      </c>
      <c r="Y29" s="1">
        <v>2</v>
      </c>
      <c r="Z29" s="1">
        <v>2</v>
      </c>
      <c r="AA29" s="8" t="s">
        <v>109</v>
      </c>
      <c r="AB29" s="8" t="s">
        <v>225</v>
      </c>
      <c r="AC29" s="12"/>
      <c r="AD29" s="376" t="s">
        <v>525</v>
      </c>
      <c r="AE29" s="170"/>
      <c r="AF29" s="90" t="str">
        <f t="shared" si="19"/>
        <v xml:space="preserve">  </v>
      </c>
      <c r="AG29" s="213" t="str">
        <f t="shared" si="1"/>
        <v>-</v>
      </c>
      <c r="AH29" s="167" t="str">
        <f t="shared" si="27"/>
        <v/>
      </c>
      <c r="AI29" s="405" t="str">
        <f t="shared" si="12"/>
        <v>OK</v>
      </c>
      <c r="AJ29" s="376" t="s">
        <v>536</v>
      </c>
      <c r="AK29" s="170"/>
      <c r="AL29" s="90" t="str">
        <f t="shared" si="20"/>
        <v xml:space="preserve">  </v>
      </c>
      <c r="AM29" s="213" t="str">
        <f t="shared" si="2"/>
        <v>-</v>
      </c>
      <c r="AN29" s="167" t="str">
        <f t="shared" si="28"/>
        <v/>
      </c>
      <c r="AO29" s="405" t="str">
        <f t="shared" si="3"/>
        <v>OK</v>
      </c>
      <c r="AP29" s="376" t="s">
        <v>535</v>
      </c>
      <c r="AQ29" s="170"/>
      <c r="AR29" s="90" t="str">
        <f t="shared" si="21"/>
        <v>A9</v>
      </c>
      <c r="AS29" s="213" t="str">
        <f t="shared" si="4"/>
        <v>NG</v>
      </c>
      <c r="AT29" s="167" t="str">
        <f t="shared" si="29"/>
        <v>A9</v>
      </c>
      <c r="AU29" s="405" t="str">
        <f t="shared" si="5"/>
        <v>-</v>
      </c>
      <c r="AV29" s="376" t="s">
        <v>558</v>
      </c>
      <c r="AW29" s="170"/>
      <c r="AX29" s="90" t="str">
        <f t="shared" si="22"/>
        <v xml:space="preserve">  </v>
      </c>
      <c r="AY29" s="213" t="str">
        <f t="shared" si="6"/>
        <v>-</v>
      </c>
      <c r="AZ29" s="167" t="str">
        <f t="shared" si="30"/>
        <v/>
      </c>
      <c r="BA29" s="405" t="str">
        <f t="shared" si="7"/>
        <v>OK</v>
      </c>
      <c r="BB29" s="376"/>
      <c r="BC29" s="170"/>
      <c r="BD29" s="90" t="str">
        <f t="shared" si="23"/>
        <v xml:space="preserve">  </v>
      </c>
      <c r="BE29" s="213" t="str">
        <f t="shared" si="8"/>
        <v>-</v>
      </c>
      <c r="BF29" s="167" t="str">
        <f t="shared" si="31"/>
        <v/>
      </c>
      <c r="BG29" s="405" t="str">
        <f t="shared" si="9"/>
        <v>OK</v>
      </c>
      <c r="BH29" s="376"/>
      <c r="BI29" s="170"/>
      <c r="BJ29" s="90" t="str">
        <f t="shared" si="24"/>
        <v xml:space="preserve">0 </v>
      </c>
      <c r="BK29" s="213" t="str">
        <f t="shared" si="10"/>
        <v>NG</v>
      </c>
      <c r="BL29" s="167">
        <f t="shared" si="32"/>
        <v>0</v>
      </c>
      <c r="BM29" s="405" t="str">
        <f t="shared" si="11"/>
        <v>OK</v>
      </c>
    </row>
    <row r="30" spans="1:65" s="33" customFormat="1" ht="132.75" customHeight="1">
      <c r="A30" s="20"/>
      <c r="B30" s="19">
        <f t="shared" si="25"/>
        <v>23</v>
      </c>
      <c r="C30" s="53"/>
      <c r="D30" s="7"/>
      <c r="E30" s="565" t="s">
        <v>80</v>
      </c>
      <c r="F30" s="566"/>
      <c r="G30" s="566"/>
      <c r="H30" s="567"/>
      <c r="I30" s="6"/>
      <c r="J30" s="6" t="s">
        <v>231</v>
      </c>
      <c r="K30" s="6"/>
      <c r="L30" s="6"/>
      <c r="M30" s="357" t="s">
        <v>465</v>
      </c>
      <c r="N30" s="5"/>
      <c r="O30" s="54"/>
      <c r="P30" s="93">
        <f t="shared" si="26"/>
        <v>7</v>
      </c>
      <c r="Q30" s="114">
        <v>8</v>
      </c>
      <c r="R30" s="21" t="str">
        <f>IF(AA30="M","NX",AA30)</f>
        <v>X</v>
      </c>
      <c r="S30" s="96"/>
      <c r="T30" s="94"/>
      <c r="U30" s="21" t="s">
        <v>213</v>
      </c>
      <c r="V30" s="10"/>
      <c r="W30" s="25">
        <v>2</v>
      </c>
      <c r="X30" s="55" t="s">
        <v>244</v>
      </c>
      <c r="Y30" s="5">
        <v>8</v>
      </c>
      <c r="Z30" s="5">
        <v>8</v>
      </c>
      <c r="AA30" s="6" t="s">
        <v>229</v>
      </c>
      <c r="AB30" s="6" t="s">
        <v>225</v>
      </c>
      <c r="AC30" s="97"/>
      <c r="AD30" s="379"/>
      <c r="AE30" s="167"/>
      <c r="AF30" s="90" t="str">
        <f t="shared" si="19"/>
        <v xml:space="preserve">        </v>
      </c>
      <c r="AG30" s="213" t="str">
        <f t="shared" si="1"/>
        <v>-</v>
      </c>
      <c r="AH30" s="167" t="str">
        <f t="shared" si="27"/>
        <v/>
      </c>
      <c r="AI30" s="405" t="str">
        <f t="shared" si="12"/>
        <v>OK</v>
      </c>
      <c r="AJ30" s="379" t="s">
        <v>537</v>
      </c>
      <c r="AK30" s="167"/>
      <c r="AL30" s="90" t="str">
        <f t="shared" si="20"/>
        <v xml:space="preserve">        </v>
      </c>
      <c r="AM30" s="213" t="str">
        <f t="shared" si="2"/>
        <v>-</v>
      </c>
      <c r="AN30" s="167" t="str">
        <f t="shared" si="28"/>
        <v/>
      </c>
      <c r="AO30" s="405" t="str">
        <f t="shared" si="3"/>
        <v>OK</v>
      </c>
      <c r="AP30" s="379"/>
      <c r="AQ30" s="167"/>
      <c r="AR30" s="90" t="str">
        <f t="shared" si="21"/>
        <v xml:space="preserve">0       </v>
      </c>
      <c r="AS30" s="213" t="str">
        <f t="shared" si="4"/>
        <v>NG</v>
      </c>
      <c r="AT30" s="167">
        <f t="shared" si="29"/>
        <v>0</v>
      </c>
      <c r="AU30" s="405" t="str">
        <f t="shared" si="5"/>
        <v>-</v>
      </c>
      <c r="AV30" s="379" t="s">
        <v>537</v>
      </c>
      <c r="AW30" s="167"/>
      <c r="AX30" s="90" t="str">
        <f t="shared" si="22"/>
        <v xml:space="preserve">        </v>
      </c>
      <c r="AY30" s="213" t="str">
        <f t="shared" si="6"/>
        <v>-</v>
      </c>
      <c r="AZ30" s="167" t="str">
        <f t="shared" si="30"/>
        <v/>
      </c>
      <c r="BA30" s="405" t="str">
        <f t="shared" si="7"/>
        <v>OK</v>
      </c>
      <c r="BB30" s="379"/>
      <c r="BC30" s="167"/>
      <c r="BD30" s="90" t="str">
        <f t="shared" si="23"/>
        <v xml:space="preserve">        </v>
      </c>
      <c r="BE30" s="213" t="str">
        <f t="shared" si="8"/>
        <v>-</v>
      </c>
      <c r="BF30" s="167" t="str">
        <f t="shared" si="31"/>
        <v/>
      </c>
      <c r="BG30" s="405" t="str">
        <f t="shared" si="9"/>
        <v>OK</v>
      </c>
      <c r="BH30" s="379" t="s">
        <v>537</v>
      </c>
      <c r="BI30" s="167"/>
      <c r="BJ30" s="90" t="str">
        <f t="shared" si="24"/>
        <v>C1707001</v>
      </c>
      <c r="BK30" s="213" t="str">
        <f t="shared" si="10"/>
        <v>NG</v>
      </c>
      <c r="BL30" s="167" t="str">
        <f t="shared" si="32"/>
        <v>C1707001</v>
      </c>
      <c r="BM30" s="405" t="str">
        <f t="shared" si="11"/>
        <v>NG</v>
      </c>
    </row>
    <row r="31" spans="1:65" s="33" customFormat="1" ht="33.75" customHeight="1">
      <c r="A31" s="20"/>
      <c r="B31" s="19">
        <f t="shared" si="25"/>
        <v>24</v>
      </c>
      <c r="C31" s="53"/>
      <c r="D31" s="7"/>
      <c r="E31" s="192" t="s">
        <v>201</v>
      </c>
      <c r="F31" s="179"/>
      <c r="G31" s="179"/>
      <c r="H31" s="180"/>
      <c r="I31" s="6"/>
      <c r="J31" s="6"/>
      <c r="K31" s="6"/>
      <c r="L31" s="6"/>
      <c r="M31" s="184" t="s">
        <v>202</v>
      </c>
      <c r="N31" s="5"/>
      <c r="O31" s="54"/>
      <c r="P31" s="93">
        <f t="shared" si="26"/>
        <v>8</v>
      </c>
      <c r="Q31" s="114">
        <v>36</v>
      </c>
      <c r="R31" s="21" t="s">
        <v>466</v>
      </c>
      <c r="S31" s="96"/>
      <c r="T31" s="94"/>
      <c r="U31" s="21" t="s">
        <v>467</v>
      </c>
      <c r="V31" s="10"/>
      <c r="W31" s="25">
        <v>2</v>
      </c>
      <c r="X31" s="173" t="s">
        <v>468</v>
      </c>
      <c r="Y31" s="5">
        <v>1</v>
      </c>
      <c r="Z31" s="5">
        <v>18</v>
      </c>
      <c r="AA31" s="6" t="s">
        <v>466</v>
      </c>
      <c r="AB31" s="6" t="s">
        <v>469</v>
      </c>
      <c r="AC31" s="97"/>
      <c r="AD31" s="59"/>
      <c r="AE31" s="167"/>
      <c r="AF31" s="90" t="str">
        <f t="shared" si="19"/>
        <v>　　　　　　　　　　　　　　　　　　</v>
      </c>
      <c r="AG31" s="213" t="str">
        <f t="shared" si="1"/>
        <v>-</v>
      </c>
      <c r="AH31" s="167" t="str">
        <f t="shared" si="27"/>
        <v/>
      </c>
      <c r="AI31" s="405" t="str">
        <f t="shared" si="12"/>
        <v>OK</v>
      </c>
      <c r="AJ31" s="59"/>
      <c r="AK31" s="167"/>
      <c r="AL31" s="90" t="str">
        <f t="shared" si="20"/>
        <v>　　　　　　　　　　　　　　　　　　</v>
      </c>
      <c r="AM31" s="213" t="str">
        <f t="shared" si="2"/>
        <v>-</v>
      </c>
      <c r="AN31" s="167" t="str">
        <f t="shared" si="28"/>
        <v/>
      </c>
      <c r="AO31" s="405" t="str">
        <f t="shared" si="3"/>
        <v>OK</v>
      </c>
      <c r="AP31" s="59"/>
      <c r="AQ31" s="167"/>
      <c r="AR31" s="90" t="str">
        <f t="shared" si="21"/>
        <v>0　　　　　　　　　　　　　　　　　</v>
      </c>
      <c r="AS31" s="213" t="str">
        <f t="shared" si="4"/>
        <v>NG</v>
      </c>
      <c r="AT31" s="167">
        <f t="shared" si="29"/>
        <v>0</v>
      </c>
      <c r="AU31" s="405" t="str">
        <f t="shared" si="5"/>
        <v>-</v>
      </c>
      <c r="AV31" s="59"/>
      <c r="AW31" s="167"/>
      <c r="AX31" s="90" t="str">
        <f t="shared" si="22"/>
        <v>　　　　　　　　　　　　　　　　　　</v>
      </c>
      <c r="AY31" s="213" t="str">
        <f t="shared" si="6"/>
        <v>-</v>
      </c>
      <c r="AZ31" s="167" t="str">
        <f t="shared" si="30"/>
        <v/>
      </c>
      <c r="BA31" s="405" t="str">
        <f t="shared" si="7"/>
        <v>OK</v>
      </c>
      <c r="BB31" s="59"/>
      <c r="BC31" s="167"/>
      <c r="BD31" s="90" t="str">
        <f t="shared" si="23"/>
        <v>　　　　　　　　　　　　　　　　　　</v>
      </c>
      <c r="BE31" s="213" t="str">
        <f t="shared" si="8"/>
        <v>-</v>
      </c>
      <c r="BF31" s="167" t="str">
        <f t="shared" si="31"/>
        <v/>
      </c>
      <c r="BG31" s="405" t="str">
        <f t="shared" si="9"/>
        <v>OK</v>
      </c>
      <c r="BH31" s="59"/>
      <c r="BI31" s="167"/>
      <c r="BJ31" s="90" t="str">
        <f t="shared" si="24"/>
        <v>0　　　　　　　　　　　　　　　　　</v>
      </c>
      <c r="BK31" s="213" t="str">
        <f t="shared" si="10"/>
        <v>NG</v>
      </c>
      <c r="BL31" s="167">
        <f t="shared" si="32"/>
        <v>0</v>
      </c>
      <c r="BM31" s="405" t="str">
        <f t="shared" si="11"/>
        <v>OK</v>
      </c>
    </row>
    <row r="32" spans="1:65" s="33" customFormat="1" ht="33.75" customHeight="1">
      <c r="A32" s="20"/>
      <c r="B32" s="19">
        <f t="shared" si="25"/>
        <v>25</v>
      </c>
      <c r="C32" s="53"/>
      <c r="D32" s="7"/>
      <c r="E32" s="192" t="s">
        <v>203</v>
      </c>
      <c r="F32" s="179"/>
      <c r="G32" s="179"/>
      <c r="H32" s="180"/>
      <c r="I32" s="6"/>
      <c r="J32" s="6"/>
      <c r="K32" s="6"/>
      <c r="L32" s="6"/>
      <c r="M32" s="184" t="s">
        <v>204</v>
      </c>
      <c r="N32" s="5"/>
      <c r="O32" s="54"/>
      <c r="P32" s="93">
        <f t="shared" si="26"/>
        <v>9</v>
      </c>
      <c r="Q32" s="114">
        <v>36</v>
      </c>
      <c r="R32" s="21" t="s">
        <v>470</v>
      </c>
      <c r="S32" s="96"/>
      <c r="T32" s="94"/>
      <c r="U32" s="21" t="s">
        <v>471</v>
      </c>
      <c r="V32" s="10"/>
      <c r="W32" s="25">
        <v>2</v>
      </c>
      <c r="X32" s="173" t="s">
        <v>472</v>
      </c>
      <c r="Y32" s="5">
        <v>1</v>
      </c>
      <c r="Z32" s="5">
        <v>18</v>
      </c>
      <c r="AA32" s="6" t="s">
        <v>470</v>
      </c>
      <c r="AB32" s="6" t="s">
        <v>473</v>
      </c>
      <c r="AC32" s="97"/>
      <c r="AD32" s="59"/>
      <c r="AE32" s="167"/>
      <c r="AF32" s="90" t="str">
        <f t="shared" si="19"/>
        <v>　　　　　　　　　　　　　　　　　　</v>
      </c>
      <c r="AG32" s="213" t="str">
        <f t="shared" si="1"/>
        <v>-</v>
      </c>
      <c r="AH32" s="167" t="str">
        <f t="shared" si="27"/>
        <v/>
      </c>
      <c r="AI32" s="405" t="str">
        <f t="shared" si="12"/>
        <v>OK</v>
      </c>
      <c r="AJ32" s="59"/>
      <c r="AK32" s="167"/>
      <c r="AL32" s="90" t="str">
        <f t="shared" si="20"/>
        <v>　　　　　　　　　　　　　　　　　　</v>
      </c>
      <c r="AM32" s="213" t="str">
        <f t="shared" si="2"/>
        <v>-</v>
      </c>
      <c r="AN32" s="167" t="str">
        <f t="shared" si="28"/>
        <v/>
      </c>
      <c r="AO32" s="405" t="str">
        <f t="shared" si="3"/>
        <v>OK</v>
      </c>
      <c r="AP32" s="59"/>
      <c r="AQ32" s="167"/>
      <c r="AR32" s="90" t="str">
        <f t="shared" si="21"/>
        <v>0　　　　　　　　　　　　　　　　　</v>
      </c>
      <c r="AS32" s="213" t="str">
        <f t="shared" si="4"/>
        <v>NG</v>
      </c>
      <c r="AT32" s="167">
        <f t="shared" si="29"/>
        <v>0</v>
      </c>
      <c r="AU32" s="405" t="str">
        <f t="shared" si="5"/>
        <v>-</v>
      </c>
      <c r="AV32" s="59"/>
      <c r="AW32" s="167"/>
      <c r="AX32" s="90" t="str">
        <f t="shared" si="22"/>
        <v>　　　　　　　　　　　　　　　　　　</v>
      </c>
      <c r="AY32" s="213" t="str">
        <f t="shared" si="6"/>
        <v>-</v>
      </c>
      <c r="AZ32" s="167" t="str">
        <f t="shared" si="30"/>
        <v/>
      </c>
      <c r="BA32" s="405" t="str">
        <f t="shared" si="7"/>
        <v>OK</v>
      </c>
      <c r="BB32" s="59"/>
      <c r="BC32" s="167"/>
      <c r="BD32" s="90" t="str">
        <f t="shared" si="23"/>
        <v>　　　　　　　　　　　　　　　　　　</v>
      </c>
      <c r="BE32" s="213" t="str">
        <f t="shared" si="8"/>
        <v>-</v>
      </c>
      <c r="BF32" s="167" t="str">
        <f t="shared" si="31"/>
        <v/>
      </c>
      <c r="BG32" s="405" t="str">
        <f t="shared" si="9"/>
        <v>OK</v>
      </c>
      <c r="BH32" s="59"/>
      <c r="BI32" s="167"/>
      <c r="BJ32" s="90" t="str">
        <f t="shared" si="24"/>
        <v>0　　　　　　　　　　　　　　　　　</v>
      </c>
      <c r="BK32" s="213" t="str">
        <f t="shared" si="10"/>
        <v>NG</v>
      </c>
      <c r="BL32" s="167">
        <f t="shared" si="32"/>
        <v>0</v>
      </c>
      <c r="BM32" s="405" t="str">
        <f t="shared" si="11"/>
        <v>OK</v>
      </c>
    </row>
    <row r="33" spans="2:65" s="26" customFormat="1" ht="153.75" customHeight="1">
      <c r="B33" s="2">
        <f t="shared" si="25"/>
        <v>26</v>
      </c>
      <c r="C33" s="7"/>
      <c r="D33" s="7"/>
      <c r="E33" s="52" t="s">
        <v>474</v>
      </c>
      <c r="F33" s="16"/>
      <c r="G33" s="16"/>
      <c r="H33" s="13"/>
      <c r="I33" s="6"/>
      <c r="J33" s="6" t="s">
        <v>475</v>
      </c>
      <c r="K33" s="6"/>
      <c r="L33" s="8"/>
      <c r="M33" s="23" t="s">
        <v>476</v>
      </c>
      <c r="N33" s="1"/>
      <c r="O33" s="56"/>
      <c r="P33" s="93">
        <f t="shared" si="26"/>
        <v>10</v>
      </c>
      <c r="Q33" s="115">
        <v>4</v>
      </c>
      <c r="R33" s="21" t="str">
        <f>IF(AA33="M","NX",AA33)</f>
        <v>X</v>
      </c>
      <c r="S33" s="96"/>
      <c r="T33" s="94"/>
      <c r="U33" s="21" t="s">
        <v>477</v>
      </c>
      <c r="V33" s="10"/>
      <c r="W33" s="25" t="str">
        <f t="shared" ref="W33:W38" si="33">IF(C33&lt;&gt;"","0",IF(D33&lt;&gt;"","1",IF(E33&lt;&gt;"","2",IF(F33&lt;&gt;"","3",IF(G33&lt;&gt;"","4",IF(H33&lt;&gt;"","5"))))))</f>
        <v>2</v>
      </c>
      <c r="X33" s="5" t="s">
        <v>188</v>
      </c>
      <c r="Y33" s="57">
        <v>4</v>
      </c>
      <c r="Z33" s="57">
        <v>4</v>
      </c>
      <c r="AA33" s="58" t="s">
        <v>109</v>
      </c>
      <c r="AB33" s="58" t="s">
        <v>19</v>
      </c>
      <c r="AC33" s="12"/>
      <c r="AD33" s="59"/>
      <c r="AE33" s="172"/>
      <c r="AF33" s="254" t="str">
        <f t="shared" si="19"/>
        <v>0000</v>
      </c>
      <c r="AG33" s="213" t="str">
        <f t="shared" si="1"/>
        <v>-</v>
      </c>
      <c r="AH33" s="172" t="s">
        <v>282</v>
      </c>
      <c r="AI33" s="405" t="str">
        <f t="shared" si="12"/>
        <v>NG</v>
      </c>
      <c r="AJ33" s="59"/>
      <c r="AK33" s="172"/>
      <c r="AL33" s="254" t="str">
        <f t="shared" si="20"/>
        <v>0000</v>
      </c>
      <c r="AM33" s="213" t="str">
        <f t="shared" si="2"/>
        <v>-</v>
      </c>
      <c r="AN33" s="172" t="s">
        <v>282</v>
      </c>
      <c r="AO33" s="405" t="str">
        <f t="shared" si="3"/>
        <v>NG</v>
      </c>
      <c r="AP33" s="59"/>
      <c r="AQ33" s="172"/>
      <c r="AR33" s="254" t="str">
        <f t="shared" si="21"/>
        <v>0000</v>
      </c>
      <c r="AS33" s="213" t="str">
        <f t="shared" si="4"/>
        <v>NG</v>
      </c>
      <c r="AT33" s="172" t="s">
        <v>282</v>
      </c>
      <c r="AU33" s="405" t="str">
        <f t="shared" si="5"/>
        <v>-</v>
      </c>
      <c r="AV33" s="59"/>
      <c r="AW33" s="172"/>
      <c r="AX33" s="254" t="str">
        <f t="shared" si="22"/>
        <v>0000</v>
      </c>
      <c r="AY33" s="213" t="str">
        <f t="shared" si="6"/>
        <v>-</v>
      </c>
      <c r="AZ33" s="172" t="s">
        <v>282</v>
      </c>
      <c r="BA33" s="405" t="str">
        <f t="shared" si="7"/>
        <v>NG</v>
      </c>
      <c r="BB33" s="59"/>
      <c r="BC33" s="172"/>
      <c r="BD33" s="254" t="str">
        <f t="shared" si="23"/>
        <v>0000</v>
      </c>
      <c r="BE33" s="213" t="str">
        <f t="shared" si="8"/>
        <v>-</v>
      </c>
      <c r="BF33" s="172" t="s">
        <v>282</v>
      </c>
      <c r="BG33" s="405" t="str">
        <f t="shared" si="9"/>
        <v>NG</v>
      </c>
      <c r="BH33" s="59"/>
      <c r="BI33" s="172"/>
      <c r="BJ33" s="254" t="str">
        <f t="shared" si="24"/>
        <v>0000</v>
      </c>
      <c r="BK33" s="213" t="str">
        <f t="shared" si="10"/>
        <v>NG</v>
      </c>
      <c r="BL33" s="172" t="s">
        <v>282</v>
      </c>
      <c r="BM33" s="405" t="str">
        <f t="shared" si="11"/>
        <v>NG</v>
      </c>
    </row>
    <row r="34" spans="2:65" s="26" customFormat="1" ht="51">
      <c r="B34" s="2">
        <f t="shared" si="25"/>
        <v>27</v>
      </c>
      <c r="C34" s="127"/>
      <c r="D34" s="7"/>
      <c r="E34" s="52" t="s">
        <v>305</v>
      </c>
      <c r="F34" s="16"/>
      <c r="G34" s="16"/>
      <c r="H34" s="13"/>
      <c r="I34" s="6"/>
      <c r="J34" s="6"/>
      <c r="K34" s="6"/>
      <c r="L34" s="8"/>
      <c r="M34" s="23" t="s">
        <v>245</v>
      </c>
      <c r="N34" s="1"/>
      <c r="O34" s="56"/>
      <c r="P34" s="93">
        <f t="shared" si="26"/>
        <v>11</v>
      </c>
      <c r="Q34" s="115">
        <v>9</v>
      </c>
      <c r="R34" s="21" t="str">
        <f>IF(AA34="M","NX",AA34)</f>
        <v>X</v>
      </c>
      <c r="S34" s="96"/>
      <c r="T34" s="94"/>
      <c r="U34" s="21" t="s">
        <v>226</v>
      </c>
      <c r="V34" s="10"/>
      <c r="W34" s="25" t="str">
        <f t="shared" si="33"/>
        <v>2</v>
      </c>
      <c r="X34" s="5" t="s">
        <v>246</v>
      </c>
      <c r="Y34" s="57">
        <v>9</v>
      </c>
      <c r="Z34" s="57">
        <v>9</v>
      </c>
      <c r="AA34" s="58" t="s">
        <v>109</v>
      </c>
      <c r="AB34" s="58" t="s">
        <v>19</v>
      </c>
      <c r="AC34" s="12"/>
      <c r="AD34" s="59"/>
      <c r="AE34" s="167"/>
      <c r="AF34" s="60" t="str">
        <f t="shared" si="19"/>
        <v xml:space="preserve">         </v>
      </c>
      <c r="AG34" s="213" t="str">
        <f t="shared" si="1"/>
        <v>-</v>
      </c>
      <c r="AH34" s="167"/>
      <c r="AI34" s="405" t="str">
        <f t="shared" si="12"/>
        <v>OK</v>
      </c>
      <c r="AJ34" s="59"/>
      <c r="AK34" s="167"/>
      <c r="AL34" s="60" t="str">
        <f t="shared" si="20"/>
        <v xml:space="preserve">         </v>
      </c>
      <c r="AM34" s="213" t="str">
        <f t="shared" si="2"/>
        <v>-</v>
      </c>
      <c r="AN34" s="167"/>
      <c r="AO34" s="405" t="str">
        <f t="shared" si="3"/>
        <v>OK</v>
      </c>
      <c r="AP34" s="59"/>
      <c r="AQ34" s="167"/>
      <c r="AR34" s="60" t="str">
        <f t="shared" si="21"/>
        <v xml:space="preserve">         </v>
      </c>
      <c r="AS34" s="213" t="str">
        <f t="shared" si="4"/>
        <v>NG</v>
      </c>
      <c r="AT34" s="167"/>
      <c r="AU34" s="405" t="str">
        <f t="shared" si="5"/>
        <v>-</v>
      </c>
      <c r="AV34" s="59"/>
      <c r="AW34" s="167"/>
      <c r="AX34" s="60" t="str">
        <f t="shared" si="22"/>
        <v xml:space="preserve">         </v>
      </c>
      <c r="AY34" s="213" t="str">
        <f t="shared" si="6"/>
        <v>-</v>
      </c>
      <c r="AZ34" s="167"/>
      <c r="BA34" s="405" t="str">
        <f t="shared" si="7"/>
        <v>OK</v>
      </c>
      <c r="BB34" s="59"/>
      <c r="BC34" s="167"/>
      <c r="BD34" s="60" t="str">
        <f t="shared" si="23"/>
        <v xml:space="preserve">         </v>
      </c>
      <c r="BE34" s="213" t="str">
        <f t="shared" si="8"/>
        <v>-</v>
      </c>
      <c r="BF34" s="167"/>
      <c r="BG34" s="405" t="str">
        <f t="shared" si="9"/>
        <v>OK</v>
      </c>
      <c r="BH34" s="59"/>
      <c r="BI34" s="167"/>
      <c r="BJ34" s="60" t="str">
        <f t="shared" si="24"/>
        <v xml:space="preserve">         </v>
      </c>
      <c r="BK34" s="213" t="str">
        <f t="shared" si="10"/>
        <v>NG</v>
      </c>
      <c r="BL34" s="167"/>
      <c r="BM34" s="405" t="str">
        <f t="shared" si="11"/>
        <v>OK</v>
      </c>
    </row>
    <row r="35" spans="2:65" s="26" customFormat="1" ht="38.25">
      <c r="B35" s="2">
        <f t="shared" si="25"/>
        <v>28</v>
      </c>
      <c r="C35" s="7"/>
      <c r="D35" s="7"/>
      <c r="E35" s="22" t="s">
        <v>113</v>
      </c>
      <c r="F35" s="16"/>
      <c r="G35" s="16"/>
      <c r="H35" s="13"/>
      <c r="I35" s="8"/>
      <c r="J35" s="8" t="s">
        <v>231</v>
      </c>
      <c r="K35" s="8"/>
      <c r="L35" s="8"/>
      <c r="M35" s="11" t="s">
        <v>306</v>
      </c>
      <c r="N35" s="1"/>
      <c r="O35" s="56"/>
      <c r="P35" s="93">
        <f t="shared" si="26"/>
        <v>12</v>
      </c>
      <c r="Q35" s="113">
        <v>1</v>
      </c>
      <c r="R35" s="21" t="s">
        <v>229</v>
      </c>
      <c r="S35" s="96"/>
      <c r="T35" s="94"/>
      <c r="U35" s="21" t="s">
        <v>226</v>
      </c>
      <c r="V35" s="10"/>
      <c r="W35" s="25" t="str">
        <f t="shared" si="33"/>
        <v>2</v>
      </c>
      <c r="X35" s="1" t="s">
        <v>114</v>
      </c>
      <c r="Y35" s="1">
        <v>1</v>
      </c>
      <c r="Z35" s="1">
        <v>1</v>
      </c>
      <c r="AA35" s="8">
        <v>9</v>
      </c>
      <c r="AB35" s="8" t="s">
        <v>19</v>
      </c>
      <c r="AC35" s="12"/>
      <c r="AD35" s="59"/>
      <c r="AE35" s="172"/>
      <c r="AF35" s="223" t="str">
        <f t="shared" si="19"/>
        <v>0</v>
      </c>
      <c r="AG35" s="213" t="str">
        <f t="shared" si="1"/>
        <v>-</v>
      </c>
      <c r="AH35" s="172" t="s">
        <v>283</v>
      </c>
      <c r="AI35" s="405" t="str">
        <f t="shared" si="12"/>
        <v>NG</v>
      </c>
      <c r="AJ35" s="59"/>
      <c r="AK35" s="172"/>
      <c r="AL35" s="223" t="str">
        <f t="shared" si="20"/>
        <v>0</v>
      </c>
      <c r="AM35" s="213" t="str">
        <f t="shared" si="2"/>
        <v>-</v>
      </c>
      <c r="AN35" s="172" t="s">
        <v>283</v>
      </c>
      <c r="AO35" s="405" t="str">
        <f t="shared" si="3"/>
        <v>NG</v>
      </c>
      <c r="AP35" s="59"/>
      <c r="AQ35" s="172"/>
      <c r="AR35" s="223" t="str">
        <f t="shared" si="21"/>
        <v>0</v>
      </c>
      <c r="AS35" s="213" t="str">
        <f t="shared" si="4"/>
        <v>NG</v>
      </c>
      <c r="AT35" s="172" t="s">
        <v>283</v>
      </c>
      <c r="AU35" s="405" t="str">
        <f t="shared" si="5"/>
        <v>-</v>
      </c>
      <c r="AV35" s="59"/>
      <c r="AW35" s="172"/>
      <c r="AX35" s="223" t="str">
        <f t="shared" si="22"/>
        <v>0</v>
      </c>
      <c r="AY35" s="213" t="str">
        <f t="shared" si="6"/>
        <v>-</v>
      </c>
      <c r="AZ35" s="172" t="s">
        <v>283</v>
      </c>
      <c r="BA35" s="405" t="str">
        <f t="shared" si="7"/>
        <v>NG</v>
      </c>
      <c r="BB35" s="59"/>
      <c r="BC35" s="172"/>
      <c r="BD35" s="223" t="str">
        <f t="shared" si="23"/>
        <v>0</v>
      </c>
      <c r="BE35" s="213" t="str">
        <f t="shared" si="8"/>
        <v>-</v>
      </c>
      <c r="BF35" s="172" t="s">
        <v>283</v>
      </c>
      <c r="BG35" s="405" t="str">
        <f t="shared" si="9"/>
        <v>NG</v>
      </c>
      <c r="BH35" s="59"/>
      <c r="BI35" s="172"/>
      <c r="BJ35" s="223" t="str">
        <f t="shared" si="24"/>
        <v>0</v>
      </c>
      <c r="BK35" s="213" t="str">
        <f t="shared" si="10"/>
        <v>NG</v>
      </c>
      <c r="BL35" s="172" t="s">
        <v>283</v>
      </c>
      <c r="BM35" s="405" t="str">
        <f t="shared" si="11"/>
        <v>NG</v>
      </c>
    </row>
    <row r="36" spans="2:65" s="26" customFormat="1" ht="18.75" customHeight="1" thickBot="1">
      <c r="B36" s="130">
        <f t="shared" si="25"/>
        <v>29</v>
      </c>
      <c r="C36" s="406"/>
      <c r="D36" s="132"/>
      <c r="E36" s="426" t="s">
        <v>115</v>
      </c>
      <c r="F36" s="133"/>
      <c r="G36" s="133"/>
      <c r="H36" s="134"/>
      <c r="I36" s="135"/>
      <c r="J36" s="135" t="s">
        <v>231</v>
      </c>
      <c r="K36" s="135"/>
      <c r="L36" s="135"/>
      <c r="M36" s="142" t="s">
        <v>116</v>
      </c>
      <c r="N36" s="136"/>
      <c r="O36" s="407"/>
      <c r="P36" s="137">
        <f t="shared" si="26"/>
        <v>13</v>
      </c>
      <c r="Q36" s="138">
        <v>2</v>
      </c>
      <c r="R36" s="139">
        <v>9</v>
      </c>
      <c r="S36" s="408" t="s">
        <v>307</v>
      </c>
      <c r="T36" s="409">
        <v>14</v>
      </c>
      <c r="U36" s="139" t="s">
        <v>226</v>
      </c>
      <c r="V36" s="141"/>
      <c r="W36" s="189" t="str">
        <f t="shared" si="33"/>
        <v>2</v>
      </c>
      <c r="X36" s="142" t="s">
        <v>247</v>
      </c>
      <c r="Y36" s="142">
        <v>1</v>
      </c>
      <c r="Z36" s="142">
        <v>2</v>
      </c>
      <c r="AA36" s="135">
        <v>9</v>
      </c>
      <c r="AB36" s="135"/>
      <c r="AC36" s="427"/>
      <c r="AD36" s="428"/>
      <c r="AE36" s="256"/>
      <c r="AF36" s="258" t="str">
        <f t="shared" si="19"/>
        <v xml:space="preserve">  </v>
      </c>
      <c r="AG36" s="257" t="str">
        <f t="shared" si="1"/>
        <v>-</v>
      </c>
      <c r="AH36" s="377"/>
      <c r="AI36" s="403" t="str">
        <f t="shared" si="12"/>
        <v>OK</v>
      </c>
      <c r="AJ36" s="428"/>
      <c r="AK36" s="256"/>
      <c r="AL36" s="258" t="str">
        <f t="shared" si="20"/>
        <v xml:space="preserve">  </v>
      </c>
      <c r="AM36" s="257" t="str">
        <f t="shared" si="2"/>
        <v>-</v>
      </c>
      <c r="AN36" s="377"/>
      <c r="AO36" s="403" t="str">
        <f t="shared" si="3"/>
        <v>OK</v>
      </c>
      <c r="AP36" s="428"/>
      <c r="AQ36" s="256"/>
      <c r="AR36" s="258" t="str">
        <f t="shared" si="21"/>
        <v xml:space="preserve">  </v>
      </c>
      <c r="AS36" s="257" t="str">
        <f t="shared" si="4"/>
        <v>NG</v>
      </c>
      <c r="AT36" s="377"/>
      <c r="AU36" s="403" t="str">
        <f t="shared" si="5"/>
        <v>-</v>
      </c>
      <c r="AV36" s="428"/>
      <c r="AW36" s="256"/>
      <c r="AX36" s="258" t="str">
        <f t="shared" si="22"/>
        <v xml:space="preserve">  </v>
      </c>
      <c r="AY36" s="257" t="str">
        <f t="shared" si="6"/>
        <v>-</v>
      </c>
      <c r="AZ36" s="377"/>
      <c r="BA36" s="403" t="str">
        <f t="shared" si="7"/>
        <v>OK</v>
      </c>
      <c r="BB36" s="428"/>
      <c r="BC36" s="256"/>
      <c r="BD36" s="258" t="str">
        <f t="shared" si="23"/>
        <v xml:space="preserve">  </v>
      </c>
      <c r="BE36" s="257" t="str">
        <f t="shared" si="8"/>
        <v>-</v>
      </c>
      <c r="BF36" s="377"/>
      <c r="BG36" s="403" t="str">
        <f t="shared" si="9"/>
        <v>OK</v>
      </c>
      <c r="BH36" s="428"/>
      <c r="BI36" s="256"/>
      <c r="BJ36" s="258" t="str">
        <f t="shared" si="24"/>
        <v>14</v>
      </c>
      <c r="BK36" s="257" t="str">
        <f t="shared" si="10"/>
        <v>NG</v>
      </c>
      <c r="BL36" s="472" t="s">
        <v>586</v>
      </c>
      <c r="BM36" s="403" t="str">
        <f t="shared" si="11"/>
        <v>NG</v>
      </c>
    </row>
    <row r="37" spans="2:65" s="26" customFormat="1" ht="18.75" customHeight="1" thickTop="1">
      <c r="B37" s="233">
        <f t="shared" si="25"/>
        <v>30</v>
      </c>
      <c r="C37" s="7"/>
      <c r="D37" s="7"/>
      <c r="E37" s="100" t="s">
        <v>482</v>
      </c>
      <c r="F37" s="410"/>
      <c r="G37" s="410"/>
      <c r="H37" s="61"/>
      <c r="I37" s="17" t="s">
        <v>29</v>
      </c>
      <c r="J37" s="17" t="s">
        <v>446</v>
      </c>
      <c r="K37" s="17"/>
      <c r="L37" s="17"/>
      <c r="M37" s="15" t="s">
        <v>272</v>
      </c>
      <c r="N37" s="413"/>
      <c r="O37" s="411"/>
      <c r="P37" s="129"/>
      <c r="Q37" s="124"/>
      <c r="R37" s="107"/>
      <c r="S37" s="412"/>
      <c r="T37" s="413"/>
      <c r="U37" s="107"/>
      <c r="V37" s="414"/>
      <c r="W37" s="418" t="str">
        <f t="shared" si="33"/>
        <v>2</v>
      </c>
      <c r="X37" s="15" t="s">
        <v>117</v>
      </c>
      <c r="Y37" s="15"/>
      <c r="Z37" s="15"/>
      <c r="AA37" s="17"/>
      <c r="AB37" s="17" t="s">
        <v>480</v>
      </c>
      <c r="AC37" s="425"/>
      <c r="AD37" s="118"/>
      <c r="AE37" s="259"/>
      <c r="AF37" s="89" t="str">
        <f t="shared" si="19"/>
        <v/>
      </c>
      <c r="AG37" s="260" t="str">
        <f t="shared" si="1"/>
        <v>-</v>
      </c>
      <c r="AH37" s="171"/>
      <c r="AI37" s="405" t="s">
        <v>215</v>
      </c>
      <c r="AJ37" s="118"/>
      <c r="AK37" s="259"/>
      <c r="AL37" s="89" t="str">
        <f t="shared" si="20"/>
        <v/>
      </c>
      <c r="AM37" s="260" t="str">
        <f t="shared" si="2"/>
        <v>-</v>
      </c>
      <c r="AN37" s="171"/>
      <c r="AO37" s="405" t="s">
        <v>215</v>
      </c>
      <c r="AP37" s="118"/>
      <c r="AQ37" s="259"/>
      <c r="AR37" s="89" t="str">
        <f t="shared" si="21"/>
        <v/>
      </c>
      <c r="AS37" s="260" t="str">
        <f t="shared" si="4"/>
        <v>OK</v>
      </c>
      <c r="AT37" s="171"/>
      <c r="AU37" s="405" t="s">
        <v>215</v>
      </c>
      <c r="AV37" s="118"/>
      <c r="AW37" s="259"/>
      <c r="AX37" s="89" t="str">
        <f t="shared" si="22"/>
        <v/>
      </c>
      <c r="AY37" s="260" t="str">
        <f t="shared" si="6"/>
        <v>-</v>
      </c>
      <c r="AZ37" s="171"/>
      <c r="BA37" s="405" t="s">
        <v>215</v>
      </c>
      <c r="BB37" s="118"/>
      <c r="BC37" s="259"/>
      <c r="BD37" s="89" t="str">
        <f t="shared" si="23"/>
        <v/>
      </c>
      <c r="BE37" s="260" t="str">
        <f t="shared" si="8"/>
        <v>-</v>
      </c>
      <c r="BF37" s="171"/>
      <c r="BG37" s="405" t="s">
        <v>568</v>
      </c>
      <c r="BH37" s="118"/>
      <c r="BI37" s="259"/>
      <c r="BJ37" s="89" t="str">
        <f t="shared" si="24"/>
        <v/>
      </c>
      <c r="BK37" s="260" t="s">
        <v>215</v>
      </c>
      <c r="BL37" s="259"/>
      <c r="BM37" s="405" t="s">
        <v>568</v>
      </c>
    </row>
    <row r="38" spans="2:65" s="26" customFormat="1" ht="63.75">
      <c r="B38" s="2">
        <f t="shared" si="25"/>
        <v>31</v>
      </c>
      <c r="C38" s="127"/>
      <c r="D38" s="7"/>
      <c r="E38" s="7"/>
      <c r="F38" s="110" t="s">
        <v>87</v>
      </c>
      <c r="G38" s="16"/>
      <c r="H38" s="13"/>
      <c r="I38" s="6"/>
      <c r="J38" s="6"/>
      <c r="K38" s="6"/>
      <c r="L38" s="8"/>
      <c r="M38" s="23" t="s">
        <v>248</v>
      </c>
      <c r="N38" s="1"/>
      <c r="O38" s="56"/>
      <c r="P38" s="93">
        <f>P36+1</f>
        <v>14</v>
      </c>
      <c r="Q38" s="115">
        <v>2</v>
      </c>
      <c r="R38" s="21" t="str">
        <f>IF(AA38="M","NX",AA38)</f>
        <v>X</v>
      </c>
      <c r="S38" s="96" t="s">
        <v>483</v>
      </c>
      <c r="T38" s="94"/>
      <c r="U38" s="21" t="s">
        <v>480</v>
      </c>
      <c r="V38" s="116" t="s">
        <v>189</v>
      </c>
      <c r="W38" s="25" t="str">
        <f t="shared" si="33"/>
        <v>3</v>
      </c>
      <c r="X38" s="5" t="s">
        <v>484</v>
      </c>
      <c r="Y38" s="57">
        <v>2</v>
      </c>
      <c r="Z38" s="57">
        <v>2</v>
      </c>
      <c r="AA38" s="58" t="s">
        <v>109</v>
      </c>
      <c r="AB38" s="58" t="s">
        <v>19</v>
      </c>
      <c r="AC38" s="12"/>
      <c r="AD38" s="59"/>
      <c r="AE38" s="172"/>
      <c r="AF38" s="254" t="str">
        <f t="shared" si="19"/>
        <v>01</v>
      </c>
      <c r="AG38" s="213" t="str">
        <f t="shared" si="1"/>
        <v>-</v>
      </c>
      <c r="AH38" s="172" t="s">
        <v>526</v>
      </c>
      <c r="AI38" s="405" t="str">
        <f t="shared" si="12"/>
        <v>NG</v>
      </c>
      <c r="AJ38" s="59"/>
      <c r="AK38" s="172"/>
      <c r="AL38" s="254" t="str">
        <f t="shared" si="20"/>
        <v>01</v>
      </c>
      <c r="AM38" s="213" t="str">
        <f t="shared" si="2"/>
        <v>-</v>
      </c>
      <c r="AN38" s="172" t="s">
        <v>526</v>
      </c>
      <c r="AO38" s="405" t="str">
        <f t="shared" ref="AO38:AO66" si="34">IF(OR(AK$8="判定対象外",AN$8="判定対象外",AN38="-"),"-",IF(AK38=AN38,"OK","NG"))</f>
        <v>NG</v>
      </c>
      <c r="AP38" s="59"/>
      <c r="AQ38" s="172"/>
      <c r="AR38" s="254" t="str">
        <f t="shared" si="21"/>
        <v>01</v>
      </c>
      <c r="AS38" s="213" t="str">
        <f t="shared" si="4"/>
        <v>NG</v>
      </c>
      <c r="AT38" s="172" t="s">
        <v>526</v>
      </c>
      <c r="AU38" s="405" t="str">
        <f t="shared" ref="AU38:AU66" si="35">IF(OR(AQ$8="判定対象外",AT$8="判定対象外",AT38="-"),"-",IF(AQ38=AT38,"OK","NG"))</f>
        <v>-</v>
      </c>
      <c r="AV38" s="59"/>
      <c r="AW38" s="172"/>
      <c r="AX38" s="254" t="str">
        <f t="shared" si="22"/>
        <v>01</v>
      </c>
      <c r="AY38" s="213" t="str">
        <f t="shared" si="6"/>
        <v>-</v>
      </c>
      <c r="AZ38" s="172" t="s">
        <v>526</v>
      </c>
      <c r="BA38" s="405" t="str">
        <f t="shared" ref="BA38:BA66" si="36">IF(OR(AW$8="判定対象外",AZ$8="判定対象外",AZ38="-"),"-",IF(AW38=AZ38,"OK","NG"))</f>
        <v>NG</v>
      </c>
      <c r="BB38" s="59"/>
      <c r="BC38" s="172"/>
      <c r="BD38" s="254" t="str">
        <f t="shared" si="23"/>
        <v xml:space="preserve">  </v>
      </c>
      <c r="BE38" s="213" t="str">
        <f t="shared" si="8"/>
        <v>-</v>
      </c>
      <c r="BF38" s="172"/>
      <c r="BG38" s="225" t="s">
        <v>568</v>
      </c>
      <c r="BH38" s="59"/>
      <c r="BI38" s="172"/>
      <c r="BJ38" s="254" t="str">
        <f t="shared" si="24"/>
        <v xml:space="preserve">  </v>
      </c>
      <c r="BK38" s="213" t="s">
        <v>215</v>
      </c>
      <c r="BL38" s="172"/>
      <c r="BM38" s="225" t="s">
        <v>568</v>
      </c>
    </row>
    <row r="39" spans="2:65" s="26" customFormat="1" ht="344.25">
      <c r="B39" s="2">
        <f t="shared" si="25"/>
        <v>32</v>
      </c>
      <c r="C39" s="7"/>
      <c r="D39" s="7"/>
      <c r="E39" s="7"/>
      <c r="F39" s="110" t="s">
        <v>304</v>
      </c>
      <c r="G39" s="16"/>
      <c r="H39" s="13"/>
      <c r="I39" s="8"/>
      <c r="J39" s="8" t="s">
        <v>231</v>
      </c>
      <c r="K39" s="8"/>
      <c r="L39" s="8"/>
      <c r="M39" s="355" t="s">
        <v>478</v>
      </c>
      <c r="N39" s="11"/>
      <c r="O39" s="56"/>
      <c r="P39" s="93">
        <f>P38+1</f>
        <v>15</v>
      </c>
      <c r="Q39" s="113">
        <v>2</v>
      </c>
      <c r="R39" s="21" t="str">
        <f t="shared" ref="R39:R63" si="37">IF(AA39="M","NX",AA39)</f>
        <v>X</v>
      </c>
      <c r="S39" s="96" t="s">
        <v>310</v>
      </c>
      <c r="T39" s="94"/>
      <c r="U39" s="21" t="s">
        <v>226</v>
      </c>
      <c r="V39" s="10"/>
      <c r="W39" s="25">
        <v>3</v>
      </c>
      <c r="X39" s="1" t="s">
        <v>243</v>
      </c>
      <c r="Y39" s="1">
        <v>2</v>
      </c>
      <c r="Z39" s="1">
        <v>2</v>
      </c>
      <c r="AA39" s="8" t="s">
        <v>109</v>
      </c>
      <c r="AB39" s="8" t="s">
        <v>19</v>
      </c>
      <c r="AC39" s="12"/>
      <c r="AD39" s="59"/>
      <c r="AE39" s="172"/>
      <c r="AF39" s="254" t="str">
        <f t="shared" si="19"/>
        <v>A8</v>
      </c>
      <c r="AG39" s="213" t="str">
        <f t="shared" si="1"/>
        <v>-</v>
      </c>
      <c r="AH39" s="172" t="s">
        <v>525</v>
      </c>
      <c r="AI39" s="405" t="str">
        <f t="shared" si="12"/>
        <v>NG</v>
      </c>
      <c r="AJ39" s="59"/>
      <c r="AK39" s="172"/>
      <c r="AL39" s="254" t="str">
        <f t="shared" si="20"/>
        <v>B8</v>
      </c>
      <c r="AM39" s="213" t="str">
        <f t="shared" si="2"/>
        <v>-</v>
      </c>
      <c r="AN39" s="172" t="s">
        <v>536</v>
      </c>
      <c r="AO39" s="405" t="str">
        <f t="shared" si="34"/>
        <v>NG</v>
      </c>
      <c r="AP39" s="59"/>
      <c r="AQ39" s="172"/>
      <c r="AR39" s="254" t="str">
        <f t="shared" si="21"/>
        <v>A9</v>
      </c>
      <c r="AS39" s="213" t="str">
        <f t="shared" si="4"/>
        <v>NG</v>
      </c>
      <c r="AT39" s="172" t="s">
        <v>535</v>
      </c>
      <c r="AU39" s="405" t="str">
        <f t="shared" si="35"/>
        <v>-</v>
      </c>
      <c r="AV39" s="59"/>
      <c r="AW39" s="172"/>
      <c r="AX39" s="254" t="str">
        <f t="shared" si="22"/>
        <v>B9</v>
      </c>
      <c r="AY39" s="213" t="str">
        <f t="shared" si="6"/>
        <v>-</v>
      </c>
      <c r="AZ39" s="172" t="s">
        <v>558</v>
      </c>
      <c r="BA39" s="405" t="str">
        <f t="shared" si="36"/>
        <v>NG</v>
      </c>
      <c r="BB39" s="59"/>
      <c r="BC39" s="172"/>
      <c r="BD39" s="254" t="str">
        <f t="shared" si="23"/>
        <v>02</v>
      </c>
      <c r="BE39" s="213" t="str">
        <f t="shared" si="8"/>
        <v>-</v>
      </c>
      <c r="BF39" s="172" t="s">
        <v>110</v>
      </c>
      <c r="BG39" s="405" t="str">
        <f>IF(OR(BC$8="判定対象外",BF$8="判定対象外",BF39="-"),"-",IF(BC39=BF39,"OK","NG"))</f>
        <v>NG</v>
      </c>
      <c r="BH39" s="59"/>
      <c r="BI39" s="172"/>
      <c r="BJ39" s="254" t="str">
        <f t="shared" si="24"/>
        <v>10</v>
      </c>
      <c r="BK39" s="213" t="str">
        <f t="shared" si="10"/>
        <v>NG</v>
      </c>
      <c r="BL39" s="172">
        <v>10</v>
      </c>
      <c r="BM39" s="405" t="str">
        <f>IF(OR(BI$8="判定対象外",BL$8="判定対象外",BL39="-"),"-",IF(BI39=BL39,"OK","NG"))</f>
        <v>NG</v>
      </c>
    </row>
    <row r="40" spans="2:65" s="26" customFormat="1">
      <c r="B40" s="2">
        <f t="shared" si="25"/>
        <v>33</v>
      </c>
      <c r="C40" s="7"/>
      <c r="D40" s="7"/>
      <c r="E40" s="7"/>
      <c r="F40" s="22" t="s">
        <v>273</v>
      </c>
      <c r="G40" s="16"/>
      <c r="H40" s="13"/>
      <c r="I40" s="8"/>
      <c r="J40" s="8"/>
      <c r="K40" s="8"/>
      <c r="L40" s="8"/>
      <c r="M40" s="358" t="s">
        <v>205</v>
      </c>
      <c r="N40" s="11"/>
      <c r="O40" s="56"/>
      <c r="P40" s="93">
        <f t="shared" ref="P40:P61" si="38">P39+1</f>
        <v>16</v>
      </c>
      <c r="Q40" s="113">
        <v>2</v>
      </c>
      <c r="R40" s="21" t="str">
        <f t="shared" si="37"/>
        <v>X</v>
      </c>
      <c r="S40" s="96" t="s">
        <v>118</v>
      </c>
      <c r="T40" s="94"/>
      <c r="U40" s="21" t="s">
        <v>226</v>
      </c>
      <c r="V40" s="10"/>
      <c r="W40" s="25">
        <v>3</v>
      </c>
      <c r="X40" s="1" t="s">
        <v>119</v>
      </c>
      <c r="Y40" s="1">
        <v>2</v>
      </c>
      <c r="Z40" s="1">
        <v>2</v>
      </c>
      <c r="AA40" s="8" t="s">
        <v>109</v>
      </c>
      <c r="AB40" s="8" t="s">
        <v>19</v>
      </c>
      <c r="AC40" s="12"/>
      <c r="AD40" s="59"/>
      <c r="AE40" s="167"/>
      <c r="AF40" s="60" t="str">
        <f t="shared" si="19"/>
        <v xml:space="preserve">  </v>
      </c>
      <c r="AG40" s="213" t="str">
        <f t="shared" si="1"/>
        <v>-</v>
      </c>
      <c r="AH40" s="167"/>
      <c r="AI40" s="405" t="str">
        <f t="shared" si="12"/>
        <v>OK</v>
      </c>
      <c r="AJ40" s="59"/>
      <c r="AK40" s="167"/>
      <c r="AL40" s="60" t="str">
        <f t="shared" si="20"/>
        <v xml:space="preserve">  </v>
      </c>
      <c r="AM40" s="213" t="str">
        <f t="shared" si="2"/>
        <v>-</v>
      </c>
      <c r="AN40" s="167"/>
      <c r="AO40" s="405" t="str">
        <f t="shared" si="34"/>
        <v>OK</v>
      </c>
      <c r="AP40" s="59"/>
      <c r="AQ40" s="167"/>
      <c r="AR40" s="60" t="str">
        <f t="shared" si="21"/>
        <v xml:space="preserve">  </v>
      </c>
      <c r="AS40" s="213" t="str">
        <f t="shared" si="4"/>
        <v>NG</v>
      </c>
      <c r="AT40" s="167"/>
      <c r="AU40" s="405" t="str">
        <f t="shared" si="35"/>
        <v>-</v>
      </c>
      <c r="AV40" s="59"/>
      <c r="AW40" s="167"/>
      <c r="AX40" s="60" t="str">
        <f t="shared" si="22"/>
        <v xml:space="preserve">  </v>
      </c>
      <c r="AY40" s="213" t="str">
        <f t="shared" si="6"/>
        <v>-</v>
      </c>
      <c r="AZ40" s="167"/>
      <c r="BA40" s="405" t="str">
        <f t="shared" si="36"/>
        <v>OK</v>
      </c>
      <c r="BB40" s="59"/>
      <c r="BC40" s="167"/>
      <c r="BD40" s="60" t="str">
        <f t="shared" si="23"/>
        <v xml:space="preserve">  </v>
      </c>
      <c r="BE40" s="213" t="str">
        <f t="shared" si="8"/>
        <v>-</v>
      </c>
      <c r="BF40" s="167"/>
      <c r="BG40" s="225" t="s">
        <v>568</v>
      </c>
      <c r="BH40" s="59"/>
      <c r="BI40" s="167"/>
      <c r="BJ40" s="60" t="str">
        <f t="shared" si="24"/>
        <v xml:space="preserve">  </v>
      </c>
      <c r="BK40" s="213" t="s">
        <v>215</v>
      </c>
      <c r="BL40" s="167"/>
      <c r="BM40" s="225" t="s">
        <v>215</v>
      </c>
    </row>
    <row r="41" spans="2:65" s="26" customFormat="1">
      <c r="B41" s="2">
        <f t="shared" si="25"/>
        <v>34</v>
      </c>
      <c r="C41" s="7"/>
      <c r="D41" s="7"/>
      <c r="E41" s="7"/>
      <c r="F41" s="22" t="s">
        <v>120</v>
      </c>
      <c r="G41" s="16"/>
      <c r="H41" s="13"/>
      <c r="I41" s="8"/>
      <c r="J41" s="8" t="s">
        <v>231</v>
      </c>
      <c r="K41" s="8"/>
      <c r="L41" s="8"/>
      <c r="M41" s="1" t="s">
        <v>121</v>
      </c>
      <c r="N41" s="1"/>
      <c r="O41" s="56"/>
      <c r="P41" s="93">
        <f t="shared" si="38"/>
        <v>17</v>
      </c>
      <c r="Q41" s="113">
        <v>255</v>
      </c>
      <c r="R41" s="21" t="str">
        <f t="shared" si="37"/>
        <v>NX</v>
      </c>
      <c r="S41" s="96" t="s">
        <v>122</v>
      </c>
      <c r="T41" s="94"/>
      <c r="U41" s="21" t="s">
        <v>226</v>
      </c>
      <c r="V41" s="10"/>
      <c r="W41" s="25">
        <v>3</v>
      </c>
      <c r="X41" s="1" t="s">
        <v>250</v>
      </c>
      <c r="Y41" s="1">
        <v>1</v>
      </c>
      <c r="Z41" s="1">
        <v>255</v>
      </c>
      <c r="AA41" s="8" t="s">
        <v>123</v>
      </c>
      <c r="AB41" s="8" t="s">
        <v>19</v>
      </c>
      <c r="AC41" s="12"/>
      <c r="AD41" s="59"/>
      <c r="AE41" s="172"/>
      <c r="AF41" s="223" t="str">
        <f t="shared" si="19"/>
        <v xml:space="preserve">光コラボ　ホーム                                                                                                                                                                                                                                               </v>
      </c>
      <c r="AG41" s="213" t="str">
        <f t="shared" si="1"/>
        <v>-</v>
      </c>
      <c r="AH41" s="172" t="s">
        <v>527</v>
      </c>
      <c r="AI41" s="405" t="str">
        <f t="shared" si="12"/>
        <v>NG</v>
      </c>
      <c r="AJ41" s="59"/>
      <c r="AK41" s="172"/>
      <c r="AL41" s="223" t="str">
        <f t="shared" si="20"/>
        <v xml:space="preserve">光コラボ　マンション                                                                                                                                                                                                                                           </v>
      </c>
      <c r="AM41" s="213" t="str">
        <f t="shared" si="2"/>
        <v>-</v>
      </c>
      <c r="AN41" s="172" t="s">
        <v>538</v>
      </c>
      <c r="AO41" s="405" t="str">
        <f t="shared" si="34"/>
        <v>NG</v>
      </c>
      <c r="AP41" s="59"/>
      <c r="AQ41" s="172"/>
      <c r="AR41" s="223" t="str">
        <f t="shared" si="21"/>
        <v xml:space="preserve">ひかりゆいまーる　ホーム                                                                                                                                                                                                                                       </v>
      </c>
      <c r="AS41" s="213" t="str">
        <f t="shared" si="4"/>
        <v>NG</v>
      </c>
      <c r="AT41" s="172" t="s">
        <v>378</v>
      </c>
      <c r="AU41" s="405" t="str">
        <f t="shared" si="35"/>
        <v>-</v>
      </c>
      <c r="AV41" s="59"/>
      <c r="AW41" s="172"/>
      <c r="AX41" s="223" t="str">
        <f t="shared" si="22"/>
        <v xml:space="preserve">ひかりゆいまーる　マンション                                                                                                                                                                                                                                   </v>
      </c>
      <c r="AY41" s="213" t="str">
        <f t="shared" si="6"/>
        <v>-</v>
      </c>
      <c r="AZ41" s="172" t="s">
        <v>379</v>
      </c>
      <c r="BA41" s="405" t="str">
        <f t="shared" si="36"/>
        <v>NG</v>
      </c>
      <c r="BB41" s="59"/>
      <c r="BC41" s="172"/>
      <c r="BD41" s="223" t="str">
        <f t="shared" si="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1" s="213" t="str">
        <f t="shared" si="8"/>
        <v>-</v>
      </c>
      <c r="BF41" s="172"/>
      <c r="BG41" s="225" t="s">
        <v>568</v>
      </c>
      <c r="BH41" s="59"/>
      <c r="BI41" s="172"/>
      <c r="BJ41" s="223" t="str">
        <f t="shared" si="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1" s="213" t="s">
        <v>215</v>
      </c>
      <c r="BL41" s="172"/>
      <c r="BM41" s="225" t="s">
        <v>215</v>
      </c>
    </row>
    <row r="42" spans="2:65" s="26" customFormat="1">
      <c r="B42" s="19">
        <f t="shared" si="25"/>
        <v>35</v>
      </c>
      <c r="C42" s="7"/>
      <c r="D42" s="7"/>
      <c r="E42" s="7"/>
      <c r="F42" s="3" t="s">
        <v>124</v>
      </c>
      <c r="G42" s="3"/>
      <c r="H42" s="4"/>
      <c r="I42" s="6"/>
      <c r="J42" s="6"/>
      <c r="K42" s="6"/>
      <c r="L42" s="6"/>
      <c r="M42" s="23" t="s">
        <v>125</v>
      </c>
      <c r="N42" s="5"/>
      <c r="O42" s="54"/>
      <c r="P42" s="93">
        <f t="shared" si="38"/>
        <v>18</v>
      </c>
      <c r="Q42" s="114">
        <v>256</v>
      </c>
      <c r="R42" s="21" t="str">
        <f t="shared" si="37"/>
        <v>NX</v>
      </c>
      <c r="S42" s="96" t="s">
        <v>126</v>
      </c>
      <c r="T42" s="94"/>
      <c r="U42" s="21" t="s">
        <v>226</v>
      </c>
      <c r="V42" s="10"/>
      <c r="W42" s="28">
        <v>3</v>
      </c>
      <c r="X42" s="5" t="s">
        <v>251</v>
      </c>
      <c r="Y42" s="5">
        <v>1</v>
      </c>
      <c r="Z42" s="5">
        <v>256</v>
      </c>
      <c r="AA42" s="6" t="s">
        <v>252</v>
      </c>
      <c r="AB42" s="6" t="s">
        <v>226</v>
      </c>
      <c r="AC42" s="63"/>
      <c r="AD42" s="59"/>
      <c r="AE42" s="167"/>
      <c r="AF42" s="60" t="str">
        <f t="shared" si="1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2" s="213" t="str">
        <f t="shared" si="1"/>
        <v>-</v>
      </c>
      <c r="AH42" s="167"/>
      <c r="AI42" s="405" t="str">
        <f t="shared" si="12"/>
        <v>OK</v>
      </c>
      <c r="AJ42" s="59"/>
      <c r="AK42" s="167"/>
      <c r="AL42" s="60" t="str">
        <f t="shared" si="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2" s="213" t="str">
        <f t="shared" si="2"/>
        <v>-</v>
      </c>
      <c r="AN42" s="167"/>
      <c r="AO42" s="405" t="str">
        <f t="shared" si="34"/>
        <v>OK</v>
      </c>
      <c r="AP42" s="59"/>
      <c r="AQ42" s="167"/>
      <c r="AR42" s="60" t="str">
        <f t="shared" si="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2" s="213" t="str">
        <f t="shared" si="4"/>
        <v>NG</v>
      </c>
      <c r="AT42" s="167"/>
      <c r="AU42" s="405" t="str">
        <f t="shared" si="35"/>
        <v>-</v>
      </c>
      <c r="AV42" s="59"/>
      <c r="AW42" s="167"/>
      <c r="AX42" s="60" t="str">
        <f t="shared" si="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2" s="213" t="str">
        <f t="shared" si="6"/>
        <v>-</v>
      </c>
      <c r="AZ42" s="167"/>
      <c r="BA42" s="405" t="str">
        <f t="shared" si="36"/>
        <v>OK</v>
      </c>
      <c r="BB42" s="59"/>
      <c r="BC42" s="167"/>
      <c r="BD42" s="60" t="str">
        <f t="shared" si="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2" s="213" t="str">
        <f t="shared" si="8"/>
        <v>-</v>
      </c>
      <c r="BF42" s="167"/>
      <c r="BG42" s="225" t="s">
        <v>568</v>
      </c>
      <c r="BH42" s="59"/>
      <c r="BI42" s="167"/>
      <c r="BJ42" s="60" t="str">
        <f t="shared" si="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2" s="213" t="s">
        <v>215</v>
      </c>
      <c r="BL42" s="167"/>
      <c r="BM42" s="225" t="s">
        <v>215</v>
      </c>
    </row>
    <row r="43" spans="2:65" s="26" customFormat="1" ht="63.75">
      <c r="B43" s="2">
        <f t="shared" si="25"/>
        <v>36</v>
      </c>
      <c r="C43" s="7"/>
      <c r="D43" s="7"/>
      <c r="E43" s="7"/>
      <c r="F43" s="22" t="s">
        <v>127</v>
      </c>
      <c r="G43" s="16"/>
      <c r="H43" s="13"/>
      <c r="I43" s="8"/>
      <c r="J43" s="8"/>
      <c r="K43" s="8"/>
      <c r="L43" s="8"/>
      <c r="M43" s="11" t="s">
        <v>311</v>
      </c>
      <c r="N43" s="1"/>
      <c r="O43" s="56"/>
      <c r="P43" s="93">
        <f t="shared" si="38"/>
        <v>19</v>
      </c>
      <c r="Q43" s="113">
        <v>256</v>
      </c>
      <c r="R43" s="21" t="str">
        <f t="shared" si="37"/>
        <v>NX</v>
      </c>
      <c r="S43" s="96" t="s">
        <v>128</v>
      </c>
      <c r="T43" s="94"/>
      <c r="U43" s="21" t="s">
        <v>226</v>
      </c>
      <c r="V43" s="10"/>
      <c r="W43" s="25">
        <v>3</v>
      </c>
      <c r="X43" s="1" t="s">
        <v>129</v>
      </c>
      <c r="Y43" s="1">
        <v>1</v>
      </c>
      <c r="Z43" s="1">
        <v>256</v>
      </c>
      <c r="AA43" s="8" t="s">
        <v>123</v>
      </c>
      <c r="AB43" s="8" t="s">
        <v>226</v>
      </c>
      <c r="AC43" s="12"/>
      <c r="AD43" s="59"/>
      <c r="AE43" s="172"/>
      <c r="AF43" s="254" t="str">
        <f t="shared" si="1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3" s="213" t="str">
        <f t="shared" si="1"/>
        <v>-</v>
      </c>
      <c r="AH43" s="172"/>
      <c r="AI43" s="405" t="str">
        <f t="shared" si="12"/>
        <v>OK</v>
      </c>
      <c r="AJ43" s="59"/>
      <c r="AK43" s="172"/>
      <c r="AL43" s="254" t="str">
        <f t="shared" si="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3" s="213" t="str">
        <f t="shared" si="2"/>
        <v>-</v>
      </c>
      <c r="AN43" s="172"/>
      <c r="AO43" s="405" t="str">
        <f t="shared" si="34"/>
        <v>OK</v>
      </c>
      <c r="AP43" s="59"/>
      <c r="AQ43" s="172"/>
      <c r="AR43" s="254" t="str">
        <f t="shared" si="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3" s="213" t="str">
        <f t="shared" si="4"/>
        <v>NG</v>
      </c>
      <c r="AT43" s="172"/>
      <c r="AU43" s="405" t="str">
        <f t="shared" si="35"/>
        <v>-</v>
      </c>
      <c r="AV43" s="59"/>
      <c r="AW43" s="172"/>
      <c r="AX43" s="254" t="str">
        <f t="shared" si="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3" s="213" t="str">
        <f t="shared" si="6"/>
        <v>-</v>
      </c>
      <c r="AZ43" s="172"/>
      <c r="BA43" s="405" t="str">
        <f t="shared" si="36"/>
        <v>OK</v>
      </c>
      <c r="BB43" s="59"/>
      <c r="BC43" s="172"/>
      <c r="BD43" s="254" t="str">
        <f t="shared" si="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3" s="213" t="str">
        <f t="shared" si="8"/>
        <v>-</v>
      </c>
      <c r="BF43" s="172"/>
      <c r="BG43" s="225" t="s">
        <v>568</v>
      </c>
      <c r="BH43" s="59"/>
      <c r="BI43" s="172"/>
      <c r="BJ43" s="254" t="str">
        <f t="shared" si="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3" s="213" t="s">
        <v>215</v>
      </c>
      <c r="BL43" s="172"/>
      <c r="BM43" s="225" t="s">
        <v>215</v>
      </c>
    </row>
    <row r="44" spans="2:65" s="26" customFormat="1" ht="63.75">
      <c r="B44" s="2">
        <f t="shared" si="25"/>
        <v>37</v>
      </c>
      <c r="C44" s="7"/>
      <c r="D44" s="7"/>
      <c r="E44" s="7"/>
      <c r="F44" s="22" t="s">
        <v>130</v>
      </c>
      <c r="G44" s="16"/>
      <c r="H44" s="13"/>
      <c r="I44" s="8"/>
      <c r="J44" s="8"/>
      <c r="K44" s="8"/>
      <c r="L44" s="8"/>
      <c r="M44" s="11" t="s">
        <v>312</v>
      </c>
      <c r="N44" s="1"/>
      <c r="O44" s="56"/>
      <c r="P44" s="93">
        <f t="shared" si="38"/>
        <v>20</v>
      </c>
      <c r="Q44" s="113">
        <v>256</v>
      </c>
      <c r="R44" s="21" t="str">
        <f t="shared" si="37"/>
        <v>NX</v>
      </c>
      <c r="S44" s="96" t="s">
        <v>131</v>
      </c>
      <c r="T44" s="94"/>
      <c r="U44" s="21" t="s">
        <v>226</v>
      </c>
      <c r="V44" s="10"/>
      <c r="W44" s="25">
        <v>3</v>
      </c>
      <c r="X44" s="1" t="s">
        <v>132</v>
      </c>
      <c r="Y44" s="1">
        <v>1</v>
      </c>
      <c r="Z44" s="1">
        <v>256</v>
      </c>
      <c r="AA44" s="8" t="s">
        <v>123</v>
      </c>
      <c r="AB44" s="8" t="s">
        <v>226</v>
      </c>
      <c r="AC44" s="12"/>
      <c r="AD44" s="59"/>
      <c r="AE44" s="172"/>
      <c r="AF44" s="254" t="str">
        <f t="shared" si="1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4" s="213" t="str">
        <f t="shared" si="1"/>
        <v>-</v>
      </c>
      <c r="AH44" s="172"/>
      <c r="AI44" s="405" t="str">
        <f t="shared" si="12"/>
        <v>OK</v>
      </c>
      <c r="AJ44" s="59"/>
      <c r="AK44" s="172"/>
      <c r="AL44" s="254" t="str">
        <f t="shared" si="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4" s="213" t="str">
        <f t="shared" si="2"/>
        <v>-</v>
      </c>
      <c r="AN44" s="172"/>
      <c r="AO44" s="405" t="str">
        <f t="shared" si="34"/>
        <v>OK</v>
      </c>
      <c r="AP44" s="59"/>
      <c r="AQ44" s="172"/>
      <c r="AR44" s="254" t="str">
        <f t="shared" si="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4" s="213" t="str">
        <f t="shared" si="4"/>
        <v>NG</v>
      </c>
      <c r="AT44" s="172"/>
      <c r="AU44" s="405" t="str">
        <f t="shared" si="35"/>
        <v>-</v>
      </c>
      <c r="AV44" s="59"/>
      <c r="AW44" s="172"/>
      <c r="AX44" s="254" t="str">
        <f t="shared" si="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4" s="213" t="str">
        <f t="shared" si="6"/>
        <v>-</v>
      </c>
      <c r="AZ44" s="172"/>
      <c r="BA44" s="405" t="str">
        <f t="shared" si="36"/>
        <v>OK</v>
      </c>
      <c r="BB44" s="59"/>
      <c r="BC44" s="172"/>
      <c r="BD44" s="254" t="str">
        <f t="shared" si="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4" s="213" t="str">
        <f t="shared" si="8"/>
        <v>-</v>
      </c>
      <c r="BF44" s="172"/>
      <c r="BG44" s="225" t="s">
        <v>568</v>
      </c>
      <c r="BH44" s="59"/>
      <c r="BI44" s="172"/>
      <c r="BJ44" s="254" t="str">
        <f t="shared" si="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4" s="213" t="s">
        <v>215</v>
      </c>
      <c r="BL44" s="172"/>
      <c r="BM44" s="225" t="s">
        <v>215</v>
      </c>
    </row>
    <row r="45" spans="2:65" s="26" customFormat="1" ht="69" customHeight="1">
      <c r="B45" s="19">
        <f t="shared" si="25"/>
        <v>38</v>
      </c>
      <c r="C45" s="7"/>
      <c r="D45" s="7"/>
      <c r="E45" s="7"/>
      <c r="F45" s="110" t="s">
        <v>313</v>
      </c>
      <c r="G45" s="16"/>
      <c r="H45" s="13"/>
      <c r="I45" s="8"/>
      <c r="J45" s="8" t="s">
        <v>231</v>
      </c>
      <c r="K45" s="8"/>
      <c r="L45" s="8"/>
      <c r="M45" s="11" t="s">
        <v>253</v>
      </c>
      <c r="N45" s="1"/>
      <c r="O45" s="56"/>
      <c r="P45" s="93">
        <f t="shared" si="38"/>
        <v>21</v>
      </c>
      <c r="Q45" s="113">
        <v>1</v>
      </c>
      <c r="R45" s="21" t="s">
        <v>229</v>
      </c>
      <c r="S45" s="96" t="s">
        <v>133</v>
      </c>
      <c r="T45" s="94"/>
      <c r="U45" s="21" t="s">
        <v>226</v>
      </c>
      <c r="V45" s="10"/>
      <c r="W45" s="25">
        <v>3</v>
      </c>
      <c r="X45" s="1" t="s">
        <v>134</v>
      </c>
      <c r="Y45" s="1">
        <v>1</v>
      </c>
      <c r="Z45" s="1">
        <v>1</v>
      </c>
      <c r="AA45" s="8">
        <v>9</v>
      </c>
      <c r="AB45" s="8" t="s">
        <v>19</v>
      </c>
      <c r="AC45" s="12"/>
      <c r="AD45" s="59"/>
      <c r="AE45" s="172"/>
      <c r="AF45" s="60" t="str">
        <f t="shared" si="19"/>
        <v>1</v>
      </c>
      <c r="AG45" s="213" t="str">
        <f t="shared" si="1"/>
        <v>-</v>
      </c>
      <c r="AH45" s="172">
        <v>1</v>
      </c>
      <c r="AI45" s="405" t="str">
        <f t="shared" si="12"/>
        <v>NG</v>
      </c>
      <c r="AJ45" s="59"/>
      <c r="AK45" s="172"/>
      <c r="AL45" s="60" t="str">
        <f t="shared" si="20"/>
        <v>2</v>
      </c>
      <c r="AM45" s="213" t="str">
        <f t="shared" si="2"/>
        <v>-</v>
      </c>
      <c r="AN45" s="172">
        <v>2</v>
      </c>
      <c r="AO45" s="405" t="str">
        <f t="shared" si="34"/>
        <v>NG</v>
      </c>
      <c r="AP45" s="59"/>
      <c r="AQ45" s="172"/>
      <c r="AR45" s="60" t="str">
        <f t="shared" si="21"/>
        <v>3</v>
      </c>
      <c r="AS45" s="213" t="str">
        <f t="shared" si="4"/>
        <v>NG</v>
      </c>
      <c r="AT45" s="172">
        <v>3</v>
      </c>
      <c r="AU45" s="405" t="str">
        <f t="shared" si="35"/>
        <v>-</v>
      </c>
      <c r="AV45" s="59"/>
      <c r="AW45" s="172"/>
      <c r="AX45" s="60" t="str">
        <f t="shared" si="22"/>
        <v>1</v>
      </c>
      <c r="AY45" s="213" t="str">
        <f t="shared" si="6"/>
        <v>-</v>
      </c>
      <c r="AZ45" s="172">
        <v>1</v>
      </c>
      <c r="BA45" s="405" t="str">
        <f t="shared" si="36"/>
        <v>NG</v>
      </c>
      <c r="BB45" s="59"/>
      <c r="BC45" s="172"/>
      <c r="BD45" s="60" t="str">
        <f t="shared" si="23"/>
        <v xml:space="preserve"> </v>
      </c>
      <c r="BE45" s="213" t="str">
        <f t="shared" si="8"/>
        <v>-</v>
      </c>
      <c r="BF45" s="172"/>
      <c r="BG45" s="225" t="s">
        <v>568</v>
      </c>
      <c r="BH45" s="59"/>
      <c r="BI45" s="172"/>
      <c r="BJ45" s="60" t="str">
        <f t="shared" si="24"/>
        <v xml:space="preserve"> </v>
      </c>
      <c r="BK45" s="213" t="s">
        <v>215</v>
      </c>
      <c r="BL45" s="172"/>
      <c r="BM45" s="225" t="s">
        <v>215</v>
      </c>
    </row>
    <row r="46" spans="2:65" s="26" customFormat="1" ht="114.75">
      <c r="B46" s="2">
        <f t="shared" si="25"/>
        <v>39</v>
      </c>
      <c r="C46" s="7"/>
      <c r="D46" s="7"/>
      <c r="E46" s="7"/>
      <c r="F46" s="22" t="s">
        <v>135</v>
      </c>
      <c r="G46" s="16"/>
      <c r="H46" s="13"/>
      <c r="I46" s="8"/>
      <c r="J46" s="8"/>
      <c r="K46" s="8"/>
      <c r="L46" s="8"/>
      <c r="M46" s="359" t="s">
        <v>206</v>
      </c>
      <c r="N46" s="1"/>
      <c r="O46" s="56"/>
      <c r="P46" s="93">
        <f t="shared" si="38"/>
        <v>22</v>
      </c>
      <c r="Q46" s="113">
        <v>1</v>
      </c>
      <c r="R46" s="21" t="s">
        <v>229</v>
      </c>
      <c r="S46" s="96" t="s">
        <v>136</v>
      </c>
      <c r="T46" s="94"/>
      <c r="U46" s="21" t="s">
        <v>226</v>
      </c>
      <c r="V46" s="10"/>
      <c r="W46" s="25">
        <v>3</v>
      </c>
      <c r="X46" s="1" t="s">
        <v>18</v>
      </c>
      <c r="Y46" s="1">
        <v>1</v>
      </c>
      <c r="Z46" s="1">
        <v>1</v>
      </c>
      <c r="AA46" s="8">
        <v>9</v>
      </c>
      <c r="AB46" s="8" t="s">
        <v>19</v>
      </c>
      <c r="AC46" s="101"/>
      <c r="AD46" s="59"/>
      <c r="AE46" s="172"/>
      <c r="AF46" s="60" t="str">
        <f t="shared" si="19"/>
        <v xml:space="preserve"> </v>
      </c>
      <c r="AG46" s="213" t="str">
        <f t="shared" si="1"/>
        <v>-</v>
      </c>
      <c r="AH46" s="172"/>
      <c r="AI46" s="405" t="str">
        <f t="shared" si="12"/>
        <v>OK</v>
      </c>
      <c r="AJ46" s="59"/>
      <c r="AK46" s="172"/>
      <c r="AL46" s="60" t="str">
        <f t="shared" si="20"/>
        <v xml:space="preserve"> </v>
      </c>
      <c r="AM46" s="213" t="str">
        <f t="shared" si="2"/>
        <v>-</v>
      </c>
      <c r="AN46" s="172"/>
      <c r="AO46" s="405" t="str">
        <f t="shared" si="34"/>
        <v>OK</v>
      </c>
      <c r="AP46" s="59"/>
      <c r="AQ46" s="172"/>
      <c r="AR46" s="60" t="str">
        <f t="shared" si="21"/>
        <v xml:space="preserve"> </v>
      </c>
      <c r="AS46" s="213" t="str">
        <f t="shared" si="4"/>
        <v>NG</v>
      </c>
      <c r="AT46" s="172"/>
      <c r="AU46" s="405" t="str">
        <f t="shared" si="35"/>
        <v>-</v>
      </c>
      <c r="AV46" s="59"/>
      <c r="AW46" s="172"/>
      <c r="AX46" s="60" t="str">
        <f t="shared" si="22"/>
        <v xml:space="preserve"> </v>
      </c>
      <c r="AY46" s="213" t="str">
        <f t="shared" si="6"/>
        <v>-</v>
      </c>
      <c r="AZ46" s="172"/>
      <c r="BA46" s="405" t="str">
        <f t="shared" si="36"/>
        <v>OK</v>
      </c>
      <c r="BB46" s="59"/>
      <c r="BC46" s="172"/>
      <c r="BD46" s="60" t="str">
        <f t="shared" si="23"/>
        <v xml:space="preserve"> </v>
      </c>
      <c r="BE46" s="213" t="str">
        <f t="shared" si="8"/>
        <v>-</v>
      </c>
      <c r="BF46" s="172"/>
      <c r="BG46" s="225" t="s">
        <v>568</v>
      </c>
      <c r="BH46" s="59"/>
      <c r="BI46" s="172"/>
      <c r="BJ46" s="60" t="str">
        <f t="shared" si="24"/>
        <v xml:space="preserve"> </v>
      </c>
      <c r="BK46" s="213" t="s">
        <v>215</v>
      </c>
      <c r="BL46" s="172"/>
      <c r="BM46" s="225" t="s">
        <v>215</v>
      </c>
    </row>
    <row r="47" spans="2:65" s="26" customFormat="1" ht="129" customHeight="1">
      <c r="B47" s="64">
        <f t="shared" si="25"/>
        <v>40</v>
      </c>
      <c r="C47" s="7"/>
      <c r="D47" s="7"/>
      <c r="E47" s="7"/>
      <c r="F47" s="110" t="s">
        <v>137</v>
      </c>
      <c r="G47" s="16"/>
      <c r="H47" s="13"/>
      <c r="I47" s="8"/>
      <c r="J47" s="8"/>
      <c r="K47" s="8"/>
      <c r="L47" s="8"/>
      <c r="M47" s="11" t="s">
        <v>479</v>
      </c>
      <c r="N47" s="1"/>
      <c r="O47" s="56"/>
      <c r="P47" s="93">
        <f t="shared" si="38"/>
        <v>23</v>
      </c>
      <c r="Q47" s="113">
        <v>1</v>
      </c>
      <c r="R47" s="21" t="str">
        <f t="shared" si="37"/>
        <v>X</v>
      </c>
      <c r="S47" s="96" t="s">
        <v>183</v>
      </c>
      <c r="T47" s="94"/>
      <c r="U47" s="21" t="s">
        <v>226</v>
      </c>
      <c r="V47" s="10"/>
      <c r="W47" s="25">
        <v>3</v>
      </c>
      <c r="X47" s="1" t="s">
        <v>254</v>
      </c>
      <c r="Y47" s="1">
        <v>1</v>
      </c>
      <c r="Z47" s="1">
        <v>1</v>
      </c>
      <c r="AA47" s="8" t="s">
        <v>229</v>
      </c>
      <c r="AB47" s="8" t="s">
        <v>226</v>
      </c>
      <c r="AC47" s="12"/>
      <c r="AD47" s="59"/>
      <c r="AE47" s="172"/>
      <c r="AF47" s="60" t="str">
        <f t="shared" si="19"/>
        <v>5</v>
      </c>
      <c r="AG47" s="213" t="str">
        <f t="shared" si="1"/>
        <v>-</v>
      </c>
      <c r="AH47" s="172">
        <v>5</v>
      </c>
      <c r="AI47" s="405" t="str">
        <f t="shared" si="12"/>
        <v>NG</v>
      </c>
      <c r="AJ47" s="59"/>
      <c r="AK47" s="172"/>
      <c r="AL47" s="60" t="str">
        <f t="shared" si="20"/>
        <v>0</v>
      </c>
      <c r="AM47" s="213" t="str">
        <f t="shared" si="2"/>
        <v>-</v>
      </c>
      <c r="AN47" s="172">
        <v>0</v>
      </c>
      <c r="AO47" s="405" t="str">
        <f t="shared" si="34"/>
        <v>OK</v>
      </c>
      <c r="AP47" s="59"/>
      <c r="AQ47" s="172"/>
      <c r="AR47" s="60" t="str">
        <f t="shared" si="21"/>
        <v>0</v>
      </c>
      <c r="AS47" s="213" t="str">
        <f t="shared" si="4"/>
        <v>NG</v>
      </c>
      <c r="AT47" s="172">
        <v>0</v>
      </c>
      <c r="AU47" s="405" t="str">
        <f t="shared" si="35"/>
        <v>-</v>
      </c>
      <c r="AV47" s="59"/>
      <c r="AW47" s="172"/>
      <c r="AX47" s="60" t="str">
        <f t="shared" si="22"/>
        <v>2</v>
      </c>
      <c r="AY47" s="213" t="str">
        <f t="shared" si="6"/>
        <v>-</v>
      </c>
      <c r="AZ47" s="172">
        <v>2</v>
      </c>
      <c r="BA47" s="405" t="str">
        <f t="shared" si="36"/>
        <v>NG</v>
      </c>
      <c r="BB47" s="59"/>
      <c r="BC47" s="172"/>
      <c r="BD47" s="60" t="str">
        <f t="shared" si="23"/>
        <v xml:space="preserve"> </v>
      </c>
      <c r="BE47" s="213" t="str">
        <f t="shared" si="8"/>
        <v>-</v>
      </c>
      <c r="BF47" s="172"/>
      <c r="BG47" s="225" t="s">
        <v>568</v>
      </c>
      <c r="BH47" s="59"/>
      <c r="BI47" s="172"/>
      <c r="BJ47" s="60" t="str">
        <f t="shared" si="24"/>
        <v xml:space="preserve"> </v>
      </c>
      <c r="BK47" s="213" t="s">
        <v>215</v>
      </c>
      <c r="BL47" s="172"/>
      <c r="BM47" s="225" t="s">
        <v>215</v>
      </c>
    </row>
    <row r="48" spans="2:65" s="26" customFormat="1">
      <c r="B48" s="64">
        <f t="shared" si="25"/>
        <v>41</v>
      </c>
      <c r="C48" s="7"/>
      <c r="D48" s="7"/>
      <c r="E48" s="7"/>
      <c r="F48" s="22" t="s">
        <v>138</v>
      </c>
      <c r="G48" s="16"/>
      <c r="H48" s="13"/>
      <c r="I48" s="8"/>
      <c r="J48" s="8"/>
      <c r="K48" s="8"/>
      <c r="L48" s="8"/>
      <c r="M48" s="359" t="s">
        <v>139</v>
      </c>
      <c r="N48" s="1"/>
      <c r="O48" s="56"/>
      <c r="P48" s="93">
        <f t="shared" si="38"/>
        <v>24</v>
      </c>
      <c r="Q48" s="113">
        <v>400</v>
      </c>
      <c r="R48" s="21" t="str">
        <f t="shared" si="37"/>
        <v>NX</v>
      </c>
      <c r="S48" s="96" t="s">
        <v>140</v>
      </c>
      <c r="T48" s="94"/>
      <c r="U48" s="21" t="s">
        <v>226</v>
      </c>
      <c r="V48" s="10"/>
      <c r="W48" s="25">
        <v>3</v>
      </c>
      <c r="X48" s="1" t="s">
        <v>141</v>
      </c>
      <c r="Y48" s="1">
        <v>1</v>
      </c>
      <c r="Z48" s="1">
        <v>400</v>
      </c>
      <c r="AA48" s="8" t="s">
        <v>123</v>
      </c>
      <c r="AB48" s="8" t="s">
        <v>226</v>
      </c>
      <c r="AC48" s="12"/>
      <c r="AD48" s="59"/>
      <c r="AE48" s="172"/>
      <c r="AF48" s="252" t="str">
        <f t="shared" si="19"/>
        <v xml:space="preserve">申込受付中。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8" s="213" t="str">
        <f t="shared" si="1"/>
        <v>-</v>
      </c>
      <c r="AH48" s="172" t="s">
        <v>528</v>
      </c>
      <c r="AI48" s="405" t="str">
        <f t="shared" si="12"/>
        <v>NG</v>
      </c>
      <c r="AJ48" s="59"/>
      <c r="AK48" s="172"/>
      <c r="AL48" s="252" t="str">
        <f t="shared" si="20"/>
        <v xml:space="preserve">予約受付中。\※2017年12月頃より開通手続きを受付順に開始します。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8" s="213" t="str">
        <f t="shared" si="2"/>
        <v>-</v>
      </c>
      <c r="AN48" s="172" t="s">
        <v>539</v>
      </c>
      <c r="AO48" s="405" t="str">
        <f t="shared" si="34"/>
        <v>NG</v>
      </c>
      <c r="AP48" s="59"/>
      <c r="AQ48" s="172"/>
      <c r="AR48" s="252" t="str">
        <f t="shared" si="21"/>
        <v xml:space="preserve">現在提供しておりません。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8" s="213" t="str">
        <f t="shared" si="4"/>
        <v>NG</v>
      </c>
      <c r="AT48" s="172" t="s">
        <v>559</v>
      </c>
      <c r="AU48" s="405" t="str">
        <f t="shared" si="35"/>
        <v>-</v>
      </c>
      <c r="AV48" s="59"/>
      <c r="AW48" s="172"/>
      <c r="AX48" s="252" t="str">
        <f t="shared" si="22"/>
        <v xml:space="preserve">申込受付中。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8" s="213" t="str">
        <f t="shared" si="6"/>
        <v>-</v>
      </c>
      <c r="AZ48" s="172" t="s">
        <v>528</v>
      </c>
      <c r="BA48" s="405" t="str">
        <f t="shared" si="36"/>
        <v>NG</v>
      </c>
      <c r="BB48" s="59"/>
      <c r="BC48" s="172"/>
      <c r="BD48" s="252" t="str">
        <f t="shared" si="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8" s="213" t="str">
        <f t="shared" si="8"/>
        <v>-</v>
      </c>
      <c r="BF48" s="172"/>
      <c r="BG48" s="225" t="s">
        <v>568</v>
      </c>
      <c r="BH48" s="59"/>
      <c r="BI48" s="172"/>
      <c r="BJ48" s="252" t="str">
        <f t="shared" si="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8" s="213" t="s">
        <v>215</v>
      </c>
      <c r="BL48" s="172"/>
      <c r="BM48" s="225" t="s">
        <v>215</v>
      </c>
    </row>
    <row r="49" spans="2:65" s="26" customFormat="1" ht="63.75">
      <c r="B49" s="64">
        <f t="shared" si="25"/>
        <v>42</v>
      </c>
      <c r="C49" s="7"/>
      <c r="D49" s="7"/>
      <c r="E49" s="7"/>
      <c r="F49" s="22" t="s">
        <v>142</v>
      </c>
      <c r="G49" s="16"/>
      <c r="H49" s="13"/>
      <c r="I49" s="8"/>
      <c r="J49" s="8"/>
      <c r="K49" s="8"/>
      <c r="L49" s="8"/>
      <c r="M49" s="359" t="s">
        <v>314</v>
      </c>
      <c r="N49" s="1"/>
      <c r="O49" s="56"/>
      <c r="P49" s="93">
        <f t="shared" si="38"/>
        <v>25</v>
      </c>
      <c r="Q49" s="113">
        <v>400</v>
      </c>
      <c r="R49" s="21" t="str">
        <f t="shared" si="37"/>
        <v>NX</v>
      </c>
      <c r="S49" s="96" t="s">
        <v>143</v>
      </c>
      <c r="T49" s="94"/>
      <c r="U49" s="21" t="s">
        <v>226</v>
      </c>
      <c r="V49" s="10"/>
      <c r="W49" s="25">
        <v>3</v>
      </c>
      <c r="X49" s="1" t="s">
        <v>144</v>
      </c>
      <c r="Y49" s="1">
        <v>1</v>
      </c>
      <c r="Z49" s="1">
        <v>400</v>
      </c>
      <c r="AA49" s="8" t="s">
        <v>123</v>
      </c>
      <c r="AB49" s="8" t="s">
        <v>226</v>
      </c>
      <c r="AC49" s="12"/>
      <c r="AD49" s="59"/>
      <c r="AE49" s="172"/>
      <c r="AF49" s="90" t="str">
        <f t="shared" si="1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9" s="213" t="str">
        <f t="shared" si="1"/>
        <v>-</v>
      </c>
      <c r="AH49" s="172"/>
      <c r="AI49" s="405" t="str">
        <f t="shared" si="12"/>
        <v>OK</v>
      </c>
      <c r="AJ49" s="59"/>
      <c r="AK49" s="172"/>
      <c r="AL49" s="90" t="str">
        <f t="shared" si="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9" s="213" t="str">
        <f t="shared" si="2"/>
        <v>-</v>
      </c>
      <c r="AN49" s="172"/>
      <c r="AO49" s="405" t="str">
        <f t="shared" si="34"/>
        <v>OK</v>
      </c>
      <c r="AP49" s="59"/>
      <c r="AQ49" s="172"/>
      <c r="AR49" s="90" t="str">
        <f t="shared" si="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9" s="213" t="str">
        <f t="shared" si="4"/>
        <v>NG</v>
      </c>
      <c r="AT49" s="172"/>
      <c r="AU49" s="405" t="str">
        <f t="shared" si="35"/>
        <v>-</v>
      </c>
      <c r="AV49" s="59"/>
      <c r="AW49" s="172"/>
      <c r="AX49" s="90" t="str">
        <f t="shared" si="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9" s="213" t="str">
        <f t="shared" si="6"/>
        <v>-</v>
      </c>
      <c r="AZ49" s="172"/>
      <c r="BA49" s="405" t="str">
        <f t="shared" si="36"/>
        <v>OK</v>
      </c>
      <c r="BB49" s="59"/>
      <c r="BC49" s="172"/>
      <c r="BD49" s="90" t="str">
        <f t="shared" si="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9" s="213" t="str">
        <f t="shared" si="8"/>
        <v>-</v>
      </c>
      <c r="BF49" s="172"/>
      <c r="BG49" s="225" t="s">
        <v>568</v>
      </c>
      <c r="BH49" s="59"/>
      <c r="BI49" s="172"/>
      <c r="BJ49" s="90" t="str">
        <f t="shared" si="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9" s="213" t="s">
        <v>215</v>
      </c>
      <c r="BL49" s="172"/>
      <c r="BM49" s="225" t="s">
        <v>215</v>
      </c>
    </row>
    <row r="50" spans="2:65" s="26" customFormat="1">
      <c r="B50" s="64">
        <f t="shared" si="25"/>
        <v>43</v>
      </c>
      <c r="C50" s="7"/>
      <c r="D50" s="7"/>
      <c r="E50" s="7"/>
      <c r="F50" s="22" t="s">
        <v>145</v>
      </c>
      <c r="G50" s="16"/>
      <c r="H50" s="13"/>
      <c r="I50" s="8"/>
      <c r="J50" s="8"/>
      <c r="K50" s="8"/>
      <c r="L50" s="8"/>
      <c r="M50" s="11" t="s">
        <v>146</v>
      </c>
      <c r="N50" s="1"/>
      <c r="O50" s="56"/>
      <c r="P50" s="93">
        <f t="shared" si="38"/>
        <v>26</v>
      </c>
      <c r="Q50" s="113">
        <v>400</v>
      </c>
      <c r="R50" s="21" t="str">
        <f t="shared" si="37"/>
        <v>NX</v>
      </c>
      <c r="S50" s="96" t="s">
        <v>147</v>
      </c>
      <c r="T50" s="94"/>
      <c r="U50" s="21" t="s">
        <v>226</v>
      </c>
      <c r="V50" s="10"/>
      <c r="W50" s="25">
        <v>3</v>
      </c>
      <c r="X50" s="1" t="s">
        <v>148</v>
      </c>
      <c r="Y50" s="1">
        <v>1</v>
      </c>
      <c r="Z50" s="1">
        <v>400</v>
      </c>
      <c r="AA50" s="8" t="s">
        <v>123</v>
      </c>
      <c r="AB50" s="8" t="s">
        <v>226</v>
      </c>
      <c r="AC50" s="12"/>
      <c r="AD50" s="59"/>
      <c r="AE50" s="167"/>
      <c r="AF50" s="90" t="str">
        <f t="shared" si="1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50" s="213" t="str">
        <f t="shared" si="1"/>
        <v>-</v>
      </c>
      <c r="AH50" s="167"/>
      <c r="AI50" s="405" t="str">
        <f t="shared" si="12"/>
        <v>OK</v>
      </c>
      <c r="AJ50" s="59"/>
      <c r="AK50" s="167"/>
      <c r="AL50" s="90" t="str">
        <f t="shared" si="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50" s="213" t="str">
        <f t="shared" si="2"/>
        <v>-</v>
      </c>
      <c r="AN50" s="167"/>
      <c r="AO50" s="405" t="str">
        <f t="shared" si="34"/>
        <v>OK</v>
      </c>
      <c r="AP50" s="59"/>
      <c r="AQ50" s="167"/>
      <c r="AR50" s="90" t="str">
        <f t="shared" si="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50" s="213" t="str">
        <f t="shared" si="4"/>
        <v>NG</v>
      </c>
      <c r="AT50" s="167"/>
      <c r="AU50" s="405" t="str">
        <f t="shared" si="35"/>
        <v>-</v>
      </c>
      <c r="AV50" s="59"/>
      <c r="AW50" s="167"/>
      <c r="AX50" s="90" t="str">
        <f t="shared" si="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50" s="213" t="str">
        <f t="shared" si="6"/>
        <v>-</v>
      </c>
      <c r="AZ50" s="167"/>
      <c r="BA50" s="405" t="str">
        <f t="shared" si="36"/>
        <v>OK</v>
      </c>
      <c r="BB50" s="59"/>
      <c r="BC50" s="167"/>
      <c r="BD50" s="90" t="str">
        <f t="shared" si="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50" s="213" t="str">
        <f t="shared" si="8"/>
        <v>-</v>
      </c>
      <c r="BF50" s="167"/>
      <c r="BG50" s="225" t="s">
        <v>568</v>
      </c>
      <c r="BH50" s="59"/>
      <c r="BI50" s="167"/>
      <c r="BJ50" s="90" t="str">
        <f t="shared" si="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50" s="213" t="s">
        <v>215</v>
      </c>
      <c r="BL50" s="167"/>
      <c r="BM50" s="225" t="s">
        <v>215</v>
      </c>
    </row>
    <row r="51" spans="2:65" s="26" customFormat="1" ht="76.5">
      <c r="B51" s="64">
        <f t="shared" si="25"/>
        <v>44</v>
      </c>
      <c r="C51" s="7"/>
      <c r="D51" s="7"/>
      <c r="E51" s="7"/>
      <c r="F51" s="22" t="s">
        <v>149</v>
      </c>
      <c r="G51" s="16"/>
      <c r="H51" s="13"/>
      <c r="I51" s="8"/>
      <c r="J51" s="8"/>
      <c r="K51" s="8"/>
      <c r="L51" s="8"/>
      <c r="M51" s="11" t="s">
        <v>315</v>
      </c>
      <c r="N51" s="1"/>
      <c r="O51" s="56"/>
      <c r="P51" s="93">
        <f t="shared" si="38"/>
        <v>27</v>
      </c>
      <c r="Q51" s="113">
        <v>400</v>
      </c>
      <c r="R51" s="21" t="str">
        <f t="shared" si="37"/>
        <v>NX</v>
      </c>
      <c r="S51" s="96" t="s">
        <v>150</v>
      </c>
      <c r="T51" s="94"/>
      <c r="U51" s="21" t="s">
        <v>226</v>
      </c>
      <c r="V51" s="10"/>
      <c r="W51" s="25">
        <v>3</v>
      </c>
      <c r="X51" s="1" t="s">
        <v>151</v>
      </c>
      <c r="Y51" s="1">
        <v>1</v>
      </c>
      <c r="Z51" s="1">
        <v>400</v>
      </c>
      <c r="AA51" s="8" t="s">
        <v>123</v>
      </c>
      <c r="AB51" s="8" t="s">
        <v>226</v>
      </c>
      <c r="AC51" s="12"/>
      <c r="AD51" s="59"/>
      <c r="AE51" s="167"/>
      <c r="AF51" s="90" t="str">
        <f t="shared" si="1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51" s="213" t="str">
        <f t="shared" si="1"/>
        <v>-</v>
      </c>
      <c r="AH51" s="167"/>
      <c r="AI51" s="405" t="str">
        <f t="shared" si="12"/>
        <v>OK</v>
      </c>
      <c r="AJ51" s="59"/>
      <c r="AK51" s="167"/>
      <c r="AL51" s="90" t="str">
        <f t="shared" si="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51" s="213" t="str">
        <f t="shared" si="2"/>
        <v>-</v>
      </c>
      <c r="AN51" s="167"/>
      <c r="AO51" s="405" t="str">
        <f t="shared" si="34"/>
        <v>OK</v>
      </c>
      <c r="AP51" s="59"/>
      <c r="AQ51" s="167"/>
      <c r="AR51" s="90" t="str">
        <f t="shared" si="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51" s="213" t="str">
        <f t="shared" si="4"/>
        <v>NG</v>
      </c>
      <c r="AT51" s="167"/>
      <c r="AU51" s="405" t="str">
        <f t="shared" si="35"/>
        <v>-</v>
      </c>
      <c r="AV51" s="59"/>
      <c r="AW51" s="167"/>
      <c r="AX51" s="90" t="str">
        <f t="shared" si="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51" s="213" t="str">
        <f t="shared" si="6"/>
        <v>-</v>
      </c>
      <c r="AZ51" s="167"/>
      <c r="BA51" s="405" t="str">
        <f t="shared" si="36"/>
        <v>OK</v>
      </c>
      <c r="BB51" s="59"/>
      <c r="BC51" s="167"/>
      <c r="BD51" s="90" t="str">
        <f t="shared" si="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51" s="213" t="str">
        <f t="shared" si="8"/>
        <v>-</v>
      </c>
      <c r="BF51" s="167"/>
      <c r="BG51" s="225" t="s">
        <v>568</v>
      </c>
      <c r="BH51" s="59"/>
      <c r="BI51" s="167"/>
      <c r="BJ51" s="90" t="str">
        <f t="shared" si="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51" s="213" t="s">
        <v>215</v>
      </c>
      <c r="BL51" s="167"/>
      <c r="BM51" s="225" t="s">
        <v>215</v>
      </c>
    </row>
    <row r="52" spans="2:65" s="26" customFormat="1">
      <c r="B52" s="64">
        <f t="shared" si="25"/>
        <v>45</v>
      </c>
      <c r="C52" s="7"/>
      <c r="D52" s="7"/>
      <c r="E52" s="7"/>
      <c r="F52" s="22" t="s">
        <v>152</v>
      </c>
      <c r="G52" s="16"/>
      <c r="H52" s="13"/>
      <c r="I52" s="8"/>
      <c r="J52" s="8"/>
      <c r="K52" s="8"/>
      <c r="L52" s="8"/>
      <c r="M52" s="11" t="s">
        <v>146</v>
      </c>
      <c r="N52" s="1"/>
      <c r="O52" s="56"/>
      <c r="P52" s="93">
        <f t="shared" si="38"/>
        <v>28</v>
      </c>
      <c r="Q52" s="113">
        <v>400</v>
      </c>
      <c r="R52" s="21" t="str">
        <f t="shared" si="37"/>
        <v>NX</v>
      </c>
      <c r="S52" s="96" t="s">
        <v>153</v>
      </c>
      <c r="T52" s="94"/>
      <c r="U52" s="21" t="s">
        <v>226</v>
      </c>
      <c r="V52" s="10"/>
      <c r="W52" s="25">
        <v>3</v>
      </c>
      <c r="X52" s="1" t="s">
        <v>154</v>
      </c>
      <c r="Y52" s="1">
        <v>1</v>
      </c>
      <c r="Z52" s="1">
        <v>400</v>
      </c>
      <c r="AA52" s="8" t="s">
        <v>123</v>
      </c>
      <c r="AB52" s="8" t="s">
        <v>226</v>
      </c>
      <c r="AC52" s="12"/>
      <c r="AD52" s="59"/>
      <c r="AE52" s="167"/>
      <c r="AF52" s="90" t="str">
        <f t="shared" si="1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52" s="213" t="str">
        <f t="shared" si="1"/>
        <v>-</v>
      </c>
      <c r="AH52" s="167"/>
      <c r="AI52" s="405" t="str">
        <f t="shared" si="12"/>
        <v>OK</v>
      </c>
      <c r="AJ52" s="59"/>
      <c r="AK52" s="167"/>
      <c r="AL52" s="90" t="str">
        <f t="shared" si="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52" s="213" t="str">
        <f t="shared" si="2"/>
        <v>-</v>
      </c>
      <c r="AN52" s="167"/>
      <c r="AO52" s="405" t="str">
        <f t="shared" si="34"/>
        <v>OK</v>
      </c>
      <c r="AP52" s="59"/>
      <c r="AQ52" s="167"/>
      <c r="AR52" s="90" t="str">
        <f t="shared" si="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52" s="213" t="str">
        <f t="shared" si="4"/>
        <v>NG</v>
      </c>
      <c r="AT52" s="167"/>
      <c r="AU52" s="405" t="str">
        <f t="shared" si="35"/>
        <v>-</v>
      </c>
      <c r="AV52" s="59"/>
      <c r="AW52" s="167"/>
      <c r="AX52" s="90" t="str">
        <f t="shared" si="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52" s="213" t="str">
        <f t="shared" si="6"/>
        <v>-</v>
      </c>
      <c r="AZ52" s="167"/>
      <c r="BA52" s="405" t="str">
        <f t="shared" si="36"/>
        <v>OK</v>
      </c>
      <c r="BB52" s="59"/>
      <c r="BC52" s="167"/>
      <c r="BD52" s="90" t="str">
        <f t="shared" si="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52" s="213" t="str">
        <f t="shared" si="8"/>
        <v>-</v>
      </c>
      <c r="BF52" s="167"/>
      <c r="BG52" s="225" t="s">
        <v>568</v>
      </c>
      <c r="BH52" s="59"/>
      <c r="BI52" s="167"/>
      <c r="BJ52" s="90" t="str">
        <f t="shared" si="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52" s="213" t="s">
        <v>215</v>
      </c>
      <c r="BL52" s="167"/>
      <c r="BM52" s="225" t="s">
        <v>215</v>
      </c>
    </row>
    <row r="53" spans="2:65" s="26" customFormat="1">
      <c r="B53" s="64">
        <f t="shared" si="25"/>
        <v>46</v>
      </c>
      <c r="C53" s="7"/>
      <c r="D53" s="7"/>
      <c r="E53" s="7"/>
      <c r="F53" s="22" t="s">
        <v>155</v>
      </c>
      <c r="G53" s="16"/>
      <c r="H53" s="13"/>
      <c r="I53" s="8"/>
      <c r="J53" s="8"/>
      <c r="K53" s="8"/>
      <c r="L53" s="8"/>
      <c r="M53" s="11" t="s">
        <v>146</v>
      </c>
      <c r="N53" s="1"/>
      <c r="O53" s="56"/>
      <c r="P53" s="93">
        <f t="shared" si="38"/>
        <v>29</v>
      </c>
      <c r="Q53" s="113">
        <v>400</v>
      </c>
      <c r="R53" s="21" t="str">
        <f t="shared" si="37"/>
        <v>NX</v>
      </c>
      <c r="S53" s="96" t="s">
        <v>156</v>
      </c>
      <c r="T53" s="94"/>
      <c r="U53" s="21" t="s">
        <v>226</v>
      </c>
      <c r="V53" s="10"/>
      <c r="W53" s="25">
        <v>3</v>
      </c>
      <c r="X53" s="1" t="s">
        <v>157</v>
      </c>
      <c r="Y53" s="1">
        <v>1</v>
      </c>
      <c r="Z53" s="1">
        <v>400</v>
      </c>
      <c r="AA53" s="8" t="s">
        <v>123</v>
      </c>
      <c r="AB53" s="8" t="s">
        <v>226</v>
      </c>
      <c r="AC53" s="12"/>
      <c r="AD53" s="59"/>
      <c r="AE53" s="167"/>
      <c r="AF53" s="90" t="str">
        <f t="shared" si="1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53" s="213" t="str">
        <f t="shared" si="1"/>
        <v>-</v>
      </c>
      <c r="AH53" s="167"/>
      <c r="AI53" s="405" t="str">
        <f t="shared" si="12"/>
        <v>OK</v>
      </c>
      <c r="AJ53" s="59"/>
      <c r="AK53" s="167"/>
      <c r="AL53" s="90" t="str">
        <f t="shared" si="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53" s="213" t="str">
        <f t="shared" si="2"/>
        <v>-</v>
      </c>
      <c r="AN53" s="167"/>
      <c r="AO53" s="405" t="str">
        <f t="shared" si="34"/>
        <v>OK</v>
      </c>
      <c r="AP53" s="59"/>
      <c r="AQ53" s="167"/>
      <c r="AR53" s="90" t="str">
        <f t="shared" si="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53" s="213" t="str">
        <f t="shared" si="4"/>
        <v>NG</v>
      </c>
      <c r="AT53" s="167"/>
      <c r="AU53" s="405" t="str">
        <f t="shared" si="35"/>
        <v>-</v>
      </c>
      <c r="AV53" s="59"/>
      <c r="AW53" s="167"/>
      <c r="AX53" s="90" t="str">
        <f t="shared" si="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53" s="213" t="str">
        <f t="shared" si="6"/>
        <v>-</v>
      </c>
      <c r="AZ53" s="167"/>
      <c r="BA53" s="405" t="str">
        <f t="shared" si="36"/>
        <v>OK</v>
      </c>
      <c r="BB53" s="59"/>
      <c r="BC53" s="167"/>
      <c r="BD53" s="90" t="str">
        <f t="shared" si="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53" s="213" t="str">
        <f t="shared" si="8"/>
        <v>-</v>
      </c>
      <c r="BF53" s="167"/>
      <c r="BG53" s="225" t="s">
        <v>568</v>
      </c>
      <c r="BH53" s="59"/>
      <c r="BI53" s="167"/>
      <c r="BJ53" s="90" t="str">
        <f t="shared" si="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53" s="213" t="s">
        <v>215</v>
      </c>
      <c r="BL53" s="167"/>
      <c r="BM53" s="225" t="s">
        <v>215</v>
      </c>
    </row>
    <row r="54" spans="2:65" s="26" customFormat="1" ht="89.25">
      <c r="B54" s="64">
        <f t="shared" si="25"/>
        <v>47</v>
      </c>
      <c r="C54" s="7"/>
      <c r="D54" s="7"/>
      <c r="E54" s="7"/>
      <c r="F54" s="22" t="s">
        <v>158</v>
      </c>
      <c r="G54" s="16"/>
      <c r="H54" s="13"/>
      <c r="I54" s="8"/>
      <c r="J54" s="8"/>
      <c r="K54" s="8"/>
      <c r="L54" s="8"/>
      <c r="M54" s="11" t="s">
        <v>316</v>
      </c>
      <c r="N54" s="1"/>
      <c r="O54" s="56"/>
      <c r="P54" s="93">
        <f t="shared" si="38"/>
        <v>30</v>
      </c>
      <c r="Q54" s="113">
        <v>1</v>
      </c>
      <c r="R54" s="21" t="str">
        <f t="shared" si="37"/>
        <v>X</v>
      </c>
      <c r="S54" s="96" t="s">
        <v>159</v>
      </c>
      <c r="T54" s="94"/>
      <c r="U54" s="21" t="s">
        <v>226</v>
      </c>
      <c r="V54" s="10"/>
      <c r="W54" s="25">
        <v>3</v>
      </c>
      <c r="X54" s="1" t="s">
        <v>255</v>
      </c>
      <c r="Y54" s="1">
        <v>1</v>
      </c>
      <c r="Z54" s="1">
        <v>1</v>
      </c>
      <c r="AA54" s="8" t="s">
        <v>109</v>
      </c>
      <c r="AB54" s="8" t="s">
        <v>19</v>
      </c>
      <c r="AC54" s="102"/>
      <c r="AD54" s="59"/>
      <c r="AE54" s="172"/>
      <c r="AF54" s="60" t="str">
        <f t="shared" si="19"/>
        <v xml:space="preserve"> </v>
      </c>
      <c r="AG54" s="213" t="str">
        <f t="shared" si="1"/>
        <v>-</v>
      </c>
      <c r="AH54" s="172"/>
      <c r="AI54" s="405" t="str">
        <f t="shared" si="12"/>
        <v>OK</v>
      </c>
      <c r="AJ54" s="59"/>
      <c r="AK54" s="172"/>
      <c r="AL54" s="60" t="str">
        <f t="shared" si="20"/>
        <v xml:space="preserve"> </v>
      </c>
      <c r="AM54" s="213" t="str">
        <f t="shared" si="2"/>
        <v>-</v>
      </c>
      <c r="AN54" s="172"/>
      <c r="AO54" s="405" t="str">
        <f t="shared" si="34"/>
        <v>OK</v>
      </c>
      <c r="AP54" s="59"/>
      <c r="AQ54" s="172"/>
      <c r="AR54" s="60" t="str">
        <f t="shared" si="21"/>
        <v xml:space="preserve"> </v>
      </c>
      <c r="AS54" s="213" t="str">
        <f t="shared" si="4"/>
        <v>NG</v>
      </c>
      <c r="AT54" s="172"/>
      <c r="AU54" s="405" t="str">
        <f t="shared" si="35"/>
        <v>-</v>
      </c>
      <c r="AV54" s="59"/>
      <c r="AW54" s="172"/>
      <c r="AX54" s="60" t="str">
        <f t="shared" si="22"/>
        <v xml:space="preserve"> </v>
      </c>
      <c r="AY54" s="213" t="str">
        <f t="shared" si="6"/>
        <v>-</v>
      </c>
      <c r="AZ54" s="172"/>
      <c r="BA54" s="405" t="str">
        <f t="shared" si="36"/>
        <v>OK</v>
      </c>
      <c r="BB54" s="59"/>
      <c r="BC54" s="172"/>
      <c r="BD54" s="60" t="str">
        <f t="shared" si="23"/>
        <v xml:space="preserve"> </v>
      </c>
      <c r="BE54" s="213" t="str">
        <f t="shared" si="8"/>
        <v>-</v>
      </c>
      <c r="BF54" s="172"/>
      <c r="BG54" s="225" t="s">
        <v>568</v>
      </c>
      <c r="BH54" s="59"/>
      <c r="BI54" s="172"/>
      <c r="BJ54" s="60" t="str">
        <f t="shared" si="24"/>
        <v xml:space="preserve"> </v>
      </c>
      <c r="BK54" s="213" t="s">
        <v>215</v>
      </c>
      <c r="BL54" s="172"/>
      <c r="BM54" s="225" t="s">
        <v>215</v>
      </c>
    </row>
    <row r="55" spans="2:65" s="26" customFormat="1">
      <c r="B55" s="64">
        <f t="shared" si="25"/>
        <v>48</v>
      </c>
      <c r="C55" s="7"/>
      <c r="D55" s="7"/>
      <c r="E55" s="7"/>
      <c r="F55" s="22" t="s">
        <v>160</v>
      </c>
      <c r="G55" s="16"/>
      <c r="H55" s="13"/>
      <c r="I55" s="8"/>
      <c r="J55" s="8"/>
      <c r="K55" s="8"/>
      <c r="L55" s="8"/>
      <c r="M55" s="11"/>
      <c r="N55" s="1"/>
      <c r="O55" s="56"/>
      <c r="P55" s="93">
        <f t="shared" si="38"/>
        <v>31</v>
      </c>
      <c r="Q55" s="113">
        <v>128</v>
      </c>
      <c r="R55" s="21" t="str">
        <f t="shared" si="37"/>
        <v>X</v>
      </c>
      <c r="S55" s="96" t="s">
        <v>161</v>
      </c>
      <c r="T55" s="94"/>
      <c r="U55" s="21" t="s">
        <v>226</v>
      </c>
      <c r="V55" s="10"/>
      <c r="W55" s="25">
        <v>3</v>
      </c>
      <c r="X55" s="1" t="s">
        <v>256</v>
      </c>
      <c r="Y55" s="1">
        <v>1</v>
      </c>
      <c r="Z55" s="1">
        <v>128</v>
      </c>
      <c r="AA55" s="8" t="s">
        <v>109</v>
      </c>
      <c r="AB55" s="8" t="s">
        <v>19</v>
      </c>
      <c r="AC55" s="12"/>
      <c r="AD55" s="59"/>
      <c r="AE55" s="167"/>
      <c r="AF55" s="60" t="str">
        <f t="shared" si="19"/>
        <v xml:space="preserve">                                                                                                                                </v>
      </c>
      <c r="AG55" s="213" t="str">
        <f t="shared" si="1"/>
        <v>-</v>
      </c>
      <c r="AH55" s="167"/>
      <c r="AI55" s="405" t="str">
        <f t="shared" si="12"/>
        <v>OK</v>
      </c>
      <c r="AJ55" s="59"/>
      <c r="AK55" s="167"/>
      <c r="AL55" s="60" t="str">
        <f t="shared" si="20"/>
        <v xml:space="preserve">                                                                                                                                </v>
      </c>
      <c r="AM55" s="213" t="str">
        <f t="shared" si="2"/>
        <v>-</v>
      </c>
      <c r="AN55" s="167"/>
      <c r="AO55" s="405" t="str">
        <f t="shared" si="34"/>
        <v>OK</v>
      </c>
      <c r="AP55" s="59"/>
      <c r="AQ55" s="167"/>
      <c r="AR55" s="60" t="str">
        <f t="shared" si="21"/>
        <v xml:space="preserve">                                                                                                                                </v>
      </c>
      <c r="AS55" s="213" t="str">
        <f t="shared" si="4"/>
        <v>NG</v>
      </c>
      <c r="AT55" s="167"/>
      <c r="AU55" s="405" t="str">
        <f t="shared" si="35"/>
        <v>-</v>
      </c>
      <c r="AV55" s="59"/>
      <c r="AW55" s="167"/>
      <c r="AX55" s="60" t="str">
        <f t="shared" si="22"/>
        <v xml:space="preserve">                                                                                                                                </v>
      </c>
      <c r="AY55" s="213" t="str">
        <f t="shared" si="6"/>
        <v>-</v>
      </c>
      <c r="AZ55" s="167"/>
      <c r="BA55" s="405" t="str">
        <f t="shared" si="36"/>
        <v>OK</v>
      </c>
      <c r="BB55" s="59"/>
      <c r="BC55" s="167"/>
      <c r="BD55" s="60" t="str">
        <f t="shared" si="23"/>
        <v xml:space="preserve">                                                                                                                                </v>
      </c>
      <c r="BE55" s="213" t="str">
        <f t="shared" si="8"/>
        <v>-</v>
      </c>
      <c r="BF55" s="167"/>
      <c r="BG55" s="225" t="s">
        <v>568</v>
      </c>
      <c r="BH55" s="59"/>
      <c r="BI55" s="167"/>
      <c r="BJ55" s="60" t="str">
        <f t="shared" si="24"/>
        <v xml:space="preserve">                                                                                                                                </v>
      </c>
      <c r="BK55" s="213" t="s">
        <v>215</v>
      </c>
      <c r="BL55" s="167"/>
      <c r="BM55" s="225" t="s">
        <v>215</v>
      </c>
    </row>
    <row r="56" spans="2:65" s="26" customFormat="1" ht="114.75">
      <c r="B56" s="64">
        <f t="shared" si="25"/>
        <v>49</v>
      </c>
      <c r="C56" s="7"/>
      <c r="D56" s="7"/>
      <c r="E56" s="7"/>
      <c r="F56" s="22" t="s">
        <v>162</v>
      </c>
      <c r="G56" s="16"/>
      <c r="H56" s="13"/>
      <c r="I56" s="8"/>
      <c r="J56" s="8"/>
      <c r="K56" s="8"/>
      <c r="L56" s="8"/>
      <c r="M56" s="11" t="s">
        <v>294</v>
      </c>
      <c r="N56" s="1"/>
      <c r="O56" s="56"/>
      <c r="P56" s="93">
        <f t="shared" si="38"/>
        <v>32</v>
      </c>
      <c r="Q56" s="113">
        <v>1</v>
      </c>
      <c r="R56" s="21" t="str">
        <f t="shared" si="37"/>
        <v>X</v>
      </c>
      <c r="S56" s="96" t="s">
        <v>163</v>
      </c>
      <c r="T56" s="94"/>
      <c r="U56" s="21" t="s">
        <v>226</v>
      </c>
      <c r="V56" s="10"/>
      <c r="W56" s="25">
        <v>3</v>
      </c>
      <c r="X56" s="1" t="s">
        <v>257</v>
      </c>
      <c r="Y56" s="1">
        <v>1</v>
      </c>
      <c r="Z56" s="1">
        <v>1</v>
      </c>
      <c r="AA56" s="8" t="s">
        <v>109</v>
      </c>
      <c r="AB56" s="8" t="s">
        <v>19</v>
      </c>
      <c r="AC56" s="102"/>
      <c r="AD56" s="59"/>
      <c r="AE56" s="172"/>
      <c r="AF56" s="60" t="str">
        <f t="shared" si="19"/>
        <v xml:space="preserve"> </v>
      </c>
      <c r="AG56" s="213" t="str">
        <f t="shared" si="1"/>
        <v>-</v>
      </c>
      <c r="AH56" s="172"/>
      <c r="AI56" s="405" t="str">
        <f t="shared" si="12"/>
        <v>OK</v>
      </c>
      <c r="AJ56" s="59"/>
      <c r="AK56" s="172"/>
      <c r="AL56" s="60" t="str">
        <f t="shared" si="20"/>
        <v xml:space="preserve"> </v>
      </c>
      <c r="AM56" s="213" t="str">
        <f t="shared" si="2"/>
        <v>-</v>
      </c>
      <c r="AN56" s="172"/>
      <c r="AO56" s="405" t="str">
        <f t="shared" si="34"/>
        <v>OK</v>
      </c>
      <c r="AP56" s="59"/>
      <c r="AQ56" s="172"/>
      <c r="AR56" s="60" t="str">
        <f t="shared" si="21"/>
        <v xml:space="preserve"> </v>
      </c>
      <c r="AS56" s="213" t="str">
        <f t="shared" si="4"/>
        <v>NG</v>
      </c>
      <c r="AT56" s="172"/>
      <c r="AU56" s="405" t="str">
        <f t="shared" si="35"/>
        <v>-</v>
      </c>
      <c r="AV56" s="59"/>
      <c r="AW56" s="172"/>
      <c r="AX56" s="60" t="str">
        <f t="shared" si="22"/>
        <v xml:space="preserve"> </v>
      </c>
      <c r="AY56" s="213" t="str">
        <f t="shared" si="6"/>
        <v>-</v>
      </c>
      <c r="AZ56" s="172"/>
      <c r="BA56" s="405" t="str">
        <f t="shared" si="36"/>
        <v>OK</v>
      </c>
      <c r="BB56" s="59"/>
      <c r="BC56" s="172"/>
      <c r="BD56" s="60" t="str">
        <f t="shared" si="23"/>
        <v xml:space="preserve"> </v>
      </c>
      <c r="BE56" s="213" t="str">
        <f t="shared" si="8"/>
        <v>-</v>
      </c>
      <c r="BF56" s="172"/>
      <c r="BG56" s="225" t="s">
        <v>568</v>
      </c>
      <c r="BH56" s="59"/>
      <c r="BI56" s="172"/>
      <c r="BJ56" s="60" t="str">
        <f t="shared" si="24"/>
        <v xml:space="preserve"> </v>
      </c>
      <c r="BK56" s="213" t="s">
        <v>215</v>
      </c>
      <c r="BL56" s="172"/>
      <c r="BM56" s="225" t="s">
        <v>215</v>
      </c>
    </row>
    <row r="57" spans="2:65" s="26" customFormat="1" ht="127.5">
      <c r="B57" s="64">
        <f t="shared" si="25"/>
        <v>50</v>
      </c>
      <c r="C57" s="7"/>
      <c r="D57" s="7"/>
      <c r="E57" s="7"/>
      <c r="F57" s="22" t="s">
        <v>164</v>
      </c>
      <c r="G57" s="16"/>
      <c r="H57" s="13"/>
      <c r="I57" s="8"/>
      <c r="J57" s="8" t="s">
        <v>231</v>
      </c>
      <c r="K57" s="8"/>
      <c r="L57" s="8"/>
      <c r="M57" s="359" t="s">
        <v>317</v>
      </c>
      <c r="N57" s="1"/>
      <c r="O57" s="56"/>
      <c r="P57" s="93">
        <f t="shared" si="38"/>
        <v>33</v>
      </c>
      <c r="Q57" s="113">
        <v>1</v>
      </c>
      <c r="R57" s="21" t="str">
        <f t="shared" si="37"/>
        <v>X</v>
      </c>
      <c r="S57" s="96" t="s">
        <v>165</v>
      </c>
      <c r="T57" s="94"/>
      <c r="U57" s="21" t="s">
        <v>226</v>
      </c>
      <c r="V57" s="10"/>
      <c r="W57" s="25">
        <v>3</v>
      </c>
      <c r="X57" s="1" t="s">
        <v>258</v>
      </c>
      <c r="Y57" s="1">
        <v>1</v>
      </c>
      <c r="Z57" s="1">
        <v>1</v>
      </c>
      <c r="AA57" s="8" t="s">
        <v>109</v>
      </c>
      <c r="AB57" s="8" t="s">
        <v>19</v>
      </c>
      <c r="AC57" s="102"/>
      <c r="AD57" s="59"/>
      <c r="AE57" s="172"/>
      <c r="AF57" s="60" t="str">
        <f t="shared" si="19"/>
        <v>1</v>
      </c>
      <c r="AG57" s="213" t="str">
        <f t="shared" si="1"/>
        <v>-</v>
      </c>
      <c r="AH57" s="172">
        <v>1</v>
      </c>
      <c r="AI57" s="405" t="str">
        <f t="shared" si="12"/>
        <v>NG</v>
      </c>
      <c r="AJ57" s="59"/>
      <c r="AK57" s="172"/>
      <c r="AL57" s="60" t="str">
        <f t="shared" si="20"/>
        <v>1</v>
      </c>
      <c r="AM57" s="213" t="str">
        <f t="shared" si="2"/>
        <v>-</v>
      </c>
      <c r="AN57" s="172">
        <v>1</v>
      </c>
      <c r="AO57" s="405" t="str">
        <f t="shared" si="34"/>
        <v>NG</v>
      </c>
      <c r="AP57" s="59"/>
      <c r="AQ57" s="172"/>
      <c r="AR57" s="60" t="str">
        <f t="shared" si="21"/>
        <v>1</v>
      </c>
      <c r="AS57" s="213" t="str">
        <f t="shared" si="4"/>
        <v>NG</v>
      </c>
      <c r="AT57" s="172">
        <v>1</v>
      </c>
      <c r="AU57" s="405" t="str">
        <f t="shared" si="35"/>
        <v>-</v>
      </c>
      <c r="AV57" s="59"/>
      <c r="AW57" s="172"/>
      <c r="AX57" s="60" t="str">
        <f t="shared" si="22"/>
        <v>1</v>
      </c>
      <c r="AY57" s="213" t="str">
        <f t="shared" si="6"/>
        <v>-</v>
      </c>
      <c r="AZ57" s="172">
        <v>1</v>
      </c>
      <c r="BA57" s="405" t="str">
        <f t="shared" si="36"/>
        <v>NG</v>
      </c>
      <c r="BB57" s="59"/>
      <c r="BC57" s="172"/>
      <c r="BD57" s="60" t="str">
        <f t="shared" si="23"/>
        <v xml:space="preserve"> </v>
      </c>
      <c r="BE57" s="213" t="str">
        <f t="shared" si="8"/>
        <v>-</v>
      </c>
      <c r="BF57" s="172"/>
      <c r="BG57" s="225" t="s">
        <v>215</v>
      </c>
      <c r="BH57" s="59"/>
      <c r="BI57" s="172"/>
      <c r="BJ57" s="60" t="str">
        <f t="shared" si="24"/>
        <v xml:space="preserve"> </v>
      </c>
      <c r="BK57" s="213" t="s">
        <v>215</v>
      </c>
      <c r="BL57" s="172"/>
      <c r="BM57" s="225" t="s">
        <v>215</v>
      </c>
    </row>
    <row r="58" spans="2:65" s="26" customFormat="1" ht="369" customHeight="1">
      <c r="B58" s="64">
        <f t="shared" si="25"/>
        <v>51</v>
      </c>
      <c r="C58" s="7"/>
      <c r="D58" s="7"/>
      <c r="E58" s="53"/>
      <c r="F58" s="111" t="s">
        <v>367</v>
      </c>
      <c r="G58" s="66"/>
      <c r="H58" s="61"/>
      <c r="I58" s="8"/>
      <c r="J58" s="8" t="s">
        <v>231</v>
      </c>
      <c r="K58" s="8"/>
      <c r="L58" s="8"/>
      <c r="M58" s="356" t="s">
        <v>493</v>
      </c>
      <c r="N58" s="16"/>
      <c r="O58" s="56"/>
      <c r="P58" s="93">
        <f t="shared" si="38"/>
        <v>34</v>
      </c>
      <c r="Q58" s="113">
        <v>2</v>
      </c>
      <c r="R58" s="21" t="str">
        <f t="shared" si="37"/>
        <v>X</v>
      </c>
      <c r="S58" s="96" t="s">
        <v>166</v>
      </c>
      <c r="T58" s="94"/>
      <c r="U58" s="21" t="s">
        <v>226</v>
      </c>
      <c r="V58" s="10"/>
      <c r="W58" s="25">
        <v>3</v>
      </c>
      <c r="X58" s="1" t="s">
        <v>260</v>
      </c>
      <c r="Y58" s="1">
        <v>2</v>
      </c>
      <c r="Z58" s="1">
        <v>2</v>
      </c>
      <c r="AA58" s="8" t="s">
        <v>229</v>
      </c>
      <c r="AB58" s="8" t="s">
        <v>226</v>
      </c>
      <c r="AC58" s="67"/>
      <c r="AD58" s="59"/>
      <c r="AE58" s="172"/>
      <c r="AF58" s="254" t="str">
        <f t="shared" si="19"/>
        <v>L1</v>
      </c>
      <c r="AG58" s="213" t="str">
        <f t="shared" si="1"/>
        <v>-</v>
      </c>
      <c r="AH58" s="172" t="s">
        <v>529</v>
      </c>
      <c r="AI58" s="405" t="str">
        <f t="shared" si="12"/>
        <v>NG</v>
      </c>
      <c r="AJ58" s="59"/>
      <c r="AK58" s="172"/>
      <c r="AL58" s="254" t="str">
        <f t="shared" si="20"/>
        <v>L2</v>
      </c>
      <c r="AM58" s="213" t="str">
        <f t="shared" si="2"/>
        <v>-</v>
      </c>
      <c r="AN58" s="172" t="s">
        <v>540</v>
      </c>
      <c r="AO58" s="405" t="str">
        <f t="shared" si="34"/>
        <v>NG</v>
      </c>
      <c r="AP58" s="59"/>
      <c r="AQ58" s="172"/>
      <c r="AR58" s="254" t="str">
        <f t="shared" si="21"/>
        <v>N1</v>
      </c>
      <c r="AS58" s="213" t="str">
        <f t="shared" si="4"/>
        <v>NG</v>
      </c>
      <c r="AT58" s="172" t="s">
        <v>551</v>
      </c>
      <c r="AU58" s="405" t="str">
        <f t="shared" si="35"/>
        <v>-</v>
      </c>
      <c r="AV58" s="59"/>
      <c r="AW58" s="172"/>
      <c r="AX58" s="254" t="str">
        <f t="shared" si="22"/>
        <v>N2</v>
      </c>
      <c r="AY58" s="213" t="str">
        <f t="shared" si="6"/>
        <v>-</v>
      </c>
      <c r="AZ58" s="172" t="s">
        <v>560</v>
      </c>
      <c r="BA58" s="405" t="str">
        <f t="shared" si="36"/>
        <v>NG</v>
      </c>
      <c r="BB58" s="59"/>
      <c r="BC58" s="172"/>
      <c r="BD58" s="254" t="str">
        <f t="shared" si="23"/>
        <v>01</v>
      </c>
      <c r="BE58" s="213" t="str">
        <f t="shared" si="8"/>
        <v>-</v>
      </c>
      <c r="BF58" s="172" t="s">
        <v>97</v>
      </c>
      <c r="BG58" s="405" t="str">
        <f>IF(OR(BC$8="判定対象外",BF$8="判定対象外",BF58="-"),"-",IF(BC58=BF58,"OK","NG"))</f>
        <v>NG</v>
      </c>
      <c r="BH58" s="59"/>
      <c r="BI58" s="172"/>
      <c r="BJ58" s="254" t="str">
        <f t="shared" si="24"/>
        <v>00</v>
      </c>
      <c r="BK58" s="213" t="str">
        <f t="shared" si="10"/>
        <v>NG</v>
      </c>
      <c r="BL58" s="172" t="s">
        <v>58</v>
      </c>
      <c r="BM58" s="405" t="str">
        <f>IF(OR(BI$8="判定対象外",BL$8="判定対象外",BL58="-"),"-",IF(BI58=BL58,"OK","NG"))</f>
        <v>NG</v>
      </c>
    </row>
    <row r="59" spans="2:65" s="26" customFormat="1" ht="25.5">
      <c r="B59" s="64">
        <f t="shared" si="25"/>
        <v>52</v>
      </c>
      <c r="C59" s="7"/>
      <c r="D59" s="7"/>
      <c r="E59" s="53"/>
      <c r="F59" s="65" t="s">
        <v>167</v>
      </c>
      <c r="G59" s="66"/>
      <c r="H59" s="61"/>
      <c r="I59" s="8"/>
      <c r="J59" s="8"/>
      <c r="K59" s="8"/>
      <c r="L59" s="8"/>
      <c r="M59" s="11" t="s">
        <v>274</v>
      </c>
      <c r="N59" s="16"/>
      <c r="O59" s="56"/>
      <c r="P59" s="93">
        <f t="shared" si="38"/>
        <v>35</v>
      </c>
      <c r="Q59" s="113">
        <v>7</v>
      </c>
      <c r="R59" s="21" t="str">
        <f t="shared" si="37"/>
        <v>X</v>
      </c>
      <c r="S59" s="96" t="s">
        <v>168</v>
      </c>
      <c r="T59" s="94"/>
      <c r="U59" s="21" t="s">
        <v>226</v>
      </c>
      <c r="V59" s="10"/>
      <c r="W59" s="25">
        <v>3</v>
      </c>
      <c r="X59" s="1" t="s">
        <v>261</v>
      </c>
      <c r="Y59" s="1">
        <v>7</v>
      </c>
      <c r="Z59" s="1">
        <v>7</v>
      </c>
      <c r="AA59" s="8" t="s">
        <v>229</v>
      </c>
      <c r="AB59" s="8" t="s">
        <v>226</v>
      </c>
      <c r="AC59" s="103"/>
      <c r="AD59" s="59"/>
      <c r="AE59" s="167"/>
      <c r="AF59" s="60" t="str">
        <f t="shared" si="19"/>
        <v xml:space="preserve">       </v>
      </c>
      <c r="AG59" s="213" t="str">
        <f t="shared" si="1"/>
        <v>-</v>
      </c>
      <c r="AH59" s="167"/>
      <c r="AI59" s="405" t="str">
        <f t="shared" si="12"/>
        <v>OK</v>
      </c>
      <c r="AJ59" s="59"/>
      <c r="AK59" s="167"/>
      <c r="AL59" s="60" t="str">
        <f t="shared" si="20"/>
        <v xml:space="preserve">       </v>
      </c>
      <c r="AM59" s="213" t="str">
        <f t="shared" si="2"/>
        <v>-</v>
      </c>
      <c r="AN59" s="167"/>
      <c r="AO59" s="405" t="str">
        <f t="shared" si="34"/>
        <v>OK</v>
      </c>
      <c r="AP59" s="59"/>
      <c r="AQ59" s="167"/>
      <c r="AR59" s="60" t="str">
        <f t="shared" si="21"/>
        <v xml:space="preserve">       </v>
      </c>
      <c r="AS59" s="213" t="str">
        <f t="shared" si="4"/>
        <v>NG</v>
      </c>
      <c r="AT59" s="167"/>
      <c r="AU59" s="405" t="str">
        <f t="shared" si="35"/>
        <v>-</v>
      </c>
      <c r="AV59" s="59"/>
      <c r="AW59" s="167"/>
      <c r="AX59" s="60" t="str">
        <f t="shared" si="22"/>
        <v xml:space="preserve">       </v>
      </c>
      <c r="AY59" s="213" t="str">
        <f t="shared" si="6"/>
        <v>-</v>
      </c>
      <c r="AZ59" s="167"/>
      <c r="BA59" s="405" t="str">
        <f t="shared" si="36"/>
        <v>OK</v>
      </c>
      <c r="BB59" s="59"/>
      <c r="BC59" s="167"/>
      <c r="BD59" s="60" t="str">
        <f t="shared" si="23"/>
        <v xml:space="preserve">       </v>
      </c>
      <c r="BE59" s="213" t="str">
        <f t="shared" si="8"/>
        <v>-</v>
      </c>
      <c r="BF59" s="167"/>
      <c r="BG59" s="225" t="s">
        <v>215</v>
      </c>
      <c r="BH59" s="59"/>
      <c r="BI59" s="167"/>
      <c r="BJ59" s="60" t="str">
        <f t="shared" si="24"/>
        <v xml:space="preserve">       </v>
      </c>
      <c r="BK59" s="213" t="s">
        <v>215</v>
      </c>
      <c r="BL59" s="167"/>
      <c r="BM59" s="225" t="s">
        <v>215</v>
      </c>
    </row>
    <row r="60" spans="2:65" s="80" customFormat="1" ht="25.5">
      <c r="B60" s="64">
        <f t="shared" si="25"/>
        <v>53</v>
      </c>
      <c r="C60" s="68"/>
      <c r="D60" s="68"/>
      <c r="E60" s="69"/>
      <c r="F60" s="70" t="s">
        <v>275</v>
      </c>
      <c r="G60" s="71"/>
      <c r="H60" s="72"/>
      <c r="I60" s="73"/>
      <c r="J60" s="73"/>
      <c r="K60" s="74"/>
      <c r="L60" s="74"/>
      <c r="M60" s="83" t="s">
        <v>274</v>
      </c>
      <c r="N60" s="75"/>
      <c r="O60" s="76"/>
      <c r="P60" s="93">
        <f t="shared" si="38"/>
        <v>36</v>
      </c>
      <c r="Q60" s="117">
        <v>10</v>
      </c>
      <c r="R60" s="21" t="str">
        <f t="shared" si="37"/>
        <v>X</v>
      </c>
      <c r="S60" s="96" t="s">
        <v>169</v>
      </c>
      <c r="T60" s="104"/>
      <c r="U60" s="21" t="s">
        <v>226</v>
      </c>
      <c r="V60" s="76"/>
      <c r="W60" s="77">
        <v>3</v>
      </c>
      <c r="X60" s="55" t="s">
        <v>170</v>
      </c>
      <c r="Y60" s="55">
        <v>10</v>
      </c>
      <c r="Z60" s="55">
        <v>10</v>
      </c>
      <c r="AA60" s="73" t="s">
        <v>109</v>
      </c>
      <c r="AB60" s="73" t="s">
        <v>19</v>
      </c>
      <c r="AC60" s="103"/>
      <c r="AD60" s="78"/>
      <c r="AE60" s="378"/>
      <c r="AF60" s="79" t="str">
        <f t="shared" si="19"/>
        <v xml:space="preserve">          </v>
      </c>
      <c r="AG60" s="213" t="str">
        <f t="shared" si="1"/>
        <v>-</v>
      </c>
      <c r="AH60" s="378"/>
      <c r="AI60" s="405" t="str">
        <f t="shared" si="12"/>
        <v>OK</v>
      </c>
      <c r="AJ60" s="78"/>
      <c r="AK60" s="378"/>
      <c r="AL60" s="79" t="str">
        <f t="shared" si="20"/>
        <v xml:space="preserve">          </v>
      </c>
      <c r="AM60" s="213" t="str">
        <f t="shared" si="2"/>
        <v>-</v>
      </c>
      <c r="AN60" s="378"/>
      <c r="AO60" s="405" t="str">
        <f t="shared" si="34"/>
        <v>OK</v>
      </c>
      <c r="AP60" s="78"/>
      <c r="AQ60" s="378"/>
      <c r="AR60" s="79" t="str">
        <f t="shared" si="21"/>
        <v xml:space="preserve">          </v>
      </c>
      <c r="AS60" s="213" t="str">
        <f t="shared" si="4"/>
        <v>NG</v>
      </c>
      <c r="AT60" s="378"/>
      <c r="AU60" s="405" t="str">
        <f t="shared" si="35"/>
        <v>-</v>
      </c>
      <c r="AV60" s="78"/>
      <c r="AW60" s="378"/>
      <c r="AX60" s="79" t="str">
        <f t="shared" si="22"/>
        <v xml:space="preserve">          </v>
      </c>
      <c r="AY60" s="213" t="str">
        <f t="shared" si="6"/>
        <v>-</v>
      </c>
      <c r="AZ60" s="378"/>
      <c r="BA60" s="405" t="str">
        <f t="shared" si="36"/>
        <v>OK</v>
      </c>
      <c r="BB60" s="78"/>
      <c r="BC60" s="378"/>
      <c r="BD60" s="79" t="str">
        <f t="shared" si="23"/>
        <v xml:space="preserve">          </v>
      </c>
      <c r="BE60" s="213" t="str">
        <f t="shared" si="8"/>
        <v>-</v>
      </c>
      <c r="BF60" s="378"/>
      <c r="BG60" s="225" t="s">
        <v>215</v>
      </c>
      <c r="BH60" s="78"/>
      <c r="BI60" s="378"/>
      <c r="BJ60" s="79" t="str">
        <f t="shared" si="24"/>
        <v xml:space="preserve">          </v>
      </c>
      <c r="BK60" s="213" t="s">
        <v>215</v>
      </c>
      <c r="BL60" s="378"/>
      <c r="BM60" s="225" t="s">
        <v>215</v>
      </c>
    </row>
    <row r="61" spans="2:65" s="80" customFormat="1" ht="25.5">
      <c r="B61" s="64">
        <f t="shared" si="25"/>
        <v>54</v>
      </c>
      <c r="C61" s="68"/>
      <c r="D61" s="68"/>
      <c r="E61" s="68"/>
      <c r="F61" s="81" t="s">
        <v>171</v>
      </c>
      <c r="G61" s="14"/>
      <c r="H61" s="82"/>
      <c r="I61" s="73"/>
      <c r="J61" s="73"/>
      <c r="K61" s="74"/>
      <c r="L61" s="74"/>
      <c r="M61" s="83" t="s">
        <v>274</v>
      </c>
      <c r="N61" s="75"/>
      <c r="O61" s="76"/>
      <c r="P61" s="93">
        <f t="shared" si="38"/>
        <v>37</v>
      </c>
      <c r="Q61" s="117">
        <v>3</v>
      </c>
      <c r="R61" s="21" t="str">
        <f t="shared" si="37"/>
        <v>X</v>
      </c>
      <c r="S61" s="96" t="s">
        <v>172</v>
      </c>
      <c r="T61" s="104"/>
      <c r="U61" s="21" t="s">
        <v>226</v>
      </c>
      <c r="V61" s="76"/>
      <c r="W61" s="77">
        <v>3</v>
      </c>
      <c r="X61" s="55" t="s">
        <v>173</v>
      </c>
      <c r="Y61" s="55">
        <v>3</v>
      </c>
      <c r="Z61" s="55">
        <v>3</v>
      </c>
      <c r="AA61" s="73" t="s">
        <v>109</v>
      </c>
      <c r="AB61" s="73" t="s">
        <v>19</v>
      </c>
      <c r="AC61" s="103"/>
      <c r="AD61" s="78"/>
      <c r="AE61" s="378"/>
      <c r="AF61" s="79" t="str">
        <f t="shared" si="19"/>
        <v xml:space="preserve">   </v>
      </c>
      <c r="AG61" s="213" t="str">
        <f t="shared" si="1"/>
        <v>-</v>
      </c>
      <c r="AH61" s="378"/>
      <c r="AI61" s="405" t="str">
        <f t="shared" si="12"/>
        <v>OK</v>
      </c>
      <c r="AJ61" s="78"/>
      <c r="AK61" s="378"/>
      <c r="AL61" s="79" t="str">
        <f t="shared" si="20"/>
        <v xml:space="preserve">   </v>
      </c>
      <c r="AM61" s="213" t="str">
        <f t="shared" si="2"/>
        <v>-</v>
      </c>
      <c r="AN61" s="378"/>
      <c r="AO61" s="405" t="str">
        <f t="shared" si="34"/>
        <v>OK</v>
      </c>
      <c r="AP61" s="78"/>
      <c r="AQ61" s="378"/>
      <c r="AR61" s="79" t="str">
        <f t="shared" si="21"/>
        <v xml:space="preserve">   </v>
      </c>
      <c r="AS61" s="213" t="str">
        <f t="shared" si="4"/>
        <v>NG</v>
      </c>
      <c r="AT61" s="378"/>
      <c r="AU61" s="405" t="str">
        <f t="shared" si="35"/>
        <v>-</v>
      </c>
      <c r="AV61" s="78"/>
      <c r="AW61" s="378"/>
      <c r="AX61" s="79" t="str">
        <f t="shared" si="22"/>
        <v xml:space="preserve">   </v>
      </c>
      <c r="AY61" s="213" t="str">
        <f t="shared" si="6"/>
        <v>-</v>
      </c>
      <c r="AZ61" s="378"/>
      <c r="BA61" s="405" t="str">
        <f t="shared" si="36"/>
        <v>OK</v>
      </c>
      <c r="BB61" s="78"/>
      <c r="BC61" s="378"/>
      <c r="BD61" s="79" t="str">
        <f t="shared" si="23"/>
        <v xml:space="preserve">   </v>
      </c>
      <c r="BE61" s="213" t="str">
        <f t="shared" si="8"/>
        <v>-</v>
      </c>
      <c r="BF61" s="378"/>
      <c r="BG61" s="225" t="s">
        <v>215</v>
      </c>
      <c r="BH61" s="78"/>
      <c r="BI61" s="378"/>
      <c r="BJ61" s="79" t="str">
        <f t="shared" si="24"/>
        <v xml:space="preserve">   </v>
      </c>
      <c r="BK61" s="213" t="s">
        <v>215</v>
      </c>
      <c r="BL61" s="378"/>
      <c r="BM61" s="225" t="s">
        <v>215</v>
      </c>
    </row>
    <row r="62" spans="2:65" s="80" customFormat="1" ht="25.5">
      <c r="B62" s="64">
        <f t="shared" si="25"/>
        <v>55</v>
      </c>
      <c r="C62" s="68"/>
      <c r="D62" s="68"/>
      <c r="E62" s="68"/>
      <c r="F62" s="81" t="s">
        <v>174</v>
      </c>
      <c r="G62" s="14"/>
      <c r="H62" s="82"/>
      <c r="I62" s="73"/>
      <c r="J62" s="73"/>
      <c r="K62" s="74"/>
      <c r="L62" s="74"/>
      <c r="M62" s="83" t="s">
        <v>274</v>
      </c>
      <c r="N62" s="75"/>
      <c r="O62" s="76"/>
      <c r="P62" s="93">
        <f>P61+1</f>
        <v>38</v>
      </c>
      <c r="Q62" s="117">
        <v>2</v>
      </c>
      <c r="R62" s="21" t="str">
        <f t="shared" si="37"/>
        <v>X</v>
      </c>
      <c r="S62" s="96" t="s">
        <v>175</v>
      </c>
      <c r="T62" s="104"/>
      <c r="U62" s="21" t="s">
        <v>226</v>
      </c>
      <c r="V62" s="76"/>
      <c r="W62" s="77">
        <v>3</v>
      </c>
      <c r="X62" s="55" t="s">
        <v>176</v>
      </c>
      <c r="Y62" s="55">
        <v>2</v>
      </c>
      <c r="Z62" s="55">
        <v>2</v>
      </c>
      <c r="AA62" s="73" t="s">
        <v>109</v>
      </c>
      <c r="AB62" s="73" t="s">
        <v>19</v>
      </c>
      <c r="AC62" s="103"/>
      <c r="AD62" s="78"/>
      <c r="AE62" s="378"/>
      <c r="AF62" s="79" t="str">
        <f t="shared" si="19"/>
        <v xml:space="preserve">  </v>
      </c>
      <c r="AG62" s="213" t="str">
        <f t="shared" si="1"/>
        <v>-</v>
      </c>
      <c r="AH62" s="378"/>
      <c r="AI62" s="405" t="str">
        <f t="shared" si="12"/>
        <v>OK</v>
      </c>
      <c r="AJ62" s="78"/>
      <c r="AK62" s="378"/>
      <c r="AL62" s="79" t="str">
        <f t="shared" si="20"/>
        <v xml:space="preserve">  </v>
      </c>
      <c r="AM62" s="213" t="str">
        <f t="shared" si="2"/>
        <v>-</v>
      </c>
      <c r="AN62" s="378"/>
      <c r="AO62" s="405" t="str">
        <f t="shared" si="34"/>
        <v>OK</v>
      </c>
      <c r="AP62" s="78"/>
      <c r="AQ62" s="378"/>
      <c r="AR62" s="79" t="str">
        <f t="shared" si="21"/>
        <v xml:space="preserve">  </v>
      </c>
      <c r="AS62" s="213" t="str">
        <f t="shared" si="4"/>
        <v>NG</v>
      </c>
      <c r="AT62" s="378"/>
      <c r="AU62" s="405" t="str">
        <f t="shared" si="35"/>
        <v>-</v>
      </c>
      <c r="AV62" s="78"/>
      <c r="AW62" s="378"/>
      <c r="AX62" s="79" t="str">
        <f t="shared" si="22"/>
        <v xml:space="preserve">  </v>
      </c>
      <c r="AY62" s="213" t="str">
        <f t="shared" si="6"/>
        <v>-</v>
      </c>
      <c r="AZ62" s="378"/>
      <c r="BA62" s="405" t="str">
        <f t="shared" si="36"/>
        <v>OK</v>
      </c>
      <c r="BB62" s="78"/>
      <c r="BC62" s="378"/>
      <c r="BD62" s="79" t="str">
        <f t="shared" si="23"/>
        <v xml:space="preserve">  </v>
      </c>
      <c r="BE62" s="213" t="str">
        <f t="shared" si="8"/>
        <v>-</v>
      </c>
      <c r="BF62" s="378"/>
      <c r="BG62" s="225" t="s">
        <v>215</v>
      </c>
      <c r="BH62" s="78"/>
      <c r="BI62" s="378"/>
      <c r="BJ62" s="79" t="str">
        <f t="shared" si="24"/>
        <v xml:space="preserve">  </v>
      </c>
      <c r="BK62" s="213" t="s">
        <v>215</v>
      </c>
      <c r="BL62" s="378"/>
      <c r="BM62" s="225" t="s">
        <v>215</v>
      </c>
    </row>
    <row r="63" spans="2:65" s="80" customFormat="1" ht="51.75" customHeight="1">
      <c r="B63" s="64">
        <f t="shared" si="25"/>
        <v>56</v>
      </c>
      <c r="C63" s="68"/>
      <c r="D63" s="68"/>
      <c r="E63" s="68"/>
      <c r="F63" s="228" t="s">
        <v>177</v>
      </c>
      <c r="G63" s="229"/>
      <c r="H63" s="230"/>
      <c r="I63" s="73"/>
      <c r="J63" s="73"/>
      <c r="K63" s="74"/>
      <c r="L63" s="74"/>
      <c r="M63" s="83" t="s">
        <v>178</v>
      </c>
      <c r="N63" s="75"/>
      <c r="O63" s="76"/>
      <c r="P63" s="93">
        <f>P62+1</f>
        <v>39</v>
      </c>
      <c r="Q63" s="117">
        <v>5</v>
      </c>
      <c r="R63" s="21" t="str">
        <f t="shared" si="37"/>
        <v>X</v>
      </c>
      <c r="S63" s="96" t="s">
        <v>179</v>
      </c>
      <c r="T63" s="104"/>
      <c r="U63" s="21" t="s">
        <v>226</v>
      </c>
      <c r="V63" s="76"/>
      <c r="W63" s="77">
        <v>3</v>
      </c>
      <c r="X63" s="55" t="s">
        <v>262</v>
      </c>
      <c r="Y63" s="55">
        <v>5</v>
      </c>
      <c r="Z63" s="55">
        <v>5</v>
      </c>
      <c r="AA63" s="73" t="s">
        <v>109</v>
      </c>
      <c r="AB63" s="73" t="s">
        <v>19</v>
      </c>
      <c r="AC63" s="84"/>
      <c r="AD63" s="78"/>
      <c r="AE63" s="382"/>
      <c r="AF63" s="79" t="str">
        <f t="shared" si="19"/>
        <v>03961</v>
      </c>
      <c r="AG63" s="213" t="str">
        <f t="shared" si="1"/>
        <v>-</v>
      </c>
      <c r="AH63" s="437" t="s">
        <v>530</v>
      </c>
      <c r="AI63" s="405" t="str">
        <f t="shared" si="12"/>
        <v>NG</v>
      </c>
      <c r="AJ63" s="78"/>
      <c r="AK63" s="382"/>
      <c r="AL63" s="79" t="str">
        <f t="shared" si="20"/>
        <v>03961</v>
      </c>
      <c r="AM63" s="213" t="str">
        <f t="shared" si="2"/>
        <v>-</v>
      </c>
      <c r="AN63" s="437" t="s">
        <v>530</v>
      </c>
      <c r="AO63" s="405" t="str">
        <f t="shared" si="34"/>
        <v>NG</v>
      </c>
      <c r="AP63" s="78"/>
      <c r="AQ63" s="382"/>
      <c r="AR63" s="79" t="str">
        <f t="shared" si="21"/>
        <v xml:space="preserve">     </v>
      </c>
      <c r="AS63" s="213" t="str">
        <f t="shared" si="4"/>
        <v>NG</v>
      </c>
      <c r="AT63" s="437"/>
      <c r="AU63" s="405" t="str">
        <f t="shared" si="35"/>
        <v>-</v>
      </c>
      <c r="AV63" s="78"/>
      <c r="AW63" s="382"/>
      <c r="AX63" s="79" t="str">
        <f t="shared" si="22"/>
        <v>03963</v>
      </c>
      <c r="AY63" s="213" t="str">
        <f t="shared" si="6"/>
        <v>-</v>
      </c>
      <c r="AZ63" s="437" t="s">
        <v>562</v>
      </c>
      <c r="BA63" s="405" t="str">
        <f t="shared" si="36"/>
        <v>NG</v>
      </c>
      <c r="BB63" s="78"/>
      <c r="BC63" s="382"/>
      <c r="BD63" s="79" t="str">
        <f t="shared" si="23"/>
        <v xml:space="preserve">     </v>
      </c>
      <c r="BE63" s="213" t="str">
        <f t="shared" si="8"/>
        <v>-</v>
      </c>
      <c r="BF63" s="378"/>
      <c r="BG63" s="225" t="s">
        <v>215</v>
      </c>
      <c r="BH63" s="78"/>
      <c r="BI63" s="382"/>
      <c r="BJ63" s="79" t="str">
        <f t="shared" si="24"/>
        <v xml:space="preserve">     </v>
      </c>
      <c r="BK63" s="213" t="s">
        <v>215</v>
      </c>
      <c r="BL63" s="378"/>
      <c r="BM63" s="225" t="s">
        <v>215</v>
      </c>
    </row>
    <row r="64" spans="2:65" s="80" customFormat="1" ht="51.75" customHeight="1">
      <c r="B64" s="64">
        <f t="shared" si="25"/>
        <v>57</v>
      </c>
      <c r="C64" s="68"/>
      <c r="D64" s="68"/>
      <c r="E64" s="68"/>
      <c r="F64" s="228" t="s">
        <v>180</v>
      </c>
      <c r="G64" s="229"/>
      <c r="H64" s="230"/>
      <c r="I64" s="73"/>
      <c r="J64" s="73"/>
      <c r="K64" s="74"/>
      <c r="L64" s="74"/>
      <c r="M64" s="83" t="s">
        <v>181</v>
      </c>
      <c r="N64" s="75"/>
      <c r="O64" s="76"/>
      <c r="P64" s="93">
        <f>P63+1</f>
        <v>40</v>
      </c>
      <c r="Q64" s="117">
        <v>64</v>
      </c>
      <c r="R64" s="21" t="str">
        <f>IF(AA64="M","NX",AA64)</f>
        <v>NX</v>
      </c>
      <c r="S64" s="96" t="s">
        <v>182</v>
      </c>
      <c r="T64" s="104"/>
      <c r="U64" s="21" t="s">
        <v>226</v>
      </c>
      <c r="V64" s="76" t="s">
        <v>263</v>
      </c>
      <c r="W64" s="77">
        <v>3</v>
      </c>
      <c r="X64" s="55" t="s">
        <v>264</v>
      </c>
      <c r="Y64" s="55">
        <v>1</v>
      </c>
      <c r="Z64" s="55">
        <v>64</v>
      </c>
      <c r="AA64" s="73" t="s">
        <v>252</v>
      </c>
      <c r="AB64" s="73" t="s">
        <v>19</v>
      </c>
      <c r="AC64" s="84" t="s">
        <v>263</v>
      </c>
      <c r="AD64" s="78"/>
      <c r="AE64" s="382"/>
      <c r="AF64" s="79" t="str">
        <f t="shared" si="19"/>
        <v xml:space="preserve">光コラボ通信事業者                                              </v>
      </c>
      <c r="AG64" s="213" t="str">
        <f t="shared" si="1"/>
        <v>-</v>
      </c>
      <c r="AH64" s="438" t="s">
        <v>531</v>
      </c>
      <c r="AI64" s="405" t="str">
        <f t="shared" si="12"/>
        <v>NG</v>
      </c>
      <c r="AJ64" s="78"/>
      <c r="AK64" s="382"/>
      <c r="AL64" s="79" t="str">
        <f t="shared" si="20"/>
        <v xml:space="preserve">光コラボ通信事業者                                              </v>
      </c>
      <c r="AM64" s="213" t="str">
        <f t="shared" si="2"/>
        <v>-</v>
      </c>
      <c r="AN64" s="438" t="s">
        <v>531</v>
      </c>
      <c r="AO64" s="405" t="str">
        <f t="shared" si="34"/>
        <v>NG</v>
      </c>
      <c r="AP64" s="78"/>
      <c r="AQ64" s="382"/>
      <c r="AR64" s="79" t="str">
        <f t="shared" si="21"/>
        <v xml:space="preserve">                                                                </v>
      </c>
      <c r="AS64" s="213" t="str">
        <f t="shared" si="4"/>
        <v>NG</v>
      </c>
      <c r="AT64" s="438"/>
      <c r="AU64" s="405" t="str">
        <f t="shared" si="35"/>
        <v>-</v>
      </c>
      <c r="AV64" s="78"/>
      <c r="AW64" s="382"/>
      <c r="AX64" s="79" t="str">
        <f t="shared" si="22"/>
        <v xml:space="preserve">沖縄通信ネットワーク株式会社                                    </v>
      </c>
      <c r="AY64" s="213" t="str">
        <f t="shared" si="6"/>
        <v>-</v>
      </c>
      <c r="AZ64" s="438" t="s">
        <v>561</v>
      </c>
      <c r="BA64" s="405" t="str">
        <f t="shared" si="36"/>
        <v>NG</v>
      </c>
      <c r="BB64" s="78"/>
      <c r="BC64" s="382"/>
      <c r="BD64" s="79" t="str">
        <f t="shared" si="23"/>
        <v xml:space="preserve">                                                                </v>
      </c>
      <c r="BE64" s="213" t="str">
        <f t="shared" si="8"/>
        <v>-</v>
      </c>
      <c r="BF64" s="378"/>
      <c r="BG64" s="225" t="s">
        <v>215</v>
      </c>
      <c r="BH64" s="78"/>
      <c r="BI64" s="382"/>
      <c r="BJ64" s="79" t="str">
        <f t="shared" si="24"/>
        <v xml:space="preserve">                                                                </v>
      </c>
      <c r="BK64" s="213" t="s">
        <v>215</v>
      </c>
      <c r="BL64" s="378"/>
      <c r="BM64" s="225" t="s">
        <v>215</v>
      </c>
    </row>
    <row r="65" spans="1:65" s="80" customFormat="1" ht="92.25" customHeight="1">
      <c r="B65" s="64">
        <f t="shared" si="25"/>
        <v>58</v>
      </c>
      <c r="C65" s="68"/>
      <c r="D65" s="68"/>
      <c r="E65" s="68"/>
      <c r="F65" s="81" t="s">
        <v>276</v>
      </c>
      <c r="G65" s="14"/>
      <c r="H65" s="82"/>
      <c r="I65" s="73"/>
      <c r="J65" s="73"/>
      <c r="K65" s="74"/>
      <c r="L65" s="74"/>
      <c r="M65" s="415" t="s">
        <v>207</v>
      </c>
      <c r="N65" s="75"/>
      <c r="O65" s="76"/>
      <c r="P65" s="93">
        <f>P64+1</f>
        <v>41</v>
      </c>
      <c r="Q65" s="117">
        <v>7</v>
      </c>
      <c r="R65" s="21" t="s">
        <v>229</v>
      </c>
      <c r="S65" s="96" t="s">
        <v>265</v>
      </c>
      <c r="T65" s="104"/>
      <c r="U65" s="21" t="s">
        <v>226</v>
      </c>
      <c r="V65" s="76"/>
      <c r="W65" s="77">
        <v>3</v>
      </c>
      <c r="X65" s="55" t="s">
        <v>266</v>
      </c>
      <c r="Y65" s="55">
        <v>7</v>
      </c>
      <c r="Z65" s="55">
        <v>7</v>
      </c>
      <c r="AA65" s="73" t="s">
        <v>229</v>
      </c>
      <c r="AB65" s="73" t="s">
        <v>19</v>
      </c>
      <c r="AC65" s="84"/>
      <c r="AD65" s="78"/>
      <c r="AE65" s="382"/>
      <c r="AF65" s="79" t="str">
        <f t="shared" si="19"/>
        <v xml:space="preserve">       </v>
      </c>
      <c r="AG65" s="213" t="str">
        <f t="shared" si="1"/>
        <v>-</v>
      </c>
      <c r="AH65" s="382"/>
      <c r="AI65" s="405" t="str">
        <f t="shared" si="12"/>
        <v>OK</v>
      </c>
      <c r="AJ65" s="78"/>
      <c r="AK65" s="382"/>
      <c r="AL65" s="79" t="str">
        <f t="shared" si="20"/>
        <v xml:space="preserve">       </v>
      </c>
      <c r="AM65" s="213" t="str">
        <f t="shared" si="2"/>
        <v>-</v>
      </c>
      <c r="AN65" s="382"/>
      <c r="AO65" s="405" t="str">
        <f t="shared" si="34"/>
        <v>OK</v>
      </c>
      <c r="AP65" s="78"/>
      <c r="AQ65" s="382"/>
      <c r="AR65" s="79" t="str">
        <f t="shared" si="21"/>
        <v xml:space="preserve">       </v>
      </c>
      <c r="AS65" s="213" t="str">
        <f t="shared" si="4"/>
        <v>NG</v>
      </c>
      <c r="AT65" s="382"/>
      <c r="AU65" s="405" t="str">
        <f t="shared" si="35"/>
        <v>-</v>
      </c>
      <c r="AV65" s="78"/>
      <c r="AW65" s="382"/>
      <c r="AX65" s="79" t="str">
        <f t="shared" si="22"/>
        <v xml:space="preserve">       </v>
      </c>
      <c r="AY65" s="213" t="str">
        <f t="shared" si="6"/>
        <v>-</v>
      </c>
      <c r="AZ65" s="382"/>
      <c r="BA65" s="405" t="str">
        <f t="shared" si="36"/>
        <v>OK</v>
      </c>
      <c r="BB65" s="78"/>
      <c r="BC65" s="382"/>
      <c r="BD65" s="79" t="str">
        <f t="shared" si="23"/>
        <v xml:space="preserve">       </v>
      </c>
      <c r="BE65" s="213" t="str">
        <f t="shared" si="8"/>
        <v>-</v>
      </c>
      <c r="BF65" s="382"/>
      <c r="BG65" s="225" t="s">
        <v>215</v>
      </c>
      <c r="BH65" s="78"/>
      <c r="BI65" s="382"/>
      <c r="BJ65" s="79" t="str">
        <f t="shared" si="24"/>
        <v xml:space="preserve">       </v>
      </c>
      <c r="BK65" s="213" t="s">
        <v>215</v>
      </c>
      <c r="BL65" s="382"/>
      <c r="BM65" s="225" t="s">
        <v>215</v>
      </c>
    </row>
    <row r="66" spans="1:65" s="80" customFormat="1" ht="127.9" thickBot="1">
      <c r="A66" s="216"/>
      <c r="B66" s="231">
        <f t="shared" si="25"/>
        <v>59</v>
      </c>
      <c r="C66" s="232"/>
      <c r="D66" s="232"/>
      <c r="E66" s="232"/>
      <c r="F66" s="234" t="s">
        <v>267</v>
      </c>
      <c r="G66" s="235"/>
      <c r="H66" s="236"/>
      <c r="I66" s="237"/>
      <c r="J66" s="237"/>
      <c r="K66" s="237"/>
      <c r="L66" s="237"/>
      <c r="M66" s="416" t="s">
        <v>277</v>
      </c>
      <c r="N66" s="417"/>
      <c r="O66" s="419"/>
      <c r="P66" s="429">
        <f>P65+1</f>
        <v>42</v>
      </c>
      <c r="Q66" s="430">
        <v>1</v>
      </c>
      <c r="R66" s="431">
        <v>9</v>
      </c>
      <c r="S66" s="430" t="s">
        <v>268</v>
      </c>
      <c r="T66" s="430"/>
      <c r="U66" s="431" t="s">
        <v>226</v>
      </c>
      <c r="V66" s="432"/>
      <c r="W66" s="433" t="str">
        <f>IF(C66&lt;&gt;"","0",IF(D66&lt;&gt;"","1",IF(E66&lt;&gt;"","2",IF(F66&lt;&gt;"","3",IF(G66&lt;&gt;"","4",IF(H66&lt;&gt;"","5"))))))</f>
        <v>3</v>
      </c>
      <c r="X66" s="434" t="s">
        <v>269</v>
      </c>
      <c r="Y66" s="434">
        <v>1</v>
      </c>
      <c r="Z66" s="434">
        <v>1</v>
      </c>
      <c r="AA66" s="435">
        <v>9</v>
      </c>
      <c r="AB66" s="237" t="s">
        <v>226</v>
      </c>
      <c r="AC66" s="436"/>
      <c r="AD66" s="211"/>
      <c r="AE66" s="352"/>
      <c r="AF66" s="381" t="str">
        <f t="shared" si="19"/>
        <v>1</v>
      </c>
      <c r="AG66" s="226" t="str">
        <f t="shared" si="1"/>
        <v>-</v>
      </c>
      <c r="AH66" s="352">
        <v>1</v>
      </c>
      <c r="AI66" s="403" t="str">
        <f t="shared" si="12"/>
        <v>NG</v>
      </c>
      <c r="AJ66" s="211"/>
      <c r="AK66" s="352"/>
      <c r="AL66" s="381" t="str">
        <f t="shared" si="20"/>
        <v xml:space="preserve"> </v>
      </c>
      <c r="AM66" s="226" t="str">
        <f t="shared" si="2"/>
        <v>-</v>
      </c>
      <c r="AN66" s="352"/>
      <c r="AO66" s="403" t="str">
        <f t="shared" si="34"/>
        <v>OK</v>
      </c>
      <c r="AP66" s="211"/>
      <c r="AQ66" s="352"/>
      <c r="AR66" s="381" t="str">
        <f t="shared" si="21"/>
        <v>0</v>
      </c>
      <c r="AS66" s="226" t="str">
        <f t="shared" si="4"/>
        <v>NG</v>
      </c>
      <c r="AT66" s="352">
        <v>0</v>
      </c>
      <c r="AU66" s="403" t="str">
        <f t="shared" si="35"/>
        <v>-</v>
      </c>
      <c r="AV66" s="211"/>
      <c r="AW66" s="352"/>
      <c r="AX66" s="381" t="str">
        <f t="shared" si="22"/>
        <v>3</v>
      </c>
      <c r="AY66" s="226" t="str">
        <f t="shared" si="6"/>
        <v>-</v>
      </c>
      <c r="AZ66" s="352">
        <v>3</v>
      </c>
      <c r="BA66" s="403" t="str">
        <f t="shared" si="36"/>
        <v>NG</v>
      </c>
      <c r="BB66" s="211"/>
      <c r="BC66" s="352"/>
      <c r="BD66" s="381" t="str">
        <f t="shared" si="23"/>
        <v xml:space="preserve"> </v>
      </c>
      <c r="BE66" s="226" t="str">
        <f t="shared" si="8"/>
        <v>-</v>
      </c>
      <c r="BF66" s="352"/>
      <c r="BG66" s="403" t="s">
        <v>215</v>
      </c>
      <c r="BH66" s="211"/>
      <c r="BI66" s="352"/>
      <c r="BJ66" s="381" t="str">
        <f t="shared" si="24"/>
        <v xml:space="preserve"> </v>
      </c>
      <c r="BK66" s="226" t="s">
        <v>215</v>
      </c>
      <c r="BL66" s="352"/>
      <c r="BM66" s="403" t="s">
        <v>215</v>
      </c>
    </row>
    <row r="67" spans="1:65" s="26" customFormat="1" ht="18.75" customHeight="1" thickTop="1">
      <c r="B67" s="233">
        <f t="shared" si="25"/>
        <v>60</v>
      </c>
      <c r="C67" s="7"/>
      <c r="D67" s="7"/>
      <c r="E67" s="100" t="s">
        <v>482</v>
      </c>
      <c r="F67" s="410"/>
      <c r="G67" s="410"/>
      <c r="H67" s="61"/>
      <c r="I67" s="17" t="s">
        <v>29</v>
      </c>
      <c r="J67" s="17" t="s">
        <v>446</v>
      </c>
      <c r="K67" s="17"/>
      <c r="L67" s="17"/>
      <c r="M67" s="15" t="s">
        <v>272</v>
      </c>
      <c r="N67" s="413"/>
      <c r="O67" s="411"/>
      <c r="P67" s="129"/>
      <c r="Q67" s="124"/>
      <c r="R67" s="107"/>
      <c r="S67" s="412"/>
      <c r="T67" s="413"/>
      <c r="U67" s="107"/>
      <c r="V67" s="414"/>
      <c r="W67" s="418" t="str">
        <f>IF(C67&lt;&gt;"","0",IF(D67&lt;&gt;"","1",IF(E67&lt;&gt;"","2",IF(F67&lt;&gt;"","3",IF(G67&lt;&gt;"","4",IF(H67&lt;&gt;"","5"))))))</f>
        <v>2</v>
      </c>
      <c r="X67" s="15" t="s">
        <v>117</v>
      </c>
      <c r="Y67" s="15"/>
      <c r="Z67" s="15"/>
      <c r="AA67" s="17"/>
      <c r="AB67" s="17" t="s">
        <v>480</v>
      </c>
      <c r="AC67" s="425"/>
      <c r="AD67" s="439"/>
      <c r="AE67" s="440"/>
      <c r="AF67" s="441" t="str">
        <f t="shared" si="19"/>
        <v/>
      </c>
      <c r="AG67" s="442" t="str">
        <f t="shared" si="1"/>
        <v>-</v>
      </c>
      <c r="AH67" s="440"/>
      <c r="AI67" s="443" t="s">
        <v>481</v>
      </c>
      <c r="AJ67" s="439"/>
      <c r="AK67" s="440"/>
      <c r="AL67" s="441" t="str">
        <f t="shared" si="20"/>
        <v/>
      </c>
      <c r="AM67" s="442" t="str">
        <f t="shared" si="2"/>
        <v>-</v>
      </c>
      <c r="AN67" s="440"/>
      <c r="AO67" s="443" t="s">
        <v>215</v>
      </c>
      <c r="AP67" s="439"/>
      <c r="AQ67" s="440"/>
      <c r="AR67" s="441" t="str">
        <f t="shared" si="21"/>
        <v/>
      </c>
      <c r="AS67" s="469" t="s">
        <v>215</v>
      </c>
      <c r="AT67" s="462"/>
      <c r="AU67" s="443" t="s">
        <v>215</v>
      </c>
      <c r="AV67" s="439"/>
      <c r="AW67" s="440"/>
      <c r="AX67" s="441" t="str">
        <f t="shared" si="22"/>
        <v/>
      </c>
      <c r="AY67" s="442" t="str">
        <f t="shared" si="6"/>
        <v>-</v>
      </c>
      <c r="AZ67" s="440"/>
      <c r="BA67" s="443" t="s">
        <v>215</v>
      </c>
      <c r="BB67" s="118"/>
      <c r="BC67" s="60"/>
      <c r="BD67" s="99" t="str">
        <f t="shared" si="23"/>
        <v/>
      </c>
      <c r="BE67" s="213" t="str">
        <f t="shared" si="8"/>
        <v>-</v>
      </c>
      <c r="BF67" s="167"/>
      <c r="BG67" s="405" t="s">
        <v>215</v>
      </c>
      <c r="BH67" s="118"/>
      <c r="BI67" s="60"/>
      <c r="BJ67" s="99" t="str">
        <f t="shared" si="24"/>
        <v/>
      </c>
      <c r="BK67" s="260" t="s">
        <v>215</v>
      </c>
      <c r="BL67" s="167"/>
      <c r="BM67" s="405" t="s">
        <v>215</v>
      </c>
    </row>
    <row r="68" spans="1:65" s="26" customFormat="1" ht="63.75">
      <c r="B68" s="2">
        <f t="shared" si="25"/>
        <v>61</v>
      </c>
      <c r="C68" s="127"/>
      <c r="D68" s="7"/>
      <c r="E68" s="7"/>
      <c r="F68" s="110" t="s">
        <v>87</v>
      </c>
      <c r="G68" s="16"/>
      <c r="H68" s="13"/>
      <c r="I68" s="6"/>
      <c r="J68" s="6"/>
      <c r="K68" s="6"/>
      <c r="L68" s="8"/>
      <c r="M68" s="23" t="s">
        <v>248</v>
      </c>
      <c r="N68" s="1"/>
      <c r="O68" s="56"/>
      <c r="P68" s="93">
        <f>P66+1</f>
        <v>43</v>
      </c>
      <c r="Q68" s="115">
        <v>2</v>
      </c>
      <c r="R68" s="21" t="str">
        <f>IF(AA68="M","NX",AA68)</f>
        <v>X</v>
      </c>
      <c r="S68" s="96" t="s">
        <v>483</v>
      </c>
      <c r="T68" s="94"/>
      <c r="U68" s="21" t="s">
        <v>480</v>
      </c>
      <c r="V68" s="116" t="s">
        <v>189</v>
      </c>
      <c r="W68" s="25" t="str">
        <f>IF(C68&lt;&gt;"","0",IF(D68&lt;&gt;"","1",IF(E68&lt;&gt;"","2",IF(F68&lt;&gt;"","3",IF(G68&lt;&gt;"","4",IF(H68&lt;&gt;"","5"))))))</f>
        <v>3</v>
      </c>
      <c r="X68" s="5" t="s">
        <v>484</v>
      </c>
      <c r="Y68" s="57">
        <v>2</v>
      </c>
      <c r="Z68" s="57">
        <v>2</v>
      </c>
      <c r="AA68" s="58" t="s">
        <v>109</v>
      </c>
      <c r="AB68" s="58" t="s">
        <v>19</v>
      </c>
      <c r="AC68" s="12"/>
      <c r="AD68" s="444"/>
      <c r="AE68" s="445"/>
      <c r="AF68" s="446" t="str">
        <f t="shared" si="19"/>
        <v xml:space="preserve">  </v>
      </c>
      <c r="AG68" s="442" t="str">
        <f t="shared" si="1"/>
        <v>-</v>
      </c>
      <c r="AH68" s="445"/>
      <c r="AI68" s="447" t="s">
        <v>481</v>
      </c>
      <c r="AJ68" s="444"/>
      <c r="AK68" s="445"/>
      <c r="AL68" s="446" t="str">
        <f t="shared" si="20"/>
        <v xml:space="preserve">  </v>
      </c>
      <c r="AM68" s="442" t="str">
        <f t="shared" si="2"/>
        <v>-</v>
      </c>
      <c r="AN68" s="445"/>
      <c r="AO68" s="447" t="s">
        <v>215</v>
      </c>
      <c r="AP68" s="444"/>
      <c r="AQ68" s="445"/>
      <c r="AR68" s="446" t="str">
        <f t="shared" si="21"/>
        <v xml:space="preserve">  </v>
      </c>
      <c r="AS68" s="447" t="s">
        <v>215</v>
      </c>
      <c r="AT68" s="463"/>
      <c r="AU68" s="447" t="s">
        <v>215</v>
      </c>
      <c r="AV68" s="444"/>
      <c r="AW68" s="445"/>
      <c r="AX68" s="446" t="str">
        <f t="shared" si="22"/>
        <v xml:space="preserve">  </v>
      </c>
      <c r="AY68" s="442" t="str">
        <f t="shared" si="6"/>
        <v>-</v>
      </c>
      <c r="AZ68" s="445"/>
      <c r="BA68" s="447" t="s">
        <v>215</v>
      </c>
      <c r="BB68" s="59"/>
      <c r="BC68" s="223"/>
      <c r="BD68" s="254" t="str">
        <f t="shared" si="23"/>
        <v xml:space="preserve">  </v>
      </c>
      <c r="BE68" s="213" t="str">
        <f t="shared" si="8"/>
        <v>-</v>
      </c>
      <c r="BF68" s="172"/>
      <c r="BG68" s="225" t="s">
        <v>215</v>
      </c>
      <c r="BH68" s="59"/>
      <c r="BI68" s="223"/>
      <c r="BJ68" s="254" t="str">
        <f t="shared" si="24"/>
        <v xml:space="preserve">  </v>
      </c>
      <c r="BK68" s="213" t="s">
        <v>215</v>
      </c>
      <c r="BL68" s="172"/>
      <c r="BM68" s="225" t="s">
        <v>215</v>
      </c>
    </row>
    <row r="69" spans="1:65" s="26" customFormat="1" ht="344.25">
      <c r="B69" s="2">
        <f t="shared" si="25"/>
        <v>62</v>
      </c>
      <c r="C69" s="7"/>
      <c r="D69" s="7"/>
      <c r="E69" s="7"/>
      <c r="F69" s="110" t="s">
        <v>485</v>
      </c>
      <c r="G69" s="16"/>
      <c r="H69" s="13"/>
      <c r="I69" s="8"/>
      <c r="J69" s="8" t="s">
        <v>446</v>
      </c>
      <c r="K69" s="8"/>
      <c r="L69" s="8"/>
      <c r="M69" s="355" t="s">
        <v>486</v>
      </c>
      <c r="N69" s="11"/>
      <c r="O69" s="56"/>
      <c r="P69" s="93">
        <f>P68+1</f>
        <v>44</v>
      </c>
      <c r="Q69" s="113">
        <v>2</v>
      </c>
      <c r="R69" s="21" t="str">
        <f t="shared" ref="R69:R93" si="39">IF(AA69="M","NX",AA69)</f>
        <v>X</v>
      </c>
      <c r="S69" s="96" t="s">
        <v>487</v>
      </c>
      <c r="T69" s="94"/>
      <c r="U69" s="21" t="s">
        <v>480</v>
      </c>
      <c r="V69" s="10"/>
      <c r="W69" s="25">
        <v>3</v>
      </c>
      <c r="X69" s="1" t="s">
        <v>488</v>
      </c>
      <c r="Y69" s="1">
        <v>2</v>
      </c>
      <c r="Z69" s="1">
        <v>2</v>
      </c>
      <c r="AA69" s="8" t="s">
        <v>109</v>
      </c>
      <c r="AB69" s="8" t="s">
        <v>19</v>
      </c>
      <c r="AC69" s="12"/>
      <c r="AD69" s="444"/>
      <c r="AE69" s="445"/>
      <c r="AF69" s="446" t="str">
        <f t="shared" si="19"/>
        <v xml:space="preserve">  </v>
      </c>
      <c r="AG69" s="442" t="str">
        <f t="shared" si="1"/>
        <v>-</v>
      </c>
      <c r="AH69" s="445"/>
      <c r="AI69" s="448" t="s">
        <v>532</v>
      </c>
      <c r="AJ69" s="444"/>
      <c r="AK69" s="445"/>
      <c r="AL69" s="446" t="str">
        <f t="shared" si="20"/>
        <v xml:space="preserve">  </v>
      </c>
      <c r="AM69" s="442" t="str">
        <f t="shared" si="2"/>
        <v>-</v>
      </c>
      <c r="AN69" s="445"/>
      <c r="AO69" s="448" t="s">
        <v>532</v>
      </c>
      <c r="AP69" s="444"/>
      <c r="AQ69" s="445"/>
      <c r="AR69" s="446" t="str">
        <f t="shared" si="21"/>
        <v xml:space="preserve">  </v>
      </c>
      <c r="AS69" s="442" t="s">
        <v>532</v>
      </c>
      <c r="AT69" s="463"/>
      <c r="AU69" s="448" t="s">
        <v>532</v>
      </c>
      <c r="AV69" s="444"/>
      <c r="AW69" s="445"/>
      <c r="AX69" s="446" t="str">
        <f t="shared" si="22"/>
        <v xml:space="preserve">  </v>
      </c>
      <c r="AY69" s="442" t="str">
        <f t="shared" si="6"/>
        <v>-</v>
      </c>
      <c r="AZ69" s="445"/>
      <c r="BA69" s="448" t="s">
        <v>532</v>
      </c>
      <c r="BB69" s="59"/>
      <c r="BC69" s="223"/>
      <c r="BD69" s="254" t="str">
        <f t="shared" si="23"/>
        <v>00</v>
      </c>
      <c r="BE69" s="213" t="str">
        <f t="shared" si="8"/>
        <v>-</v>
      </c>
      <c r="BF69" s="172" t="s">
        <v>58</v>
      </c>
      <c r="BG69" s="405" t="str">
        <f>IF(OR(BC$8="判定対象外",BF$8="判定対象外",BF69="-"),"-",IF(BC69=BF69,"OK","NG"))</f>
        <v>NG</v>
      </c>
      <c r="BH69" s="59"/>
      <c r="BI69" s="223"/>
      <c r="BJ69" s="254" t="str">
        <f t="shared" si="24"/>
        <v>11</v>
      </c>
      <c r="BK69" s="213" t="str">
        <f t="shared" si="10"/>
        <v>NG</v>
      </c>
      <c r="BL69" s="172" t="s">
        <v>571</v>
      </c>
      <c r="BM69" s="405" t="str">
        <f>IF(OR(BI$8="判定対象外",BL$8="判定対象外",BL69="-"),"-",IF(BI69=BL69,"OK","NG"))</f>
        <v>NG</v>
      </c>
    </row>
    <row r="70" spans="1:65" s="26" customFormat="1">
      <c r="B70" s="2">
        <f t="shared" si="25"/>
        <v>63</v>
      </c>
      <c r="C70" s="7"/>
      <c r="D70" s="7"/>
      <c r="E70" s="7"/>
      <c r="F70" s="22" t="s">
        <v>273</v>
      </c>
      <c r="G70" s="16"/>
      <c r="H70" s="13"/>
      <c r="I70" s="8"/>
      <c r="J70" s="8"/>
      <c r="K70" s="8"/>
      <c r="L70" s="8"/>
      <c r="M70" s="358" t="s">
        <v>205</v>
      </c>
      <c r="N70" s="11"/>
      <c r="O70" s="56"/>
      <c r="P70" s="93">
        <f t="shared" ref="P70:P91" si="40">P69+1</f>
        <v>45</v>
      </c>
      <c r="Q70" s="113">
        <v>2</v>
      </c>
      <c r="R70" s="21" t="str">
        <f t="shared" si="39"/>
        <v>X</v>
      </c>
      <c r="S70" s="96" t="s">
        <v>118</v>
      </c>
      <c r="T70" s="94"/>
      <c r="U70" s="21" t="s">
        <v>226</v>
      </c>
      <c r="V70" s="10"/>
      <c r="W70" s="25">
        <v>3</v>
      </c>
      <c r="X70" s="1" t="s">
        <v>119</v>
      </c>
      <c r="Y70" s="1">
        <v>2</v>
      </c>
      <c r="Z70" s="1">
        <v>2</v>
      </c>
      <c r="AA70" s="8" t="s">
        <v>109</v>
      </c>
      <c r="AB70" s="8" t="s">
        <v>19</v>
      </c>
      <c r="AC70" s="12"/>
      <c r="AD70" s="444"/>
      <c r="AE70" s="440"/>
      <c r="AF70" s="440" t="str">
        <f t="shared" si="19"/>
        <v xml:space="preserve">  </v>
      </c>
      <c r="AG70" s="442" t="str">
        <f t="shared" si="1"/>
        <v>-</v>
      </c>
      <c r="AH70" s="440"/>
      <c r="AI70" s="447" t="s">
        <v>532</v>
      </c>
      <c r="AJ70" s="444"/>
      <c r="AK70" s="440"/>
      <c r="AL70" s="440" t="str">
        <f t="shared" si="20"/>
        <v xml:space="preserve">  </v>
      </c>
      <c r="AM70" s="442" t="str">
        <f t="shared" si="2"/>
        <v>-</v>
      </c>
      <c r="AN70" s="440"/>
      <c r="AO70" s="447" t="s">
        <v>532</v>
      </c>
      <c r="AP70" s="444"/>
      <c r="AQ70" s="440"/>
      <c r="AR70" s="440" t="str">
        <f t="shared" si="21"/>
        <v xml:space="preserve">  </v>
      </c>
      <c r="AS70" s="447" t="s">
        <v>532</v>
      </c>
      <c r="AT70" s="462"/>
      <c r="AU70" s="447" t="s">
        <v>532</v>
      </c>
      <c r="AV70" s="444"/>
      <c r="AW70" s="440"/>
      <c r="AX70" s="440" t="str">
        <f t="shared" si="22"/>
        <v xml:space="preserve">  </v>
      </c>
      <c r="AY70" s="442" t="str">
        <f t="shared" si="6"/>
        <v>-</v>
      </c>
      <c r="AZ70" s="440"/>
      <c r="BA70" s="447" t="s">
        <v>532</v>
      </c>
      <c r="BB70" s="59"/>
      <c r="BC70" s="60"/>
      <c r="BD70" s="60" t="str">
        <f t="shared" si="23"/>
        <v xml:space="preserve">  </v>
      </c>
      <c r="BE70" s="213" t="str">
        <f t="shared" si="8"/>
        <v>-</v>
      </c>
      <c r="BF70" s="167"/>
      <c r="BG70" s="225" t="s">
        <v>215</v>
      </c>
      <c r="BH70" s="59"/>
      <c r="BI70" s="60"/>
      <c r="BJ70" s="60" t="str">
        <f t="shared" si="24"/>
        <v xml:space="preserve">  </v>
      </c>
      <c r="BK70" s="213" t="s">
        <v>215</v>
      </c>
      <c r="BL70" s="167"/>
      <c r="BM70" s="225" t="s">
        <v>215</v>
      </c>
    </row>
    <row r="71" spans="1:65" s="26" customFormat="1">
      <c r="B71" s="2">
        <f t="shared" si="25"/>
        <v>64</v>
      </c>
      <c r="C71" s="7"/>
      <c r="D71" s="7"/>
      <c r="E71" s="7"/>
      <c r="F71" s="22" t="s">
        <v>120</v>
      </c>
      <c r="G71" s="16"/>
      <c r="H71" s="13"/>
      <c r="I71" s="8"/>
      <c r="J71" s="8" t="s">
        <v>231</v>
      </c>
      <c r="K71" s="8"/>
      <c r="L71" s="8"/>
      <c r="M71" s="1" t="s">
        <v>121</v>
      </c>
      <c r="N71" s="1"/>
      <c r="O71" s="56"/>
      <c r="P71" s="93">
        <f t="shared" si="40"/>
        <v>46</v>
      </c>
      <c r="Q71" s="113">
        <v>255</v>
      </c>
      <c r="R71" s="21" t="str">
        <f t="shared" si="39"/>
        <v>NX</v>
      </c>
      <c r="S71" s="96" t="s">
        <v>122</v>
      </c>
      <c r="T71" s="94"/>
      <c r="U71" s="21" t="s">
        <v>226</v>
      </c>
      <c r="V71" s="10"/>
      <c r="W71" s="25">
        <v>3</v>
      </c>
      <c r="X71" s="1" t="s">
        <v>250</v>
      </c>
      <c r="Y71" s="1">
        <v>1</v>
      </c>
      <c r="Z71" s="1">
        <v>255</v>
      </c>
      <c r="AA71" s="8" t="s">
        <v>123</v>
      </c>
      <c r="AB71" s="8" t="s">
        <v>19</v>
      </c>
      <c r="AC71" s="12"/>
      <c r="AD71" s="444"/>
      <c r="AE71" s="445"/>
      <c r="AF71" s="445" t="str">
        <f t="shared" si="1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71" s="442" t="str">
        <f t="shared" si="1"/>
        <v>-</v>
      </c>
      <c r="AH71" s="445"/>
      <c r="AI71" s="447" t="s">
        <v>532</v>
      </c>
      <c r="AJ71" s="444"/>
      <c r="AK71" s="445"/>
      <c r="AL71" s="445" t="str">
        <f t="shared" si="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71" s="442" t="str">
        <f t="shared" si="2"/>
        <v>-</v>
      </c>
      <c r="AN71" s="445"/>
      <c r="AO71" s="447" t="s">
        <v>532</v>
      </c>
      <c r="AP71" s="444"/>
      <c r="AQ71" s="445"/>
      <c r="AR71" s="445" t="str">
        <f t="shared" si="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71" s="447" t="s">
        <v>532</v>
      </c>
      <c r="AT71" s="463"/>
      <c r="AU71" s="447" t="s">
        <v>532</v>
      </c>
      <c r="AV71" s="444"/>
      <c r="AW71" s="445"/>
      <c r="AX71" s="445" t="str">
        <f t="shared" si="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71" s="442" t="str">
        <f t="shared" si="6"/>
        <v>-</v>
      </c>
      <c r="AZ71" s="445"/>
      <c r="BA71" s="447" t="s">
        <v>532</v>
      </c>
      <c r="BB71" s="59"/>
      <c r="BC71" s="223"/>
      <c r="BD71" s="223" t="str">
        <f t="shared" si="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71" s="213" t="str">
        <f t="shared" si="8"/>
        <v>-</v>
      </c>
      <c r="BF71" s="172"/>
      <c r="BG71" s="225" t="s">
        <v>215</v>
      </c>
      <c r="BH71" s="59"/>
      <c r="BI71" s="223"/>
      <c r="BJ71" s="223" t="str">
        <f t="shared" si="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71" s="213" t="s">
        <v>215</v>
      </c>
      <c r="BL71" s="172"/>
      <c r="BM71" s="225" t="s">
        <v>215</v>
      </c>
    </row>
    <row r="72" spans="1:65" s="26" customFormat="1">
      <c r="B72" s="19">
        <f t="shared" si="25"/>
        <v>65</v>
      </c>
      <c r="C72" s="7"/>
      <c r="D72" s="7"/>
      <c r="E72" s="7"/>
      <c r="F72" s="3" t="s">
        <v>124</v>
      </c>
      <c r="G72" s="3"/>
      <c r="H72" s="4"/>
      <c r="I72" s="6"/>
      <c r="J72" s="6"/>
      <c r="K72" s="6"/>
      <c r="L72" s="6"/>
      <c r="M72" s="23" t="s">
        <v>125</v>
      </c>
      <c r="N72" s="5"/>
      <c r="O72" s="54"/>
      <c r="P72" s="93">
        <f t="shared" si="40"/>
        <v>47</v>
      </c>
      <c r="Q72" s="114">
        <v>256</v>
      </c>
      <c r="R72" s="21" t="str">
        <f t="shared" si="39"/>
        <v>NX</v>
      </c>
      <c r="S72" s="96" t="s">
        <v>126</v>
      </c>
      <c r="T72" s="94"/>
      <c r="U72" s="21" t="s">
        <v>226</v>
      </c>
      <c r="V72" s="10"/>
      <c r="W72" s="28">
        <v>3</v>
      </c>
      <c r="X72" s="5" t="s">
        <v>251</v>
      </c>
      <c r="Y72" s="5">
        <v>1</v>
      </c>
      <c r="Z72" s="5">
        <v>256</v>
      </c>
      <c r="AA72" s="6" t="s">
        <v>252</v>
      </c>
      <c r="AB72" s="6" t="s">
        <v>226</v>
      </c>
      <c r="AC72" s="63"/>
      <c r="AD72" s="444"/>
      <c r="AE72" s="440"/>
      <c r="AF72" s="440" t="str">
        <f t="shared" si="1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72" s="442" t="str">
        <f t="shared" ref="AG72:AG135" si="41">IF(OR(AE$8="判定対象外",AF$8="判定対象外",AF72="-"),"-",IF(AE72=AF72,"OK","NG"))</f>
        <v>-</v>
      </c>
      <c r="AH72" s="440"/>
      <c r="AI72" s="447" t="s">
        <v>532</v>
      </c>
      <c r="AJ72" s="444"/>
      <c r="AK72" s="440"/>
      <c r="AL72" s="440" t="str">
        <f t="shared" si="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72" s="442" t="str">
        <f t="shared" ref="AM72:AM135" si="42">IF(OR(AK$8="判定対象外",AL$8="判定対象外",AL72="-"),"-",IF(AK72=AL72,"OK","NG"))</f>
        <v>-</v>
      </c>
      <c r="AN72" s="440"/>
      <c r="AO72" s="447" t="s">
        <v>532</v>
      </c>
      <c r="AP72" s="444"/>
      <c r="AQ72" s="440"/>
      <c r="AR72" s="440" t="str">
        <f t="shared" si="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72" s="447" t="s">
        <v>532</v>
      </c>
      <c r="AT72" s="462"/>
      <c r="AU72" s="447" t="s">
        <v>532</v>
      </c>
      <c r="AV72" s="444"/>
      <c r="AW72" s="440"/>
      <c r="AX72" s="440" t="str">
        <f t="shared" si="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72" s="442" t="str">
        <f t="shared" ref="AY72:AY135" si="43">IF(OR(AW$8="判定対象外",AX$8="判定対象外",AX72="-"),"-",IF(AW72=AX72,"OK","NG"))</f>
        <v>-</v>
      </c>
      <c r="AZ72" s="440"/>
      <c r="BA72" s="447" t="s">
        <v>532</v>
      </c>
      <c r="BB72" s="59"/>
      <c r="BC72" s="60"/>
      <c r="BD72" s="60" t="str">
        <f t="shared" si="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72" s="213" t="str">
        <f t="shared" ref="BE72:BE135" si="44">IF(OR(BC$8="判定対象外",BD$8="判定対象外",BD72="-"),"-",IF(BC72=BD72,"OK","NG"))</f>
        <v>-</v>
      </c>
      <c r="BF72" s="167"/>
      <c r="BG72" s="225" t="s">
        <v>215</v>
      </c>
      <c r="BH72" s="59"/>
      <c r="BI72" s="60"/>
      <c r="BJ72" s="60" t="str">
        <f t="shared" si="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72" s="213" t="s">
        <v>215</v>
      </c>
      <c r="BL72" s="167"/>
      <c r="BM72" s="225" t="s">
        <v>215</v>
      </c>
    </row>
    <row r="73" spans="1:65" s="26" customFormat="1" ht="63.75">
      <c r="B73" s="2">
        <f t="shared" si="25"/>
        <v>66</v>
      </c>
      <c r="C73" s="7"/>
      <c r="D73" s="7"/>
      <c r="E73" s="7"/>
      <c r="F73" s="22" t="s">
        <v>127</v>
      </c>
      <c r="G73" s="16"/>
      <c r="H73" s="13"/>
      <c r="I73" s="8"/>
      <c r="J73" s="8"/>
      <c r="K73" s="8"/>
      <c r="L73" s="8"/>
      <c r="M73" s="11" t="s">
        <v>311</v>
      </c>
      <c r="N73" s="1"/>
      <c r="O73" s="56"/>
      <c r="P73" s="93">
        <f t="shared" si="40"/>
        <v>48</v>
      </c>
      <c r="Q73" s="113">
        <v>256</v>
      </c>
      <c r="R73" s="21" t="str">
        <f t="shared" si="39"/>
        <v>NX</v>
      </c>
      <c r="S73" s="96" t="s">
        <v>128</v>
      </c>
      <c r="T73" s="94"/>
      <c r="U73" s="21" t="s">
        <v>226</v>
      </c>
      <c r="V73" s="10"/>
      <c r="W73" s="25">
        <v>3</v>
      </c>
      <c r="X73" s="1" t="s">
        <v>129</v>
      </c>
      <c r="Y73" s="1">
        <v>1</v>
      </c>
      <c r="Z73" s="1">
        <v>256</v>
      </c>
      <c r="AA73" s="8" t="s">
        <v>123</v>
      </c>
      <c r="AB73" s="8" t="s">
        <v>226</v>
      </c>
      <c r="AC73" s="12"/>
      <c r="AD73" s="444"/>
      <c r="AE73" s="445"/>
      <c r="AF73" s="446" t="str">
        <f t="shared" si="1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73" s="442" t="str">
        <f t="shared" si="41"/>
        <v>-</v>
      </c>
      <c r="AH73" s="445"/>
      <c r="AI73" s="447" t="s">
        <v>532</v>
      </c>
      <c r="AJ73" s="444"/>
      <c r="AK73" s="445"/>
      <c r="AL73" s="446" t="str">
        <f t="shared" si="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73" s="442" t="str">
        <f t="shared" si="42"/>
        <v>-</v>
      </c>
      <c r="AN73" s="445"/>
      <c r="AO73" s="447" t="s">
        <v>532</v>
      </c>
      <c r="AP73" s="444"/>
      <c r="AQ73" s="445"/>
      <c r="AR73" s="446" t="str">
        <f t="shared" si="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73" s="447" t="s">
        <v>532</v>
      </c>
      <c r="AT73" s="463"/>
      <c r="AU73" s="447" t="s">
        <v>532</v>
      </c>
      <c r="AV73" s="444"/>
      <c r="AW73" s="445"/>
      <c r="AX73" s="446" t="str">
        <f t="shared" si="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73" s="442" t="str">
        <f t="shared" si="43"/>
        <v>-</v>
      </c>
      <c r="AZ73" s="445"/>
      <c r="BA73" s="447" t="s">
        <v>532</v>
      </c>
      <c r="BB73" s="59"/>
      <c r="BC73" s="223"/>
      <c r="BD73" s="254" t="str">
        <f t="shared" si="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73" s="213" t="str">
        <f t="shared" si="44"/>
        <v>-</v>
      </c>
      <c r="BF73" s="172"/>
      <c r="BG73" s="225" t="s">
        <v>215</v>
      </c>
      <c r="BH73" s="59"/>
      <c r="BI73" s="223"/>
      <c r="BJ73" s="254" t="str">
        <f t="shared" si="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73" s="213" t="s">
        <v>215</v>
      </c>
      <c r="BL73" s="172"/>
      <c r="BM73" s="225" t="s">
        <v>215</v>
      </c>
    </row>
    <row r="74" spans="1:65" s="26" customFormat="1" ht="63.75">
      <c r="B74" s="2">
        <f t="shared" si="25"/>
        <v>67</v>
      </c>
      <c r="C74" s="7"/>
      <c r="D74" s="7"/>
      <c r="E74" s="7"/>
      <c r="F74" s="22" t="s">
        <v>130</v>
      </c>
      <c r="G74" s="16"/>
      <c r="H74" s="13"/>
      <c r="I74" s="8"/>
      <c r="J74" s="8"/>
      <c r="K74" s="8"/>
      <c r="L74" s="8"/>
      <c r="M74" s="11" t="s">
        <v>312</v>
      </c>
      <c r="N74" s="1"/>
      <c r="O74" s="56"/>
      <c r="P74" s="93">
        <f t="shared" si="40"/>
        <v>49</v>
      </c>
      <c r="Q74" s="113">
        <v>256</v>
      </c>
      <c r="R74" s="21" t="str">
        <f t="shared" si="39"/>
        <v>NX</v>
      </c>
      <c r="S74" s="96" t="s">
        <v>131</v>
      </c>
      <c r="T74" s="94"/>
      <c r="U74" s="21" t="s">
        <v>226</v>
      </c>
      <c r="V74" s="10"/>
      <c r="W74" s="25">
        <v>3</v>
      </c>
      <c r="X74" s="1" t="s">
        <v>132</v>
      </c>
      <c r="Y74" s="1">
        <v>1</v>
      </c>
      <c r="Z74" s="1">
        <v>256</v>
      </c>
      <c r="AA74" s="8" t="s">
        <v>123</v>
      </c>
      <c r="AB74" s="8" t="s">
        <v>226</v>
      </c>
      <c r="AC74" s="12"/>
      <c r="AD74" s="444"/>
      <c r="AE74" s="445"/>
      <c r="AF74" s="446" t="str">
        <f t="shared" si="1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74" s="442" t="str">
        <f t="shared" si="41"/>
        <v>-</v>
      </c>
      <c r="AH74" s="445"/>
      <c r="AI74" s="447" t="s">
        <v>532</v>
      </c>
      <c r="AJ74" s="444"/>
      <c r="AK74" s="445"/>
      <c r="AL74" s="446" t="str">
        <f t="shared" si="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74" s="442" t="str">
        <f t="shared" si="42"/>
        <v>-</v>
      </c>
      <c r="AN74" s="445"/>
      <c r="AO74" s="447" t="s">
        <v>532</v>
      </c>
      <c r="AP74" s="444"/>
      <c r="AQ74" s="445"/>
      <c r="AR74" s="446" t="str">
        <f t="shared" si="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74" s="447" t="s">
        <v>532</v>
      </c>
      <c r="AT74" s="463"/>
      <c r="AU74" s="447" t="s">
        <v>532</v>
      </c>
      <c r="AV74" s="444"/>
      <c r="AW74" s="445"/>
      <c r="AX74" s="446" t="str">
        <f t="shared" si="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74" s="442" t="str">
        <f t="shared" si="43"/>
        <v>-</v>
      </c>
      <c r="AZ74" s="445"/>
      <c r="BA74" s="447" t="s">
        <v>532</v>
      </c>
      <c r="BB74" s="59"/>
      <c r="BC74" s="223"/>
      <c r="BD74" s="254" t="str">
        <f t="shared" si="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74" s="213" t="str">
        <f t="shared" si="44"/>
        <v>-</v>
      </c>
      <c r="BF74" s="172"/>
      <c r="BG74" s="225" t="s">
        <v>215</v>
      </c>
      <c r="BH74" s="59"/>
      <c r="BI74" s="223"/>
      <c r="BJ74" s="254" t="str">
        <f t="shared" si="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74" s="213" t="s">
        <v>215</v>
      </c>
      <c r="BL74" s="172"/>
      <c r="BM74" s="225" t="s">
        <v>215</v>
      </c>
    </row>
    <row r="75" spans="1:65" s="26" customFormat="1" ht="69" customHeight="1">
      <c r="B75" s="19">
        <f t="shared" si="25"/>
        <v>68</v>
      </c>
      <c r="C75" s="7"/>
      <c r="D75" s="7"/>
      <c r="E75" s="7"/>
      <c r="F75" s="110" t="s">
        <v>313</v>
      </c>
      <c r="G75" s="16"/>
      <c r="H75" s="13"/>
      <c r="I75" s="8"/>
      <c r="J75" s="8" t="s">
        <v>231</v>
      </c>
      <c r="K75" s="8"/>
      <c r="L75" s="8"/>
      <c r="M75" s="11" t="s">
        <v>253</v>
      </c>
      <c r="N75" s="1"/>
      <c r="O75" s="56"/>
      <c r="P75" s="93">
        <f t="shared" si="40"/>
        <v>50</v>
      </c>
      <c r="Q75" s="113">
        <v>1</v>
      </c>
      <c r="R75" s="21" t="s">
        <v>229</v>
      </c>
      <c r="S75" s="96" t="s">
        <v>133</v>
      </c>
      <c r="T75" s="94"/>
      <c r="U75" s="21" t="s">
        <v>226</v>
      </c>
      <c r="V75" s="10"/>
      <c r="W75" s="25">
        <v>3</v>
      </c>
      <c r="X75" s="1" t="s">
        <v>134</v>
      </c>
      <c r="Y75" s="1">
        <v>1</v>
      </c>
      <c r="Z75" s="1">
        <v>1</v>
      </c>
      <c r="AA75" s="8">
        <v>9</v>
      </c>
      <c r="AB75" s="8" t="s">
        <v>19</v>
      </c>
      <c r="AC75" s="12"/>
      <c r="AD75" s="444"/>
      <c r="AE75" s="445"/>
      <c r="AF75" s="440" t="str">
        <f t="shared" si="19"/>
        <v xml:space="preserve"> </v>
      </c>
      <c r="AG75" s="442" t="str">
        <f t="shared" si="41"/>
        <v>-</v>
      </c>
      <c r="AH75" s="445"/>
      <c r="AI75" s="447" t="s">
        <v>532</v>
      </c>
      <c r="AJ75" s="444"/>
      <c r="AK75" s="445"/>
      <c r="AL75" s="440" t="str">
        <f t="shared" si="20"/>
        <v xml:space="preserve"> </v>
      </c>
      <c r="AM75" s="442" t="str">
        <f t="shared" si="42"/>
        <v>-</v>
      </c>
      <c r="AN75" s="445"/>
      <c r="AO75" s="447" t="s">
        <v>532</v>
      </c>
      <c r="AP75" s="444"/>
      <c r="AQ75" s="445"/>
      <c r="AR75" s="440" t="str">
        <f t="shared" si="21"/>
        <v xml:space="preserve"> </v>
      </c>
      <c r="AS75" s="447" t="s">
        <v>532</v>
      </c>
      <c r="AT75" s="463"/>
      <c r="AU75" s="447" t="s">
        <v>532</v>
      </c>
      <c r="AV75" s="444"/>
      <c r="AW75" s="445"/>
      <c r="AX75" s="440" t="str">
        <f t="shared" si="22"/>
        <v xml:space="preserve"> </v>
      </c>
      <c r="AY75" s="442" t="str">
        <f t="shared" si="43"/>
        <v>-</v>
      </c>
      <c r="AZ75" s="445"/>
      <c r="BA75" s="447" t="s">
        <v>532</v>
      </c>
      <c r="BB75" s="59"/>
      <c r="BC75" s="223"/>
      <c r="BD75" s="60" t="str">
        <f t="shared" si="23"/>
        <v xml:space="preserve"> </v>
      </c>
      <c r="BE75" s="213" t="str">
        <f t="shared" si="44"/>
        <v>-</v>
      </c>
      <c r="BF75" s="172"/>
      <c r="BG75" s="225" t="s">
        <v>215</v>
      </c>
      <c r="BH75" s="59"/>
      <c r="BI75" s="223"/>
      <c r="BJ75" s="60" t="str">
        <f t="shared" si="24"/>
        <v xml:space="preserve"> </v>
      </c>
      <c r="BK75" s="213" t="s">
        <v>215</v>
      </c>
      <c r="BL75" s="172"/>
      <c r="BM75" s="225" t="s">
        <v>215</v>
      </c>
    </row>
    <row r="76" spans="1:65" s="26" customFormat="1" ht="114.75">
      <c r="B76" s="2">
        <f t="shared" si="25"/>
        <v>69</v>
      </c>
      <c r="C76" s="7"/>
      <c r="D76" s="7"/>
      <c r="E76" s="7"/>
      <c r="F76" s="22" t="s">
        <v>135</v>
      </c>
      <c r="G76" s="16"/>
      <c r="H76" s="13"/>
      <c r="I76" s="8"/>
      <c r="J76" s="8"/>
      <c r="K76" s="8"/>
      <c r="L76" s="8"/>
      <c r="M76" s="359" t="s">
        <v>206</v>
      </c>
      <c r="N76" s="1"/>
      <c r="O76" s="56"/>
      <c r="P76" s="93">
        <f t="shared" si="40"/>
        <v>51</v>
      </c>
      <c r="Q76" s="113">
        <v>1</v>
      </c>
      <c r="R76" s="21" t="s">
        <v>229</v>
      </c>
      <c r="S76" s="96" t="s">
        <v>136</v>
      </c>
      <c r="T76" s="94"/>
      <c r="U76" s="21" t="s">
        <v>226</v>
      </c>
      <c r="V76" s="10"/>
      <c r="W76" s="25">
        <v>3</v>
      </c>
      <c r="X76" s="1" t="s">
        <v>18</v>
      </c>
      <c r="Y76" s="1">
        <v>1</v>
      </c>
      <c r="Z76" s="1">
        <v>1</v>
      </c>
      <c r="AA76" s="8">
        <v>9</v>
      </c>
      <c r="AB76" s="8" t="s">
        <v>19</v>
      </c>
      <c r="AC76" s="101"/>
      <c r="AD76" s="444"/>
      <c r="AE76" s="445"/>
      <c r="AF76" s="440" t="str">
        <f t="shared" si="19"/>
        <v xml:space="preserve"> </v>
      </c>
      <c r="AG76" s="442" t="str">
        <f t="shared" si="41"/>
        <v>-</v>
      </c>
      <c r="AH76" s="445"/>
      <c r="AI76" s="447" t="s">
        <v>532</v>
      </c>
      <c r="AJ76" s="444"/>
      <c r="AK76" s="445"/>
      <c r="AL76" s="440" t="str">
        <f t="shared" si="20"/>
        <v xml:space="preserve"> </v>
      </c>
      <c r="AM76" s="442" t="str">
        <f t="shared" si="42"/>
        <v>-</v>
      </c>
      <c r="AN76" s="445"/>
      <c r="AO76" s="447" t="s">
        <v>532</v>
      </c>
      <c r="AP76" s="444"/>
      <c r="AQ76" s="445"/>
      <c r="AR76" s="440" t="str">
        <f t="shared" si="21"/>
        <v xml:space="preserve"> </v>
      </c>
      <c r="AS76" s="447" t="s">
        <v>532</v>
      </c>
      <c r="AT76" s="463"/>
      <c r="AU76" s="447" t="s">
        <v>532</v>
      </c>
      <c r="AV76" s="444"/>
      <c r="AW76" s="445"/>
      <c r="AX76" s="440" t="str">
        <f t="shared" si="22"/>
        <v xml:space="preserve"> </v>
      </c>
      <c r="AY76" s="442" t="str">
        <f t="shared" si="43"/>
        <v>-</v>
      </c>
      <c r="AZ76" s="445"/>
      <c r="BA76" s="447" t="s">
        <v>532</v>
      </c>
      <c r="BB76" s="59"/>
      <c r="BC76" s="223"/>
      <c r="BD76" s="60" t="str">
        <f t="shared" si="23"/>
        <v xml:space="preserve"> </v>
      </c>
      <c r="BE76" s="213" t="str">
        <f t="shared" si="44"/>
        <v>-</v>
      </c>
      <c r="BF76" s="172"/>
      <c r="BG76" s="225" t="s">
        <v>215</v>
      </c>
      <c r="BH76" s="59"/>
      <c r="BI76" s="223"/>
      <c r="BJ76" s="60" t="str">
        <f t="shared" si="24"/>
        <v xml:space="preserve"> </v>
      </c>
      <c r="BK76" s="213" t="s">
        <v>215</v>
      </c>
      <c r="BL76" s="172"/>
      <c r="BM76" s="225" t="s">
        <v>215</v>
      </c>
    </row>
    <row r="77" spans="1:65" s="26" customFormat="1" ht="124.5" customHeight="1">
      <c r="B77" s="64">
        <f t="shared" si="25"/>
        <v>70</v>
      </c>
      <c r="C77" s="7"/>
      <c r="D77" s="7"/>
      <c r="E77" s="7"/>
      <c r="F77" s="110" t="s">
        <v>137</v>
      </c>
      <c r="G77" s="16"/>
      <c r="H77" s="13"/>
      <c r="I77" s="8"/>
      <c r="J77" s="8"/>
      <c r="K77" s="8"/>
      <c r="L77" s="8"/>
      <c r="M77" s="11" t="s">
        <v>479</v>
      </c>
      <c r="N77" s="1"/>
      <c r="O77" s="56"/>
      <c r="P77" s="93">
        <f t="shared" si="40"/>
        <v>52</v>
      </c>
      <c r="Q77" s="113">
        <v>1</v>
      </c>
      <c r="R77" s="21" t="str">
        <f t="shared" si="39"/>
        <v>X</v>
      </c>
      <c r="S77" s="96" t="s">
        <v>183</v>
      </c>
      <c r="T77" s="94"/>
      <c r="U77" s="21" t="s">
        <v>226</v>
      </c>
      <c r="V77" s="10"/>
      <c r="W77" s="25">
        <v>3</v>
      </c>
      <c r="X77" s="1" t="s">
        <v>254</v>
      </c>
      <c r="Y77" s="1">
        <v>1</v>
      </c>
      <c r="Z77" s="1">
        <v>1</v>
      </c>
      <c r="AA77" s="8" t="s">
        <v>229</v>
      </c>
      <c r="AB77" s="8" t="s">
        <v>226</v>
      </c>
      <c r="AC77" s="12"/>
      <c r="AD77" s="444"/>
      <c r="AE77" s="445"/>
      <c r="AF77" s="440" t="str">
        <f t="shared" si="19"/>
        <v xml:space="preserve"> </v>
      </c>
      <c r="AG77" s="442" t="str">
        <f t="shared" si="41"/>
        <v>-</v>
      </c>
      <c r="AH77" s="445"/>
      <c r="AI77" s="447" t="s">
        <v>532</v>
      </c>
      <c r="AJ77" s="444"/>
      <c r="AK77" s="445"/>
      <c r="AL77" s="440" t="str">
        <f t="shared" si="20"/>
        <v xml:space="preserve"> </v>
      </c>
      <c r="AM77" s="442" t="str">
        <f t="shared" si="42"/>
        <v>-</v>
      </c>
      <c r="AN77" s="445"/>
      <c r="AO77" s="447" t="s">
        <v>532</v>
      </c>
      <c r="AP77" s="444"/>
      <c r="AQ77" s="445"/>
      <c r="AR77" s="440" t="str">
        <f t="shared" si="21"/>
        <v xml:space="preserve"> </v>
      </c>
      <c r="AS77" s="447" t="s">
        <v>532</v>
      </c>
      <c r="AT77" s="463"/>
      <c r="AU77" s="447" t="s">
        <v>532</v>
      </c>
      <c r="AV77" s="444"/>
      <c r="AW77" s="445"/>
      <c r="AX77" s="440" t="str">
        <f t="shared" si="22"/>
        <v xml:space="preserve"> </v>
      </c>
      <c r="AY77" s="442" t="str">
        <f t="shared" si="43"/>
        <v>-</v>
      </c>
      <c r="AZ77" s="445"/>
      <c r="BA77" s="447" t="s">
        <v>532</v>
      </c>
      <c r="BB77" s="59"/>
      <c r="BC77" s="223"/>
      <c r="BD77" s="60" t="str">
        <f t="shared" si="23"/>
        <v xml:space="preserve"> </v>
      </c>
      <c r="BE77" s="213" t="str">
        <f t="shared" si="44"/>
        <v>-</v>
      </c>
      <c r="BF77" s="172"/>
      <c r="BG77" s="225" t="s">
        <v>215</v>
      </c>
      <c r="BH77" s="59"/>
      <c r="BI77" s="223"/>
      <c r="BJ77" s="60" t="str">
        <f t="shared" si="24"/>
        <v xml:space="preserve"> </v>
      </c>
      <c r="BK77" s="213" t="s">
        <v>215</v>
      </c>
      <c r="BL77" s="172"/>
      <c r="BM77" s="225" t="s">
        <v>215</v>
      </c>
    </row>
    <row r="78" spans="1:65" s="26" customFormat="1">
      <c r="B78" s="64">
        <f t="shared" si="25"/>
        <v>71</v>
      </c>
      <c r="C78" s="7"/>
      <c r="D78" s="7"/>
      <c r="E78" s="7"/>
      <c r="F78" s="22" t="s">
        <v>138</v>
      </c>
      <c r="G78" s="16"/>
      <c r="H78" s="13"/>
      <c r="I78" s="8"/>
      <c r="J78" s="8"/>
      <c r="K78" s="8"/>
      <c r="L78" s="8"/>
      <c r="M78" s="359" t="s">
        <v>139</v>
      </c>
      <c r="N78" s="1"/>
      <c r="O78" s="56"/>
      <c r="P78" s="93">
        <f t="shared" si="40"/>
        <v>53</v>
      </c>
      <c r="Q78" s="113">
        <v>400</v>
      </c>
      <c r="R78" s="21" t="str">
        <f t="shared" si="39"/>
        <v>NX</v>
      </c>
      <c r="S78" s="96" t="s">
        <v>140</v>
      </c>
      <c r="T78" s="94"/>
      <c r="U78" s="21" t="s">
        <v>226</v>
      </c>
      <c r="V78" s="10"/>
      <c r="W78" s="25">
        <v>3</v>
      </c>
      <c r="X78" s="1" t="s">
        <v>141</v>
      </c>
      <c r="Y78" s="1">
        <v>1</v>
      </c>
      <c r="Z78" s="1">
        <v>400</v>
      </c>
      <c r="AA78" s="8" t="s">
        <v>123</v>
      </c>
      <c r="AB78" s="8" t="s">
        <v>226</v>
      </c>
      <c r="AC78" s="12"/>
      <c r="AD78" s="444"/>
      <c r="AE78" s="445"/>
      <c r="AF78" s="449" t="str">
        <f t="shared" ref="AF78:AF141" si="45">IF(AH78="-","-",AH78&amp;REPT(IF($R78="N","　",IF($R78="9","0"," ")),$Z78-LENB(AH78)))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78" s="442" t="str">
        <f t="shared" si="41"/>
        <v>-</v>
      </c>
      <c r="AH78" s="445"/>
      <c r="AI78" s="447" t="s">
        <v>532</v>
      </c>
      <c r="AJ78" s="444"/>
      <c r="AK78" s="445"/>
      <c r="AL78" s="449" t="str">
        <f t="shared" ref="AL78:AL141" si="46">IF(AN78="-","-",AN78&amp;REPT(IF($R78="N","　",IF($R78="9","0"," ")),$Z78-LENB(AN78)))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78" s="442" t="str">
        <f t="shared" si="42"/>
        <v>-</v>
      </c>
      <c r="AN78" s="445"/>
      <c r="AO78" s="447" t="s">
        <v>532</v>
      </c>
      <c r="AP78" s="444"/>
      <c r="AQ78" s="445"/>
      <c r="AR78" s="449" t="str">
        <f t="shared" ref="AR78:AR141" si="47">IF(AT78="-","-",AT78&amp;REPT(IF($R78="N","　",IF($R78="9","0"," ")),$Z78-LENB(AT78)))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78" s="447" t="s">
        <v>532</v>
      </c>
      <c r="AT78" s="463"/>
      <c r="AU78" s="447" t="s">
        <v>532</v>
      </c>
      <c r="AV78" s="444"/>
      <c r="AW78" s="445"/>
      <c r="AX78" s="449" t="str">
        <f t="shared" ref="AX78:AX141" si="48">IF(AZ78="-","-",AZ78&amp;REPT(IF($R78="N","　",IF($R78="9","0"," ")),$Z78-LENB(AZ78)))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78" s="442" t="str">
        <f t="shared" si="43"/>
        <v>-</v>
      </c>
      <c r="AZ78" s="445"/>
      <c r="BA78" s="447" t="s">
        <v>532</v>
      </c>
      <c r="BB78" s="59"/>
      <c r="BC78" s="223"/>
      <c r="BD78" s="252" t="str">
        <f t="shared" ref="BD78:BD141" si="49">IF(BF78="-","-",BF78&amp;REPT(IF($R78="N","　",IF($R78="9","0"," ")),$Z78-LENB(BF78)))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78" s="213" t="str">
        <f t="shared" si="44"/>
        <v>-</v>
      </c>
      <c r="BF78" s="172"/>
      <c r="BG78" s="225" t="s">
        <v>215</v>
      </c>
      <c r="BH78" s="59"/>
      <c r="BI78" s="223"/>
      <c r="BJ78" s="252" t="str">
        <f t="shared" ref="BJ78:BJ141" si="50">IF(BL78="-","-",BL78&amp;REPT(IF($R78="N","　",IF($R78="9","0"," ")),$Z78-LENB(BL78)))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78" s="213" t="s">
        <v>215</v>
      </c>
      <c r="BL78" s="172"/>
      <c r="BM78" s="225" t="s">
        <v>215</v>
      </c>
    </row>
    <row r="79" spans="1:65" s="26" customFormat="1" ht="63.75">
      <c r="B79" s="64">
        <f t="shared" si="25"/>
        <v>72</v>
      </c>
      <c r="C79" s="7"/>
      <c r="D79" s="7"/>
      <c r="E79" s="7"/>
      <c r="F79" s="22" t="s">
        <v>142</v>
      </c>
      <c r="G79" s="16"/>
      <c r="H79" s="13"/>
      <c r="I79" s="8"/>
      <c r="J79" s="8"/>
      <c r="K79" s="8"/>
      <c r="L79" s="8"/>
      <c r="M79" s="359" t="s">
        <v>314</v>
      </c>
      <c r="N79" s="1"/>
      <c r="O79" s="56"/>
      <c r="P79" s="93">
        <f t="shared" si="40"/>
        <v>54</v>
      </c>
      <c r="Q79" s="113">
        <v>400</v>
      </c>
      <c r="R79" s="21" t="str">
        <f t="shared" si="39"/>
        <v>NX</v>
      </c>
      <c r="S79" s="96" t="s">
        <v>143</v>
      </c>
      <c r="T79" s="94"/>
      <c r="U79" s="21" t="s">
        <v>226</v>
      </c>
      <c r="V79" s="10"/>
      <c r="W79" s="25">
        <v>3</v>
      </c>
      <c r="X79" s="1" t="s">
        <v>144</v>
      </c>
      <c r="Y79" s="1">
        <v>1</v>
      </c>
      <c r="Z79" s="1">
        <v>400</v>
      </c>
      <c r="AA79" s="8" t="s">
        <v>123</v>
      </c>
      <c r="AB79" s="8" t="s">
        <v>226</v>
      </c>
      <c r="AC79" s="12"/>
      <c r="AD79" s="444"/>
      <c r="AE79" s="445"/>
      <c r="AF79" s="450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79" s="442" t="str">
        <f t="shared" si="41"/>
        <v>-</v>
      </c>
      <c r="AH79" s="445"/>
      <c r="AI79" s="447" t="s">
        <v>532</v>
      </c>
      <c r="AJ79" s="444"/>
      <c r="AK79" s="445"/>
      <c r="AL79" s="450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79" s="442" t="str">
        <f t="shared" si="42"/>
        <v>-</v>
      </c>
      <c r="AN79" s="445"/>
      <c r="AO79" s="447" t="s">
        <v>532</v>
      </c>
      <c r="AP79" s="444"/>
      <c r="AQ79" s="445"/>
      <c r="AR79" s="450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79" s="447" t="s">
        <v>532</v>
      </c>
      <c r="AT79" s="463"/>
      <c r="AU79" s="447" t="s">
        <v>532</v>
      </c>
      <c r="AV79" s="444"/>
      <c r="AW79" s="445"/>
      <c r="AX79" s="450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79" s="442" t="str">
        <f t="shared" si="43"/>
        <v>-</v>
      </c>
      <c r="AZ79" s="445"/>
      <c r="BA79" s="447" t="s">
        <v>532</v>
      </c>
      <c r="BB79" s="59"/>
      <c r="BC79" s="223"/>
      <c r="BD79" s="90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79" s="213" t="str">
        <f t="shared" si="44"/>
        <v>-</v>
      </c>
      <c r="BF79" s="172"/>
      <c r="BG79" s="225" t="s">
        <v>215</v>
      </c>
      <c r="BH79" s="59"/>
      <c r="BI79" s="223"/>
      <c r="BJ79" s="90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79" s="213" t="s">
        <v>215</v>
      </c>
      <c r="BL79" s="172"/>
      <c r="BM79" s="225" t="s">
        <v>215</v>
      </c>
    </row>
    <row r="80" spans="1:65" s="26" customFormat="1">
      <c r="B80" s="64">
        <f t="shared" si="25"/>
        <v>73</v>
      </c>
      <c r="C80" s="7"/>
      <c r="D80" s="7"/>
      <c r="E80" s="7"/>
      <c r="F80" s="22" t="s">
        <v>145</v>
      </c>
      <c r="G80" s="16"/>
      <c r="H80" s="13"/>
      <c r="I80" s="8"/>
      <c r="J80" s="8"/>
      <c r="K80" s="8"/>
      <c r="L80" s="8"/>
      <c r="M80" s="11" t="s">
        <v>146</v>
      </c>
      <c r="N80" s="1"/>
      <c r="O80" s="56"/>
      <c r="P80" s="93">
        <f t="shared" si="40"/>
        <v>55</v>
      </c>
      <c r="Q80" s="113">
        <v>400</v>
      </c>
      <c r="R80" s="21" t="str">
        <f t="shared" si="39"/>
        <v>NX</v>
      </c>
      <c r="S80" s="96" t="s">
        <v>147</v>
      </c>
      <c r="T80" s="94"/>
      <c r="U80" s="21" t="s">
        <v>226</v>
      </c>
      <c r="V80" s="10"/>
      <c r="W80" s="25">
        <v>3</v>
      </c>
      <c r="X80" s="1" t="s">
        <v>148</v>
      </c>
      <c r="Y80" s="1">
        <v>1</v>
      </c>
      <c r="Z80" s="1">
        <v>400</v>
      </c>
      <c r="AA80" s="8" t="s">
        <v>123</v>
      </c>
      <c r="AB80" s="8" t="s">
        <v>226</v>
      </c>
      <c r="AC80" s="12"/>
      <c r="AD80" s="444"/>
      <c r="AE80" s="440"/>
      <c r="AF80" s="450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80" s="442" t="str">
        <f t="shared" si="41"/>
        <v>-</v>
      </c>
      <c r="AH80" s="440"/>
      <c r="AI80" s="447" t="s">
        <v>532</v>
      </c>
      <c r="AJ80" s="444"/>
      <c r="AK80" s="440"/>
      <c r="AL80" s="450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80" s="442" t="str">
        <f t="shared" si="42"/>
        <v>-</v>
      </c>
      <c r="AN80" s="440"/>
      <c r="AO80" s="447" t="s">
        <v>532</v>
      </c>
      <c r="AP80" s="444"/>
      <c r="AQ80" s="440"/>
      <c r="AR80" s="450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80" s="447" t="s">
        <v>532</v>
      </c>
      <c r="AT80" s="462"/>
      <c r="AU80" s="447" t="s">
        <v>532</v>
      </c>
      <c r="AV80" s="444"/>
      <c r="AW80" s="440"/>
      <c r="AX80" s="450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80" s="442" t="str">
        <f t="shared" si="43"/>
        <v>-</v>
      </c>
      <c r="AZ80" s="440"/>
      <c r="BA80" s="447" t="s">
        <v>532</v>
      </c>
      <c r="BB80" s="59"/>
      <c r="BC80" s="60"/>
      <c r="BD80" s="90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80" s="213" t="str">
        <f t="shared" si="44"/>
        <v>-</v>
      </c>
      <c r="BF80" s="167"/>
      <c r="BG80" s="225" t="s">
        <v>215</v>
      </c>
      <c r="BH80" s="59"/>
      <c r="BI80" s="60"/>
      <c r="BJ80" s="90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80" s="213" t="s">
        <v>215</v>
      </c>
      <c r="BL80" s="167"/>
      <c r="BM80" s="225" t="s">
        <v>215</v>
      </c>
    </row>
    <row r="81" spans="1:65" s="26" customFormat="1" ht="76.5">
      <c r="B81" s="64">
        <f t="shared" si="25"/>
        <v>74</v>
      </c>
      <c r="C81" s="7"/>
      <c r="D81" s="7"/>
      <c r="E81" s="7"/>
      <c r="F81" s="22" t="s">
        <v>149</v>
      </c>
      <c r="G81" s="16"/>
      <c r="H81" s="13"/>
      <c r="I81" s="8"/>
      <c r="J81" s="8"/>
      <c r="K81" s="8"/>
      <c r="L81" s="8"/>
      <c r="M81" s="11" t="s">
        <v>315</v>
      </c>
      <c r="N81" s="1"/>
      <c r="O81" s="56"/>
      <c r="P81" s="93">
        <f t="shared" si="40"/>
        <v>56</v>
      </c>
      <c r="Q81" s="113">
        <v>400</v>
      </c>
      <c r="R81" s="21" t="str">
        <f t="shared" si="39"/>
        <v>NX</v>
      </c>
      <c r="S81" s="96" t="s">
        <v>150</v>
      </c>
      <c r="T81" s="94"/>
      <c r="U81" s="21" t="s">
        <v>226</v>
      </c>
      <c r="V81" s="10"/>
      <c r="W81" s="25">
        <v>3</v>
      </c>
      <c r="X81" s="1" t="s">
        <v>151</v>
      </c>
      <c r="Y81" s="1">
        <v>1</v>
      </c>
      <c r="Z81" s="1">
        <v>400</v>
      </c>
      <c r="AA81" s="8" t="s">
        <v>123</v>
      </c>
      <c r="AB81" s="8" t="s">
        <v>226</v>
      </c>
      <c r="AC81" s="12"/>
      <c r="AD81" s="444"/>
      <c r="AE81" s="440"/>
      <c r="AF81" s="450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81" s="442" t="str">
        <f t="shared" si="41"/>
        <v>-</v>
      </c>
      <c r="AH81" s="440"/>
      <c r="AI81" s="447" t="s">
        <v>532</v>
      </c>
      <c r="AJ81" s="444"/>
      <c r="AK81" s="440"/>
      <c r="AL81" s="450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81" s="442" t="str">
        <f t="shared" si="42"/>
        <v>-</v>
      </c>
      <c r="AN81" s="440"/>
      <c r="AO81" s="447" t="s">
        <v>532</v>
      </c>
      <c r="AP81" s="444"/>
      <c r="AQ81" s="440"/>
      <c r="AR81" s="450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81" s="447" t="s">
        <v>532</v>
      </c>
      <c r="AT81" s="462"/>
      <c r="AU81" s="447" t="s">
        <v>532</v>
      </c>
      <c r="AV81" s="444"/>
      <c r="AW81" s="440"/>
      <c r="AX81" s="450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81" s="442" t="str">
        <f t="shared" si="43"/>
        <v>-</v>
      </c>
      <c r="AZ81" s="440"/>
      <c r="BA81" s="447" t="s">
        <v>532</v>
      </c>
      <c r="BB81" s="59"/>
      <c r="BC81" s="60"/>
      <c r="BD81" s="90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81" s="213" t="str">
        <f t="shared" si="44"/>
        <v>-</v>
      </c>
      <c r="BF81" s="167"/>
      <c r="BG81" s="225" t="s">
        <v>215</v>
      </c>
      <c r="BH81" s="59"/>
      <c r="BI81" s="60"/>
      <c r="BJ81" s="90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81" s="213" t="s">
        <v>215</v>
      </c>
      <c r="BL81" s="167"/>
      <c r="BM81" s="225" t="s">
        <v>215</v>
      </c>
    </row>
    <row r="82" spans="1:65" s="26" customFormat="1">
      <c r="B82" s="64">
        <f t="shared" si="25"/>
        <v>75</v>
      </c>
      <c r="C82" s="7"/>
      <c r="D82" s="7"/>
      <c r="E82" s="7"/>
      <c r="F82" s="22" t="s">
        <v>152</v>
      </c>
      <c r="G82" s="16"/>
      <c r="H82" s="13"/>
      <c r="I82" s="8"/>
      <c r="J82" s="8"/>
      <c r="K82" s="8"/>
      <c r="L82" s="8"/>
      <c r="M82" s="11" t="s">
        <v>146</v>
      </c>
      <c r="N82" s="1"/>
      <c r="O82" s="56"/>
      <c r="P82" s="93">
        <f t="shared" si="40"/>
        <v>57</v>
      </c>
      <c r="Q82" s="113">
        <v>400</v>
      </c>
      <c r="R82" s="21" t="str">
        <f t="shared" si="39"/>
        <v>NX</v>
      </c>
      <c r="S82" s="96" t="s">
        <v>153</v>
      </c>
      <c r="T82" s="94"/>
      <c r="U82" s="21" t="s">
        <v>226</v>
      </c>
      <c r="V82" s="10"/>
      <c r="W82" s="25">
        <v>3</v>
      </c>
      <c r="X82" s="1" t="s">
        <v>154</v>
      </c>
      <c r="Y82" s="1">
        <v>1</v>
      </c>
      <c r="Z82" s="1">
        <v>400</v>
      </c>
      <c r="AA82" s="8" t="s">
        <v>123</v>
      </c>
      <c r="AB82" s="8" t="s">
        <v>226</v>
      </c>
      <c r="AC82" s="12"/>
      <c r="AD82" s="444"/>
      <c r="AE82" s="440"/>
      <c r="AF82" s="450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82" s="442" t="str">
        <f t="shared" si="41"/>
        <v>-</v>
      </c>
      <c r="AH82" s="440"/>
      <c r="AI82" s="447" t="s">
        <v>532</v>
      </c>
      <c r="AJ82" s="444"/>
      <c r="AK82" s="440"/>
      <c r="AL82" s="450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82" s="442" t="str">
        <f t="shared" si="42"/>
        <v>-</v>
      </c>
      <c r="AN82" s="440"/>
      <c r="AO82" s="447" t="s">
        <v>532</v>
      </c>
      <c r="AP82" s="444"/>
      <c r="AQ82" s="440"/>
      <c r="AR82" s="450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82" s="447" t="s">
        <v>532</v>
      </c>
      <c r="AT82" s="462"/>
      <c r="AU82" s="447" t="s">
        <v>532</v>
      </c>
      <c r="AV82" s="444"/>
      <c r="AW82" s="440"/>
      <c r="AX82" s="450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82" s="442" t="str">
        <f t="shared" si="43"/>
        <v>-</v>
      </c>
      <c r="AZ82" s="440"/>
      <c r="BA82" s="447" t="s">
        <v>532</v>
      </c>
      <c r="BB82" s="59"/>
      <c r="BC82" s="60"/>
      <c r="BD82" s="90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82" s="213" t="str">
        <f t="shared" si="44"/>
        <v>-</v>
      </c>
      <c r="BF82" s="167"/>
      <c r="BG82" s="225" t="s">
        <v>215</v>
      </c>
      <c r="BH82" s="59"/>
      <c r="BI82" s="60"/>
      <c r="BJ82" s="90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82" s="213" t="s">
        <v>215</v>
      </c>
      <c r="BL82" s="167"/>
      <c r="BM82" s="225" t="s">
        <v>215</v>
      </c>
    </row>
    <row r="83" spans="1:65" s="26" customFormat="1">
      <c r="B83" s="64">
        <f t="shared" si="25"/>
        <v>76</v>
      </c>
      <c r="C83" s="7"/>
      <c r="D83" s="7"/>
      <c r="E83" s="7"/>
      <c r="F83" s="22" t="s">
        <v>155</v>
      </c>
      <c r="G83" s="16"/>
      <c r="H83" s="13"/>
      <c r="I83" s="8"/>
      <c r="J83" s="8"/>
      <c r="K83" s="8"/>
      <c r="L83" s="8"/>
      <c r="M83" s="11" t="s">
        <v>146</v>
      </c>
      <c r="N83" s="1"/>
      <c r="O83" s="56"/>
      <c r="P83" s="93">
        <f t="shared" si="40"/>
        <v>58</v>
      </c>
      <c r="Q83" s="113">
        <v>400</v>
      </c>
      <c r="R83" s="21" t="str">
        <f t="shared" si="39"/>
        <v>NX</v>
      </c>
      <c r="S83" s="96" t="s">
        <v>156</v>
      </c>
      <c r="T83" s="94"/>
      <c r="U83" s="21" t="s">
        <v>226</v>
      </c>
      <c r="V83" s="10"/>
      <c r="W83" s="25">
        <v>3</v>
      </c>
      <c r="X83" s="1" t="s">
        <v>157</v>
      </c>
      <c r="Y83" s="1">
        <v>1</v>
      </c>
      <c r="Z83" s="1">
        <v>400</v>
      </c>
      <c r="AA83" s="8" t="s">
        <v>123</v>
      </c>
      <c r="AB83" s="8" t="s">
        <v>226</v>
      </c>
      <c r="AC83" s="12"/>
      <c r="AD83" s="444"/>
      <c r="AE83" s="440"/>
      <c r="AF83" s="450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83" s="442" t="str">
        <f t="shared" si="41"/>
        <v>-</v>
      </c>
      <c r="AH83" s="440"/>
      <c r="AI83" s="447" t="s">
        <v>532</v>
      </c>
      <c r="AJ83" s="444"/>
      <c r="AK83" s="440"/>
      <c r="AL83" s="450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83" s="442" t="str">
        <f t="shared" si="42"/>
        <v>-</v>
      </c>
      <c r="AN83" s="440"/>
      <c r="AO83" s="447" t="s">
        <v>532</v>
      </c>
      <c r="AP83" s="444"/>
      <c r="AQ83" s="440"/>
      <c r="AR83" s="450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83" s="447" t="s">
        <v>532</v>
      </c>
      <c r="AT83" s="462"/>
      <c r="AU83" s="447" t="s">
        <v>532</v>
      </c>
      <c r="AV83" s="444"/>
      <c r="AW83" s="440"/>
      <c r="AX83" s="450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83" s="442" t="str">
        <f t="shared" si="43"/>
        <v>-</v>
      </c>
      <c r="AZ83" s="440"/>
      <c r="BA83" s="447" t="s">
        <v>532</v>
      </c>
      <c r="BB83" s="59"/>
      <c r="BC83" s="60"/>
      <c r="BD83" s="90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83" s="213" t="str">
        <f t="shared" si="44"/>
        <v>-</v>
      </c>
      <c r="BF83" s="167"/>
      <c r="BG83" s="225" t="s">
        <v>215</v>
      </c>
      <c r="BH83" s="59"/>
      <c r="BI83" s="60"/>
      <c r="BJ83" s="90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83" s="213" t="s">
        <v>215</v>
      </c>
      <c r="BL83" s="167"/>
      <c r="BM83" s="225" t="s">
        <v>215</v>
      </c>
    </row>
    <row r="84" spans="1:65" s="26" customFormat="1" ht="89.25">
      <c r="B84" s="64">
        <f t="shared" si="25"/>
        <v>77</v>
      </c>
      <c r="C84" s="7"/>
      <c r="D84" s="7"/>
      <c r="E84" s="7"/>
      <c r="F84" s="22" t="s">
        <v>158</v>
      </c>
      <c r="G84" s="16"/>
      <c r="H84" s="13"/>
      <c r="I84" s="8"/>
      <c r="J84" s="8"/>
      <c r="K84" s="8"/>
      <c r="L84" s="8"/>
      <c r="M84" s="11" t="s">
        <v>316</v>
      </c>
      <c r="N84" s="1"/>
      <c r="O84" s="56"/>
      <c r="P84" s="93">
        <f t="shared" si="40"/>
        <v>59</v>
      </c>
      <c r="Q84" s="113">
        <v>1</v>
      </c>
      <c r="R84" s="21" t="str">
        <f t="shared" si="39"/>
        <v>X</v>
      </c>
      <c r="S84" s="96" t="s">
        <v>159</v>
      </c>
      <c r="T84" s="94"/>
      <c r="U84" s="21" t="s">
        <v>226</v>
      </c>
      <c r="V84" s="10"/>
      <c r="W84" s="25">
        <v>3</v>
      </c>
      <c r="X84" s="1" t="s">
        <v>255</v>
      </c>
      <c r="Y84" s="1">
        <v>1</v>
      </c>
      <c r="Z84" s="1">
        <v>1</v>
      </c>
      <c r="AA84" s="8" t="s">
        <v>109</v>
      </c>
      <c r="AB84" s="8" t="s">
        <v>19</v>
      </c>
      <c r="AC84" s="102"/>
      <c r="AD84" s="444"/>
      <c r="AE84" s="445"/>
      <c r="AF84" s="440" t="str">
        <f t="shared" si="45"/>
        <v xml:space="preserve"> </v>
      </c>
      <c r="AG84" s="442" t="str">
        <f t="shared" si="41"/>
        <v>-</v>
      </c>
      <c r="AH84" s="445"/>
      <c r="AI84" s="447" t="s">
        <v>532</v>
      </c>
      <c r="AJ84" s="444"/>
      <c r="AK84" s="445"/>
      <c r="AL84" s="440" t="str">
        <f t="shared" si="46"/>
        <v xml:space="preserve"> </v>
      </c>
      <c r="AM84" s="442" t="str">
        <f t="shared" si="42"/>
        <v>-</v>
      </c>
      <c r="AN84" s="445"/>
      <c r="AO84" s="447" t="s">
        <v>532</v>
      </c>
      <c r="AP84" s="444"/>
      <c r="AQ84" s="445"/>
      <c r="AR84" s="440" t="str">
        <f t="shared" si="47"/>
        <v xml:space="preserve"> </v>
      </c>
      <c r="AS84" s="447" t="s">
        <v>532</v>
      </c>
      <c r="AT84" s="463"/>
      <c r="AU84" s="447" t="s">
        <v>532</v>
      </c>
      <c r="AV84" s="444"/>
      <c r="AW84" s="445"/>
      <c r="AX84" s="440" t="str">
        <f t="shared" si="48"/>
        <v xml:space="preserve"> </v>
      </c>
      <c r="AY84" s="442" t="str">
        <f t="shared" si="43"/>
        <v>-</v>
      </c>
      <c r="AZ84" s="445"/>
      <c r="BA84" s="447" t="s">
        <v>532</v>
      </c>
      <c r="BB84" s="59"/>
      <c r="BC84" s="223"/>
      <c r="BD84" s="60" t="str">
        <f t="shared" si="49"/>
        <v xml:space="preserve"> </v>
      </c>
      <c r="BE84" s="213" t="str">
        <f t="shared" si="44"/>
        <v>-</v>
      </c>
      <c r="BF84" s="172"/>
      <c r="BG84" s="225" t="s">
        <v>215</v>
      </c>
      <c r="BH84" s="59"/>
      <c r="BI84" s="223"/>
      <c r="BJ84" s="60" t="str">
        <f t="shared" si="50"/>
        <v xml:space="preserve"> </v>
      </c>
      <c r="BK84" s="213" t="s">
        <v>215</v>
      </c>
      <c r="BL84" s="172"/>
      <c r="BM84" s="225" t="s">
        <v>215</v>
      </c>
    </row>
    <row r="85" spans="1:65" s="26" customFormat="1">
      <c r="B85" s="64">
        <f t="shared" si="25"/>
        <v>78</v>
      </c>
      <c r="C85" s="7"/>
      <c r="D85" s="7"/>
      <c r="E85" s="7"/>
      <c r="F85" s="22" t="s">
        <v>160</v>
      </c>
      <c r="G85" s="16"/>
      <c r="H85" s="13"/>
      <c r="I85" s="8"/>
      <c r="J85" s="8"/>
      <c r="K85" s="8"/>
      <c r="L85" s="8"/>
      <c r="M85" s="11"/>
      <c r="N85" s="1"/>
      <c r="O85" s="56"/>
      <c r="P85" s="93">
        <f t="shared" si="40"/>
        <v>60</v>
      </c>
      <c r="Q85" s="113">
        <v>128</v>
      </c>
      <c r="R85" s="21" t="str">
        <f t="shared" si="39"/>
        <v>X</v>
      </c>
      <c r="S85" s="96" t="s">
        <v>161</v>
      </c>
      <c r="T85" s="94"/>
      <c r="U85" s="21" t="s">
        <v>226</v>
      </c>
      <c r="V85" s="10"/>
      <c r="W85" s="25">
        <v>3</v>
      </c>
      <c r="X85" s="1" t="s">
        <v>256</v>
      </c>
      <c r="Y85" s="1">
        <v>1</v>
      </c>
      <c r="Z85" s="1">
        <v>128</v>
      </c>
      <c r="AA85" s="8" t="s">
        <v>109</v>
      </c>
      <c r="AB85" s="8" t="s">
        <v>19</v>
      </c>
      <c r="AC85" s="12"/>
      <c r="AD85" s="444"/>
      <c r="AE85" s="440"/>
      <c r="AF85" s="440" t="str">
        <f t="shared" si="45"/>
        <v xml:space="preserve">                                                                                                                                </v>
      </c>
      <c r="AG85" s="442" t="str">
        <f t="shared" si="41"/>
        <v>-</v>
      </c>
      <c r="AH85" s="440"/>
      <c r="AI85" s="447" t="s">
        <v>532</v>
      </c>
      <c r="AJ85" s="444"/>
      <c r="AK85" s="440"/>
      <c r="AL85" s="440" t="str">
        <f t="shared" si="46"/>
        <v xml:space="preserve">                                                                                                                                </v>
      </c>
      <c r="AM85" s="442" t="str">
        <f t="shared" si="42"/>
        <v>-</v>
      </c>
      <c r="AN85" s="440"/>
      <c r="AO85" s="447" t="s">
        <v>532</v>
      </c>
      <c r="AP85" s="444"/>
      <c r="AQ85" s="440"/>
      <c r="AR85" s="440" t="str">
        <f t="shared" si="47"/>
        <v xml:space="preserve">                                                                                                                                </v>
      </c>
      <c r="AS85" s="447" t="s">
        <v>532</v>
      </c>
      <c r="AT85" s="462"/>
      <c r="AU85" s="447" t="s">
        <v>532</v>
      </c>
      <c r="AV85" s="444"/>
      <c r="AW85" s="440"/>
      <c r="AX85" s="440" t="str">
        <f t="shared" si="48"/>
        <v xml:space="preserve">                                                                                                                                </v>
      </c>
      <c r="AY85" s="442" t="str">
        <f t="shared" si="43"/>
        <v>-</v>
      </c>
      <c r="AZ85" s="440"/>
      <c r="BA85" s="447" t="s">
        <v>532</v>
      </c>
      <c r="BB85" s="59"/>
      <c r="BC85" s="60"/>
      <c r="BD85" s="60" t="str">
        <f t="shared" si="49"/>
        <v xml:space="preserve">                                                                                                                                </v>
      </c>
      <c r="BE85" s="213" t="str">
        <f t="shared" si="44"/>
        <v>-</v>
      </c>
      <c r="BF85" s="167"/>
      <c r="BG85" s="225" t="s">
        <v>215</v>
      </c>
      <c r="BH85" s="59"/>
      <c r="BI85" s="60"/>
      <c r="BJ85" s="60" t="str">
        <f t="shared" si="50"/>
        <v xml:space="preserve">                                                                                                                                </v>
      </c>
      <c r="BK85" s="213" t="s">
        <v>215</v>
      </c>
      <c r="BL85" s="167"/>
      <c r="BM85" s="225" t="s">
        <v>215</v>
      </c>
    </row>
    <row r="86" spans="1:65" s="26" customFormat="1" ht="114.75">
      <c r="B86" s="64">
        <f t="shared" si="25"/>
        <v>79</v>
      </c>
      <c r="C86" s="7"/>
      <c r="D86" s="7"/>
      <c r="E86" s="7"/>
      <c r="F86" s="22" t="s">
        <v>162</v>
      </c>
      <c r="G86" s="16"/>
      <c r="H86" s="13"/>
      <c r="I86" s="8"/>
      <c r="J86" s="8"/>
      <c r="K86" s="8"/>
      <c r="L86" s="8"/>
      <c r="M86" s="11" t="s">
        <v>294</v>
      </c>
      <c r="N86" s="1"/>
      <c r="O86" s="56"/>
      <c r="P86" s="93">
        <f t="shared" si="40"/>
        <v>61</v>
      </c>
      <c r="Q86" s="113">
        <v>1</v>
      </c>
      <c r="R86" s="21" t="str">
        <f t="shared" si="39"/>
        <v>X</v>
      </c>
      <c r="S86" s="96" t="s">
        <v>163</v>
      </c>
      <c r="T86" s="94"/>
      <c r="U86" s="21" t="s">
        <v>226</v>
      </c>
      <c r="V86" s="10"/>
      <c r="W86" s="25">
        <v>3</v>
      </c>
      <c r="X86" s="1" t="s">
        <v>257</v>
      </c>
      <c r="Y86" s="1">
        <v>1</v>
      </c>
      <c r="Z86" s="1">
        <v>1</v>
      </c>
      <c r="AA86" s="8" t="s">
        <v>109</v>
      </c>
      <c r="AB86" s="8" t="s">
        <v>19</v>
      </c>
      <c r="AC86" s="102"/>
      <c r="AD86" s="444"/>
      <c r="AE86" s="445"/>
      <c r="AF86" s="440" t="str">
        <f t="shared" si="45"/>
        <v xml:space="preserve"> </v>
      </c>
      <c r="AG86" s="442" t="str">
        <f t="shared" si="41"/>
        <v>-</v>
      </c>
      <c r="AH86" s="445"/>
      <c r="AI86" s="447" t="s">
        <v>532</v>
      </c>
      <c r="AJ86" s="444"/>
      <c r="AK86" s="445"/>
      <c r="AL86" s="440" t="str">
        <f t="shared" si="46"/>
        <v xml:space="preserve"> </v>
      </c>
      <c r="AM86" s="442" t="str">
        <f t="shared" si="42"/>
        <v>-</v>
      </c>
      <c r="AN86" s="445"/>
      <c r="AO86" s="447" t="s">
        <v>532</v>
      </c>
      <c r="AP86" s="444"/>
      <c r="AQ86" s="445"/>
      <c r="AR86" s="440" t="str">
        <f t="shared" si="47"/>
        <v xml:space="preserve"> </v>
      </c>
      <c r="AS86" s="447" t="s">
        <v>532</v>
      </c>
      <c r="AT86" s="463"/>
      <c r="AU86" s="447" t="s">
        <v>532</v>
      </c>
      <c r="AV86" s="444"/>
      <c r="AW86" s="445"/>
      <c r="AX86" s="440" t="str">
        <f t="shared" si="48"/>
        <v xml:space="preserve"> </v>
      </c>
      <c r="AY86" s="442" t="str">
        <f t="shared" si="43"/>
        <v>-</v>
      </c>
      <c r="AZ86" s="445"/>
      <c r="BA86" s="447" t="s">
        <v>532</v>
      </c>
      <c r="BB86" s="59"/>
      <c r="BC86" s="223"/>
      <c r="BD86" s="60" t="str">
        <f t="shared" si="49"/>
        <v xml:space="preserve"> </v>
      </c>
      <c r="BE86" s="213" t="str">
        <f t="shared" si="44"/>
        <v>-</v>
      </c>
      <c r="BF86" s="172"/>
      <c r="BG86" s="225" t="s">
        <v>215</v>
      </c>
      <c r="BH86" s="59"/>
      <c r="BI86" s="223"/>
      <c r="BJ86" s="60" t="str">
        <f t="shared" si="50"/>
        <v xml:space="preserve"> </v>
      </c>
      <c r="BK86" s="213" t="s">
        <v>215</v>
      </c>
      <c r="BL86" s="172"/>
      <c r="BM86" s="225" t="s">
        <v>215</v>
      </c>
    </row>
    <row r="87" spans="1:65" s="26" customFormat="1" ht="127.5">
      <c r="B87" s="64">
        <f t="shared" ref="B87:B150" si="51">ROW()-7</f>
        <v>80</v>
      </c>
      <c r="C87" s="7"/>
      <c r="D87" s="7"/>
      <c r="E87" s="7"/>
      <c r="F87" s="22" t="s">
        <v>164</v>
      </c>
      <c r="G87" s="16"/>
      <c r="H87" s="13"/>
      <c r="I87" s="8"/>
      <c r="J87" s="8" t="s">
        <v>231</v>
      </c>
      <c r="K87" s="8"/>
      <c r="L87" s="8"/>
      <c r="M87" s="359" t="s">
        <v>317</v>
      </c>
      <c r="N87" s="1"/>
      <c r="O87" s="56"/>
      <c r="P87" s="93">
        <f t="shared" si="40"/>
        <v>62</v>
      </c>
      <c r="Q87" s="113">
        <v>1</v>
      </c>
      <c r="R87" s="21" t="str">
        <f t="shared" si="39"/>
        <v>X</v>
      </c>
      <c r="S87" s="96" t="s">
        <v>165</v>
      </c>
      <c r="T87" s="94"/>
      <c r="U87" s="21" t="s">
        <v>226</v>
      </c>
      <c r="V87" s="10"/>
      <c r="W87" s="25">
        <v>3</v>
      </c>
      <c r="X87" s="1" t="s">
        <v>258</v>
      </c>
      <c r="Y87" s="1">
        <v>1</v>
      </c>
      <c r="Z87" s="1">
        <v>1</v>
      </c>
      <c r="AA87" s="8" t="s">
        <v>109</v>
      </c>
      <c r="AB87" s="8" t="s">
        <v>19</v>
      </c>
      <c r="AC87" s="102"/>
      <c r="AD87" s="444"/>
      <c r="AE87" s="445"/>
      <c r="AF87" s="440" t="str">
        <f t="shared" si="45"/>
        <v xml:space="preserve"> </v>
      </c>
      <c r="AG87" s="442" t="str">
        <f t="shared" si="41"/>
        <v>-</v>
      </c>
      <c r="AH87" s="445"/>
      <c r="AI87" s="447" t="s">
        <v>532</v>
      </c>
      <c r="AJ87" s="444"/>
      <c r="AK87" s="445"/>
      <c r="AL87" s="440" t="str">
        <f t="shared" si="46"/>
        <v xml:space="preserve"> </v>
      </c>
      <c r="AM87" s="442" t="str">
        <f t="shared" si="42"/>
        <v>-</v>
      </c>
      <c r="AN87" s="445"/>
      <c r="AO87" s="447" t="s">
        <v>532</v>
      </c>
      <c r="AP87" s="444"/>
      <c r="AQ87" s="445"/>
      <c r="AR87" s="440" t="str">
        <f t="shared" si="47"/>
        <v xml:space="preserve"> </v>
      </c>
      <c r="AS87" s="447" t="s">
        <v>532</v>
      </c>
      <c r="AT87" s="463"/>
      <c r="AU87" s="447" t="s">
        <v>532</v>
      </c>
      <c r="AV87" s="444"/>
      <c r="AW87" s="445"/>
      <c r="AX87" s="440" t="str">
        <f t="shared" si="48"/>
        <v xml:space="preserve"> </v>
      </c>
      <c r="AY87" s="442" t="str">
        <f t="shared" si="43"/>
        <v>-</v>
      </c>
      <c r="AZ87" s="445"/>
      <c r="BA87" s="447" t="s">
        <v>532</v>
      </c>
      <c r="BB87" s="59"/>
      <c r="BC87" s="223"/>
      <c r="BD87" s="60" t="str">
        <f t="shared" si="49"/>
        <v xml:space="preserve"> </v>
      </c>
      <c r="BE87" s="213" t="str">
        <f t="shared" si="44"/>
        <v>-</v>
      </c>
      <c r="BF87" s="172"/>
      <c r="BG87" s="225" t="s">
        <v>215</v>
      </c>
      <c r="BH87" s="59"/>
      <c r="BI87" s="223"/>
      <c r="BJ87" s="60" t="str">
        <f t="shared" si="50"/>
        <v xml:space="preserve"> </v>
      </c>
      <c r="BK87" s="213" t="s">
        <v>215</v>
      </c>
      <c r="BL87" s="172"/>
      <c r="BM87" s="225" t="s">
        <v>215</v>
      </c>
    </row>
    <row r="88" spans="1:65" s="26" customFormat="1" ht="331.5" customHeight="1">
      <c r="B88" s="64">
        <f t="shared" si="51"/>
        <v>81</v>
      </c>
      <c r="C88" s="7"/>
      <c r="D88" s="7"/>
      <c r="E88" s="53"/>
      <c r="F88" s="111" t="s">
        <v>367</v>
      </c>
      <c r="G88" s="66"/>
      <c r="H88" s="61"/>
      <c r="I88" s="8"/>
      <c r="J88" s="8" t="s">
        <v>231</v>
      </c>
      <c r="K88" s="8"/>
      <c r="L88" s="8"/>
      <c r="M88" s="356" t="s">
        <v>493</v>
      </c>
      <c r="N88" s="16"/>
      <c r="O88" s="56"/>
      <c r="P88" s="93">
        <f t="shared" si="40"/>
        <v>63</v>
      </c>
      <c r="Q88" s="113">
        <v>2</v>
      </c>
      <c r="R88" s="21" t="str">
        <f t="shared" si="39"/>
        <v>X</v>
      </c>
      <c r="S88" s="96" t="s">
        <v>166</v>
      </c>
      <c r="T88" s="94"/>
      <c r="U88" s="21" t="s">
        <v>226</v>
      </c>
      <c r="V88" s="10"/>
      <c r="W88" s="25">
        <v>3</v>
      </c>
      <c r="X88" s="1" t="s">
        <v>260</v>
      </c>
      <c r="Y88" s="1">
        <v>2</v>
      </c>
      <c r="Z88" s="1">
        <v>2</v>
      </c>
      <c r="AA88" s="8" t="s">
        <v>229</v>
      </c>
      <c r="AB88" s="8" t="s">
        <v>226</v>
      </c>
      <c r="AC88" s="67"/>
      <c r="AD88" s="444"/>
      <c r="AE88" s="445"/>
      <c r="AF88" s="446" t="str">
        <f t="shared" si="45"/>
        <v xml:space="preserve">  </v>
      </c>
      <c r="AG88" s="442" t="str">
        <f t="shared" si="41"/>
        <v>-</v>
      </c>
      <c r="AH88" s="445"/>
      <c r="AI88" s="448" t="s">
        <v>532</v>
      </c>
      <c r="AJ88" s="444"/>
      <c r="AK88" s="445"/>
      <c r="AL88" s="446" t="str">
        <f t="shared" si="46"/>
        <v xml:space="preserve">  </v>
      </c>
      <c r="AM88" s="442" t="str">
        <f t="shared" si="42"/>
        <v>-</v>
      </c>
      <c r="AN88" s="445"/>
      <c r="AO88" s="448" t="s">
        <v>532</v>
      </c>
      <c r="AP88" s="444"/>
      <c r="AQ88" s="445"/>
      <c r="AR88" s="446" t="str">
        <f t="shared" si="47"/>
        <v xml:space="preserve">  </v>
      </c>
      <c r="AS88" s="442" t="s">
        <v>532</v>
      </c>
      <c r="AT88" s="463"/>
      <c r="AU88" s="448" t="s">
        <v>532</v>
      </c>
      <c r="AV88" s="444"/>
      <c r="AW88" s="445"/>
      <c r="AX88" s="446" t="str">
        <f t="shared" si="48"/>
        <v xml:space="preserve">  </v>
      </c>
      <c r="AY88" s="442" t="str">
        <f t="shared" si="43"/>
        <v>-</v>
      </c>
      <c r="AZ88" s="445"/>
      <c r="BA88" s="448" t="s">
        <v>532</v>
      </c>
      <c r="BB88" s="59"/>
      <c r="BC88" s="223"/>
      <c r="BD88" s="254" t="str">
        <f t="shared" si="49"/>
        <v>07</v>
      </c>
      <c r="BE88" s="213" t="str">
        <f t="shared" si="44"/>
        <v>-</v>
      </c>
      <c r="BF88" s="172" t="s">
        <v>287</v>
      </c>
      <c r="BG88" s="405" t="str">
        <f>IF(OR(BC$8="判定対象外",BF$8="判定対象外",BF88="-"),"-",IF(BC88=BF88,"OK","NG"))</f>
        <v>NG</v>
      </c>
      <c r="BH88" s="59"/>
      <c r="BI88" s="223"/>
      <c r="BJ88" s="254" t="str">
        <f t="shared" si="50"/>
        <v>A2</v>
      </c>
      <c r="BK88" s="213" t="str">
        <f>IF(OR(BI$8="判定対象外",BJ$8="判定対象外",BJ88="-"),"-",IF(BI88=BJ88,"OK","NG"))</f>
        <v>NG</v>
      </c>
      <c r="BL88" s="172" t="s">
        <v>186</v>
      </c>
      <c r="BM88" s="405" t="str">
        <f>IF(OR(BI$8="判定対象外",BL$8="判定対象外",BL88="-"),"-",IF(BI88=BL88,"OK","NG"))</f>
        <v>NG</v>
      </c>
    </row>
    <row r="89" spans="1:65" s="26" customFormat="1" ht="25.5">
      <c r="B89" s="64">
        <f t="shared" si="51"/>
        <v>82</v>
      </c>
      <c r="C89" s="7"/>
      <c r="D89" s="7"/>
      <c r="E89" s="53"/>
      <c r="F89" s="65" t="s">
        <v>167</v>
      </c>
      <c r="G89" s="66"/>
      <c r="H89" s="61"/>
      <c r="I89" s="8"/>
      <c r="J89" s="8"/>
      <c r="K89" s="8"/>
      <c r="L89" s="8"/>
      <c r="M89" s="11" t="s">
        <v>274</v>
      </c>
      <c r="N89" s="16"/>
      <c r="O89" s="56"/>
      <c r="P89" s="93">
        <f t="shared" si="40"/>
        <v>64</v>
      </c>
      <c r="Q89" s="113">
        <v>7</v>
      </c>
      <c r="R89" s="21" t="str">
        <f t="shared" si="39"/>
        <v>X</v>
      </c>
      <c r="S89" s="96" t="s">
        <v>168</v>
      </c>
      <c r="T89" s="94"/>
      <c r="U89" s="21" t="s">
        <v>226</v>
      </c>
      <c r="V89" s="10"/>
      <c r="W89" s="25">
        <v>3</v>
      </c>
      <c r="X89" s="1" t="s">
        <v>261</v>
      </c>
      <c r="Y89" s="1">
        <v>7</v>
      </c>
      <c r="Z89" s="1">
        <v>7</v>
      </c>
      <c r="AA89" s="8" t="s">
        <v>229</v>
      </c>
      <c r="AB89" s="8" t="s">
        <v>226</v>
      </c>
      <c r="AC89" s="103"/>
      <c r="AD89" s="444"/>
      <c r="AE89" s="440"/>
      <c r="AF89" s="440" t="str">
        <f t="shared" si="45"/>
        <v xml:space="preserve">       </v>
      </c>
      <c r="AG89" s="442" t="str">
        <f t="shared" si="41"/>
        <v>-</v>
      </c>
      <c r="AH89" s="440"/>
      <c r="AI89" s="447" t="s">
        <v>532</v>
      </c>
      <c r="AJ89" s="444"/>
      <c r="AK89" s="440"/>
      <c r="AL89" s="440" t="str">
        <f t="shared" si="46"/>
        <v xml:space="preserve">       </v>
      </c>
      <c r="AM89" s="442" t="str">
        <f t="shared" si="42"/>
        <v>-</v>
      </c>
      <c r="AN89" s="440"/>
      <c r="AO89" s="447" t="s">
        <v>532</v>
      </c>
      <c r="AP89" s="444"/>
      <c r="AQ89" s="440"/>
      <c r="AR89" s="440" t="str">
        <f t="shared" si="47"/>
        <v xml:space="preserve">       </v>
      </c>
      <c r="AS89" s="447" t="s">
        <v>532</v>
      </c>
      <c r="AT89" s="462"/>
      <c r="AU89" s="447" t="s">
        <v>532</v>
      </c>
      <c r="AV89" s="444"/>
      <c r="AW89" s="440"/>
      <c r="AX89" s="440" t="str">
        <f t="shared" si="48"/>
        <v xml:space="preserve">       </v>
      </c>
      <c r="AY89" s="442" t="str">
        <f t="shared" si="43"/>
        <v>-</v>
      </c>
      <c r="AZ89" s="440"/>
      <c r="BA89" s="447" t="s">
        <v>532</v>
      </c>
      <c r="BB89" s="59"/>
      <c r="BC89" s="60"/>
      <c r="BD89" s="60" t="str">
        <f t="shared" si="49"/>
        <v xml:space="preserve">       </v>
      </c>
      <c r="BE89" s="213" t="str">
        <f t="shared" si="44"/>
        <v>-</v>
      </c>
      <c r="BF89" s="167"/>
      <c r="BG89" s="225" t="s">
        <v>215</v>
      </c>
      <c r="BH89" s="59"/>
      <c r="BI89" s="60"/>
      <c r="BJ89" s="60" t="str">
        <f t="shared" si="50"/>
        <v xml:space="preserve">       </v>
      </c>
      <c r="BK89" s="213" t="s">
        <v>215</v>
      </c>
      <c r="BL89" s="172"/>
      <c r="BM89" s="225" t="s">
        <v>215</v>
      </c>
    </row>
    <row r="90" spans="1:65" s="80" customFormat="1" ht="25.5">
      <c r="B90" s="64">
        <f t="shared" si="51"/>
        <v>83</v>
      </c>
      <c r="C90" s="68"/>
      <c r="D90" s="68"/>
      <c r="E90" s="69"/>
      <c r="F90" s="70" t="s">
        <v>275</v>
      </c>
      <c r="G90" s="71"/>
      <c r="H90" s="72"/>
      <c r="I90" s="73"/>
      <c r="J90" s="73"/>
      <c r="K90" s="74"/>
      <c r="L90" s="74"/>
      <c r="M90" s="83" t="s">
        <v>274</v>
      </c>
      <c r="N90" s="75"/>
      <c r="O90" s="76"/>
      <c r="P90" s="93">
        <f t="shared" si="40"/>
        <v>65</v>
      </c>
      <c r="Q90" s="117">
        <v>10</v>
      </c>
      <c r="R90" s="21" t="str">
        <f t="shared" si="39"/>
        <v>X</v>
      </c>
      <c r="S90" s="96" t="s">
        <v>169</v>
      </c>
      <c r="T90" s="104"/>
      <c r="U90" s="21" t="s">
        <v>226</v>
      </c>
      <c r="V90" s="76"/>
      <c r="W90" s="77">
        <v>3</v>
      </c>
      <c r="X90" s="55" t="s">
        <v>170</v>
      </c>
      <c r="Y90" s="55">
        <v>10</v>
      </c>
      <c r="Z90" s="55">
        <v>10</v>
      </c>
      <c r="AA90" s="73" t="s">
        <v>109</v>
      </c>
      <c r="AB90" s="73" t="s">
        <v>19</v>
      </c>
      <c r="AC90" s="103"/>
      <c r="AD90" s="451"/>
      <c r="AE90" s="452"/>
      <c r="AF90" s="453" t="str">
        <f t="shared" si="45"/>
        <v xml:space="preserve">          </v>
      </c>
      <c r="AG90" s="442" t="str">
        <f t="shared" si="41"/>
        <v>-</v>
      </c>
      <c r="AH90" s="452"/>
      <c r="AI90" s="447" t="s">
        <v>532</v>
      </c>
      <c r="AJ90" s="451"/>
      <c r="AK90" s="452"/>
      <c r="AL90" s="453" t="str">
        <f t="shared" si="46"/>
        <v xml:space="preserve">          </v>
      </c>
      <c r="AM90" s="442" t="str">
        <f t="shared" si="42"/>
        <v>-</v>
      </c>
      <c r="AN90" s="452"/>
      <c r="AO90" s="447" t="s">
        <v>532</v>
      </c>
      <c r="AP90" s="451"/>
      <c r="AQ90" s="452"/>
      <c r="AR90" s="453" t="str">
        <f t="shared" si="47"/>
        <v xml:space="preserve">          </v>
      </c>
      <c r="AS90" s="447" t="s">
        <v>532</v>
      </c>
      <c r="AT90" s="464"/>
      <c r="AU90" s="447" t="s">
        <v>532</v>
      </c>
      <c r="AV90" s="451"/>
      <c r="AW90" s="452"/>
      <c r="AX90" s="453" t="str">
        <f t="shared" si="48"/>
        <v xml:space="preserve">          </v>
      </c>
      <c r="AY90" s="442" t="str">
        <f t="shared" si="43"/>
        <v>-</v>
      </c>
      <c r="AZ90" s="452"/>
      <c r="BA90" s="447" t="s">
        <v>532</v>
      </c>
      <c r="BB90" s="78"/>
      <c r="BC90" s="420"/>
      <c r="BD90" s="79" t="str">
        <f t="shared" si="49"/>
        <v xml:space="preserve">          </v>
      </c>
      <c r="BE90" s="213" t="str">
        <f t="shared" si="44"/>
        <v>-</v>
      </c>
      <c r="BF90" s="378"/>
      <c r="BG90" s="225" t="s">
        <v>215</v>
      </c>
      <c r="BH90" s="78"/>
      <c r="BI90" s="420"/>
      <c r="BJ90" s="79" t="str">
        <f t="shared" si="50"/>
        <v xml:space="preserve">          </v>
      </c>
      <c r="BK90" s="213" t="s">
        <v>215</v>
      </c>
      <c r="BL90" s="382"/>
      <c r="BM90" s="225" t="s">
        <v>215</v>
      </c>
    </row>
    <row r="91" spans="1:65" s="80" customFormat="1" ht="25.5">
      <c r="B91" s="64">
        <f t="shared" si="51"/>
        <v>84</v>
      </c>
      <c r="C91" s="68"/>
      <c r="D91" s="68"/>
      <c r="E91" s="68"/>
      <c r="F91" s="81" t="s">
        <v>171</v>
      </c>
      <c r="G91" s="14"/>
      <c r="H91" s="82"/>
      <c r="I91" s="73"/>
      <c r="J91" s="73"/>
      <c r="K91" s="74"/>
      <c r="L91" s="74"/>
      <c r="M91" s="83" t="s">
        <v>274</v>
      </c>
      <c r="N91" s="75"/>
      <c r="O91" s="76"/>
      <c r="P91" s="93">
        <f t="shared" si="40"/>
        <v>66</v>
      </c>
      <c r="Q91" s="117">
        <v>3</v>
      </c>
      <c r="R91" s="21" t="str">
        <f t="shared" si="39"/>
        <v>X</v>
      </c>
      <c r="S91" s="96" t="s">
        <v>172</v>
      </c>
      <c r="T91" s="104"/>
      <c r="U91" s="21" t="s">
        <v>226</v>
      </c>
      <c r="V91" s="76"/>
      <c r="W91" s="77">
        <v>3</v>
      </c>
      <c r="X91" s="55" t="s">
        <v>173</v>
      </c>
      <c r="Y91" s="55">
        <v>3</v>
      </c>
      <c r="Z91" s="55">
        <v>3</v>
      </c>
      <c r="AA91" s="73" t="s">
        <v>109</v>
      </c>
      <c r="AB91" s="73" t="s">
        <v>19</v>
      </c>
      <c r="AC91" s="103"/>
      <c r="AD91" s="451"/>
      <c r="AE91" s="452"/>
      <c r="AF91" s="453" t="str">
        <f t="shared" si="45"/>
        <v xml:space="preserve">   </v>
      </c>
      <c r="AG91" s="442" t="str">
        <f t="shared" si="41"/>
        <v>-</v>
      </c>
      <c r="AH91" s="452"/>
      <c r="AI91" s="447" t="s">
        <v>532</v>
      </c>
      <c r="AJ91" s="451"/>
      <c r="AK91" s="452"/>
      <c r="AL91" s="453" t="str">
        <f t="shared" si="46"/>
        <v xml:space="preserve">   </v>
      </c>
      <c r="AM91" s="442" t="str">
        <f t="shared" si="42"/>
        <v>-</v>
      </c>
      <c r="AN91" s="452"/>
      <c r="AO91" s="447" t="s">
        <v>532</v>
      </c>
      <c r="AP91" s="451"/>
      <c r="AQ91" s="452"/>
      <c r="AR91" s="453" t="str">
        <f t="shared" si="47"/>
        <v xml:space="preserve">   </v>
      </c>
      <c r="AS91" s="447" t="s">
        <v>532</v>
      </c>
      <c r="AT91" s="464"/>
      <c r="AU91" s="447" t="s">
        <v>532</v>
      </c>
      <c r="AV91" s="451"/>
      <c r="AW91" s="452"/>
      <c r="AX91" s="453" t="str">
        <f t="shared" si="48"/>
        <v xml:space="preserve">   </v>
      </c>
      <c r="AY91" s="442" t="str">
        <f t="shared" si="43"/>
        <v>-</v>
      </c>
      <c r="AZ91" s="452"/>
      <c r="BA91" s="447" t="s">
        <v>532</v>
      </c>
      <c r="BB91" s="78"/>
      <c r="BC91" s="420"/>
      <c r="BD91" s="79" t="str">
        <f t="shared" si="49"/>
        <v xml:space="preserve">   </v>
      </c>
      <c r="BE91" s="213" t="str">
        <f t="shared" si="44"/>
        <v>-</v>
      </c>
      <c r="BF91" s="378"/>
      <c r="BG91" s="225" t="s">
        <v>215</v>
      </c>
      <c r="BH91" s="78"/>
      <c r="BI91" s="420"/>
      <c r="BJ91" s="79" t="str">
        <f t="shared" si="50"/>
        <v xml:space="preserve">   </v>
      </c>
      <c r="BK91" s="213" t="s">
        <v>215</v>
      </c>
      <c r="BL91" s="382"/>
      <c r="BM91" s="225" t="s">
        <v>215</v>
      </c>
    </row>
    <row r="92" spans="1:65" s="80" customFormat="1" ht="25.5">
      <c r="B92" s="64">
        <f t="shared" si="51"/>
        <v>85</v>
      </c>
      <c r="C92" s="68"/>
      <c r="D92" s="68"/>
      <c r="E92" s="68"/>
      <c r="F92" s="81" t="s">
        <v>174</v>
      </c>
      <c r="G92" s="14"/>
      <c r="H92" s="82"/>
      <c r="I92" s="73"/>
      <c r="J92" s="73"/>
      <c r="K92" s="74"/>
      <c r="L92" s="74"/>
      <c r="M92" s="83" t="s">
        <v>274</v>
      </c>
      <c r="N92" s="75"/>
      <c r="O92" s="76"/>
      <c r="P92" s="93">
        <f>P91+1</f>
        <v>67</v>
      </c>
      <c r="Q92" s="117">
        <v>2</v>
      </c>
      <c r="R92" s="21" t="str">
        <f t="shared" si="39"/>
        <v>X</v>
      </c>
      <c r="S92" s="96" t="s">
        <v>175</v>
      </c>
      <c r="T92" s="104"/>
      <c r="U92" s="21" t="s">
        <v>226</v>
      </c>
      <c r="V92" s="76"/>
      <c r="W92" s="77">
        <v>3</v>
      </c>
      <c r="X92" s="55" t="s">
        <v>176</v>
      </c>
      <c r="Y92" s="55">
        <v>2</v>
      </c>
      <c r="Z92" s="55">
        <v>2</v>
      </c>
      <c r="AA92" s="73" t="s">
        <v>109</v>
      </c>
      <c r="AB92" s="73" t="s">
        <v>19</v>
      </c>
      <c r="AC92" s="103"/>
      <c r="AD92" s="451"/>
      <c r="AE92" s="452"/>
      <c r="AF92" s="453" t="str">
        <f t="shared" si="45"/>
        <v xml:space="preserve">  </v>
      </c>
      <c r="AG92" s="442" t="str">
        <f t="shared" si="41"/>
        <v>-</v>
      </c>
      <c r="AH92" s="452"/>
      <c r="AI92" s="447" t="s">
        <v>532</v>
      </c>
      <c r="AJ92" s="451"/>
      <c r="AK92" s="452"/>
      <c r="AL92" s="453" t="str">
        <f t="shared" si="46"/>
        <v xml:space="preserve">  </v>
      </c>
      <c r="AM92" s="442" t="str">
        <f t="shared" si="42"/>
        <v>-</v>
      </c>
      <c r="AN92" s="452"/>
      <c r="AO92" s="447" t="s">
        <v>532</v>
      </c>
      <c r="AP92" s="451"/>
      <c r="AQ92" s="452"/>
      <c r="AR92" s="453" t="str">
        <f t="shared" si="47"/>
        <v xml:space="preserve">  </v>
      </c>
      <c r="AS92" s="447" t="s">
        <v>532</v>
      </c>
      <c r="AT92" s="464"/>
      <c r="AU92" s="447" t="s">
        <v>532</v>
      </c>
      <c r="AV92" s="451"/>
      <c r="AW92" s="452"/>
      <c r="AX92" s="453" t="str">
        <f t="shared" si="48"/>
        <v xml:space="preserve">  </v>
      </c>
      <c r="AY92" s="442" t="str">
        <f t="shared" si="43"/>
        <v>-</v>
      </c>
      <c r="AZ92" s="452"/>
      <c r="BA92" s="447" t="s">
        <v>532</v>
      </c>
      <c r="BB92" s="78"/>
      <c r="BC92" s="420"/>
      <c r="BD92" s="79" t="str">
        <f t="shared" si="49"/>
        <v xml:space="preserve">  </v>
      </c>
      <c r="BE92" s="213" t="str">
        <f t="shared" si="44"/>
        <v>-</v>
      </c>
      <c r="BF92" s="378"/>
      <c r="BG92" s="225" t="s">
        <v>215</v>
      </c>
      <c r="BH92" s="78"/>
      <c r="BI92" s="420"/>
      <c r="BJ92" s="79" t="str">
        <f t="shared" si="50"/>
        <v xml:space="preserve">  </v>
      </c>
      <c r="BK92" s="213" t="s">
        <v>215</v>
      </c>
      <c r="BL92" s="382"/>
      <c r="BM92" s="225" t="s">
        <v>215</v>
      </c>
    </row>
    <row r="93" spans="1:65" s="80" customFormat="1" ht="51.75" customHeight="1">
      <c r="B93" s="64">
        <f t="shared" si="51"/>
        <v>86</v>
      </c>
      <c r="C93" s="68"/>
      <c r="D93" s="68"/>
      <c r="E93" s="68"/>
      <c r="F93" s="228" t="s">
        <v>177</v>
      </c>
      <c r="G93" s="229"/>
      <c r="H93" s="230"/>
      <c r="I93" s="73"/>
      <c r="J93" s="73"/>
      <c r="K93" s="74"/>
      <c r="L93" s="74"/>
      <c r="M93" s="83" t="s">
        <v>178</v>
      </c>
      <c r="N93" s="75"/>
      <c r="O93" s="76"/>
      <c r="P93" s="93">
        <f>P92+1</f>
        <v>68</v>
      </c>
      <c r="Q93" s="117">
        <v>5</v>
      </c>
      <c r="R93" s="21" t="str">
        <f t="shared" si="39"/>
        <v>X</v>
      </c>
      <c r="S93" s="96" t="s">
        <v>179</v>
      </c>
      <c r="T93" s="104"/>
      <c r="U93" s="21" t="s">
        <v>226</v>
      </c>
      <c r="V93" s="76"/>
      <c r="W93" s="77">
        <v>3</v>
      </c>
      <c r="X93" s="55" t="s">
        <v>262</v>
      </c>
      <c r="Y93" s="55">
        <v>5</v>
      </c>
      <c r="Z93" s="55">
        <v>5</v>
      </c>
      <c r="AA93" s="73" t="s">
        <v>109</v>
      </c>
      <c r="AB93" s="73" t="s">
        <v>19</v>
      </c>
      <c r="AC93" s="84"/>
      <c r="AD93" s="451"/>
      <c r="AE93" s="452"/>
      <c r="AF93" s="453" t="str">
        <f t="shared" si="45"/>
        <v xml:space="preserve">     </v>
      </c>
      <c r="AG93" s="442" t="str">
        <f t="shared" si="41"/>
        <v>-</v>
      </c>
      <c r="AH93" s="452"/>
      <c r="AI93" s="447" t="s">
        <v>532</v>
      </c>
      <c r="AJ93" s="451"/>
      <c r="AK93" s="452"/>
      <c r="AL93" s="453" t="str">
        <f t="shared" si="46"/>
        <v xml:space="preserve">     </v>
      </c>
      <c r="AM93" s="442" t="str">
        <f t="shared" si="42"/>
        <v>-</v>
      </c>
      <c r="AN93" s="452"/>
      <c r="AO93" s="447" t="s">
        <v>532</v>
      </c>
      <c r="AP93" s="451"/>
      <c r="AQ93" s="452"/>
      <c r="AR93" s="453" t="str">
        <f t="shared" si="47"/>
        <v xml:space="preserve">     </v>
      </c>
      <c r="AS93" s="447" t="s">
        <v>532</v>
      </c>
      <c r="AT93" s="464"/>
      <c r="AU93" s="447" t="s">
        <v>532</v>
      </c>
      <c r="AV93" s="451"/>
      <c r="AW93" s="452"/>
      <c r="AX93" s="453" t="str">
        <f t="shared" si="48"/>
        <v xml:space="preserve">     </v>
      </c>
      <c r="AY93" s="442" t="str">
        <f t="shared" si="43"/>
        <v>-</v>
      </c>
      <c r="AZ93" s="452"/>
      <c r="BA93" s="447" t="s">
        <v>532</v>
      </c>
      <c r="BB93" s="78"/>
      <c r="BC93" s="420"/>
      <c r="BD93" s="79" t="str">
        <f t="shared" si="49"/>
        <v xml:space="preserve">     </v>
      </c>
      <c r="BE93" s="213" t="str">
        <f t="shared" si="44"/>
        <v>-</v>
      </c>
      <c r="BF93" s="378"/>
      <c r="BG93" s="225" t="s">
        <v>215</v>
      </c>
      <c r="BH93" s="78"/>
      <c r="BI93" s="420"/>
      <c r="BJ93" s="79" t="str">
        <f t="shared" si="50"/>
        <v xml:space="preserve">     </v>
      </c>
      <c r="BK93" s="213" t="s">
        <v>215</v>
      </c>
      <c r="BL93" s="378"/>
      <c r="BM93" s="225" t="s">
        <v>215</v>
      </c>
    </row>
    <row r="94" spans="1:65" s="80" customFormat="1" ht="51.75" customHeight="1">
      <c r="B94" s="64">
        <f t="shared" si="51"/>
        <v>87</v>
      </c>
      <c r="C94" s="68"/>
      <c r="D94" s="68"/>
      <c r="E94" s="68"/>
      <c r="F94" s="228" t="s">
        <v>180</v>
      </c>
      <c r="G94" s="229"/>
      <c r="H94" s="230"/>
      <c r="I94" s="73"/>
      <c r="J94" s="73"/>
      <c r="K94" s="74"/>
      <c r="L94" s="74"/>
      <c r="M94" s="83" t="s">
        <v>181</v>
      </c>
      <c r="N94" s="75"/>
      <c r="O94" s="76"/>
      <c r="P94" s="93">
        <f>P93+1</f>
        <v>69</v>
      </c>
      <c r="Q94" s="117">
        <v>64</v>
      </c>
      <c r="R94" s="21" t="str">
        <f>IF(AA94="M","NX",AA94)</f>
        <v>NX</v>
      </c>
      <c r="S94" s="96" t="s">
        <v>182</v>
      </c>
      <c r="T94" s="104"/>
      <c r="U94" s="21" t="s">
        <v>226</v>
      </c>
      <c r="V94" s="76" t="s">
        <v>263</v>
      </c>
      <c r="W94" s="77">
        <v>3</v>
      </c>
      <c r="X94" s="55" t="s">
        <v>264</v>
      </c>
      <c r="Y94" s="55">
        <v>1</v>
      </c>
      <c r="Z94" s="55">
        <v>64</v>
      </c>
      <c r="AA94" s="73" t="s">
        <v>252</v>
      </c>
      <c r="AB94" s="73" t="s">
        <v>19</v>
      </c>
      <c r="AC94" s="84" t="s">
        <v>263</v>
      </c>
      <c r="AD94" s="451"/>
      <c r="AE94" s="452"/>
      <c r="AF94" s="453" t="str">
        <f t="shared" si="45"/>
        <v xml:space="preserve">                                                                </v>
      </c>
      <c r="AG94" s="442" t="str">
        <f t="shared" si="41"/>
        <v>-</v>
      </c>
      <c r="AH94" s="452"/>
      <c r="AI94" s="447" t="s">
        <v>532</v>
      </c>
      <c r="AJ94" s="451"/>
      <c r="AK94" s="452"/>
      <c r="AL94" s="453" t="str">
        <f t="shared" si="46"/>
        <v xml:space="preserve">                                                                </v>
      </c>
      <c r="AM94" s="442" t="str">
        <f t="shared" si="42"/>
        <v>-</v>
      </c>
      <c r="AN94" s="452"/>
      <c r="AO94" s="447" t="s">
        <v>532</v>
      </c>
      <c r="AP94" s="451"/>
      <c r="AQ94" s="452"/>
      <c r="AR94" s="453" t="str">
        <f t="shared" si="47"/>
        <v xml:space="preserve">                                                                </v>
      </c>
      <c r="AS94" s="447" t="s">
        <v>532</v>
      </c>
      <c r="AT94" s="464"/>
      <c r="AU94" s="447" t="s">
        <v>532</v>
      </c>
      <c r="AV94" s="451"/>
      <c r="AW94" s="452"/>
      <c r="AX94" s="453" t="str">
        <f t="shared" si="48"/>
        <v xml:space="preserve">                                                                </v>
      </c>
      <c r="AY94" s="442" t="str">
        <f t="shared" si="43"/>
        <v>-</v>
      </c>
      <c r="AZ94" s="452"/>
      <c r="BA94" s="447" t="s">
        <v>532</v>
      </c>
      <c r="BB94" s="78"/>
      <c r="BC94" s="420"/>
      <c r="BD94" s="79" t="str">
        <f t="shared" si="49"/>
        <v xml:space="preserve">                                                                </v>
      </c>
      <c r="BE94" s="213" t="str">
        <f t="shared" si="44"/>
        <v>-</v>
      </c>
      <c r="BF94" s="378"/>
      <c r="BG94" s="225" t="s">
        <v>215</v>
      </c>
      <c r="BH94" s="78"/>
      <c r="BI94" s="420"/>
      <c r="BJ94" s="79" t="str">
        <f t="shared" si="50"/>
        <v xml:space="preserve">                                                                </v>
      </c>
      <c r="BK94" s="213" t="s">
        <v>215</v>
      </c>
      <c r="BL94" s="378"/>
      <c r="BM94" s="225" t="s">
        <v>215</v>
      </c>
    </row>
    <row r="95" spans="1:65" s="80" customFormat="1" ht="92.25" customHeight="1">
      <c r="B95" s="64">
        <f t="shared" si="51"/>
        <v>88</v>
      </c>
      <c r="C95" s="68"/>
      <c r="D95" s="68"/>
      <c r="E95" s="68"/>
      <c r="F95" s="81" t="s">
        <v>276</v>
      </c>
      <c r="G95" s="14"/>
      <c r="H95" s="82"/>
      <c r="I95" s="73"/>
      <c r="J95" s="73"/>
      <c r="K95" s="74"/>
      <c r="L95" s="74"/>
      <c r="M95" s="415" t="s">
        <v>207</v>
      </c>
      <c r="N95" s="75"/>
      <c r="O95" s="76"/>
      <c r="P95" s="93">
        <f>P94+1</f>
        <v>70</v>
      </c>
      <c r="Q95" s="117">
        <v>7</v>
      </c>
      <c r="R95" s="21" t="s">
        <v>229</v>
      </c>
      <c r="S95" s="96" t="s">
        <v>265</v>
      </c>
      <c r="T95" s="104"/>
      <c r="U95" s="21" t="s">
        <v>226</v>
      </c>
      <c r="V95" s="76"/>
      <c r="W95" s="77">
        <v>3</v>
      </c>
      <c r="X95" s="55" t="s">
        <v>266</v>
      </c>
      <c r="Y95" s="55">
        <v>7</v>
      </c>
      <c r="Z95" s="55">
        <v>7</v>
      </c>
      <c r="AA95" s="73" t="s">
        <v>229</v>
      </c>
      <c r="AB95" s="73" t="s">
        <v>19</v>
      </c>
      <c r="AC95" s="84"/>
      <c r="AD95" s="451"/>
      <c r="AE95" s="452"/>
      <c r="AF95" s="453" t="str">
        <f t="shared" si="45"/>
        <v xml:space="preserve">       </v>
      </c>
      <c r="AG95" s="442" t="str">
        <f t="shared" si="41"/>
        <v>-</v>
      </c>
      <c r="AH95" s="452"/>
      <c r="AI95" s="447" t="s">
        <v>532</v>
      </c>
      <c r="AJ95" s="451"/>
      <c r="AK95" s="452"/>
      <c r="AL95" s="453" t="str">
        <f t="shared" si="46"/>
        <v xml:space="preserve">       </v>
      </c>
      <c r="AM95" s="442" t="str">
        <f t="shared" si="42"/>
        <v>-</v>
      </c>
      <c r="AN95" s="452"/>
      <c r="AO95" s="447" t="s">
        <v>532</v>
      </c>
      <c r="AP95" s="451"/>
      <c r="AQ95" s="452"/>
      <c r="AR95" s="453" t="str">
        <f t="shared" si="47"/>
        <v xml:space="preserve">       </v>
      </c>
      <c r="AS95" s="447" t="s">
        <v>532</v>
      </c>
      <c r="AT95" s="464"/>
      <c r="AU95" s="447" t="s">
        <v>532</v>
      </c>
      <c r="AV95" s="451"/>
      <c r="AW95" s="452"/>
      <c r="AX95" s="453" t="str">
        <f t="shared" si="48"/>
        <v xml:space="preserve">       </v>
      </c>
      <c r="AY95" s="442" t="str">
        <f t="shared" si="43"/>
        <v>-</v>
      </c>
      <c r="AZ95" s="452"/>
      <c r="BA95" s="447" t="s">
        <v>532</v>
      </c>
      <c r="BB95" s="78"/>
      <c r="BC95" s="420"/>
      <c r="BD95" s="79" t="str">
        <f t="shared" si="49"/>
        <v xml:space="preserve">       </v>
      </c>
      <c r="BE95" s="213" t="str">
        <f t="shared" si="44"/>
        <v>-</v>
      </c>
      <c r="BF95" s="378"/>
      <c r="BG95" s="225" t="s">
        <v>215</v>
      </c>
      <c r="BH95" s="78"/>
      <c r="BI95" s="420"/>
      <c r="BJ95" s="79" t="str">
        <f t="shared" si="50"/>
        <v xml:space="preserve">       </v>
      </c>
      <c r="BK95" s="213" t="s">
        <v>215</v>
      </c>
      <c r="BL95" s="378"/>
      <c r="BM95" s="225" t="s">
        <v>215</v>
      </c>
    </row>
    <row r="96" spans="1:65" s="80" customFormat="1" ht="127.9" thickBot="1">
      <c r="A96" s="216"/>
      <c r="B96" s="231">
        <f t="shared" si="51"/>
        <v>89</v>
      </c>
      <c r="C96" s="232"/>
      <c r="D96" s="232"/>
      <c r="E96" s="232"/>
      <c r="F96" s="234" t="s">
        <v>267</v>
      </c>
      <c r="G96" s="235"/>
      <c r="H96" s="236"/>
      <c r="I96" s="237"/>
      <c r="J96" s="237"/>
      <c r="K96" s="237"/>
      <c r="L96" s="237"/>
      <c r="M96" s="416" t="s">
        <v>277</v>
      </c>
      <c r="N96" s="417"/>
      <c r="O96" s="419"/>
      <c r="P96" s="429">
        <f>P95+1</f>
        <v>71</v>
      </c>
      <c r="Q96" s="430">
        <v>1</v>
      </c>
      <c r="R96" s="431">
        <v>9</v>
      </c>
      <c r="S96" s="430" t="s">
        <v>268</v>
      </c>
      <c r="T96" s="430"/>
      <c r="U96" s="431" t="s">
        <v>226</v>
      </c>
      <c r="V96" s="432"/>
      <c r="W96" s="433" t="str">
        <f>IF(C96&lt;&gt;"","0",IF(D96&lt;&gt;"","1",IF(E96&lt;&gt;"","2",IF(F96&lt;&gt;"","3",IF(G96&lt;&gt;"","4",IF(H96&lt;&gt;"","5"))))))</f>
        <v>3</v>
      </c>
      <c r="X96" s="434" t="s">
        <v>269</v>
      </c>
      <c r="Y96" s="434">
        <v>1</v>
      </c>
      <c r="Z96" s="434">
        <v>1</v>
      </c>
      <c r="AA96" s="435">
        <v>9</v>
      </c>
      <c r="AB96" s="237" t="s">
        <v>226</v>
      </c>
      <c r="AC96" s="436"/>
      <c r="AD96" s="454"/>
      <c r="AE96" s="455"/>
      <c r="AF96" s="456" t="str">
        <f t="shared" si="45"/>
        <v xml:space="preserve"> </v>
      </c>
      <c r="AG96" s="457" t="str">
        <f t="shared" si="41"/>
        <v>-</v>
      </c>
      <c r="AH96" s="455"/>
      <c r="AI96" s="458" t="s">
        <v>532</v>
      </c>
      <c r="AJ96" s="454"/>
      <c r="AK96" s="455"/>
      <c r="AL96" s="456" t="str">
        <f t="shared" si="46"/>
        <v xml:space="preserve"> </v>
      </c>
      <c r="AM96" s="457" t="str">
        <f t="shared" si="42"/>
        <v>-</v>
      </c>
      <c r="AN96" s="455"/>
      <c r="AO96" s="458" t="s">
        <v>532</v>
      </c>
      <c r="AP96" s="454"/>
      <c r="AQ96" s="455"/>
      <c r="AR96" s="456" t="str">
        <f t="shared" si="47"/>
        <v xml:space="preserve"> </v>
      </c>
      <c r="AS96" s="457" t="s">
        <v>532</v>
      </c>
      <c r="AT96" s="465"/>
      <c r="AU96" s="458" t="s">
        <v>532</v>
      </c>
      <c r="AV96" s="454"/>
      <c r="AW96" s="455"/>
      <c r="AX96" s="456" t="str">
        <f t="shared" si="48"/>
        <v xml:space="preserve"> </v>
      </c>
      <c r="AY96" s="457" t="str">
        <f t="shared" si="43"/>
        <v>-</v>
      </c>
      <c r="AZ96" s="455"/>
      <c r="BA96" s="458" t="s">
        <v>532</v>
      </c>
      <c r="BB96" s="211"/>
      <c r="BC96" s="422"/>
      <c r="BD96" s="212" t="str">
        <f t="shared" si="49"/>
        <v xml:space="preserve"> </v>
      </c>
      <c r="BE96" s="226" t="str">
        <f t="shared" si="44"/>
        <v>-</v>
      </c>
      <c r="BF96" s="352"/>
      <c r="BG96" s="403" t="s">
        <v>215</v>
      </c>
      <c r="BH96" s="211"/>
      <c r="BI96" s="422"/>
      <c r="BJ96" s="212" t="str">
        <f t="shared" si="50"/>
        <v xml:space="preserve"> </v>
      </c>
      <c r="BK96" s="226" t="s">
        <v>215</v>
      </c>
      <c r="BL96" s="352"/>
      <c r="BM96" s="403" t="s">
        <v>215</v>
      </c>
    </row>
    <row r="97" spans="2:65" s="26" customFormat="1" ht="18.75" customHeight="1" thickTop="1">
      <c r="B97" s="2">
        <f t="shared" si="51"/>
        <v>90</v>
      </c>
      <c r="C97" s="7"/>
      <c r="D97" s="7"/>
      <c r="E97" s="100" t="s">
        <v>308</v>
      </c>
      <c r="F97" s="410"/>
      <c r="G97" s="410"/>
      <c r="H97" s="61"/>
      <c r="I97" s="8" t="s">
        <v>29</v>
      </c>
      <c r="J97" s="8" t="s">
        <v>231</v>
      </c>
      <c r="K97" s="8"/>
      <c r="L97" s="8"/>
      <c r="M97" s="1" t="s">
        <v>272</v>
      </c>
      <c r="N97" s="9"/>
      <c r="O97" s="423"/>
      <c r="P97" s="93"/>
      <c r="Q97" s="113"/>
      <c r="R97" s="21"/>
      <c r="S97" s="424"/>
      <c r="T97" s="9"/>
      <c r="U97" s="21"/>
      <c r="V97" s="98"/>
      <c r="W97" s="25" t="str">
        <f>IF(C97&lt;&gt;"","0",IF(D97&lt;&gt;"","1",IF(E97&lt;&gt;"","2",IF(F97&lt;&gt;"","3",IF(G97&lt;&gt;"","4",IF(H97&lt;&gt;"","5"))))))</f>
        <v>2</v>
      </c>
      <c r="X97" s="1" t="s">
        <v>117</v>
      </c>
      <c r="Y97" s="1"/>
      <c r="Z97" s="1"/>
      <c r="AA97" s="8"/>
      <c r="AB97" s="8" t="s">
        <v>226</v>
      </c>
      <c r="AC97" s="62"/>
      <c r="AD97" s="444"/>
      <c r="AE97" s="440"/>
      <c r="AF97" s="440" t="str">
        <f t="shared" si="45"/>
        <v/>
      </c>
      <c r="AG97" s="442" t="str">
        <f t="shared" si="41"/>
        <v>-</v>
      </c>
      <c r="AH97" s="440"/>
      <c r="AI97" s="448" t="s">
        <v>532</v>
      </c>
      <c r="AJ97" s="444"/>
      <c r="AK97" s="440"/>
      <c r="AL97" s="440" t="str">
        <f t="shared" si="46"/>
        <v/>
      </c>
      <c r="AM97" s="442" t="str">
        <f t="shared" si="42"/>
        <v>-</v>
      </c>
      <c r="AN97" s="440"/>
      <c r="AO97" s="448" t="s">
        <v>532</v>
      </c>
      <c r="AP97" s="444"/>
      <c r="AQ97" s="440"/>
      <c r="AR97" s="440" t="str">
        <f t="shared" si="47"/>
        <v/>
      </c>
      <c r="AS97" s="442" t="s">
        <v>532</v>
      </c>
      <c r="AT97" s="462"/>
      <c r="AU97" s="448" t="s">
        <v>532</v>
      </c>
      <c r="AV97" s="444"/>
      <c r="AW97" s="440"/>
      <c r="AX97" s="440" t="str">
        <f t="shared" si="48"/>
        <v/>
      </c>
      <c r="AY97" s="442" t="str">
        <f t="shared" si="43"/>
        <v>-</v>
      </c>
      <c r="AZ97" s="440"/>
      <c r="BA97" s="448" t="s">
        <v>532</v>
      </c>
      <c r="BB97" s="59"/>
      <c r="BC97" s="60"/>
      <c r="BD97" s="60" t="str">
        <f t="shared" si="49"/>
        <v/>
      </c>
      <c r="BE97" s="213" t="str">
        <f t="shared" si="44"/>
        <v>-</v>
      </c>
      <c r="BF97" s="167"/>
      <c r="BG97" s="405" t="s">
        <v>215</v>
      </c>
      <c r="BH97" s="59"/>
      <c r="BI97" s="60"/>
      <c r="BJ97" s="60" t="str">
        <f t="shared" si="50"/>
        <v/>
      </c>
      <c r="BK97" s="260" t="s">
        <v>215</v>
      </c>
      <c r="BL97" s="167"/>
      <c r="BM97" s="405" t="s">
        <v>215</v>
      </c>
    </row>
    <row r="98" spans="2:65" s="26" customFormat="1" ht="63.75">
      <c r="B98" s="2">
        <f t="shared" si="51"/>
        <v>91</v>
      </c>
      <c r="C98" s="127"/>
      <c r="D98" s="7"/>
      <c r="E98" s="7"/>
      <c r="F98" s="110" t="s">
        <v>87</v>
      </c>
      <c r="G98" s="16"/>
      <c r="H98" s="13"/>
      <c r="I98" s="6"/>
      <c r="J98" s="6"/>
      <c r="K98" s="6"/>
      <c r="L98" s="8"/>
      <c r="M98" s="23" t="s">
        <v>248</v>
      </c>
      <c r="N98" s="1"/>
      <c r="O98" s="56"/>
      <c r="P98" s="93">
        <f>P96+1</f>
        <v>72</v>
      </c>
      <c r="Q98" s="115">
        <v>2</v>
      </c>
      <c r="R98" s="21" t="str">
        <f>IF(AA98="M","NX",AA98)</f>
        <v>X</v>
      </c>
      <c r="S98" s="96" t="s">
        <v>309</v>
      </c>
      <c r="T98" s="94"/>
      <c r="U98" s="21" t="s">
        <v>226</v>
      </c>
      <c r="V98" s="116" t="s">
        <v>189</v>
      </c>
      <c r="W98" s="25" t="str">
        <f>IF(C98&lt;&gt;"","0",IF(D98&lt;&gt;"","1",IF(E98&lt;&gt;"","2",IF(F98&lt;&gt;"","3",IF(G98&lt;&gt;"","4",IF(H98&lt;&gt;"","5"))))))</f>
        <v>3</v>
      </c>
      <c r="X98" s="5" t="s">
        <v>249</v>
      </c>
      <c r="Y98" s="57">
        <v>2</v>
      </c>
      <c r="Z98" s="57">
        <v>2</v>
      </c>
      <c r="AA98" s="58" t="s">
        <v>109</v>
      </c>
      <c r="AB98" s="58" t="s">
        <v>19</v>
      </c>
      <c r="AC98" s="12"/>
      <c r="AD98" s="444"/>
      <c r="AE98" s="445"/>
      <c r="AF98" s="446" t="str">
        <f t="shared" si="45"/>
        <v xml:space="preserve">  </v>
      </c>
      <c r="AG98" s="442" t="str">
        <f t="shared" si="41"/>
        <v>-</v>
      </c>
      <c r="AH98" s="445"/>
      <c r="AI98" s="447" t="s">
        <v>532</v>
      </c>
      <c r="AJ98" s="444"/>
      <c r="AK98" s="445"/>
      <c r="AL98" s="446" t="str">
        <f t="shared" si="46"/>
        <v xml:space="preserve">  </v>
      </c>
      <c r="AM98" s="442" t="str">
        <f t="shared" si="42"/>
        <v>-</v>
      </c>
      <c r="AN98" s="445"/>
      <c r="AO98" s="447" t="s">
        <v>532</v>
      </c>
      <c r="AP98" s="444"/>
      <c r="AQ98" s="445"/>
      <c r="AR98" s="446" t="str">
        <f t="shared" si="47"/>
        <v xml:space="preserve">  </v>
      </c>
      <c r="AS98" s="447" t="s">
        <v>532</v>
      </c>
      <c r="AT98" s="463"/>
      <c r="AU98" s="447" t="s">
        <v>532</v>
      </c>
      <c r="AV98" s="444"/>
      <c r="AW98" s="445"/>
      <c r="AX98" s="446" t="str">
        <f t="shared" si="48"/>
        <v xml:space="preserve">  </v>
      </c>
      <c r="AY98" s="442" t="str">
        <f t="shared" si="43"/>
        <v>-</v>
      </c>
      <c r="AZ98" s="445"/>
      <c r="BA98" s="447" t="s">
        <v>532</v>
      </c>
      <c r="BB98" s="59"/>
      <c r="BC98" s="223"/>
      <c r="BD98" s="254" t="str">
        <f t="shared" si="49"/>
        <v xml:space="preserve">  </v>
      </c>
      <c r="BE98" s="213" t="str">
        <f t="shared" si="44"/>
        <v>-</v>
      </c>
      <c r="BF98" s="172"/>
      <c r="BG98" s="225" t="s">
        <v>215</v>
      </c>
      <c r="BH98" s="59"/>
      <c r="BI98" s="223"/>
      <c r="BJ98" s="254" t="str">
        <f t="shared" si="50"/>
        <v xml:space="preserve">  </v>
      </c>
      <c r="BK98" s="213" t="s">
        <v>215</v>
      </c>
      <c r="BL98" s="172"/>
      <c r="BM98" s="225" t="s">
        <v>215</v>
      </c>
    </row>
    <row r="99" spans="2:65" s="26" customFormat="1" ht="344.25">
      <c r="B99" s="2">
        <f t="shared" si="51"/>
        <v>92</v>
      </c>
      <c r="C99" s="7"/>
      <c r="D99" s="7"/>
      <c r="E99" s="7"/>
      <c r="F99" s="110" t="s">
        <v>304</v>
      </c>
      <c r="G99" s="16"/>
      <c r="H99" s="13"/>
      <c r="I99" s="8"/>
      <c r="J99" s="8" t="s">
        <v>231</v>
      </c>
      <c r="K99" s="8"/>
      <c r="L99" s="8"/>
      <c r="M99" s="355" t="s">
        <v>478</v>
      </c>
      <c r="N99" s="11"/>
      <c r="O99" s="56"/>
      <c r="P99" s="93">
        <f>P98+1</f>
        <v>73</v>
      </c>
      <c r="Q99" s="113">
        <v>2</v>
      </c>
      <c r="R99" s="21" t="str">
        <f t="shared" ref="R99:R123" si="52">IF(AA99="M","NX",AA99)</f>
        <v>X</v>
      </c>
      <c r="S99" s="96" t="s">
        <v>310</v>
      </c>
      <c r="T99" s="94"/>
      <c r="U99" s="21" t="s">
        <v>226</v>
      </c>
      <c r="V99" s="10"/>
      <c r="W99" s="25">
        <v>3</v>
      </c>
      <c r="X99" s="1" t="s">
        <v>243</v>
      </c>
      <c r="Y99" s="1">
        <v>2</v>
      </c>
      <c r="Z99" s="1">
        <v>2</v>
      </c>
      <c r="AA99" s="8" t="s">
        <v>109</v>
      </c>
      <c r="AB99" s="8" t="s">
        <v>19</v>
      </c>
      <c r="AC99" s="12"/>
      <c r="AD99" s="444"/>
      <c r="AE99" s="445"/>
      <c r="AF99" s="446" t="str">
        <f t="shared" si="45"/>
        <v xml:space="preserve">  </v>
      </c>
      <c r="AG99" s="442" t="str">
        <f t="shared" si="41"/>
        <v>-</v>
      </c>
      <c r="AH99" s="445"/>
      <c r="AI99" s="448" t="s">
        <v>532</v>
      </c>
      <c r="AJ99" s="444"/>
      <c r="AK99" s="445"/>
      <c r="AL99" s="446" t="str">
        <f t="shared" si="46"/>
        <v xml:space="preserve">  </v>
      </c>
      <c r="AM99" s="442" t="str">
        <f t="shared" si="42"/>
        <v>-</v>
      </c>
      <c r="AN99" s="445"/>
      <c r="AO99" s="448" t="s">
        <v>532</v>
      </c>
      <c r="AP99" s="444"/>
      <c r="AQ99" s="445"/>
      <c r="AR99" s="446" t="str">
        <f t="shared" si="47"/>
        <v xml:space="preserve">  </v>
      </c>
      <c r="AS99" s="442" t="s">
        <v>532</v>
      </c>
      <c r="AT99" s="463"/>
      <c r="AU99" s="448" t="s">
        <v>532</v>
      </c>
      <c r="AV99" s="444"/>
      <c r="AW99" s="445"/>
      <c r="AX99" s="446" t="str">
        <f t="shared" si="48"/>
        <v xml:space="preserve">  </v>
      </c>
      <c r="AY99" s="442" t="str">
        <f t="shared" si="43"/>
        <v>-</v>
      </c>
      <c r="AZ99" s="445"/>
      <c r="BA99" s="448" t="s">
        <v>532</v>
      </c>
      <c r="BB99" s="59"/>
      <c r="BC99" s="223"/>
      <c r="BD99" s="254" t="str">
        <f t="shared" si="49"/>
        <v>04</v>
      </c>
      <c r="BE99" s="213" t="str">
        <f t="shared" si="44"/>
        <v>-</v>
      </c>
      <c r="BF99" s="172" t="s">
        <v>184</v>
      </c>
      <c r="BG99" s="405" t="str">
        <f>IF(OR(BC$8="判定対象外",BF$8="判定対象外",BF99="-"),"-",IF(BC99=BF99,"OK","NG"))</f>
        <v>NG</v>
      </c>
      <c r="BH99" s="59"/>
      <c r="BI99" s="223"/>
      <c r="BJ99" s="254" t="str">
        <f t="shared" si="50"/>
        <v>B2</v>
      </c>
      <c r="BK99" s="213" t="str">
        <f>IF(OR(BI$8="判定対象外",BJ$8="判定対象外",BJ99="-"),"-",IF(BI99=BJ99,"OK","NG"))</f>
        <v>NG</v>
      </c>
      <c r="BL99" s="172" t="s">
        <v>572</v>
      </c>
      <c r="BM99" s="405" t="str">
        <f>IF(OR(BI$8="判定対象外",BL$8="判定対象外",BL99="-"),"-",IF(BI99=BL99,"OK","NG"))</f>
        <v>NG</v>
      </c>
    </row>
    <row r="100" spans="2:65" s="26" customFormat="1">
      <c r="B100" s="2">
        <f t="shared" si="51"/>
        <v>93</v>
      </c>
      <c r="C100" s="7"/>
      <c r="D100" s="7"/>
      <c r="E100" s="7"/>
      <c r="F100" s="22" t="s">
        <v>273</v>
      </c>
      <c r="G100" s="16"/>
      <c r="H100" s="13"/>
      <c r="I100" s="8"/>
      <c r="J100" s="8"/>
      <c r="K100" s="8"/>
      <c r="L100" s="8"/>
      <c r="M100" s="358" t="s">
        <v>205</v>
      </c>
      <c r="N100" s="11"/>
      <c r="O100" s="56"/>
      <c r="P100" s="93">
        <f t="shared" ref="P100:P121" si="53">P99+1</f>
        <v>74</v>
      </c>
      <c r="Q100" s="113">
        <v>2</v>
      </c>
      <c r="R100" s="21" t="str">
        <f t="shared" si="52"/>
        <v>X</v>
      </c>
      <c r="S100" s="96" t="s">
        <v>118</v>
      </c>
      <c r="T100" s="94"/>
      <c r="U100" s="21" t="s">
        <v>226</v>
      </c>
      <c r="V100" s="10"/>
      <c r="W100" s="25">
        <v>3</v>
      </c>
      <c r="X100" s="1" t="s">
        <v>119</v>
      </c>
      <c r="Y100" s="1">
        <v>2</v>
      </c>
      <c r="Z100" s="1">
        <v>2</v>
      </c>
      <c r="AA100" s="8" t="s">
        <v>109</v>
      </c>
      <c r="AB100" s="8" t="s">
        <v>19</v>
      </c>
      <c r="AC100" s="12"/>
      <c r="AD100" s="444"/>
      <c r="AE100" s="440"/>
      <c r="AF100" s="440" t="str">
        <f t="shared" si="45"/>
        <v xml:space="preserve">  </v>
      </c>
      <c r="AG100" s="442" t="str">
        <f t="shared" si="41"/>
        <v>-</v>
      </c>
      <c r="AH100" s="440"/>
      <c r="AI100" s="447" t="s">
        <v>532</v>
      </c>
      <c r="AJ100" s="444"/>
      <c r="AK100" s="440"/>
      <c r="AL100" s="440" t="str">
        <f t="shared" si="46"/>
        <v xml:space="preserve">  </v>
      </c>
      <c r="AM100" s="442" t="str">
        <f t="shared" si="42"/>
        <v>-</v>
      </c>
      <c r="AN100" s="440"/>
      <c r="AO100" s="447" t="s">
        <v>532</v>
      </c>
      <c r="AP100" s="444"/>
      <c r="AQ100" s="440"/>
      <c r="AR100" s="440" t="str">
        <f t="shared" si="47"/>
        <v xml:space="preserve">  </v>
      </c>
      <c r="AS100" s="447" t="s">
        <v>532</v>
      </c>
      <c r="AT100" s="462"/>
      <c r="AU100" s="447" t="s">
        <v>532</v>
      </c>
      <c r="AV100" s="444"/>
      <c r="AW100" s="440"/>
      <c r="AX100" s="440" t="str">
        <f t="shared" si="48"/>
        <v xml:space="preserve">  </v>
      </c>
      <c r="AY100" s="442" t="str">
        <f t="shared" si="43"/>
        <v>-</v>
      </c>
      <c r="AZ100" s="440"/>
      <c r="BA100" s="447" t="s">
        <v>532</v>
      </c>
      <c r="BB100" s="59"/>
      <c r="BC100" s="60"/>
      <c r="BD100" s="60" t="str">
        <f t="shared" si="49"/>
        <v xml:space="preserve">  </v>
      </c>
      <c r="BE100" s="213" t="str">
        <f t="shared" si="44"/>
        <v>-</v>
      </c>
      <c r="BF100" s="167"/>
      <c r="BG100" s="225" t="s">
        <v>215</v>
      </c>
      <c r="BH100" s="59"/>
      <c r="BI100" s="60"/>
      <c r="BJ100" s="60" t="str">
        <f t="shared" si="50"/>
        <v xml:space="preserve">  </v>
      </c>
      <c r="BK100" s="213" t="s">
        <v>215</v>
      </c>
      <c r="BL100" s="167"/>
      <c r="BM100" s="225" t="s">
        <v>215</v>
      </c>
    </row>
    <row r="101" spans="2:65" s="26" customFormat="1">
      <c r="B101" s="2">
        <f t="shared" si="51"/>
        <v>94</v>
      </c>
      <c r="C101" s="7"/>
      <c r="D101" s="7"/>
      <c r="E101" s="7"/>
      <c r="F101" s="22" t="s">
        <v>120</v>
      </c>
      <c r="G101" s="16"/>
      <c r="H101" s="13"/>
      <c r="I101" s="8"/>
      <c r="J101" s="8" t="s">
        <v>231</v>
      </c>
      <c r="K101" s="8"/>
      <c r="L101" s="8"/>
      <c r="M101" s="1" t="s">
        <v>121</v>
      </c>
      <c r="N101" s="1"/>
      <c r="O101" s="56"/>
      <c r="P101" s="93">
        <f t="shared" si="53"/>
        <v>75</v>
      </c>
      <c r="Q101" s="113">
        <v>255</v>
      </c>
      <c r="R101" s="21" t="str">
        <f t="shared" si="52"/>
        <v>NX</v>
      </c>
      <c r="S101" s="96" t="s">
        <v>122</v>
      </c>
      <c r="T101" s="94"/>
      <c r="U101" s="21" t="s">
        <v>226</v>
      </c>
      <c r="V101" s="10"/>
      <c r="W101" s="25">
        <v>3</v>
      </c>
      <c r="X101" s="1" t="s">
        <v>250</v>
      </c>
      <c r="Y101" s="1">
        <v>1</v>
      </c>
      <c r="Z101" s="1">
        <v>255</v>
      </c>
      <c r="AA101" s="8" t="s">
        <v>123</v>
      </c>
      <c r="AB101" s="8" t="s">
        <v>19</v>
      </c>
      <c r="AC101" s="12"/>
      <c r="AD101" s="444"/>
      <c r="AE101" s="445"/>
      <c r="AF101" s="445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01" s="442" t="str">
        <f t="shared" si="41"/>
        <v>-</v>
      </c>
      <c r="AH101" s="445"/>
      <c r="AI101" s="447" t="s">
        <v>532</v>
      </c>
      <c r="AJ101" s="444"/>
      <c r="AK101" s="445"/>
      <c r="AL101" s="445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01" s="442" t="str">
        <f t="shared" si="42"/>
        <v>-</v>
      </c>
      <c r="AN101" s="445"/>
      <c r="AO101" s="447" t="s">
        <v>532</v>
      </c>
      <c r="AP101" s="444"/>
      <c r="AQ101" s="445"/>
      <c r="AR101" s="445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01" s="447" t="s">
        <v>532</v>
      </c>
      <c r="AT101" s="463"/>
      <c r="AU101" s="447" t="s">
        <v>532</v>
      </c>
      <c r="AV101" s="444"/>
      <c r="AW101" s="445"/>
      <c r="AX101" s="445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01" s="442" t="str">
        <f t="shared" si="43"/>
        <v>-</v>
      </c>
      <c r="AZ101" s="445"/>
      <c r="BA101" s="447" t="s">
        <v>532</v>
      </c>
      <c r="BB101" s="59"/>
      <c r="BC101" s="223"/>
      <c r="BD101" s="223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01" s="213" t="str">
        <f t="shared" si="44"/>
        <v>-</v>
      </c>
      <c r="BF101" s="172"/>
      <c r="BG101" s="225" t="s">
        <v>215</v>
      </c>
      <c r="BH101" s="59"/>
      <c r="BI101" s="223"/>
      <c r="BJ101" s="223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01" s="213" t="s">
        <v>215</v>
      </c>
      <c r="BL101" s="172"/>
      <c r="BM101" s="225" t="s">
        <v>215</v>
      </c>
    </row>
    <row r="102" spans="2:65" s="26" customFormat="1">
      <c r="B102" s="19">
        <f t="shared" si="51"/>
        <v>95</v>
      </c>
      <c r="C102" s="7"/>
      <c r="D102" s="7"/>
      <c r="E102" s="7"/>
      <c r="F102" s="3" t="s">
        <v>124</v>
      </c>
      <c r="G102" s="3"/>
      <c r="H102" s="4"/>
      <c r="I102" s="6"/>
      <c r="J102" s="6"/>
      <c r="K102" s="6"/>
      <c r="L102" s="6"/>
      <c r="M102" s="23" t="s">
        <v>125</v>
      </c>
      <c r="N102" s="5"/>
      <c r="O102" s="54"/>
      <c r="P102" s="93">
        <f t="shared" si="53"/>
        <v>76</v>
      </c>
      <c r="Q102" s="114">
        <v>256</v>
      </c>
      <c r="R102" s="21" t="str">
        <f t="shared" si="52"/>
        <v>NX</v>
      </c>
      <c r="S102" s="96" t="s">
        <v>126</v>
      </c>
      <c r="T102" s="94"/>
      <c r="U102" s="21" t="s">
        <v>226</v>
      </c>
      <c r="V102" s="10"/>
      <c r="W102" s="28">
        <v>3</v>
      </c>
      <c r="X102" s="5" t="s">
        <v>251</v>
      </c>
      <c r="Y102" s="5">
        <v>1</v>
      </c>
      <c r="Z102" s="5">
        <v>256</v>
      </c>
      <c r="AA102" s="6" t="s">
        <v>252</v>
      </c>
      <c r="AB102" s="6" t="s">
        <v>226</v>
      </c>
      <c r="AC102" s="63"/>
      <c r="AD102" s="444"/>
      <c r="AE102" s="440"/>
      <c r="AF102" s="440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02" s="442" t="str">
        <f t="shared" si="41"/>
        <v>-</v>
      </c>
      <c r="AH102" s="440"/>
      <c r="AI102" s="447" t="s">
        <v>532</v>
      </c>
      <c r="AJ102" s="444"/>
      <c r="AK102" s="440"/>
      <c r="AL102" s="440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02" s="442" t="str">
        <f t="shared" si="42"/>
        <v>-</v>
      </c>
      <c r="AN102" s="440"/>
      <c r="AO102" s="447" t="s">
        <v>532</v>
      </c>
      <c r="AP102" s="444"/>
      <c r="AQ102" s="440"/>
      <c r="AR102" s="440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02" s="447" t="s">
        <v>532</v>
      </c>
      <c r="AT102" s="462"/>
      <c r="AU102" s="447" t="s">
        <v>532</v>
      </c>
      <c r="AV102" s="444"/>
      <c r="AW102" s="440"/>
      <c r="AX102" s="440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02" s="442" t="str">
        <f t="shared" si="43"/>
        <v>-</v>
      </c>
      <c r="AZ102" s="440"/>
      <c r="BA102" s="447" t="s">
        <v>532</v>
      </c>
      <c r="BB102" s="59"/>
      <c r="BC102" s="60"/>
      <c r="BD102" s="60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02" s="213" t="str">
        <f t="shared" si="44"/>
        <v>-</v>
      </c>
      <c r="BF102" s="167"/>
      <c r="BG102" s="225" t="s">
        <v>215</v>
      </c>
      <c r="BH102" s="59"/>
      <c r="BI102" s="60"/>
      <c r="BJ102" s="60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02" s="213" t="s">
        <v>215</v>
      </c>
      <c r="BL102" s="167"/>
      <c r="BM102" s="225" t="s">
        <v>215</v>
      </c>
    </row>
    <row r="103" spans="2:65" s="26" customFormat="1" ht="63.75">
      <c r="B103" s="2">
        <f t="shared" si="51"/>
        <v>96</v>
      </c>
      <c r="C103" s="7"/>
      <c r="D103" s="7"/>
      <c r="E103" s="7"/>
      <c r="F103" s="22" t="s">
        <v>127</v>
      </c>
      <c r="G103" s="16"/>
      <c r="H103" s="13"/>
      <c r="I103" s="8"/>
      <c r="J103" s="8"/>
      <c r="K103" s="8"/>
      <c r="L103" s="8"/>
      <c r="M103" s="11" t="s">
        <v>311</v>
      </c>
      <c r="N103" s="1"/>
      <c r="O103" s="56"/>
      <c r="P103" s="93">
        <f t="shared" si="53"/>
        <v>77</v>
      </c>
      <c r="Q103" s="113">
        <v>256</v>
      </c>
      <c r="R103" s="21" t="str">
        <f t="shared" si="52"/>
        <v>NX</v>
      </c>
      <c r="S103" s="96" t="s">
        <v>128</v>
      </c>
      <c r="T103" s="94"/>
      <c r="U103" s="21" t="s">
        <v>226</v>
      </c>
      <c r="V103" s="10"/>
      <c r="W103" s="25">
        <v>3</v>
      </c>
      <c r="X103" s="1" t="s">
        <v>129</v>
      </c>
      <c r="Y103" s="1">
        <v>1</v>
      </c>
      <c r="Z103" s="1">
        <v>256</v>
      </c>
      <c r="AA103" s="8" t="s">
        <v>123</v>
      </c>
      <c r="AB103" s="8" t="s">
        <v>226</v>
      </c>
      <c r="AC103" s="12"/>
      <c r="AD103" s="444"/>
      <c r="AE103" s="445"/>
      <c r="AF103" s="446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03" s="442" t="str">
        <f t="shared" si="41"/>
        <v>-</v>
      </c>
      <c r="AH103" s="445"/>
      <c r="AI103" s="447" t="s">
        <v>532</v>
      </c>
      <c r="AJ103" s="444"/>
      <c r="AK103" s="445"/>
      <c r="AL103" s="446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03" s="442" t="str">
        <f t="shared" si="42"/>
        <v>-</v>
      </c>
      <c r="AN103" s="445"/>
      <c r="AO103" s="447" t="s">
        <v>532</v>
      </c>
      <c r="AP103" s="444"/>
      <c r="AQ103" s="445"/>
      <c r="AR103" s="446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03" s="447" t="s">
        <v>532</v>
      </c>
      <c r="AT103" s="463"/>
      <c r="AU103" s="447" t="s">
        <v>532</v>
      </c>
      <c r="AV103" s="444"/>
      <c r="AW103" s="445"/>
      <c r="AX103" s="446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03" s="442" t="str">
        <f t="shared" si="43"/>
        <v>-</v>
      </c>
      <c r="AZ103" s="445"/>
      <c r="BA103" s="447" t="s">
        <v>532</v>
      </c>
      <c r="BB103" s="59"/>
      <c r="BC103" s="223"/>
      <c r="BD103" s="254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03" s="213" t="str">
        <f t="shared" si="44"/>
        <v>-</v>
      </c>
      <c r="BF103" s="172"/>
      <c r="BG103" s="225" t="s">
        <v>215</v>
      </c>
      <c r="BH103" s="59"/>
      <c r="BI103" s="223"/>
      <c r="BJ103" s="254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03" s="213" t="s">
        <v>215</v>
      </c>
      <c r="BL103" s="172"/>
      <c r="BM103" s="225" t="s">
        <v>215</v>
      </c>
    </row>
    <row r="104" spans="2:65" s="26" customFormat="1" ht="63.75">
      <c r="B104" s="2">
        <f t="shared" si="51"/>
        <v>97</v>
      </c>
      <c r="C104" s="7"/>
      <c r="D104" s="7"/>
      <c r="E104" s="7"/>
      <c r="F104" s="22" t="s">
        <v>130</v>
      </c>
      <c r="G104" s="16"/>
      <c r="H104" s="13"/>
      <c r="I104" s="8"/>
      <c r="J104" s="8"/>
      <c r="K104" s="8"/>
      <c r="L104" s="8"/>
      <c r="M104" s="11" t="s">
        <v>312</v>
      </c>
      <c r="N104" s="1"/>
      <c r="O104" s="56"/>
      <c r="P104" s="93">
        <f t="shared" si="53"/>
        <v>78</v>
      </c>
      <c r="Q104" s="113">
        <v>256</v>
      </c>
      <c r="R104" s="21" t="str">
        <f t="shared" si="52"/>
        <v>NX</v>
      </c>
      <c r="S104" s="96" t="s">
        <v>131</v>
      </c>
      <c r="T104" s="94"/>
      <c r="U104" s="21" t="s">
        <v>226</v>
      </c>
      <c r="V104" s="10"/>
      <c r="W104" s="25">
        <v>3</v>
      </c>
      <c r="X104" s="1" t="s">
        <v>132</v>
      </c>
      <c r="Y104" s="1">
        <v>1</v>
      </c>
      <c r="Z104" s="1">
        <v>256</v>
      </c>
      <c r="AA104" s="8" t="s">
        <v>123</v>
      </c>
      <c r="AB104" s="8" t="s">
        <v>226</v>
      </c>
      <c r="AC104" s="12"/>
      <c r="AD104" s="444"/>
      <c r="AE104" s="445"/>
      <c r="AF104" s="446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04" s="442" t="str">
        <f t="shared" si="41"/>
        <v>-</v>
      </c>
      <c r="AH104" s="445"/>
      <c r="AI104" s="447" t="s">
        <v>532</v>
      </c>
      <c r="AJ104" s="444"/>
      <c r="AK104" s="445"/>
      <c r="AL104" s="446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04" s="442" t="str">
        <f t="shared" si="42"/>
        <v>-</v>
      </c>
      <c r="AN104" s="445"/>
      <c r="AO104" s="447" t="s">
        <v>532</v>
      </c>
      <c r="AP104" s="444"/>
      <c r="AQ104" s="445"/>
      <c r="AR104" s="446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04" s="447" t="s">
        <v>532</v>
      </c>
      <c r="AT104" s="463"/>
      <c r="AU104" s="447" t="s">
        <v>532</v>
      </c>
      <c r="AV104" s="444"/>
      <c r="AW104" s="445"/>
      <c r="AX104" s="446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04" s="442" t="str">
        <f t="shared" si="43"/>
        <v>-</v>
      </c>
      <c r="AZ104" s="445"/>
      <c r="BA104" s="447" t="s">
        <v>532</v>
      </c>
      <c r="BB104" s="59"/>
      <c r="BC104" s="223"/>
      <c r="BD104" s="254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04" s="213" t="str">
        <f t="shared" si="44"/>
        <v>-</v>
      </c>
      <c r="BF104" s="172"/>
      <c r="BG104" s="225" t="s">
        <v>215</v>
      </c>
      <c r="BH104" s="59"/>
      <c r="BI104" s="223"/>
      <c r="BJ104" s="254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04" s="213" t="s">
        <v>215</v>
      </c>
      <c r="BL104" s="172"/>
      <c r="BM104" s="225" t="s">
        <v>215</v>
      </c>
    </row>
    <row r="105" spans="2:65" s="26" customFormat="1" ht="69" customHeight="1">
      <c r="B105" s="19">
        <f t="shared" si="51"/>
        <v>98</v>
      </c>
      <c r="C105" s="7"/>
      <c r="D105" s="7"/>
      <c r="E105" s="7"/>
      <c r="F105" s="110" t="s">
        <v>313</v>
      </c>
      <c r="G105" s="16"/>
      <c r="H105" s="13"/>
      <c r="I105" s="8"/>
      <c r="J105" s="8" t="s">
        <v>231</v>
      </c>
      <c r="K105" s="8"/>
      <c r="L105" s="8"/>
      <c r="M105" s="11" t="s">
        <v>253</v>
      </c>
      <c r="N105" s="1"/>
      <c r="O105" s="56"/>
      <c r="P105" s="93">
        <f t="shared" si="53"/>
        <v>79</v>
      </c>
      <c r="Q105" s="113">
        <v>1</v>
      </c>
      <c r="R105" s="21" t="s">
        <v>229</v>
      </c>
      <c r="S105" s="96" t="s">
        <v>133</v>
      </c>
      <c r="T105" s="94"/>
      <c r="U105" s="21" t="s">
        <v>226</v>
      </c>
      <c r="V105" s="10"/>
      <c r="W105" s="25">
        <v>3</v>
      </c>
      <c r="X105" s="1" t="s">
        <v>134</v>
      </c>
      <c r="Y105" s="1">
        <v>1</v>
      </c>
      <c r="Z105" s="1">
        <v>1</v>
      </c>
      <c r="AA105" s="8">
        <v>9</v>
      </c>
      <c r="AB105" s="8" t="s">
        <v>19</v>
      </c>
      <c r="AC105" s="12"/>
      <c r="AD105" s="444"/>
      <c r="AE105" s="445"/>
      <c r="AF105" s="440" t="str">
        <f t="shared" si="45"/>
        <v xml:space="preserve"> </v>
      </c>
      <c r="AG105" s="442" t="str">
        <f t="shared" si="41"/>
        <v>-</v>
      </c>
      <c r="AH105" s="445"/>
      <c r="AI105" s="447" t="s">
        <v>532</v>
      </c>
      <c r="AJ105" s="444"/>
      <c r="AK105" s="445"/>
      <c r="AL105" s="440" t="str">
        <f t="shared" si="46"/>
        <v xml:space="preserve"> </v>
      </c>
      <c r="AM105" s="442" t="str">
        <f t="shared" si="42"/>
        <v>-</v>
      </c>
      <c r="AN105" s="445"/>
      <c r="AO105" s="447" t="s">
        <v>532</v>
      </c>
      <c r="AP105" s="444"/>
      <c r="AQ105" s="445"/>
      <c r="AR105" s="440" t="str">
        <f t="shared" si="47"/>
        <v xml:space="preserve"> </v>
      </c>
      <c r="AS105" s="447" t="s">
        <v>532</v>
      </c>
      <c r="AT105" s="463"/>
      <c r="AU105" s="447" t="s">
        <v>532</v>
      </c>
      <c r="AV105" s="444"/>
      <c r="AW105" s="445"/>
      <c r="AX105" s="440" t="str">
        <f t="shared" si="48"/>
        <v xml:space="preserve"> </v>
      </c>
      <c r="AY105" s="442" t="str">
        <f t="shared" si="43"/>
        <v>-</v>
      </c>
      <c r="AZ105" s="445"/>
      <c r="BA105" s="447" t="s">
        <v>532</v>
      </c>
      <c r="BB105" s="59"/>
      <c r="BC105" s="223"/>
      <c r="BD105" s="60" t="str">
        <f t="shared" si="49"/>
        <v xml:space="preserve"> </v>
      </c>
      <c r="BE105" s="213" t="str">
        <f t="shared" si="44"/>
        <v>-</v>
      </c>
      <c r="BF105" s="172"/>
      <c r="BG105" s="225" t="s">
        <v>215</v>
      </c>
      <c r="BH105" s="59"/>
      <c r="BI105" s="223"/>
      <c r="BJ105" s="60" t="str">
        <f t="shared" si="50"/>
        <v xml:space="preserve"> </v>
      </c>
      <c r="BK105" s="213" t="s">
        <v>215</v>
      </c>
      <c r="BL105" s="172"/>
      <c r="BM105" s="225" t="s">
        <v>215</v>
      </c>
    </row>
    <row r="106" spans="2:65" s="26" customFormat="1" ht="114.75">
      <c r="B106" s="2">
        <f t="shared" si="51"/>
        <v>99</v>
      </c>
      <c r="C106" s="7"/>
      <c r="D106" s="7"/>
      <c r="E106" s="7"/>
      <c r="F106" s="22" t="s">
        <v>135</v>
      </c>
      <c r="G106" s="16"/>
      <c r="H106" s="13"/>
      <c r="I106" s="8"/>
      <c r="J106" s="8"/>
      <c r="K106" s="8"/>
      <c r="L106" s="8"/>
      <c r="M106" s="359" t="s">
        <v>206</v>
      </c>
      <c r="N106" s="1"/>
      <c r="O106" s="56"/>
      <c r="P106" s="93">
        <f t="shared" si="53"/>
        <v>80</v>
      </c>
      <c r="Q106" s="113">
        <v>1</v>
      </c>
      <c r="R106" s="21" t="s">
        <v>229</v>
      </c>
      <c r="S106" s="96" t="s">
        <v>136</v>
      </c>
      <c r="T106" s="94"/>
      <c r="U106" s="21" t="s">
        <v>226</v>
      </c>
      <c r="V106" s="10"/>
      <c r="W106" s="25">
        <v>3</v>
      </c>
      <c r="X106" s="1" t="s">
        <v>18</v>
      </c>
      <c r="Y106" s="1">
        <v>1</v>
      </c>
      <c r="Z106" s="1">
        <v>1</v>
      </c>
      <c r="AA106" s="8">
        <v>9</v>
      </c>
      <c r="AB106" s="8" t="s">
        <v>19</v>
      </c>
      <c r="AC106" s="101"/>
      <c r="AD106" s="444"/>
      <c r="AE106" s="445"/>
      <c r="AF106" s="440" t="str">
        <f t="shared" si="45"/>
        <v xml:space="preserve"> </v>
      </c>
      <c r="AG106" s="442" t="str">
        <f t="shared" si="41"/>
        <v>-</v>
      </c>
      <c r="AH106" s="445"/>
      <c r="AI106" s="447" t="s">
        <v>532</v>
      </c>
      <c r="AJ106" s="444"/>
      <c r="AK106" s="445"/>
      <c r="AL106" s="440" t="str">
        <f t="shared" si="46"/>
        <v xml:space="preserve"> </v>
      </c>
      <c r="AM106" s="442" t="str">
        <f t="shared" si="42"/>
        <v>-</v>
      </c>
      <c r="AN106" s="445"/>
      <c r="AO106" s="447" t="s">
        <v>532</v>
      </c>
      <c r="AP106" s="444"/>
      <c r="AQ106" s="445"/>
      <c r="AR106" s="440" t="str">
        <f t="shared" si="47"/>
        <v xml:space="preserve"> </v>
      </c>
      <c r="AS106" s="447" t="s">
        <v>532</v>
      </c>
      <c r="AT106" s="463"/>
      <c r="AU106" s="447" t="s">
        <v>532</v>
      </c>
      <c r="AV106" s="444"/>
      <c r="AW106" s="445"/>
      <c r="AX106" s="440" t="str">
        <f t="shared" si="48"/>
        <v xml:space="preserve"> </v>
      </c>
      <c r="AY106" s="442" t="str">
        <f t="shared" si="43"/>
        <v>-</v>
      </c>
      <c r="AZ106" s="445"/>
      <c r="BA106" s="447" t="s">
        <v>532</v>
      </c>
      <c r="BB106" s="59"/>
      <c r="BC106" s="223"/>
      <c r="BD106" s="60" t="str">
        <f t="shared" si="49"/>
        <v xml:space="preserve"> </v>
      </c>
      <c r="BE106" s="213" t="str">
        <f t="shared" si="44"/>
        <v>-</v>
      </c>
      <c r="BF106" s="172"/>
      <c r="BG106" s="225" t="s">
        <v>215</v>
      </c>
      <c r="BH106" s="59"/>
      <c r="BI106" s="223"/>
      <c r="BJ106" s="60" t="str">
        <f t="shared" si="50"/>
        <v xml:space="preserve"> </v>
      </c>
      <c r="BK106" s="213" t="s">
        <v>215</v>
      </c>
      <c r="BL106" s="172"/>
      <c r="BM106" s="225" t="s">
        <v>215</v>
      </c>
    </row>
    <row r="107" spans="2:65" s="26" customFormat="1" ht="129" customHeight="1">
      <c r="B107" s="64">
        <f t="shared" si="51"/>
        <v>100</v>
      </c>
      <c r="C107" s="7"/>
      <c r="D107" s="7"/>
      <c r="E107" s="7"/>
      <c r="F107" s="110" t="s">
        <v>137</v>
      </c>
      <c r="G107" s="16"/>
      <c r="H107" s="13"/>
      <c r="I107" s="8"/>
      <c r="J107" s="8"/>
      <c r="K107" s="8"/>
      <c r="L107" s="8"/>
      <c r="M107" s="11" t="s">
        <v>479</v>
      </c>
      <c r="N107" s="1"/>
      <c r="O107" s="56"/>
      <c r="P107" s="93">
        <f t="shared" si="53"/>
        <v>81</v>
      </c>
      <c r="Q107" s="113">
        <v>1</v>
      </c>
      <c r="R107" s="21" t="str">
        <f t="shared" si="52"/>
        <v>X</v>
      </c>
      <c r="S107" s="96" t="s">
        <v>183</v>
      </c>
      <c r="T107" s="94"/>
      <c r="U107" s="21" t="s">
        <v>226</v>
      </c>
      <c r="V107" s="10"/>
      <c r="W107" s="25">
        <v>3</v>
      </c>
      <c r="X107" s="1" t="s">
        <v>254</v>
      </c>
      <c r="Y107" s="1">
        <v>1</v>
      </c>
      <c r="Z107" s="1">
        <v>1</v>
      </c>
      <c r="AA107" s="8" t="s">
        <v>229</v>
      </c>
      <c r="AB107" s="8" t="s">
        <v>226</v>
      </c>
      <c r="AC107" s="12"/>
      <c r="AD107" s="444"/>
      <c r="AE107" s="445"/>
      <c r="AF107" s="440" t="str">
        <f t="shared" si="45"/>
        <v xml:space="preserve"> </v>
      </c>
      <c r="AG107" s="442" t="str">
        <f t="shared" si="41"/>
        <v>-</v>
      </c>
      <c r="AH107" s="445"/>
      <c r="AI107" s="447" t="s">
        <v>532</v>
      </c>
      <c r="AJ107" s="444"/>
      <c r="AK107" s="445"/>
      <c r="AL107" s="440" t="str">
        <f t="shared" si="46"/>
        <v xml:space="preserve"> </v>
      </c>
      <c r="AM107" s="442" t="str">
        <f t="shared" si="42"/>
        <v>-</v>
      </c>
      <c r="AN107" s="445"/>
      <c r="AO107" s="447" t="s">
        <v>532</v>
      </c>
      <c r="AP107" s="444"/>
      <c r="AQ107" s="445"/>
      <c r="AR107" s="440" t="str">
        <f t="shared" si="47"/>
        <v xml:space="preserve"> </v>
      </c>
      <c r="AS107" s="447" t="s">
        <v>532</v>
      </c>
      <c r="AT107" s="463"/>
      <c r="AU107" s="447" t="s">
        <v>532</v>
      </c>
      <c r="AV107" s="444"/>
      <c r="AW107" s="445"/>
      <c r="AX107" s="440" t="str">
        <f t="shared" si="48"/>
        <v xml:space="preserve"> </v>
      </c>
      <c r="AY107" s="442" t="str">
        <f t="shared" si="43"/>
        <v>-</v>
      </c>
      <c r="AZ107" s="445"/>
      <c r="BA107" s="447" t="s">
        <v>532</v>
      </c>
      <c r="BB107" s="59"/>
      <c r="BC107" s="223"/>
      <c r="BD107" s="60" t="str">
        <f t="shared" si="49"/>
        <v xml:space="preserve"> </v>
      </c>
      <c r="BE107" s="213" t="str">
        <f t="shared" si="44"/>
        <v>-</v>
      </c>
      <c r="BF107" s="172"/>
      <c r="BG107" s="225" t="s">
        <v>215</v>
      </c>
      <c r="BH107" s="59"/>
      <c r="BI107" s="223"/>
      <c r="BJ107" s="60" t="str">
        <f t="shared" si="50"/>
        <v xml:space="preserve"> </v>
      </c>
      <c r="BK107" s="213" t="s">
        <v>215</v>
      </c>
      <c r="BL107" s="172"/>
      <c r="BM107" s="225" t="s">
        <v>215</v>
      </c>
    </row>
    <row r="108" spans="2:65" s="26" customFormat="1">
      <c r="B108" s="64">
        <f t="shared" si="51"/>
        <v>101</v>
      </c>
      <c r="C108" s="7"/>
      <c r="D108" s="7"/>
      <c r="E108" s="7"/>
      <c r="F108" s="22" t="s">
        <v>138</v>
      </c>
      <c r="G108" s="16"/>
      <c r="H108" s="13"/>
      <c r="I108" s="8"/>
      <c r="J108" s="8"/>
      <c r="K108" s="8"/>
      <c r="L108" s="8"/>
      <c r="M108" s="359" t="s">
        <v>139</v>
      </c>
      <c r="N108" s="1"/>
      <c r="O108" s="56"/>
      <c r="P108" s="93">
        <f t="shared" si="53"/>
        <v>82</v>
      </c>
      <c r="Q108" s="113">
        <v>400</v>
      </c>
      <c r="R108" s="21" t="str">
        <f t="shared" si="52"/>
        <v>NX</v>
      </c>
      <c r="S108" s="96" t="s">
        <v>140</v>
      </c>
      <c r="T108" s="94"/>
      <c r="U108" s="21" t="s">
        <v>226</v>
      </c>
      <c r="V108" s="10"/>
      <c r="W108" s="25">
        <v>3</v>
      </c>
      <c r="X108" s="1" t="s">
        <v>141</v>
      </c>
      <c r="Y108" s="1">
        <v>1</v>
      </c>
      <c r="Z108" s="1">
        <v>400</v>
      </c>
      <c r="AA108" s="8" t="s">
        <v>123</v>
      </c>
      <c r="AB108" s="8" t="s">
        <v>226</v>
      </c>
      <c r="AC108" s="12"/>
      <c r="AD108" s="444"/>
      <c r="AE108" s="445"/>
      <c r="AF108" s="449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08" s="442" t="str">
        <f t="shared" si="41"/>
        <v>-</v>
      </c>
      <c r="AH108" s="445"/>
      <c r="AI108" s="447" t="s">
        <v>532</v>
      </c>
      <c r="AJ108" s="444"/>
      <c r="AK108" s="445"/>
      <c r="AL108" s="449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08" s="442" t="str">
        <f t="shared" si="42"/>
        <v>-</v>
      </c>
      <c r="AN108" s="445"/>
      <c r="AO108" s="447" t="s">
        <v>532</v>
      </c>
      <c r="AP108" s="444"/>
      <c r="AQ108" s="445"/>
      <c r="AR108" s="449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08" s="447" t="s">
        <v>532</v>
      </c>
      <c r="AT108" s="463"/>
      <c r="AU108" s="447" t="s">
        <v>532</v>
      </c>
      <c r="AV108" s="444"/>
      <c r="AW108" s="445"/>
      <c r="AX108" s="449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08" s="442" t="str">
        <f t="shared" si="43"/>
        <v>-</v>
      </c>
      <c r="AZ108" s="445"/>
      <c r="BA108" s="447" t="s">
        <v>532</v>
      </c>
      <c r="BB108" s="59"/>
      <c r="BC108" s="223"/>
      <c r="BD108" s="252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08" s="213" t="str">
        <f t="shared" si="44"/>
        <v>-</v>
      </c>
      <c r="BF108" s="172"/>
      <c r="BG108" s="225" t="s">
        <v>215</v>
      </c>
      <c r="BH108" s="59"/>
      <c r="BI108" s="223"/>
      <c r="BJ108" s="252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08" s="213" t="s">
        <v>215</v>
      </c>
      <c r="BL108" s="172"/>
      <c r="BM108" s="225" t="s">
        <v>215</v>
      </c>
    </row>
    <row r="109" spans="2:65" s="26" customFormat="1" ht="63.75">
      <c r="B109" s="64">
        <f t="shared" si="51"/>
        <v>102</v>
      </c>
      <c r="C109" s="7"/>
      <c r="D109" s="7"/>
      <c r="E109" s="7"/>
      <c r="F109" s="22" t="s">
        <v>142</v>
      </c>
      <c r="G109" s="16"/>
      <c r="H109" s="13"/>
      <c r="I109" s="8"/>
      <c r="J109" s="8"/>
      <c r="K109" s="8"/>
      <c r="L109" s="8"/>
      <c r="M109" s="359" t="s">
        <v>314</v>
      </c>
      <c r="N109" s="1"/>
      <c r="O109" s="56"/>
      <c r="P109" s="93">
        <f t="shared" si="53"/>
        <v>83</v>
      </c>
      <c r="Q109" s="113">
        <v>400</v>
      </c>
      <c r="R109" s="21" t="str">
        <f t="shared" si="52"/>
        <v>NX</v>
      </c>
      <c r="S109" s="96" t="s">
        <v>143</v>
      </c>
      <c r="T109" s="94"/>
      <c r="U109" s="21" t="s">
        <v>226</v>
      </c>
      <c r="V109" s="10"/>
      <c r="W109" s="25">
        <v>3</v>
      </c>
      <c r="X109" s="1" t="s">
        <v>144</v>
      </c>
      <c r="Y109" s="1">
        <v>1</v>
      </c>
      <c r="Z109" s="1">
        <v>400</v>
      </c>
      <c r="AA109" s="8" t="s">
        <v>123</v>
      </c>
      <c r="AB109" s="8" t="s">
        <v>226</v>
      </c>
      <c r="AC109" s="12"/>
      <c r="AD109" s="444"/>
      <c r="AE109" s="445"/>
      <c r="AF109" s="450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09" s="442" t="str">
        <f t="shared" si="41"/>
        <v>-</v>
      </c>
      <c r="AH109" s="445"/>
      <c r="AI109" s="447" t="s">
        <v>532</v>
      </c>
      <c r="AJ109" s="444"/>
      <c r="AK109" s="445"/>
      <c r="AL109" s="450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09" s="442" t="str">
        <f t="shared" si="42"/>
        <v>-</v>
      </c>
      <c r="AN109" s="445"/>
      <c r="AO109" s="447" t="s">
        <v>532</v>
      </c>
      <c r="AP109" s="444"/>
      <c r="AQ109" s="445"/>
      <c r="AR109" s="450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09" s="447" t="s">
        <v>532</v>
      </c>
      <c r="AT109" s="463"/>
      <c r="AU109" s="447" t="s">
        <v>532</v>
      </c>
      <c r="AV109" s="444"/>
      <c r="AW109" s="445"/>
      <c r="AX109" s="450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09" s="442" t="str">
        <f t="shared" si="43"/>
        <v>-</v>
      </c>
      <c r="AZ109" s="445"/>
      <c r="BA109" s="447" t="s">
        <v>532</v>
      </c>
      <c r="BB109" s="59"/>
      <c r="BC109" s="223"/>
      <c r="BD109" s="90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09" s="213" t="str">
        <f t="shared" si="44"/>
        <v>-</v>
      </c>
      <c r="BF109" s="172"/>
      <c r="BG109" s="225" t="s">
        <v>215</v>
      </c>
      <c r="BH109" s="59"/>
      <c r="BI109" s="223"/>
      <c r="BJ109" s="90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09" s="213" t="s">
        <v>215</v>
      </c>
      <c r="BL109" s="172"/>
      <c r="BM109" s="225" t="s">
        <v>215</v>
      </c>
    </row>
    <row r="110" spans="2:65" s="26" customFormat="1">
      <c r="B110" s="64">
        <f t="shared" si="51"/>
        <v>103</v>
      </c>
      <c r="C110" s="7"/>
      <c r="D110" s="7"/>
      <c r="E110" s="7"/>
      <c r="F110" s="22" t="s">
        <v>145</v>
      </c>
      <c r="G110" s="16"/>
      <c r="H110" s="13"/>
      <c r="I110" s="8"/>
      <c r="J110" s="8"/>
      <c r="K110" s="8"/>
      <c r="L110" s="8"/>
      <c r="M110" s="11" t="s">
        <v>146</v>
      </c>
      <c r="N110" s="1"/>
      <c r="O110" s="56"/>
      <c r="P110" s="93">
        <f t="shared" si="53"/>
        <v>84</v>
      </c>
      <c r="Q110" s="113">
        <v>400</v>
      </c>
      <c r="R110" s="21" t="str">
        <f t="shared" si="52"/>
        <v>NX</v>
      </c>
      <c r="S110" s="96" t="s">
        <v>147</v>
      </c>
      <c r="T110" s="94"/>
      <c r="U110" s="21" t="s">
        <v>226</v>
      </c>
      <c r="V110" s="10"/>
      <c r="W110" s="25">
        <v>3</v>
      </c>
      <c r="X110" s="1" t="s">
        <v>148</v>
      </c>
      <c r="Y110" s="1">
        <v>1</v>
      </c>
      <c r="Z110" s="1">
        <v>400</v>
      </c>
      <c r="AA110" s="8" t="s">
        <v>123</v>
      </c>
      <c r="AB110" s="8" t="s">
        <v>226</v>
      </c>
      <c r="AC110" s="12"/>
      <c r="AD110" s="444"/>
      <c r="AE110" s="440"/>
      <c r="AF110" s="450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10" s="442" t="str">
        <f t="shared" si="41"/>
        <v>-</v>
      </c>
      <c r="AH110" s="440"/>
      <c r="AI110" s="447" t="s">
        <v>532</v>
      </c>
      <c r="AJ110" s="444"/>
      <c r="AK110" s="440"/>
      <c r="AL110" s="450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10" s="442" t="str">
        <f t="shared" si="42"/>
        <v>-</v>
      </c>
      <c r="AN110" s="440"/>
      <c r="AO110" s="447" t="s">
        <v>532</v>
      </c>
      <c r="AP110" s="444"/>
      <c r="AQ110" s="440"/>
      <c r="AR110" s="450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10" s="447" t="s">
        <v>532</v>
      </c>
      <c r="AT110" s="462"/>
      <c r="AU110" s="447" t="s">
        <v>532</v>
      </c>
      <c r="AV110" s="444"/>
      <c r="AW110" s="440"/>
      <c r="AX110" s="450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10" s="442" t="str">
        <f t="shared" si="43"/>
        <v>-</v>
      </c>
      <c r="AZ110" s="440"/>
      <c r="BA110" s="447" t="s">
        <v>532</v>
      </c>
      <c r="BB110" s="59"/>
      <c r="BC110" s="60"/>
      <c r="BD110" s="90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10" s="213" t="str">
        <f t="shared" si="44"/>
        <v>-</v>
      </c>
      <c r="BF110" s="167"/>
      <c r="BG110" s="225" t="s">
        <v>215</v>
      </c>
      <c r="BH110" s="59"/>
      <c r="BI110" s="60"/>
      <c r="BJ110" s="90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10" s="213" t="s">
        <v>215</v>
      </c>
      <c r="BL110" s="167"/>
      <c r="BM110" s="225" t="s">
        <v>215</v>
      </c>
    </row>
    <row r="111" spans="2:65" s="26" customFormat="1" ht="76.5">
      <c r="B111" s="64">
        <f t="shared" si="51"/>
        <v>104</v>
      </c>
      <c r="C111" s="7"/>
      <c r="D111" s="7"/>
      <c r="E111" s="7"/>
      <c r="F111" s="22" t="s">
        <v>149</v>
      </c>
      <c r="G111" s="16"/>
      <c r="H111" s="13"/>
      <c r="I111" s="8"/>
      <c r="J111" s="8"/>
      <c r="K111" s="8"/>
      <c r="L111" s="8"/>
      <c r="M111" s="11" t="s">
        <v>315</v>
      </c>
      <c r="N111" s="1"/>
      <c r="O111" s="56"/>
      <c r="P111" s="93">
        <f t="shared" si="53"/>
        <v>85</v>
      </c>
      <c r="Q111" s="113">
        <v>400</v>
      </c>
      <c r="R111" s="21" t="str">
        <f t="shared" si="52"/>
        <v>NX</v>
      </c>
      <c r="S111" s="96" t="s">
        <v>150</v>
      </c>
      <c r="T111" s="94"/>
      <c r="U111" s="21" t="s">
        <v>226</v>
      </c>
      <c r="V111" s="10"/>
      <c r="W111" s="25">
        <v>3</v>
      </c>
      <c r="X111" s="1" t="s">
        <v>151</v>
      </c>
      <c r="Y111" s="1">
        <v>1</v>
      </c>
      <c r="Z111" s="1">
        <v>400</v>
      </c>
      <c r="AA111" s="8" t="s">
        <v>123</v>
      </c>
      <c r="AB111" s="8" t="s">
        <v>226</v>
      </c>
      <c r="AC111" s="12"/>
      <c r="AD111" s="444"/>
      <c r="AE111" s="440"/>
      <c r="AF111" s="450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11" s="442" t="str">
        <f t="shared" si="41"/>
        <v>-</v>
      </c>
      <c r="AH111" s="440"/>
      <c r="AI111" s="447" t="s">
        <v>532</v>
      </c>
      <c r="AJ111" s="444"/>
      <c r="AK111" s="440"/>
      <c r="AL111" s="450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11" s="442" t="str">
        <f t="shared" si="42"/>
        <v>-</v>
      </c>
      <c r="AN111" s="440"/>
      <c r="AO111" s="447" t="s">
        <v>532</v>
      </c>
      <c r="AP111" s="444"/>
      <c r="AQ111" s="440"/>
      <c r="AR111" s="450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11" s="447" t="s">
        <v>532</v>
      </c>
      <c r="AT111" s="462"/>
      <c r="AU111" s="447" t="s">
        <v>532</v>
      </c>
      <c r="AV111" s="444"/>
      <c r="AW111" s="440"/>
      <c r="AX111" s="450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11" s="442" t="str">
        <f t="shared" si="43"/>
        <v>-</v>
      </c>
      <c r="AZ111" s="440"/>
      <c r="BA111" s="447" t="s">
        <v>532</v>
      </c>
      <c r="BB111" s="59"/>
      <c r="BC111" s="60"/>
      <c r="BD111" s="90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11" s="213" t="str">
        <f t="shared" si="44"/>
        <v>-</v>
      </c>
      <c r="BF111" s="167"/>
      <c r="BG111" s="225" t="s">
        <v>215</v>
      </c>
      <c r="BH111" s="59"/>
      <c r="BI111" s="60"/>
      <c r="BJ111" s="90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11" s="213" t="s">
        <v>215</v>
      </c>
      <c r="BL111" s="167"/>
      <c r="BM111" s="225" t="s">
        <v>215</v>
      </c>
    </row>
    <row r="112" spans="2:65" s="26" customFormat="1">
      <c r="B112" s="64">
        <f t="shared" si="51"/>
        <v>105</v>
      </c>
      <c r="C112" s="7"/>
      <c r="D112" s="7"/>
      <c r="E112" s="7"/>
      <c r="F112" s="22" t="s">
        <v>152</v>
      </c>
      <c r="G112" s="16"/>
      <c r="H112" s="13"/>
      <c r="I112" s="8"/>
      <c r="J112" s="8"/>
      <c r="K112" s="8"/>
      <c r="L112" s="8"/>
      <c r="M112" s="11" t="s">
        <v>146</v>
      </c>
      <c r="N112" s="1"/>
      <c r="O112" s="56"/>
      <c r="P112" s="93">
        <f t="shared" si="53"/>
        <v>86</v>
      </c>
      <c r="Q112" s="113">
        <v>400</v>
      </c>
      <c r="R112" s="21" t="str">
        <f t="shared" si="52"/>
        <v>NX</v>
      </c>
      <c r="S112" s="96" t="s">
        <v>153</v>
      </c>
      <c r="T112" s="94"/>
      <c r="U112" s="21" t="s">
        <v>226</v>
      </c>
      <c r="V112" s="10"/>
      <c r="W112" s="25">
        <v>3</v>
      </c>
      <c r="X112" s="1" t="s">
        <v>154</v>
      </c>
      <c r="Y112" s="1">
        <v>1</v>
      </c>
      <c r="Z112" s="1">
        <v>400</v>
      </c>
      <c r="AA112" s="8" t="s">
        <v>123</v>
      </c>
      <c r="AB112" s="8" t="s">
        <v>226</v>
      </c>
      <c r="AC112" s="12"/>
      <c r="AD112" s="444"/>
      <c r="AE112" s="440"/>
      <c r="AF112" s="450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12" s="442" t="str">
        <f t="shared" si="41"/>
        <v>-</v>
      </c>
      <c r="AH112" s="440"/>
      <c r="AI112" s="447" t="s">
        <v>532</v>
      </c>
      <c r="AJ112" s="444"/>
      <c r="AK112" s="440"/>
      <c r="AL112" s="450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12" s="442" t="str">
        <f t="shared" si="42"/>
        <v>-</v>
      </c>
      <c r="AN112" s="440"/>
      <c r="AO112" s="447" t="s">
        <v>532</v>
      </c>
      <c r="AP112" s="444"/>
      <c r="AQ112" s="440"/>
      <c r="AR112" s="450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12" s="447" t="s">
        <v>532</v>
      </c>
      <c r="AT112" s="462"/>
      <c r="AU112" s="447" t="s">
        <v>532</v>
      </c>
      <c r="AV112" s="444"/>
      <c r="AW112" s="440"/>
      <c r="AX112" s="450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12" s="442" t="str">
        <f t="shared" si="43"/>
        <v>-</v>
      </c>
      <c r="AZ112" s="440"/>
      <c r="BA112" s="447" t="s">
        <v>532</v>
      </c>
      <c r="BB112" s="59"/>
      <c r="BC112" s="60"/>
      <c r="BD112" s="90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12" s="213" t="str">
        <f t="shared" si="44"/>
        <v>-</v>
      </c>
      <c r="BF112" s="167"/>
      <c r="BG112" s="225" t="s">
        <v>215</v>
      </c>
      <c r="BH112" s="59"/>
      <c r="BI112" s="60"/>
      <c r="BJ112" s="90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12" s="213" t="s">
        <v>215</v>
      </c>
      <c r="BL112" s="167"/>
      <c r="BM112" s="225" t="s">
        <v>215</v>
      </c>
    </row>
    <row r="113" spans="1:65" s="26" customFormat="1">
      <c r="B113" s="64">
        <f t="shared" si="51"/>
        <v>106</v>
      </c>
      <c r="C113" s="7"/>
      <c r="D113" s="7"/>
      <c r="E113" s="7"/>
      <c r="F113" s="22" t="s">
        <v>155</v>
      </c>
      <c r="G113" s="16"/>
      <c r="H113" s="13"/>
      <c r="I113" s="8"/>
      <c r="J113" s="8"/>
      <c r="K113" s="8"/>
      <c r="L113" s="8"/>
      <c r="M113" s="11" t="s">
        <v>146</v>
      </c>
      <c r="N113" s="1"/>
      <c r="O113" s="56"/>
      <c r="P113" s="93">
        <f t="shared" si="53"/>
        <v>87</v>
      </c>
      <c r="Q113" s="113">
        <v>400</v>
      </c>
      <c r="R113" s="21" t="str">
        <f t="shared" si="52"/>
        <v>NX</v>
      </c>
      <c r="S113" s="96" t="s">
        <v>156</v>
      </c>
      <c r="T113" s="94"/>
      <c r="U113" s="21" t="s">
        <v>226</v>
      </c>
      <c r="V113" s="10"/>
      <c r="W113" s="25">
        <v>3</v>
      </c>
      <c r="X113" s="1" t="s">
        <v>157</v>
      </c>
      <c r="Y113" s="1">
        <v>1</v>
      </c>
      <c r="Z113" s="1">
        <v>400</v>
      </c>
      <c r="AA113" s="8" t="s">
        <v>123</v>
      </c>
      <c r="AB113" s="8" t="s">
        <v>226</v>
      </c>
      <c r="AC113" s="12"/>
      <c r="AD113" s="444"/>
      <c r="AE113" s="440"/>
      <c r="AF113" s="450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13" s="442" t="str">
        <f t="shared" si="41"/>
        <v>-</v>
      </c>
      <c r="AH113" s="440"/>
      <c r="AI113" s="447" t="s">
        <v>532</v>
      </c>
      <c r="AJ113" s="444"/>
      <c r="AK113" s="440"/>
      <c r="AL113" s="450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13" s="442" t="str">
        <f t="shared" si="42"/>
        <v>-</v>
      </c>
      <c r="AN113" s="440"/>
      <c r="AO113" s="447" t="s">
        <v>532</v>
      </c>
      <c r="AP113" s="444"/>
      <c r="AQ113" s="440"/>
      <c r="AR113" s="450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13" s="447" t="s">
        <v>532</v>
      </c>
      <c r="AT113" s="462"/>
      <c r="AU113" s="447" t="s">
        <v>532</v>
      </c>
      <c r="AV113" s="444"/>
      <c r="AW113" s="440"/>
      <c r="AX113" s="450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13" s="442" t="str">
        <f t="shared" si="43"/>
        <v>-</v>
      </c>
      <c r="AZ113" s="440"/>
      <c r="BA113" s="447" t="s">
        <v>532</v>
      </c>
      <c r="BB113" s="59"/>
      <c r="BC113" s="60"/>
      <c r="BD113" s="90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13" s="213" t="str">
        <f t="shared" si="44"/>
        <v>-</v>
      </c>
      <c r="BF113" s="167"/>
      <c r="BG113" s="225" t="s">
        <v>215</v>
      </c>
      <c r="BH113" s="59"/>
      <c r="BI113" s="60"/>
      <c r="BJ113" s="90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13" s="213" t="s">
        <v>215</v>
      </c>
      <c r="BL113" s="167"/>
      <c r="BM113" s="225" t="s">
        <v>215</v>
      </c>
    </row>
    <row r="114" spans="1:65" s="26" customFormat="1" ht="89.25">
      <c r="B114" s="64">
        <f t="shared" si="51"/>
        <v>107</v>
      </c>
      <c r="C114" s="7"/>
      <c r="D114" s="7"/>
      <c r="E114" s="7"/>
      <c r="F114" s="22" t="s">
        <v>158</v>
      </c>
      <c r="G114" s="16"/>
      <c r="H114" s="13"/>
      <c r="I114" s="8"/>
      <c r="J114" s="8"/>
      <c r="K114" s="8"/>
      <c r="L114" s="8"/>
      <c r="M114" s="11" t="s">
        <v>316</v>
      </c>
      <c r="N114" s="1"/>
      <c r="O114" s="56"/>
      <c r="P114" s="93">
        <f t="shared" si="53"/>
        <v>88</v>
      </c>
      <c r="Q114" s="113">
        <v>1</v>
      </c>
      <c r="R114" s="21" t="str">
        <f t="shared" si="52"/>
        <v>X</v>
      </c>
      <c r="S114" s="96" t="s">
        <v>159</v>
      </c>
      <c r="T114" s="94"/>
      <c r="U114" s="21" t="s">
        <v>226</v>
      </c>
      <c r="V114" s="10"/>
      <c r="W114" s="25">
        <v>3</v>
      </c>
      <c r="X114" s="1" t="s">
        <v>255</v>
      </c>
      <c r="Y114" s="1">
        <v>1</v>
      </c>
      <c r="Z114" s="1">
        <v>1</v>
      </c>
      <c r="AA114" s="8" t="s">
        <v>109</v>
      </c>
      <c r="AB114" s="8" t="s">
        <v>19</v>
      </c>
      <c r="AC114" s="102"/>
      <c r="AD114" s="444"/>
      <c r="AE114" s="445"/>
      <c r="AF114" s="440" t="str">
        <f t="shared" si="45"/>
        <v xml:space="preserve"> </v>
      </c>
      <c r="AG114" s="442" t="str">
        <f t="shared" si="41"/>
        <v>-</v>
      </c>
      <c r="AH114" s="445"/>
      <c r="AI114" s="447" t="s">
        <v>532</v>
      </c>
      <c r="AJ114" s="444"/>
      <c r="AK114" s="445"/>
      <c r="AL114" s="440" t="str">
        <f t="shared" si="46"/>
        <v xml:space="preserve"> </v>
      </c>
      <c r="AM114" s="442" t="str">
        <f t="shared" si="42"/>
        <v>-</v>
      </c>
      <c r="AN114" s="445"/>
      <c r="AO114" s="447" t="s">
        <v>532</v>
      </c>
      <c r="AP114" s="444"/>
      <c r="AQ114" s="445"/>
      <c r="AR114" s="440" t="str">
        <f t="shared" si="47"/>
        <v xml:space="preserve"> </v>
      </c>
      <c r="AS114" s="447" t="s">
        <v>532</v>
      </c>
      <c r="AT114" s="463"/>
      <c r="AU114" s="447" t="s">
        <v>532</v>
      </c>
      <c r="AV114" s="444"/>
      <c r="AW114" s="445"/>
      <c r="AX114" s="440" t="str">
        <f t="shared" si="48"/>
        <v xml:space="preserve"> </v>
      </c>
      <c r="AY114" s="442" t="str">
        <f t="shared" si="43"/>
        <v>-</v>
      </c>
      <c r="AZ114" s="445"/>
      <c r="BA114" s="447" t="s">
        <v>532</v>
      </c>
      <c r="BB114" s="59"/>
      <c r="BC114" s="223"/>
      <c r="BD114" s="60" t="str">
        <f t="shared" si="49"/>
        <v xml:space="preserve"> </v>
      </c>
      <c r="BE114" s="213" t="str">
        <f t="shared" si="44"/>
        <v>-</v>
      </c>
      <c r="BF114" s="172"/>
      <c r="BG114" s="225" t="s">
        <v>215</v>
      </c>
      <c r="BH114" s="59"/>
      <c r="BI114" s="223"/>
      <c r="BJ114" s="60" t="str">
        <f t="shared" si="50"/>
        <v xml:space="preserve"> </v>
      </c>
      <c r="BK114" s="213" t="s">
        <v>215</v>
      </c>
      <c r="BL114" s="172"/>
      <c r="BM114" s="225" t="s">
        <v>215</v>
      </c>
    </row>
    <row r="115" spans="1:65" s="26" customFormat="1">
      <c r="B115" s="64">
        <f t="shared" si="51"/>
        <v>108</v>
      </c>
      <c r="C115" s="7"/>
      <c r="D115" s="7"/>
      <c r="E115" s="7"/>
      <c r="F115" s="22" t="s">
        <v>160</v>
      </c>
      <c r="G115" s="16"/>
      <c r="H115" s="13"/>
      <c r="I115" s="8"/>
      <c r="J115" s="8"/>
      <c r="K115" s="8"/>
      <c r="L115" s="8"/>
      <c r="M115" s="11"/>
      <c r="N115" s="1"/>
      <c r="O115" s="56"/>
      <c r="P115" s="93">
        <f t="shared" si="53"/>
        <v>89</v>
      </c>
      <c r="Q115" s="113">
        <v>128</v>
      </c>
      <c r="R115" s="21" t="str">
        <f t="shared" si="52"/>
        <v>X</v>
      </c>
      <c r="S115" s="96" t="s">
        <v>161</v>
      </c>
      <c r="T115" s="94"/>
      <c r="U115" s="21" t="s">
        <v>226</v>
      </c>
      <c r="V115" s="10"/>
      <c r="W115" s="25">
        <v>3</v>
      </c>
      <c r="X115" s="1" t="s">
        <v>256</v>
      </c>
      <c r="Y115" s="1">
        <v>1</v>
      </c>
      <c r="Z115" s="1">
        <v>128</v>
      </c>
      <c r="AA115" s="8" t="s">
        <v>109</v>
      </c>
      <c r="AB115" s="8" t="s">
        <v>19</v>
      </c>
      <c r="AC115" s="12"/>
      <c r="AD115" s="444"/>
      <c r="AE115" s="440"/>
      <c r="AF115" s="440" t="str">
        <f t="shared" si="45"/>
        <v xml:space="preserve">                                                                                                                                </v>
      </c>
      <c r="AG115" s="442" t="str">
        <f t="shared" si="41"/>
        <v>-</v>
      </c>
      <c r="AH115" s="440"/>
      <c r="AI115" s="447" t="s">
        <v>532</v>
      </c>
      <c r="AJ115" s="444"/>
      <c r="AK115" s="440"/>
      <c r="AL115" s="440" t="str">
        <f t="shared" si="46"/>
        <v xml:space="preserve">                                                                                                                                </v>
      </c>
      <c r="AM115" s="442" t="str">
        <f t="shared" si="42"/>
        <v>-</v>
      </c>
      <c r="AN115" s="440"/>
      <c r="AO115" s="447" t="s">
        <v>532</v>
      </c>
      <c r="AP115" s="444"/>
      <c r="AQ115" s="440"/>
      <c r="AR115" s="440" t="str">
        <f t="shared" si="47"/>
        <v xml:space="preserve">                                                                                                                                </v>
      </c>
      <c r="AS115" s="447" t="s">
        <v>532</v>
      </c>
      <c r="AT115" s="462"/>
      <c r="AU115" s="447" t="s">
        <v>532</v>
      </c>
      <c r="AV115" s="444"/>
      <c r="AW115" s="440"/>
      <c r="AX115" s="440" t="str">
        <f t="shared" si="48"/>
        <v xml:space="preserve">                                                                                                                                </v>
      </c>
      <c r="AY115" s="442" t="str">
        <f t="shared" si="43"/>
        <v>-</v>
      </c>
      <c r="AZ115" s="440"/>
      <c r="BA115" s="447" t="s">
        <v>532</v>
      </c>
      <c r="BB115" s="59"/>
      <c r="BC115" s="60"/>
      <c r="BD115" s="60" t="str">
        <f t="shared" si="49"/>
        <v xml:space="preserve">                                                                                                                                </v>
      </c>
      <c r="BE115" s="213" t="str">
        <f t="shared" si="44"/>
        <v>-</v>
      </c>
      <c r="BF115" s="167"/>
      <c r="BG115" s="225" t="s">
        <v>215</v>
      </c>
      <c r="BH115" s="59"/>
      <c r="BI115" s="60"/>
      <c r="BJ115" s="60" t="str">
        <f t="shared" si="50"/>
        <v xml:space="preserve">                                                                                                                                </v>
      </c>
      <c r="BK115" s="213" t="s">
        <v>215</v>
      </c>
      <c r="BL115" s="167"/>
      <c r="BM115" s="225" t="s">
        <v>215</v>
      </c>
    </row>
    <row r="116" spans="1:65" s="26" customFormat="1" ht="114.75">
      <c r="B116" s="64">
        <f t="shared" si="51"/>
        <v>109</v>
      </c>
      <c r="C116" s="7"/>
      <c r="D116" s="7"/>
      <c r="E116" s="7"/>
      <c r="F116" s="22" t="s">
        <v>162</v>
      </c>
      <c r="G116" s="16"/>
      <c r="H116" s="13"/>
      <c r="I116" s="8"/>
      <c r="J116" s="8"/>
      <c r="K116" s="8"/>
      <c r="L116" s="8"/>
      <c r="M116" s="11" t="s">
        <v>294</v>
      </c>
      <c r="N116" s="1"/>
      <c r="O116" s="56"/>
      <c r="P116" s="93">
        <f t="shared" si="53"/>
        <v>90</v>
      </c>
      <c r="Q116" s="113">
        <v>1</v>
      </c>
      <c r="R116" s="21" t="str">
        <f t="shared" si="52"/>
        <v>X</v>
      </c>
      <c r="S116" s="96" t="s">
        <v>163</v>
      </c>
      <c r="T116" s="94"/>
      <c r="U116" s="21" t="s">
        <v>226</v>
      </c>
      <c r="V116" s="10"/>
      <c r="W116" s="25">
        <v>3</v>
      </c>
      <c r="X116" s="1" t="s">
        <v>257</v>
      </c>
      <c r="Y116" s="1">
        <v>1</v>
      </c>
      <c r="Z116" s="1">
        <v>1</v>
      </c>
      <c r="AA116" s="8" t="s">
        <v>109</v>
      </c>
      <c r="AB116" s="8" t="s">
        <v>19</v>
      </c>
      <c r="AC116" s="102"/>
      <c r="AD116" s="444"/>
      <c r="AE116" s="445"/>
      <c r="AF116" s="440" t="str">
        <f t="shared" si="45"/>
        <v xml:space="preserve"> </v>
      </c>
      <c r="AG116" s="442" t="str">
        <f t="shared" si="41"/>
        <v>-</v>
      </c>
      <c r="AH116" s="445"/>
      <c r="AI116" s="447" t="s">
        <v>532</v>
      </c>
      <c r="AJ116" s="444"/>
      <c r="AK116" s="445"/>
      <c r="AL116" s="440" t="str">
        <f t="shared" si="46"/>
        <v xml:space="preserve"> </v>
      </c>
      <c r="AM116" s="442" t="str">
        <f t="shared" si="42"/>
        <v>-</v>
      </c>
      <c r="AN116" s="445"/>
      <c r="AO116" s="447" t="s">
        <v>532</v>
      </c>
      <c r="AP116" s="444"/>
      <c r="AQ116" s="445"/>
      <c r="AR116" s="440" t="str">
        <f t="shared" si="47"/>
        <v xml:space="preserve"> </v>
      </c>
      <c r="AS116" s="447" t="s">
        <v>532</v>
      </c>
      <c r="AT116" s="463"/>
      <c r="AU116" s="447" t="s">
        <v>532</v>
      </c>
      <c r="AV116" s="444"/>
      <c r="AW116" s="445"/>
      <c r="AX116" s="440" t="str">
        <f t="shared" si="48"/>
        <v xml:space="preserve"> </v>
      </c>
      <c r="AY116" s="442" t="str">
        <f t="shared" si="43"/>
        <v>-</v>
      </c>
      <c r="AZ116" s="445"/>
      <c r="BA116" s="447" t="s">
        <v>532</v>
      </c>
      <c r="BB116" s="59"/>
      <c r="BC116" s="223"/>
      <c r="BD116" s="60" t="str">
        <f t="shared" si="49"/>
        <v xml:space="preserve"> </v>
      </c>
      <c r="BE116" s="213" t="str">
        <f t="shared" si="44"/>
        <v>-</v>
      </c>
      <c r="BF116" s="172"/>
      <c r="BG116" s="225" t="s">
        <v>215</v>
      </c>
      <c r="BH116" s="59"/>
      <c r="BI116" s="223"/>
      <c r="BJ116" s="60" t="str">
        <f t="shared" si="50"/>
        <v xml:space="preserve"> </v>
      </c>
      <c r="BK116" s="213" t="s">
        <v>215</v>
      </c>
      <c r="BL116" s="172"/>
      <c r="BM116" s="225" t="s">
        <v>215</v>
      </c>
    </row>
    <row r="117" spans="1:65" s="26" customFormat="1" ht="127.5">
      <c r="B117" s="64">
        <f t="shared" si="51"/>
        <v>110</v>
      </c>
      <c r="C117" s="7"/>
      <c r="D117" s="7"/>
      <c r="E117" s="7"/>
      <c r="F117" s="22" t="s">
        <v>164</v>
      </c>
      <c r="G117" s="16"/>
      <c r="H117" s="13"/>
      <c r="I117" s="8"/>
      <c r="J117" s="8" t="s">
        <v>231</v>
      </c>
      <c r="K117" s="8"/>
      <c r="L117" s="8"/>
      <c r="M117" s="359" t="s">
        <v>317</v>
      </c>
      <c r="N117" s="1"/>
      <c r="O117" s="56"/>
      <c r="P117" s="93">
        <f t="shared" si="53"/>
        <v>91</v>
      </c>
      <c r="Q117" s="113">
        <v>1</v>
      </c>
      <c r="R117" s="21" t="str">
        <f t="shared" si="52"/>
        <v>X</v>
      </c>
      <c r="S117" s="96" t="s">
        <v>165</v>
      </c>
      <c r="T117" s="94"/>
      <c r="U117" s="21" t="s">
        <v>226</v>
      </c>
      <c r="V117" s="10"/>
      <c r="W117" s="25">
        <v>3</v>
      </c>
      <c r="X117" s="1" t="s">
        <v>258</v>
      </c>
      <c r="Y117" s="1">
        <v>1</v>
      </c>
      <c r="Z117" s="1">
        <v>1</v>
      </c>
      <c r="AA117" s="8" t="s">
        <v>109</v>
      </c>
      <c r="AB117" s="8" t="s">
        <v>19</v>
      </c>
      <c r="AC117" s="102"/>
      <c r="AD117" s="444"/>
      <c r="AE117" s="445"/>
      <c r="AF117" s="440" t="str">
        <f t="shared" si="45"/>
        <v xml:space="preserve"> </v>
      </c>
      <c r="AG117" s="442" t="str">
        <f t="shared" si="41"/>
        <v>-</v>
      </c>
      <c r="AH117" s="445"/>
      <c r="AI117" s="447" t="s">
        <v>532</v>
      </c>
      <c r="AJ117" s="444"/>
      <c r="AK117" s="445"/>
      <c r="AL117" s="440" t="str">
        <f t="shared" si="46"/>
        <v xml:space="preserve"> </v>
      </c>
      <c r="AM117" s="442" t="str">
        <f t="shared" si="42"/>
        <v>-</v>
      </c>
      <c r="AN117" s="445"/>
      <c r="AO117" s="447" t="s">
        <v>532</v>
      </c>
      <c r="AP117" s="444"/>
      <c r="AQ117" s="445"/>
      <c r="AR117" s="440" t="str">
        <f t="shared" si="47"/>
        <v xml:space="preserve"> </v>
      </c>
      <c r="AS117" s="447" t="s">
        <v>532</v>
      </c>
      <c r="AT117" s="463"/>
      <c r="AU117" s="447" t="s">
        <v>532</v>
      </c>
      <c r="AV117" s="444"/>
      <c r="AW117" s="445"/>
      <c r="AX117" s="440" t="str">
        <f t="shared" si="48"/>
        <v xml:space="preserve"> </v>
      </c>
      <c r="AY117" s="442" t="str">
        <f t="shared" si="43"/>
        <v>-</v>
      </c>
      <c r="AZ117" s="445"/>
      <c r="BA117" s="447" t="s">
        <v>532</v>
      </c>
      <c r="BB117" s="59"/>
      <c r="BC117" s="223"/>
      <c r="BD117" s="60" t="str">
        <f t="shared" si="49"/>
        <v xml:space="preserve"> </v>
      </c>
      <c r="BE117" s="213" t="str">
        <f t="shared" si="44"/>
        <v>-</v>
      </c>
      <c r="BF117" s="172"/>
      <c r="BG117" s="225" t="s">
        <v>215</v>
      </c>
      <c r="BH117" s="59"/>
      <c r="BI117" s="223"/>
      <c r="BJ117" s="60" t="str">
        <f t="shared" si="50"/>
        <v xml:space="preserve"> </v>
      </c>
      <c r="BK117" s="213" t="s">
        <v>215</v>
      </c>
      <c r="BL117" s="172"/>
      <c r="BM117" s="225" t="s">
        <v>215</v>
      </c>
    </row>
    <row r="118" spans="1:65" s="26" customFormat="1" ht="319.5" customHeight="1">
      <c r="B118" s="64">
        <f t="shared" si="51"/>
        <v>111</v>
      </c>
      <c r="C118" s="7"/>
      <c r="D118" s="7"/>
      <c r="E118" s="53"/>
      <c r="F118" s="111" t="s">
        <v>367</v>
      </c>
      <c r="G118" s="66"/>
      <c r="H118" s="61"/>
      <c r="I118" s="8"/>
      <c r="J118" s="8" t="s">
        <v>231</v>
      </c>
      <c r="K118" s="8"/>
      <c r="L118" s="8"/>
      <c r="M118" s="356" t="s">
        <v>493</v>
      </c>
      <c r="N118" s="16"/>
      <c r="O118" s="56"/>
      <c r="P118" s="93">
        <f t="shared" si="53"/>
        <v>92</v>
      </c>
      <c r="Q118" s="113">
        <v>2</v>
      </c>
      <c r="R118" s="21" t="str">
        <f t="shared" si="52"/>
        <v>X</v>
      </c>
      <c r="S118" s="96" t="s">
        <v>166</v>
      </c>
      <c r="T118" s="94"/>
      <c r="U118" s="21" t="s">
        <v>226</v>
      </c>
      <c r="V118" s="10"/>
      <c r="W118" s="25">
        <v>3</v>
      </c>
      <c r="X118" s="1" t="s">
        <v>260</v>
      </c>
      <c r="Y118" s="1">
        <v>2</v>
      </c>
      <c r="Z118" s="1">
        <v>2</v>
      </c>
      <c r="AA118" s="8" t="s">
        <v>229</v>
      </c>
      <c r="AB118" s="8" t="s">
        <v>226</v>
      </c>
      <c r="AC118" s="67"/>
      <c r="AD118" s="444"/>
      <c r="AE118" s="445"/>
      <c r="AF118" s="446" t="str">
        <f t="shared" si="45"/>
        <v xml:space="preserve">  </v>
      </c>
      <c r="AG118" s="442" t="str">
        <f t="shared" si="41"/>
        <v>-</v>
      </c>
      <c r="AH118" s="445"/>
      <c r="AI118" s="448" t="s">
        <v>532</v>
      </c>
      <c r="AJ118" s="444"/>
      <c r="AK118" s="445"/>
      <c r="AL118" s="446" t="str">
        <f t="shared" si="46"/>
        <v xml:space="preserve">  </v>
      </c>
      <c r="AM118" s="442" t="str">
        <f t="shared" si="42"/>
        <v>-</v>
      </c>
      <c r="AN118" s="445"/>
      <c r="AO118" s="448" t="s">
        <v>532</v>
      </c>
      <c r="AP118" s="444"/>
      <c r="AQ118" s="445"/>
      <c r="AR118" s="446" t="str">
        <f t="shared" si="47"/>
        <v xml:space="preserve">  </v>
      </c>
      <c r="AS118" s="442" t="s">
        <v>532</v>
      </c>
      <c r="AT118" s="463"/>
      <c r="AU118" s="448" t="s">
        <v>532</v>
      </c>
      <c r="AV118" s="444"/>
      <c r="AW118" s="445"/>
      <c r="AX118" s="446" t="str">
        <f t="shared" si="48"/>
        <v xml:space="preserve">  </v>
      </c>
      <c r="AY118" s="442" t="str">
        <f t="shared" si="43"/>
        <v>-</v>
      </c>
      <c r="AZ118" s="445"/>
      <c r="BA118" s="448" t="s">
        <v>532</v>
      </c>
      <c r="BB118" s="59"/>
      <c r="BC118" s="223"/>
      <c r="BD118" s="254" t="str">
        <f t="shared" si="49"/>
        <v>A1</v>
      </c>
      <c r="BE118" s="213" t="str">
        <f t="shared" si="44"/>
        <v>-</v>
      </c>
      <c r="BF118" s="172" t="s">
        <v>185</v>
      </c>
      <c r="BG118" s="405" t="str">
        <f>IF(OR(BC$8="判定対象外",BF$8="判定対象外",BF118="-"),"-",IF(BC118=BF118,"OK","NG"))</f>
        <v>NG</v>
      </c>
      <c r="BH118" s="59"/>
      <c r="BI118" s="223"/>
      <c r="BJ118" s="254" t="str">
        <f t="shared" si="50"/>
        <v>B2</v>
      </c>
      <c r="BK118" s="213" t="str">
        <f>IF(OR(BI$8="判定対象外",BJ$8="判定対象外",BJ118="-"),"-",IF(BI118=BJ118,"OK","NG"))</f>
        <v>NG</v>
      </c>
      <c r="BL118" s="172" t="s">
        <v>572</v>
      </c>
      <c r="BM118" s="405" t="str">
        <f>IF(OR(BI$8="判定対象外",BL$8="判定対象外",BL118="-"),"-",IF(BI118=BL118,"OK","NG"))</f>
        <v>NG</v>
      </c>
    </row>
    <row r="119" spans="1:65" s="26" customFormat="1" ht="25.5">
      <c r="B119" s="64">
        <f t="shared" si="51"/>
        <v>112</v>
      </c>
      <c r="C119" s="7"/>
      <c r="D119" s="7"/>
      <c r="E119" s="53"/>
      <c r="F119" s="65" t="s">
        <v>167</v>
      </c>
      <c r="G119" s="66"/>
      <c r="H119" s="61"/>
      <c r="I119" s="8"/>
      <c r="J119" s="8"/>
      <c r="K119" s="8"/>
      <c r="L119" s="8"/>
      <c r="M119" s="11" t="s">
        <v>274</v>
      </c>
      <c r="N119" s="16"/>
      <c r="O119" s="56"/>
      <c r="P119" s="93">
        <f t="shared" si="53"/>
        <v>93</v>
      </c>
      <c r="Q119" s="113">
        <v>7</v>
      </c>
      <c r="R119" s="21" t="str">
        <f t="shared" si="52"/>
        <v>X</v>
      </c>
      <c r="S119" s="96" t="s">
        <v>168</v>
      </c>
      <c r="T119" s="94"/>
      <c r="U119" s="21" t="s">
        <v>226</v>
      </c>
      <c r="V119" s="10"/>
      <c r="W119" s="25">
        <v>3</v>
      </c>
      <c r="X119" s="1" t="s">
        <v>261</v>
      </c>
      <c r="Y119" s="1">
        <v>7</v>
      </c>
      <c r="Z119" s="1">
        <v>7</v>
      </c>
      <c r="AA119" s="8" t="s">
        <v>229</v>
      </c>
      <c r="AB119" s="8" t="s">
        <v>226</v>
      </c>
      <c r="AC119" s="103"/>
      <c r="AD119" s="444"/>
      <c r="AE119" s="440"/>
      <c r="AF119" s="440" t="str">
        <f t="shared" si="45"/>
        <v xml:space="preserve">       </v>
      </c>
      <c r="AG119" s="442" t="str">
        <f t="shared" si="41"/>
        <v>-</v>
      </c>
      <c r="AH119" s="440"/>
      <c r="AI119" s="447" t="s">
        <v>532</v>
      </c>
      <c r="AJ119" s="444"/>
      <c r="AK119" s="440"/>
      <c r="AL119" s="440" t="str">
        <f t="shared" si="46"/>
        <v xml:space="preserve">       </v>
      </c>
      <c r="AM119" s="442" t="str">
        <f t="shared" si="42"/>
        <v>-</v>
      </c>
      <c r="AN119" s="440"/>
      <c r="AO119" s="447" t="s">
        <v>532</v>
      </c>
      <c r="AP119" s="444"/>
      <c r="AQ119" s="440"/>
      <c r="AR119" s="440" t="str">
        <f t="shared" si="47"/>
        <v xml:space="preserve">       </v>
      </c>
      <c r="AS119" s="447" t="s">
        <v>532</v>
      </c>
      <c r="AT119" s="462"/>
      <c r="AU119" s="447" t="s">
        <v>532</v>
      </c>
      <c r="AV119" s="444"/>
      <c r="AW119" s="440"/>
      <c r="AX119" s="440" t="str">
        <f t="shared" si="48"/>
        <v xml:space="preserve">       </v>
      </c>
      <c r="AY119" s="442" t="str">
        <f t="shared" si="43"/>
        <v>-</v>
      </c>
      <c r="AZ119" s="440"/>
      <c r="BA119" s="447" t="s">
        <v>532</v>
      </c>
      <c r="BB119" s="59"/>
      <c r="BC119" s="60"/>
      <c r="BD119" s="60" t="str">
        <f t="shared" si="49"/>
        <v xml:space="preserve">       </v>
      </c>
      <c r="BE119" s="213" t="str">
        <f t="shared" si="44"/>
        <v>-</v>
      </c>
      <c r="BF119" s="167"/>
      <c r="BG119" s="225" t="s">
        <v>215</v>
      </c>
      <c r="BH119" s="59"/>
      <c r="BI119" s="60"/>
      <c r="BJ119" s="60" t="str">
        <f t="shared" si="50"/>
        <v xml:space="preserve">       </v>
      </c>
      <c r="BK119" s="213" t="s">
        <v>215</v>
      </c>
      <c r="BL119" s="167"/>
      <c r="BM119" s="225" t="s">
        <v>215</v>
      </c>
    </row>
    <row r="120" spans="1:65" s="80" customFormat="1" ht="25.5">
      <c r="B120" s="64">
        <f t="shared" si="51"/>
        <v>113</v>
      </c>
      <c r="C120" s="68"/>
      <c r="D120" s="68"/>
      <c r="E120" s="69"/>
      <c r="F120" s="70" t="s">
        <v>275</v>
      </c>
      <c r="G120" s="71"/>
      <c r="H120" s="72"/>
      <c r="I120" s="73"/>
      <c r="J120" s="73"/>
      <c r="K120" s="74"/>
      <c r="L120" s="74"/>
      <c r="M120" s="83" t="s">
        <v>274</v>
      </c>
      <c r="N120" s="75"/>
      <c r="O120" s="76"/>
      <c r="P120" s="93">
        <f t="shared" si="53"/>
        <v>94</v>
      </c>
      <c r="Q120" s="117">
        <v>10</v>
      </c>
      <c r="R120" s="21" t="str">
        <f t="shared" si="52"/>
        <v>X</v>
      </c>
      <c r="S120" s="96" t="s">
        <v>169</v>
      </c>
      <c r="T120" s="104"/>
      <c r="U120" s="21" t="s">
        <v>226</v>
      </c>
      <c r="V120" s="76"/>
      <c r="W120" s="77">
        <v>3</v>
      </c>
      <c r="X120" s="55" t="s">
        <v>170</v>
      </c>
      <c r="Y120" s="55">
        <v>10</v>
      </c>
      <c r="Z120" s="55">
        <v>10</v>
      </c>
      <c r="AA120" s="73" t="s">
        <v>109</v>
      </c>
      <c r="AB120" s="73" t="s">
        <v>19</v>
      </c>
      <c r="AC120" s="103"/>
      <c r="AD120" s="451"/>
      <c r="AE120" s="452"/>
      <c r="AF120" s="453" t="str">
        <f t="shared" si="45"/>
        <v xml:space="preserve">          </v>
      </c>
      <c r="AG120" s="442" t="str">
        <f t="shared" si="41"/>
        <v>-</v>
      </c>
      <c r="AH120" s="452"/>
      <c r="AI120" s="447" t="s">
        <v>532</v>
      </c>
      <c r="AJ120" s="451"/>
      <c r="AK120" s="452"/>
      <c r="AL120" s="453" t="str">
        <f t="shared" si="46"/>
        <v xml:space="preserve">          </v>
      </c>
      <c r="AM120" s="442" t="str">
        <f t="shared" si="42"/>
        <v>-</v>
      </c>
      <c r="AN120" s="452"/>
      <c r="AO120" s="447" t="s">
        <v>532</v>
      </c>
      <c r="AP120" s="451"/>
      <c r="AQ120" s="452"/>
      <c r="AR120" s="453" t="str">
        <f t="shared" si="47"/>
        <v xml:space="preserve">          </v>
      </c>
      <c r="AS120" s="447" t="s">
        <v>532</v>
      </c>
      <c r="AT120" s="464"/>
      <c r="AU120" s="447" t="s">
        <v>532</v>
      </c>
      <c r="AV120" s="451"/>
      <c r="AW120" s="452"/>
      <c r="AX120" s="453" t="str">
        <f t="shared" si="48"/>
        <v xml:space="preserve">          </v>
      </c>
      <c r="AY120" s="442" t="str">
        <f t="shared" si="43"/>
        <v>-</v>
      </c>
      <c r="AZ120" s="452"/>
      <c r="BA120" s="447" t="s">
        <v>532</v>
      </c>
      <c r="BB120" s="78"/>
      <c r="BC120" s="420"/>
      <c r="BD120" s="79" t="str">
        <f t="shared" si="49"/>
        <v xml:space="preserve">          </v>
      </c>
      <c r="BE120" s="213" t="str">
        <f t="shared" si="44"/>
        <v>-</v>
      </c>
      <c r="BF120" s="378"/>
      <c r="BG120" s="225" t="s">
        <v>215</v>
      </c>
      <c r="BH120" s="78"/>
      <c r="BI120" s="420"/>
      <c r="BJ120" s="79" t="str">
        <f t="shared" si="50"/>
        <v xml:space="preserve">          </v>
      </c>
      <c r="BK120" s="213" t="s">
        <v>215</v>
      </c>
      <c r="BL120" s="378"/>
      <c r="BM120" s="225" t="s">
        <v>215</v>
      </c>
    </row>
    <row r="121" spans="1:65" s="80" customFormat="1" ht="25.5">
      <c r="B121" s="64">
        <f t="shared" si="51"/>
        <v>114</v>
      </c>
      <c r="C121" s="68"/>
      <c r="D121" s="68"/>
      <c r="E121" s="68"/>
      <c r="F121" s="81" t="s">
        <v>171</v>
      </c>
      <c r="G121" s="14"/>
      <c r="H121" s="82"/>
      <c r="I121" s="73"/>
      <c r="J121" s="73"/>
      <c r="K121" s="74"/>
      <c r="L121" s="74"/>
      <c r="M121" s="83" t="s">
        <v>274</v>
      </c>
      <c r="N121" s="75"/>
      <c r="O121" s="76"/>
      <c r="P121" s="93">
        <f t="shared" si="53"/>
        <v>95</v>
      </c>
      <c r="Q121" s="117">
        <v>3</v>
      </c>
      <c r="R121" s="21" t="str">
        <f t="shared" si="52"/>
        <v>X</v>
      </c>
      <c r="S121" s="96" t="s">
        <v>172</v>
      </c>
      <c r="T121" s="104"/>
      <c r="U121" s="21" t="s">
        <v>226</v>
      </c>
      <c r="V121" s="76"/>
      <c r="W121" s="77">
        <v>3</v>
      </c>
      <c r="X121" s="55" t="s">
        <v>173</v>
      </c>
      <c r="Y121" s="55">
        <v>3</v>
      </c>
      <c r="Z121" s="55">
        <v>3</v>
      </c>
      <c r="AA121" s="73" t="s">
        <v>109</v>
      </c>
      <c r="AB121" s="73" t="s">
        <v>19</v>
      </c>
      <c r="AC121" s="103"/>
      <c r="AD121" s="451"/>
      <c r="AE121" s="452"/>
      <c r="AF121" s="453" t="str">
        <f t="shared" si="45"/>
        <v xml:space="preserve">   </v>
      </c>
      <c r="AG121" s="442" t="str">
        <f t="shared" si="41"/>
        <v>-</v>
      </c>
      <c r="AH121" s="452"/>
      <c r="AI121" s="447" t="s">
        <v>532</v>
      </c>
      <c r="AJ121" s="451"/>
      <c r="AK121" s="452"/>
      <c r="AL121" s="453" t="str">
        <f t="shared" si="46"/>
        <v xml:space="preserve">   </v>
      </c>
      <c r="AM121" s="442" t="str">
        <f t="shared" si="42"/>
        <v>-</v>
      </c>
      <c r="AN121" s="452"/>
      <c r="AO121" s="447" t="s">
        <v>532</v>
      </c>
      <c r="AP121" s="451"/>
      <c r="AQ121" s="452"/>
      <c r="AR121" s="453" t="str">
        <f t="shared" si="47"/>
        <v xml:space="preserve">   </v>
      </c>
      <c r="AS121" s="447" t="s">
        <v>532</v>
      </c>
      <c r="AT121" s="464"/>
      <c r="AU121" s="447" t="s">
        <v>532</v>
      </c>
      <c r="AV121" s="451"/>
      <c r="AW121" s="452"/>
      <c r="AX121" s="453" t="str">
        <f t="shared" si="48"/>
        <v xml:space="preserve">   </v>
      </c>
      <c r="AY121" s="442" t="str">
        <f t="shared" si="43"/>
        <v>-</v>
      </c>
      <c r="AZ121" s="452"/>
      <c r="BA121" s="447" t="s">
        <v>532</v>
      </c>
      <c r="BB121" s="78"/>
      <c r="BC121" s="420"/>
      <c r="BD121" s="79" t="str">
        <f t="shared" si="49"/>
        <v xml:space="preserve">   </v>
      </c>
      <c r="BE121" s="213" t="str">
        <f t="shared" si="44"/>
        <v>-</v>
      </c>
      <c r="BF121" s="378"/>
      <c r="BG121" s="225" t="s">
        <v>215</v>
      </c>
      <c r="BH121" s="78"/>
      <c r="BI121" s="420"/>
      <c r="BJ121" s="79" t="str">
        <f t="shared" si="50"/>
        <v xml:space="preserve">   </v>
      </c>
      <c r="BK121" s="213" t="s">
        <v>215</v>
      </c>
      <c r="BL121" s="378"/>
      <c r="BM121" s="225" t="s">
        <v>215</v>
      </c>
    </row>
    <row r="122" spans="1:65" s="80" customFormat="1" ht="25.5">
      <c r="B122" s="64">
        <f t="shared" si="51"/>
        <v>115</v>
      </c>
      <c r="C122" s="68"/>
      <c r="D122" s="68"/>
      <c r="E122" s="68"/>
      <c r="F122" s="81" t="s">
        <v>174</v>
      </c>
      <c r="G122" s="14"/>
      <c r="H122" s="82"/>
      <c r="I122" s="73"/>
      <c r="J122" s="73"/>
      <c r="K122" s="74"/>
      <c r="L122" s="74"/>
      <c r="M122" s="83" t="s">
        <v>274</v>
      </c>
      <c r="N122" s="75"/>
      <c r="O122" s="76"/>
      <c r="P122" s="93">
        <f>P121+1</f>
        <v>96</v>
      </c>
      <c r="Q122" s="117">
        <v>2</v>
      </c>
      <c r="R122" s="21" t="str">
        <f t="shared" si="52"/>
        <v>X</v>
      </c>
      <c r="S122" s="96" t="s">
        <v>175</v>
      </c>
      <c r="T122" s="104"/>
      <c r="U122" s="21" t="s">
        <v>226</v>
      </c>
      <c r="V122" s="76"/>
      <c r="W122" s="77">
        <v>3</v>
      </c>
      <c r="X122" s="55" t="s">
        <v>176</v>
      </c>
      <c r="Y122" s="55">
        <v>2</v>
      </c>
      <c r="Z122" s="55">
        <v>2</v>
      </c>
      <c r="AA122" s="73" t="s">
        <v>109</v>
      </c>
      <c r="AB122" s="73" t="s">
        <v>19</v>
      </c>
      <c r="AC122" s="103"/>
      <c r="AD122" s="451"/>
      <c r="AE122" s="452"/>
      <c r="AF122" s="453" t="str">
        <f t="shared" si="45"/>
        <v xml:space="preserve">  </v>
      </c>
      <c r="AG122" s="442" t="str">
        <f t="shared" si="41"/>
        <v>-</v>
      </c>
      <c r="AH122" s="452"/>
      <c r="AI122" s="447" t="s">
        <v>532</v>
      </c>
      <c r="AJ122" s="451"/>
      <c r="AK122" s="452"/>
      <c r="AL122" s="453" t="str">
        <f t="shared" si="46"/>
        <v xml:space="preserve">  </v>
      </c>
      <c r="AM122" s="442" t="str">
        <f t="shared" si="42"/>
        <v>-</v>
      </c>
      <c r="AN122" s="452"/>
      <c r="AO122" s="447" t="s">
        <v>532</v>
      </c>
      <c r="AP122" s="451"/>
      <c r="AQ122" s="452"/>
      <c r="AR122" s="453" t="str">
        <f t="shared" si="47"/>
        <v xml:space="preserve">  </v>
      </c>
      <c r="AS122" s="447" t="s">
        <v>532</v>
      </c>
      <c r="AT122" s="464"/>
      <c r="AU122" s="447" t="s">
        <v>532</v>
      </c>
      <c r="AV122" s="451"/>
      <c r="AW122" s="452"/>
      <c r="AX122" s="453" t="str">
        <f t="shared" si="48"/>
        <v xml:space="preserve">  </v>
      </c>
      <c r="AY122" s="442" t="str">
        <f t="shared" si="43"/>
        <v>-</v>
      </c>
      <c r="AZ122" s="452"/>
      <c r="BA122" s="447" t="s">
        <v>532</v>
      </c>
      <c r="BB122" s="78"/>
      <c r="BC122" s="420"/>
      <c r="BD122" s="79" t="str">
        <f t="shared" si="49"/>
        <v xml:space="preserve">  </v>
      </c>
      <c r="BE122" s="213" t="str">
        <f t="shared" si="44"/>
        <v>-</v>
      </c>
      <c r="BF122" s="378"/>
      <c r="BG122" s="225" t="s">
        <v>215</v>
      </c>
      <c r="BH122" s="78"/>
      <c r="BI122" s="420"/>
      <c r="BJ122" s="79" t="str">
        <f t="shared" si="50"/>
        <v xml:space="preserve">  </v>
      </c>
      <c r="BK122" s="213" t="s">
        <v>215</v>
      </c>
      <c r="BL122" s="378"/>
      <c r="BM122" s="225" t="s">
        <v>215</v>
      </c>
    </row>
    <row r="123" spans="1:65" s="80" customFormat="1" ht="51.75" customHeight="1">
      <c r="B123" s="64">
        <f t="shared" si="51"/>
        <v>116</v>
      </c>
      <c r="C123" s="68"/>
      <c r="D123" s="68"/>
      <c r="E123" s="68"/>
      <c r="F123" s="228" t="s">
        <v>177</v>
      </c>
      <c r="G123" s="229"/>
      <c r="H123" s="230"/>
      <c r="I123" s="73"/>
      <c r="J123" s="73"/>
      <c r="K123" s="74"/>
      <c r="L123" s="74"/>
      <c r="M123" s="83" t="s">
        <v>178</v>
      </c>
      <c r="N123" s="75"/>
      <c r="O123" s="76"/>
      <c r="P123" s="93">
        <f>P122+1</f>
        <v>97</v>
      </c>
      <c r="Q123" s="117">
        <v>5</v>
      </c>
      <c r="R123" s="21" t="str">
        <f t="shared" si="52"/>
        <v>X</v>
      </c>
      <c r="S123" s="96" t="s">
        <v>179</v>
      </c>
      <c r="T123" s="104"/>
      <c r="U123" s="21" t="s">
        <v>226</v>
      </c>
      <c r="V123" s="76"/>
      <c r="W123" s="77">
        <v>3</v>
      </c>
      <c r="X123" s="55" t="s">
        <v>262</v>
      </c>
      <c r="Y123" s="55">
        <v>5</v>
      </c>
      <c r="Z123" s="55">
        <v>5</v>
      </c>
      <c r="AA123" s="73" t="s">
        <v>109</v>
      </c>
      <c r="AB123" s="73" t="s">
        <v>19</v>
      </c>
      <c r="AC123" s="84"/>
      <c r="AD123" s="451"/>
      <c r="AE123" s="452"/>
      <c r="AF123" s="453" t="str">
        <f t="shared" si="45"/>
        <v xml:space="preserve">     </v>
      </c>
      <c r="AG123" s="442" t="str">
        <f t="shared" si="41"/>
        <v>-</v>
      </c>
      <c r="AH123" s="452"/>
      <c r="AI123" s="447" t="s">
        <v>532</v>
      </c>
      <c r="AJ123" s="451"/>
      <c r="AK123" s="452"/>
      <c r="AL123" s="453" t="str">
        <f t="shared" si="46"/>
        <v xml:space="preserve">     </v>
      </c>
      <c r="AM123" s="442" t="str">
        <f t="shared" si="42"/>
        <v>-</v>
      </c>
      <c r="AN123" s="452"/>
      <c r="AO123" s="447" t="s">
        <v>532</v>
      </c>
      <c r="AP123" s="451"/>
      <c r="AQ123" s="452"/>
      <c r="AR123" s="453" t="str">
        <f t="shared" si="47"/>
        <v xml:space="preserve">     </v>
      </c>
      <c r="AS123" s="447" t="s">
        <v>532</v>
      </c>
      <c r="AT123" s="464"/>
      <c r="AU123" s="447" t="s">
        <v>532</v>
      </c>
      <c r="AV123" s="451"/>
      <c r="AW123" s="452"/>
      <c r="AX123" s="453" t="str">
        <f t="shared" si="48"/>
        <v xml:space="preserve">     </v>
      </c>
      <c r="AY123" s="442" t="str">
        <f t="shared" si="43"/>
        <v>-</v>
      </c>
      <c r="AZ123" s="452"/>
      <c r="BA123" s="447" t="s">
        <v>532</v>
      </c>
      <c r="BB123" s="78"/>
      <c r="BC123" s="420"/>
      <c r="BD123" s="79" t="str">
        <f t="shared" si="49"/>
        <v xml:space="preserve">     </v>
      </c>
      <c r="BE123" s="213" t="str">
        <f t="shared" si="44"/>
        <v>-</v>
      </c>
      <c r="BF123" s="378"/>
      <c r="BG123" s="225" t="s">
        <v>215</v>
      </c>
      <c r="BH123" s="78"/>
      <c r="BI123" s="420"/>
      <c r="BJ123" s="79" t="str">
        <f t="shared" si="50"/>
        <v xml:space="preserve">     </v>
      </c>
      <c r="BK123" s="213" t="s">
        <v>215</v>
      </c>
      <c r="BL123" s="378"/>
      <c r="BM123" s="225" t="s">
        <v>215</v>
      </c>
    </row>
    <row r="124" spans="1:65" s="80" customFormat="1" ht="51.75" customHeight="1">
      <c r="B124" s="64">
        <f t="shared" si="51"/>
        <v>117</v>
      </c>
      <c r="C124" s="68"/>
      <c r="D124" s="68"/>
      <c r="E124" s="68"/>
      <c r="F124" s="228" t="s">
        <v>180</v>
      </c>
      <c r="G124" s="229"/>
      <c r="H124" s="230"/>
      <c r="I124" s="73"/>
      <c r="J124" s="73"/>
      <c r="K124" s="74"/>
      <c r="L124" s="74"/>
      <c r="M124" s="83" t="s">
        <v>181</v>
      </c>
      <c r="N124" s="75"/>
      <c r="O124" s="76"/>
      <c r="P124" s="93">
        <f>P123+1</f>
        <v>98</v>
      </c>
      <c r="Q124" s="117">
        <v>64</v>
      </c>
      <c r="R124" s="21" t="str">
        <f>IF(AA124="M","NX",AA124)</f>
        <v>NX</v>
      </c>
      <c r="S124" s="96" t="s">
        <v>182</v>
      </c>
      <c r="T124" s="104"/>
      <c r="U124" s="21" t="s">
        <v>226</v>
      </c>
      <c r="V124" s="76" t="s">
        <v>263</v>
      </c>
      <c r="W124" s="77">
        <v>3</v>
      </c>
      <c r="X124" s="55" t="s">
        <v>264</v>
      </c>
      <c r="Y124" s="55">
        <v>1</v>
      </c>
      <c r="Z124" s="55">
        <v>64</v>
      </c>
      <c r="AA124" s="73" t="s">
        <v>252</v>
      </c>
      <c r="AB124" s="73" t="s">
        <v>19</v>
      </c>
      <c r="AC124" s="84" t="s">
        <v>263</v>
      </c>
      <c r="AD124" s="451"/>
      <c r="AE124" s="452"/>
      <c r="AF124" s="453" t="str">
        <f t="shared" si="45"/>
        <v xml:space="preserve">                                                                </v>
      </c>
      <c r="AG124" s="442" t="str">
        <f t="shared" si="41"/>
        <v>-</v>
      </c>
      <c r="AH124" s="452"/>
      <c r="AI124" s="447" t="s">
        <v>532</v>
      </c>
      <c r="AJ124" s="451"/>
      <c r="AK124" s="452"/>
      <c r="AL124" s="453" t="str">
        <f t="shared" si="46"/>
        <v xml:space="preserve">                                                                </v>
      </c>
      <c r="AM124" s="442" t="str">
        <f t="shared" si="42"/>
        <v>-</v>
      </c>
      <c r="AN124" s="452"/>
      <c r="AO124" s="447" t="s">
        <v>532</v>
      </c>
      <c r="AP124" s="451"/>
      <c r="AQ124" s="452"/>
      <c r="AR124" s="453" t="str">
        <f t="shared" si="47"/>
        <v xml:space="preserve">                                                                </v>
      </c>
      <c r="AS124" s="447" t="s">
        <v>532</v>
      </c>
      <c r="AT124" s="464"/>
      <c r="AU124" s="447" t="s">
        <v>532</v>
      </c>
      <c r="AV124" s="451"/>
      <c r="AW124" s="452"/>
      <c r="AX124" s="453" t="str">
        <f t="shared" si="48"/>
        <v xml:space="preserve">                                                                </v>
      </c>
      <c r="AY124" s="442" t="str">
        <f t="shared" si="43"/>
        <v>-</v>
      </c>
      <c r="AZ124" s="452"/>
      <c r="BA124" s="447" t="s">
        <v>532</v>
      </c>
      <c r="BB124" s="78"/>
      <c r="BC124" s="420"/>
      <c r="BD124" s="79" t="str">
        <f t="shared" si="49"/>
        <v xml:space="preserve">                                                                </v>
      </c>
      <c r="BE124" s="213" t="str">
        <f t="shared" si="44"/>
        <v>-</v>
      </c>
      <c r="BF124" s="378"/>
      <c r="BG124" s="225" t="s">
        <v>215</v>
      </c>
      <c r="BH124" s="78"/>
      <c r="BI124" s="420"/>
      <c r="BJ124" s="79" t="str">
        <f t="shared" si="50"/>
        <v xml:space="preserve">                                                                </v>
      </c>
      <c r="BK124" s="213" t="s">
        <v>215</v>
      </c>
      <c r="BL124" s="378"/>
      <c r="BM124" s="225" t="s">
        <v>215</v>
      </c>
    </row>
    <row r="125" spans="1:65" s="80" customFormat="1" ht="92.25" customHeight="1">
      <c r="B125" s="64">
        <f t="shared" si="51"/>
        <v>118</v>
      </c>
      <c r="C125" s="68"/>
      <c r="D125" s="68"/>
      <c r="E125" s="68"/>
      <c r="F125" s="81" t="s">
        <v>276</v>
      </c>
      <c r="G125" s="14"/>
      <c r="H125" s="82"/>
      <c r="I125" s="73"/>
      <c r="J125" s="73"/>
      <c r="K125" s="74"/>
      <c r="L125" s="74"/>
      <c r="M125" s="415" t="s">
        <v>207</v>
      </c>
      <c r="N125" s="75"/>
      <c r="O125" s="76"/>
      <c r="P125" s="93">
        <f>P124+1</f>
        <v>99</v>
      </c>
      <c r="Q125" s="117">
        <v>7</v>
      </c>
      <c r="R125" s="21" t="s">
        <v>229</v>
      </c>
      <c r="S125" s="96" t="s">
        <v>265</v>
      </c>
      <c r="T125" s="104"/>
      <c r="U125" s="21" t="s">
        <v>226</v>
      </c>
      <c r="V125" s="76"/>
      <c r="W125" s="77">
        <v>3</v>
      </c>
      <c r="X125" s="55" t="s">
        <v>266</v>
      </c>
      <c r="Y125" s="55">
        <v>7</v>
      </c>
      <c r="Z125" s="55">
        <v>7</v>
      </c>
      <c r="AA125" s="73" t="s">
        <v>229</v>
      </c>
      <c r="AB125" s="73" t="s">
        <v>19</v>
      </c>
      <c r="AC125" s="84"/>
      <c r="AD125" s="451"/>
      <c r="AE125" s="452"/>
      <c r="AF125" s="453" t="str">
        <f t="shared" si="45"/>
        <v xml:space="preserve">       </v>
      </c>
      <c r="AG125" s="442" t="str">
        <f t="shared" si="41"/>
        <v>-</v>
      </c>
      <c r="AH125" s="452"/>
      <c r="AI125" s="447" t="s">
        <v>532</v>
      </c>
      <c r="AJ125" s="451"/>
      <c r="AK125" s="452"/>
      <c r="AL125" s="453" t="str">
        <f t="shared" si="46"/>
        <v xml:space="preserve">       </v>
      </c>
      <c r="AM125" s="442" t="str">
        <f t="shared" si="42"/>
        <v>-</v>
      </c>
      <c r="AN125" s="452"/>
      <c r="AO125" s="447" t="s">
        <v>532</v>
      </c>
      <c r="AP125" s="451"/>
      <c r="AQ125" s="452"/>
      <c r="AR125" s="453" t="str">
        <f t="shared" si="47"/>
        <v xml:space="preserve">       </v>
      </c>
      <c r="AS125" s="447" t="s">
        <v>532</v>
      </c>
      <c r="AT125" s="464"/>
      <c r="AU125" s="447" t="s">
        <v>532</v>
      </c>
      <c r="AV125" s="451"/>
      <c r="AW125" s="452"/>
      <c r="AX125" s="453" t="str">
        <f t="shared" si="48"/>
        <v xml:space="preserve">       </v>
      </c>
      <c r="AY125" s="442" t="str">
        <f t="shared" si="43"/>
        <v>-</v>
      </c>
      <c r="AZ125" s="452"/>
      <c r="BA125" s="447" t="s">
        <v>532</v>
      </c>
      <c r="BB125" s="78"/>
      <c r="BC125" s="420"/>
      <c r="BD125" s="79" t="str">
        <f t="shared" si="49"/>
        <v xml:space="preserve">       </v>
      </c>
      <c r="BE125" s="213" t="str">
        <f t="shared" si="44"/>
        <v>-</v>
      </c>
      <c r="BF125" s="378"/>
      <c r="BG125" s="225" t="s">
        <v>215</v>
      </c>
      <c r="BH125" s="78"/>
      <c r="BI125" s="420"/>
      <c r="BJ125" s="79" t="str">
        <f t="shared" si="50"/>
        <v xml:space="preserve">       </v>
      </c>
      <c r="BK125" s="213" t="s">
        <v>215</v>
      </c>
      <c r="BL125" s="378"/>
      <c r="BM125" s="225" t="s">
        <v>215</v>
      </c>
    </row>
    <row r="126" spans="1:65" s="80" customFormat="1" ht="127.9" thickBot="1">
      <c r="A126" s="216"/>
      <c r="B126" s="231">
        <f t="shared" si="51"/>
        <v>119</v>
      </c>
      <c r="C126" s="232"/>
      <c r="D126" s="232"/>
      <c r="E126" s="232"/>
      <c r="F126" s="234" t="s">
        <v>267</v>
      </c>
      <c r="G126" s="235"/>
      <c r="H126" s="236"/>
      <c r="I126" s="237"/>
      <c r="J126" s="237"/>
      <c r="K126" s="237"/>
      <c r="L126" s="237"/>
      <c r="M126" s="416" t="s">
        <v>277</v>
      </c>
      <c r="N126" s="417"/>
      <c r="O126" s="419"/>
      <c r="P126" s="429">
        <f>P125+1</f>
        <v>100</v>
      </c>
      <c r="Q126" s="430">
        <v>1</v>
      </c>
      <c r="R126" s="431">
        <v>9</v>
      </c>
      <c r="S126" s="430" t="s">
        <v>268</v>
      </c>
      <c r="T126" s="430"/>
      <c r="U126" s="431" t="s">
        <v>226</v>
      </c>
      <c r="V126" s="432"/>
      <c r="W126" s="433" t="str">
        <f>IF(C126&lt;&gt;"","0",IF(D126&lt;&gt;"","1",IF(E126&lt;&gt;"","2",IF(F126&lt;&gt;"","3",IF(G126&lt;&gt;"","4",IF(H126&lt;&gt;"","5"))))))</f>
        <v>3</v>
      </c>
      <c r="X126" s="434" t="s">
        <v>269</v>
      </c>
      <c r="Y126" s="434">
        <v>1</v>
      </c>
      <c r="Z126" s="434">
        <v>1</v>
      </c>
      <c r="AA126" s="435">
        <v>9</v>
      </c>
      <c r="AB126" s="237" t="s">
        <v>226</v>
      </c>
      <c r="AC126" s="436"/>
      <c r="AD126" s="454"/>
      <c r="AE126" s="455"/>
      <c r="AF126" s="456" t="str">
        <f t="shared" si="45"/>
        <v xml:space="preserve"> </v>
      </c>
      <c r="AG126" s="457" t="str">
        <f t="shared" si="41"/>
        <v>-</v>
      </c>
      <c r="AH126" s="455"/>
      <c r="AI126" s="458" t="s">
        <v>532</v>
      </c>
      <c r="AJ126" s="454"/>
      <c r="AK126" s="455"/>
      <c r="AL126" s="456" t="str">
        <f t="shared" si="46"/>
        <v xml:space="preserve"> </v>
      </c>
      <c r="AM126" s="457" t="str">
        <f t="shared" si="42"/>
        <v>-</v>
      </c>
      <c r="AN126" s="455"/>
      <c r="AO126" s="458" t="s">
        <v>532</v>
      </c>
      <c r="AP126" s="454"/>
      <c r="AQ126" s="455"/>
      <c r="AR126" s="456" t="str">
        <f t="shared" si="47"/>
        <v xml:space="preserve"> </v>
      </c>
      <c r="AS126" s="457" t="s">
        <v>532</v>
      </c>
      <c r="AT126" s="465"/>
      <c r="AU126" s="458" t="s">
        <v>532</v>
      </c>
      <c r="AV126" s="454"/>
      <c r="AW126" s="455"/>
      <c r="AX126" s="456" t="str">
        <f t="shared" si="48"/>
        <v xml:space="preserve"> </v>
      </c>
      <c r="AY126" s="457" t="str">
        <f t="shared" si="43"/>
        <v>-</v>
      </c>
      <c r="AZ126" s="455"/>
      <c r="BA126" s="458" t="s">
        <v>532</v>
      </c>
      <c r="BB126" s="211"/>
      <c r="BC126" s="422"/>
      <c r="BD126" s="212" t="str">
        <f t="shared" si="49"/>
        <v xml:space="preserve"> </v>
      </c>
      <c r="BE126" s="226" t="str">
        <f t="shared" si="44"/>
        <v>-</v>
      </c>
      <c r="BF126" s="352"/>
      <c r="BG126" s="403" t="s">
        <v>215</v>
      </c>
      <c r="BH126" s="211"/>
      <c r="BI126" s="422"/>
      <c r="BJ126" s="212" t="str">
        <f t="shared" si="50"/>
        <v xml:space="preserve"> </v>
      </c>
      <c r="BK126" s="226" t="s">
        <v>215</v>
      </c>
      <c r="BL126" s="470"/>
      <c r="BM126" s="403" t="s">
        <v>215</v>
      </c>
    </row>
    <row r="127" spans="1:65" s="26" customFormat="1" ht="18.75" customHeight="1" thickTop="1">
      <c r="B127" s="2">
        <f t="shared" si="51"/>
        <v>120</v>
      </c>
      <c r="C127" s="7"/>
      <c r="D127" s="7"/>
      <c r="E127" s="100" t="s">
        <v>482</v>
      </c>
      <c r="F127" s="410"/>
      <c r="G127" s="410"/>
      <c r="H127" s="61"/>
      <c r="I127" s="8" t="s">
        <v>29</v>
      </c>
      <c r="J127" s="8" t="s">
        <v>446</v>
      </c>
      <c r="K127" s="8"/>
      <c r="L127" s="8"/>
      <c r="M127" s="1" t="s">
        <v>272</v>
      </c>
      <c r="N127" s="9"/>
      <c r="O127" s="423"/>
      <c r="P127" s="93"/>
      <c r="Q127" s="113"/>
      <c r="R127" s="21"/>
      <c r="S127" s="424"/>
      <c r="T127" s="9"/>
      <c r="U127" s="21"/>
      <c r="V127" s="98"/>
      <c r="W127" s="25" t="str">
        <f>IF(C127&lt;&gt;"","0",IF(D127&lt;&gt;"","1",IF(E127&lt;&gt;"","2",IF(F127&lt;&gt;"","3",IF(G127&lt;&gt;"","4",IF(H127&lt;&gt;"","5"))))))</f>
        <v>2</v>
      </c>
      <c r="X127" s="1" t="s">
        <v>117</v>
      </c>
      <c r="Y127" s="1"/>
      <c r="Z127" s="1"/>
      <c r="AA127" s="8"/>
      <c r="AB127" s="8" t="s">
        <v>480</v>
      </c>
      <c r="AC127" s="62"/>
      <c r="AD127" s="444"/>
      <c r="AE127" s="440"/>
      <c r="AF127" s="440" t="str">
        <f t="shared" si="45"/>
        <v/>
      </c>
      <c r="AG127" s="442" t="str">
        <f t="shared" si="41"/>
        <v>-</v>
      </c>
      <c r="AH127" s="440"/>
      <c r="AI127" s="448" t="s">
        <v>532</v>
      </c>
      <c r="AJ127" s="444"/>
      <c r="AK127" s="440"/>
      <c r="AL127" s="440" t="str">
        <f t="shared" si="46"/>
        <v/>
      </c>
      <c r="AM127" s="442" t="str">
        <f t="shared" si="42"/>
        <v>-</v>
      </c>
      <c r="AN127" s="440"/>
      <c r="AO127" s="448" t="s">
        <v>532</v>
      </c>
      <c r="AP127" s="444"/>
      <c r="AQ127" s="440"/>
      <c r="AR127" s="440" t="str">
        <f t="shared" si="47"/>
        <v/>
      </c>
      <c r="AS127" s="442" t="s">
        <v>532</v>
      </c>
      <c r="AT127" s="462"/>
      <c r="AU127" s="448" t="s">
        <v>532</v>
      </c>
      <c r="AV127" s="444"/>
      <c r="AW127" s="440"/>
      <c r="AX127" s="440" t="str">
        <f t="shared" si="48"/>
        <v/>
      </c>
      <c r="AY127" s="442" t="str">
        <f t="shared" si="43"/>
        <v>-</v>
      </c>
      <c r="AZ127" s="440"/>
      <c r="BA127" s="448" t="s">
        <v>532</v>
      </c>
      <c r="BB127" s="59"/>
      <c r="BC127" s="60"/>
      <c r="BD127" s="60" t="str">
        <f t="shared" si="49"/>
        <v/>
      </c>
      <c r="BE127" s="213" t="str">
        <f t="shared" si="44"/>
        <v>-</v>
      </c>
      <c r="BF127" s="167"/>
      <c r="BG127" s="405" t="s">
        <v>215</v>
      </c>
      <c r="BH127" s="59"/>
      <c r="BI127" s="60"/>
      <c r="BJ127" s="60" t="str">
        <f t="shared" si="50"/>
        <v/>
      </c>
      <c r="BK127" s="260" t="s">
        <v>215</v>
      </c>
      <c r="BL127" s="167"/>
      <c r="BM127" s="405" t="s">
        <v>215</v>
      </c>
    </row>
    <row r="128" spans="1:65" s="26" customFormat="1" ht="63.75">
      <c r="B128" s="2">
        <f t="shared" si="51"/>
        <v>121</v>
      </c>
      <c r="C128" s="127"/>
      <c r="D128" s="7"/>
      <c r="E128" s="7"/>
      <c r="F128" s="110" t="s">
        <v>87</v>
      </c>
      <c r="G128" s="16"/>
      <c r="H128" s="13"/>
      <c r="I128" s="6"/>
      <c r="J128" s="6"/>
      <c r="K128" s="6"/>
      <c r="L128" s="8"/>
      <c r="M128" s="23" t="s">
        <v>248</v>
      </c>
      <c r="N128" s="1"/>
      <c r="O128" s="56"/>
      <c r="P128" s="93">
        <f>P126+1</f>
        <v>101</v>
      </c>
      <c r="Q128" s="115">
        <v>2</v>
      </c>
      <c r="R128" s="21" t="str">
        <f>IF(AA128="M","NX",AA128)</f>
        <v>X</v>
      </c>
      <c r="S128" s="96" t="s">
        <v>483</v>
      </c>
      <c r="T128" s="94"/>
      <c r="U128" s="21" t="s">
        <v>480</v>
      </c>
      <c r="V128" s="116" t="s">
        <v>189</v>
      </c>
      <c r="W128" s="25" t="str">
        <f>IF(C128&lt;&gt;"","0",IF(D128&lt;&gt;"","1",IF(E128&lt;&gt;"","2",IF(F128&lt;&gt;"","3",IF(G128&lt;&gt;"","4",IF(H128&lt;&gt;"","5"))))))</f>
        <v>3</v>
      </c>
      <c r="X128" s="5" t="s">
        <v>484</v>
      </c>
      <c r="Y128" s="57">
        <v>2</v>
      </c>
      <c r="Z128" s="57">
        <v>2</v>
      </c>
      <c r="AA128" s="58" t="s">
        <v>109</v>
      </c>
      <c r="AB128" s="58" t="s">
        <v>19</v>
      </c>
      <c r="AC128" s="12"/>
      <c r="AD128" s="444"/>
      <c r="AE128" s="445"/>
      <c r="AF128" s="446" t="str">
        <f t="shared" si="45"/>
        <v xml:space="preserve">  </v>
      </c>
      <c r="AG128" s="442" t="str">
        <f t="shared" si="41"/>
        <v>-</v>
      </c>
      <c r="AH128" s="445"/>
      <c r="AI128" s="447" t="s">
        <v>532</v>
      </c>
      <c r="AJ128" s="444"/>
      <c r="AK128" s="445"/>
      <c r="AL128" s="446" t="str">
        <f t="shared" si="46"/>
        <v xml:space="preserve">  </v>
      </c>
      <c r="AM128" s="442" t="str">
        <f t="shared" si="42"/>
        <v>-</v>
      </c>
      <c r="AN128" s="445"/>
      <c r="AO128" s="447" t="s">
        <v>532</v>
      </c>
      <c r="AP128" s="444"/>
      <c r="AQ128" s="445"/>
      <c r="AR128" s="446" t="str">
        <f t="shared" si="47"/>
        <v xml:space="preserve">  </v>
      </c>
      <c r="AS128" s="447" t="s">
        <v>532</v>
      </c>
      <c r="AT128" s="463"/>
      <c r="AU128" s="447" t="s">
        <v>532</v>
      </c>
      <c r="AV128" s="444"/>
      <c r="AW128" s="445"/>
      <c r="AX128" s="446" t="str">
        <f t="shared" si="48"/>
        <v xml:space="preserve">  </v>
      </c>
      <c r="AY128" s="442" t="str">
        <f t="shared" si="43"/>
        <v>-</v>
      </c>
      <c r="AZ128" s="445"/>
      <c r="BA128" s="447" t="s">
        <v>532</v>
      </c>
      <c r="BB128" s="59"/>
      <c r="BC128" s="223"/>
      <c r="BD128" s="254" t="str">
        <f t="shared" si="49"/>
        <v xml:space="preserve">  </v>
      </c>
      <c r="BE128" s="213" t="str">
        <f t="shared" si="44"/>
        <v>-</v>
      </c>
      <c r="BF128" s="172"/>
      <c r="BG128" s="225" t="s">
        <v>215</v>
      </c>
      <c r="BH128" s="59"/>
      <c r="BI128" s="223"/>
      <c r="BJ128" s="254" t="str">
        <f t="shared" si="50"/>
        <v xml:space="preserve">  </v>
      </c>
      <c r="BK128" s="213" t="s">
        <v>215</v>
      </c>
      <c r="BL128" s="172"/>
      <c r="BM128" s="225" t="s">
        <v>215</v>
      </c>
    </row>
    <row r="129" spans="2:65" s="26" customFormat="1" ht="344.25">
      <c r="B129" s="2">
        <f t="shared" si="51"/>
        <v>122</v>
      </c>
      <c r="C129" s="7"/>
      <c r="D129" s="7"/>
      <c r="E129" s="7"/>
      <c r="F129" s="110" t="s">
        <v>304</v>
      </c>
      <c r="G129" s="16"/>
      <c r="H129" s="13"/>
      <c r="I129" s="8"/>
      <c r="J129" s="8" t="s">
        <v>231</v>
      </c>
      <c r="K129" s="8"/>
      <c r="L129" s="8"/>
      <c r="M129" s="355" t="s">
        <v>478</v>
      </c>
      <c r="N129" s="11"/>
      <c r="O129" s="56"/>
      <c r="P129" s="93">
        <f>P128+1</f>
        <v>102</v>
      </c>
      <c r="Q129" s="113">
        <v>2</v>
      </c>
      <c r="R129" s="21" t="str">
        <f t="shared" ref="R129:R153" si="54">IF(AA129="M","NX",AA129)</f>
        <v>X</v>
      </c>
      <c r="S129" s="96" t="s">
        <v>310</v>
      </c>
      <c r="T129" s="94"/>
      <c r="U129" s="21" t="s">
        <v>226</v>
      </c>
      <c r="V129" s="10"/>
      <c r="W129" s="25">
        <v>3</v>
      </c>
      <c r="X129" s="1" t="s">
        <v>243</v>
      </c>
      <c r="Y129" s="1">
        <v>2</v>
      </c>
      <c r="Z129" s="1">
        <v>2</v>
      </c>
      <c r="AA129" s="8" t="s">
        <v>109</v>
      </c>
      <c r="AB129" s="8" t="s">
        <v>19</v>
      </c>
      <c r="AC129" s="12"/>
      <c r="AD129" s="444"/>
      <c r="AE129" s="445"/>
      <c r="AF129" s="446" t="str">
        <f t="shared" si="45"/>
        <v xml:space="preserve">  </v>
      </c>
      <c r="AG129" s="442" t="str">
        <f t="shared" si="41"/>
        <v>-</v>
      </c>
      <c r="AH129" s="445"/>
      <c r="AI129" s="448" t="s">
        <v>532</v>
      </c>
      <c r="AJ129" s="444"/>
      <c r="AK129" s="445"/>
      <c r="AL129" s="446" t="str">
        <f t="shared" si="46"/>
        <v xml:space="preserve">  </v>
      </c>
      <c r="AM129" s="442" t="str">
        <f t="shared" si="42"/>
        <v>-</v>
      </c>
      <c r="AN129" s="445"/>
      <c r="AO129" s="448" t="s">
        <v>532</v>
      </c>
      <c r="AP129" s="444"/>
      <c r="AQ129" s="445"/>
      <c r="AR129" s="446" t="str">
        <f t="shared" si="47"/>
        <v xml:space="preserve">  </v>
      </c>
      <c r="AS129" s="442" t="s">
        <v>532</v>
      </c>
      <c r="AT129" s="463"/>
      <c r="AU129" s="448" t="s">
        <v>532</v>
      </c>
      <c r="AV129" s="444"/>
      <c r="AW129" s="445"/>
      <c r="AX129" s="446" t="str">
        <f t="shared" si="48"/>
        <v xml:space="preserve">  </v>
      </c>
      <c r="AY129" s="442" t="str">
        <f t="shared" si="43"/>
        <v>-</v>
      </c>
      <c r="AZ129" s="445"/>
      <c r="BA129" s="448" t="s">
        <v>532</v>
      </c>
      <c r="BB129" s="59"/>
      <c r="BC129" s="223"/>
      <c r="BD129" s="254" t="str">
        <f t="shared" si="49"/>
        <v>A2</v>
      </c>
      <c r="BE129" s="213" t="str">
        <f t="shared" si="44"/>
        <v>-</v>
      </c>
      <c r="BF129" s="172" t="s">
        <v>186</v>
      </c>
      <c r="BG129" s="405" t="str">
        <f>IF(OR(BC$8="判定対象外",BF$8="判定対象外",BF129="-"),"-",IF(BC129=BF129,"OK","NG"))</f>
        <v>NG</v>
      </c>
      <c r="BH129" s="59"/>
      <c r="BI129" s="223"/>
      <c r="BJ129" s="254" t="str">
        <f t="shared" si="50"/>
        <v>B1</v>
      </c>
      <c r="BK129" s="213" t="str">
        <f>IF(OR(BI$8="判定対象外",BJ$8="判定対象外",BJ129="-"),"-",IF(BI129=BJ129,"OK","NG"))</f>
        <v>NG</v>
      </c>
      <c r="BL129" s="172" t="s">
        <v>112</v>
      </c>
      <c r="BM129" s="405" t="str">
        <f>IF(OR(BI$8="判定対象外",BL$8="判定対象外",BL129="-"),"-",IF(BI129=BL129,"OK","NG"))</f>
        <v>NG</v>
      </c>
    </row>
    <row r="130" spans="2:65" s="26" customFormat="1">
      <c r="B130" s="2">
        <f t="shared" si="51"/>
        <v>123</v>
      </c>
      <c r="C130" s="7"/>
      <c r="D130" s="7"/>
      <c r="E130" s="7"/>
      <c r="F130" s="22" t="s">
        <v>273</v>
      </c>
      <c r="G130" s="16"/>
      <c r="H130" s="13"/>
      <c r="I130" s="8"/>
      <c r="J130" s="8"/>
      <c r="K130" s="8"/>
      <c r="L130" s="8"/>
      <c r="M130" s="358" t="s">
        <v>205</v>
      </c>
      <c r="N130" s="11"/>
      <c r="O130" s="56"/>
      <c r="P130" s="93">
        <f t="shared" ref="P130:P151" si="55">P129+1</f>
        <v>103</v>
      </c>
      <c r="Q130" s="113">
        <v>2</v>
      </c>
      <c r="R130" s="21" t="str">
        <f t="shared" si="54"/>
        <v>X</v>
      </c>
      <c r="S130" s="96" t="s">
        <v>118</v>
      </c>
      <c r="T130" s="94"/>
      <c r="U130" s="21" t="s">
        <v>226</v>
      </c>
      <c r="V130" s="10"/>
      <c r="W130" s="25">
        <v>3</v>
      </c>
      <c r="X130" s="1" t="s">
        <v>119</v>
      </c>
      <c r="Y130" s="1">
        <v>2</v>
      </c>
      <c r="Z130" s="1">
        <v>2</v>
      </c>
      <c r="AA130" s="8" t="s">
        <v>109</v>
      </c>
      <c r="AB130" s="8" t="s">
        <v>19</v>
      </c>
      <c r="AC130" s="12"/>
      <c r="AD130" s="444"/>
      <c r="AE130" s="440"/>
      <c r="AF130" s="440" t="str">
        <f t="shared" si="45"/>
        <v xml:space="preserve">  </v>
      </c>
      <c r="AG130" s="442" t="str">
        <f t="shared" si="41"/>
        <v>-</v>
      </c>
      <c r="AH130" s="440"/>
      <c r="AI130" s="447" t="s">
        <v>532</v>
      </c>
      <c r="AJ130" s="444"/>
      <c r="AK130" s="440"/>
      <c r="AL130" s="440" t="str">
        <f t="shared" si="46"/>
        <v xml:space="preserve">  </v>
      </c>
      <c r="AM130" s="442" t="str">
        <f t="shared" si="42"/>
        <v>-</v>
      </c>
      <c r="AN130" s="440"/>
      <c r="AO130" s="447" t="s">
        <v>532</v>
      </c>
      <c r="AP130" s="444"/>
      <c r="AQ130" s="440"/>
      <c r="AR130" s="440" t="str">
        <f t="shared" si="47"/>
        <v xml:space="preserve">  </v>
      </c>
      <c r="AS130" s="447" t="s">
        <v>532</v>
      </c>
      <c r="AT130" s="462"/>
      <c r="AU130" s="447" t="s">
        <v>532</v>
      </c>
      <c r="AV130" s="444"/>
      <c r="AW130" s="440"/>
      <c r="AX130" s="440" t="str">
        <f t="shared" si="48"/>
        <v xml:space="preserve">  </v>
      </c>
      <c r="AY130" s="442" t="str">
        <f t="shared" si="43"/>
        <v>-</v>
      </c>
      <c r="AZ130" s="440"/>
      <c r="BA130" s="447" t="s">
        <v>532</v>
      </c>
      <c r="BB130" s="59"/>
      <c r="BC130" s="60"/>
      <c r="BD130" s="60" t="str">
        <f t="shared" si="49"/>
        <v xml:space="preserve">  </v>
      </c>
      <c r="BE130" s="213" t="str">
        <f t="shared" si="44"/>
        <v>-</v>
      </c>
      <c r="BF130" s="167"/>
      <c r="BG130" s="225" t="s">
        <v>215</v>
      </c>
      <c r="BH130" s="59"/>
      <c r="BI130" s="60"/>
      <c r="BJ130" s="60" t="str">
        <f t="shared" si="50"/>
        <v xml:space="preserve">  </v>
      </c>
      <c r="BK130" s="213" t="s">
        <v>215</v>
      </c>
      <c r="BL130" s="167"/>
      <c r="BM130" s="225" t="s">
        <v>215</v>
      </c>
    </row>
    <row r="131" spans="2:65" s="26" customFormat="1">
      <c r="B131" s="2">
        <f t="shared" si="51"/>
        <v>124</v>
      </c>
      <c r="C131" s="7"/>
      <c r="D131" s="7"/>
      <c r="E131" s="7"/>
      <c r="F131" s="22" t="s">
        <v>120</v>
      </c>
      <c r="G131" s="16"/>
      <c r="H131" s="13"/>
      <c r="I131" s="8"/>
      <c r="J131" s="8" t="s">
        <v>231</v>
      </c>
      <c r="K131" s="8"/>
      <c r="L131" s="8"/>
      <c r="M131" s="1" t="s">
        <v>121</v>
      </c>
      <c r="N131" s="1"/>
      <c r="O131" s="56"/>
      <c r="P131" s="93">
        <f t="shared" si="55"/>
        <v>104</v>
      </c>
      <c r="Q131" s="113">
        <v>255</v>
      </c>
      <c r="R131" s="21" t="str">
        <f t="shared" si="54"/>
        <v>NX</v>
      </c>
      <c r="S131" s="96" t="s">
        <v>122</v>
      </c>
      <c r="T131" s="94"/>
      <c r="U131" s="21" t="s">
        <v>226</v>
      </c>
      <c r="V131" s="10"/>
      <c r="W131" s="25">
        <v>3</v>
      </c>
      <c r="X131" s="1" t="s">
        <v>250</v>
      </c>
      <c r="Y131" s="1">
        <v>1</v>
      </c>
      <c r="Z131" s="1">
        <v>255</v>
      </c>
      <c r="AA131" s="8" t="s">
        <v>123</v>
      </c>
      <c r="AB131" s="8" t="s">
        <v>19</v>
      </c>
      <c r="AC131" s="12"/>
      <c r="AD131" s="444"/>
      <c r="AE131" s="445"/>
      <c r="AF131" s="445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31" s="442" t="str">
        <f t="shared" si="41"/>
        <v>-</v>
      </c>
      <c r="AH131" s="445"/>
      <c r="AI131" s="447" t="s">
        <v>532</v>
      </c>
      <c r="AJ131" s="444"/>
      <c r="AK131" s="445"/>
      <c r="AL131" s="445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31" s="442" t="str">
        <f t="shared" si="42"/>
        <v>-</v>
      </c>
      <c r="AN131" s="445"/>
      <c r="AO131" s="447" t="s">
        <v>532</v>
      </c>
      <c r="AP131" s="444"/>
      <c r="AQ131" s="445"/>
      <c r="AR131" s="445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31" s="447" t="s">
        <v>532</v>
      </c>
      <c r="AT131" s="463"/>
      <c r="AU131" s="447" t="s">
        <v>532</v>
      </c>
      <c r="AV131" s="444"/>
      <c r="AW131" s="445"/>
      <c r="AX131" s="445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31" s="442" t="str">
        <f t="shared" si="43"/>
        <v>-</v>
      </c>
      <c r="AZ131" s="445"/>
      <c r="BA131" s="447" t="s">
        <v>532</v>
      </c>
      <c r="BB131" s="59"/>
      <c r="BC131" s="223"/>
      <c r="BD131" s="223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31" s="213" t="str">
        <f t="shared" si="44"/>
        <v>-</v>
      </c>
      <c r="BF131" s="172"/>
      <c r="BG131" s="225" t="s">
        <v>215</v>
      </c>
      <c r="BH131" s="59"/>
      <c r="BI131" s="223"/>
      <c r="BJ131" s="223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31" s="213" t="s">
        <v>215</v>
      </c>
      <c r="BL131" s="172"/>
      <c r="BM131" s="225" t="s">
        <v>215</v>
      </c>
    </row>
    <row r="132" spans="2:65" s="26" customFormat="1">
      <c r="B132" s="19">
        <f t="shared" si="51"/>
        <v>125</v>
      </c>
      <c r="C132" s="7"/>
      <c r="D132" s="7"/>
      <c r="E132" s="7"/>
      <c r="F132" s="3" t="s">
        <v>124</v>
      </c>
      <c r="G132" s="3"/>
      <c r="H132" s="4"/>
      <c r="I132" s="6"/>
      <c r="J132" s="6"/>
      <c r="K132" s="6"/>
      <c r="L132" s="6"/>
      <c r="M132" s="23" t="s">
        <v>125</v>
      </c>
      <c r="N132" s="5"/>
      <c r="O132" s="54"/>
      <c r="P132" s="93">
        <f t="shared" si="55"/>
        <v>105</v>
      </c>
      <c r="Q132" s="114">
        <v>256</v>
      </c>
      <c r="R132" s="21" t="str">
        <f t="shared" si="54"/>
        <v>NX</v>
      </c>
      <c r="S132" s="96" t="s">
        <v>126</v>
      </c>
      <c r="T132" s="94"/>
      <c r="U132" s="21" t="s">
        <v>226</v>
      </c>
      <c r="V132" s="10"/>
      <c r="W132" s="28">
        <v>3</v>
      </c>
      <c r="X132" s="5" t="s">
        <v>251</v>
      </c>
      <c r="Y132" s="5">
        <v>1</v>
      </c>
      <c r="Z132" s="5">
        <v>256</v>
      </c>
      <c r="AA132" s="6" t="s">
        <v>252</v>
      </c>
      <c r="AB132" s="6" t="s">
        <v>226</v>
      </c>
      <c r="AC132" s="63"/>
      <c r="AD132" s="444"/>
      <c r="AE132" s="440"/>
      <c r="AF132" s="440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32" s="442" t="str">
        <f t="shared" si="41"/>
        <v>-</v>
      </c>
      <c r="AH132" s="440"/>
      <c r="AI132" s="447" t="s">
        <v>532</v>
      </c>
      <c r="AJ132" s="444"/>
      <c r="AK132" s="440"/>
      <c r="AL132" s="440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32" s="442" t="str">
        <f t="shared" si="42"/>
        <v>-</v>
      </c>
      <c r="AN132" s="440"/>
      <c r="AO132" s="447" t="s">
        <v>532</v>
      </c>
      <c r="AP132" s="444"/>
      <c r="AQ132" s="440"/>
      <c r="AR132" s="440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32" s="447" t="s">
        <v>532</v>
      </c>
      <c r="AT132" s="462"/>
      <c r="AU132" s="447" t="s">
        <v>532</v>
      </c>
      <c r="AV132" s="444"/>
      <c r="AW132" s="440"/>
      <c r="AX132" s="440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32" s="442" t="str">
        <f t="shared" si="43"/>
        <v>-</v>
      </c>
      <c r="AZ132" s="440"/>
      <c r="BA132" s="447" t="s">
        <v>532</v>
      </c>
      <c r="BB132" s="59"/>
      <c r="BC132" s="60"/>
      <c r="BD132" s="60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32" s="213" t="str">
        <f t="shared" si="44"/>
        <v>-</v>
      </c>
      <c r="BF132" s="167"/>
      <c r="BG132" s="225" t="s">
        <v>215</v>
      </c>
      <c r="BH132" s="59"/>
      <c r="BI132" s="60"/>
      <c r="BJ132" s="60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32" s="213" t="s">
        <v>215</v>
      </c>
      <c r="BL132" s="167"/>
      <c r="BM132" s="225" t="s">
        <v>215</v>
      </c>
    </row>
    <row r="133" spans="2:65" s="26" customFormat="1" ht="63.75">
      <c r="B133" s="2">
        <f t="shared" si="51"/>
        <v>126</v>
      </c>
      <c r="C133" s="7"/>
      <c r="D133" s="7"/>
      <c r="E133" s="7"/>
      <c r="F133" s="22" t="s">
        <v>127</v>
      </c>
      <c r="G133" s="16"/>
      <c r="H133" s="13"/>
      <c r="I133" s="8"/>
      <c r="J133" s="8"/>
      <c r="K133" s="8"/>
      <c r="L133" s="8"/>
      <c r="M133" s="11" t="s">
        <v>311</v>
      </c>
      <c r="N133" s="1"/>
      <c r="O133" s="56"/>
      <c r="P133" s="93">
        <f t="shared" si="55"/>
        <v>106</v>
      </c>
      <c r="Q133" s="113">
        <v>256</v>
      </c>
      <c r="R133" s="21" t="str">
        <f t="shared" si="54"/>
        <v>NX</v>
      </c>
      <c r="S133" s="96" t="s">
        <v>128</v>
      </c>
      <c r="T133" s="94"/>
      <c r="U133" s="21" t="s">
        <v>226</v>
      </c>
      <c r="V133" s="10"/>
      <c r="W133" s="25">
        <v>3</v>
      </c>
      <c r="X133" s="1" t="s">
        <v>129</v>
      </c>
      <c r="Y133" s="1">
        <v>1</v>
      </c>
      <c r="Z133" s="1">
        <v>256</v>
      </c>
      <c r="AA133" s="8" t="s">
        <v>123</v>
      </c>
      <c r="AB133" s="8" t="s">
        <v>226</v>
      </c>
      <c r="AC133" s="12"/>
      <c r="AD133" s="444"/>
      <c r="AE133" s="445"/>
      <c r="AF133" s="446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33" s="442" t="str">
        <f t="shared" si="41"/>
        <v>-</v>
      </c>
      <c r="AH133" s="445"/>
      <c r="AI133" s="447" t="s">
        <v>532</v>
      </c>
      <c r="AJ133" s="444"/>
      <c r="AK133" s="445"/>
      <c r="AL133" s="446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33" s="442" t="str">
        <f t="shared" si="42"/>
        <v>-</v>
      </c>
      <c r="AN133" s="445"/>
      <c r="AO133" s="447" t="s">
        <v>532</v>
      </c>
      <c r="AP133" s="444"/>
      <c r="AQ133" s="445"/>
      <c r="AR133" s="446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33" s="447" t="s">
        <v>532</v>
      </c>
      <c r="AT133" s="463"/>
      <c r="AU133" s="447" t="s">
        <v>532</v>
      </c>
      <c r="AV133" s="444"/>
      <c r="AW133" s="445"/>
      <c r="AX133" s="446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33" s="442" t="str">
        <f t="shared" si="43"/>
        <v>-</v>
      </c>
      <c r="AZ133" s="445"/>
      <c r="BA133" s="447" t="s">
        <v>532</v>
      </c>
      <c r="BB133" s="59"/>
      <c r="BC133" s="223"/>
      <c r="BD133" s="254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33" s="213" t="str">
        <f t="shared" si="44"/>
        <v>-</v>
      </c>
      <c r="BF133" s="172"/>
      <c r="BG133" s="225" t="s">
        <v>215</v>
      </c>
      <c r="BH133" s="59"/>
      <c r="BI133" s="223"/>
      <c r="BJ133" s="254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33" s="213" t="s">
        <v>215</v>
      </c>
      <c r="BL133" s="172"/>
      <c r="BM133" s="225" t="s">
        <v>215</v>
      </c>
    </row>
    <row r="134" spans="2:65" s="26" customFormat="1" ht="63.75">
      <c r="B134" s="2">
        <f t="shared" si="51"/>
        <v>127</v>
      </c>
      <c r="C134" s="7"/>
      <c r="D134" s="7"/>
      <c r="E134" s="7"/>
      <c r="F134" s="22" t="s">
        <v>130</v>
      </c>
      <c r="G134" s="16"/>
      <c r="H134" s="13"/>
      <c r="I134" s="8"/>
      <c r="J134" s="8"/>
      <c r="K134" s="8"/>
      <c r="L134" s="8"/>
      <c r="M134" s="11" t="s">
        <v>312</v>
      </c>
      <c r="N134" s="1"/>
      <c r="O134" s="56"/>
      <c r="P134" s="93">
        <f t="shared" si="55"/>
        <v>107</v>
      </c>
      <c r="Q134" s="113">
        <v>256</v>
      </c>
      <c r="R134" s="21" t="str">
        <f t="shared" si="54"/>
        <v>NX</v>
      </c>
      <c r="S134" s="96" t="s">
        <v>131</v>
      </c>
      <c r="T134" s="94"/>
      <c r="U134" s="21" t="s">
        <v>226</v>
      </c>
      <c r="V134" s="10"/>
      <c r="W134" s="25">
        <v>3</v>
      </c>
      <c r="X134" s="1" t="s">
        <v>132</v>
      </c>
      <c r="Y134" s="1">
        <v>1</v>
      </c>
      <c r="Z134" s="1">
        <v>256</v>
      </c>
      <c r="AA134" s="8" t="s">
        <v>123</v>
      </c>
      <c r="AB134" s="8" t="s">
        <v>226</v>
      </c>
      <c r="AC134" s="12"/>
      <c r="AD134" s="444"/>
      <c r="AE134" s="445"/>
      <c r="AF134" s="446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34" s="442" t="str">
        <f t="shared" si="41"/>
        <v>-</v>
      </c>
      <c r="AH134" s="445"/>
      <c r="AI134" s="447" t="s">
        <v>532</v>
      </c>
      <c r="AJ134" s="444"/>
      <c r="AK134" s="445"/>
      <c r="AL134" s="446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34" s="442" t="str">
        <f t="shared" si="42"/>
        <v>-</v>
      </c>
      <c r="AN134" s="445"/>
      <c r="AO134" s="447" t="s">
        <v>532</v>
      </c>
      <c r="AP134" s="444"/>
      <c r="AQ134" s="445"/>
      <c r="AR134" s="446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34" s="447" t="s">
        <v>532</v>
      </c>
      <c r="AT134" s="463"/>
      <c r="AU134" s="447" t="s">
        <v>532</v>
      </c>
      <c r="AV134" s="444"/>
      <c r="AW134" s="445"/>
      <c r="AX134" s="446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34" s="442" t="str">
        <f t="shared" si="43"/>
        <v>-</v>
      </c>
      <c r="AZ134" s="445"/>
      <c r="BA134" s="447" t="s">
        <v>532</v>
      </c>
      <c r="BB134" s="59"/>
      <c r="BC134" s="223"/>
      <c r="BD134" s="254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34" s="213" t="str">
        <f t="shared" si="44"/>
        <v>-</v>
      </c>
      <c r="BF134" s="172"/>
      <c r="BG134" s="225" t="s">
        <v>215</v>
      </c>
      <c r="BH134" s="59"/>
      <c r="BI134" s="223"/>
      <c r="BJ134" s="254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34" s="213" t="s">
        <v>215</v>
      </c>
      <c r="BL134" s="172"/>
      <c r="BM134" s="225" t="s">
        <v>215</v>
      </c>
    </row>
    <row r="135" spans="2:65" s="26" customFormat="1" ht="69" customHeight="1">
      <c r="B135" s="19">
        <f t="shared" si="51"/>
        <v>128</v>
      </c>
      <c r="C135" s="7"/>
      <c r="D135" s="7"/>
      <c r="E135" s="7"/>
      <c r="F135" s="110" t="s">
        <v>313</v>
      </c>
      <c r="G135" s="16"/>
      <c r="H135" s="13"/>
      <c r="I135" s="8"/>
      <c r="J135" s="8" t="s">
        <v>231</v>
      </c>
      <c r="K135" s="8"/>
      <c r="L135" s="8"/>
      <c r="M135" s="11" t="s">
        <v>253</v>
      </c>
      <c r="N135" s="1"/>
      <c r="O135" s="56"/>
      <c r="P135" s="93">
        <f t="shared" si="55"/>
        <v>108</v>
      </c>
      <c r="Q135" s="113">
        <v>1</v>
      </c>
      <c r="R135" s="21" t="s">
        <v>229</v>
      </c>
      <c r="S135" s="96" t="s">
        <v>133</v>
      </c>
      <c r="T135" s="94"/>
      <c r="U135" s="21" t="s">
        <v>226</v>
      </c>
      <c r="V135" s="10"/>
      <c r="W135" s="25">
        <v>3</v>
      </c>
      <c r="X135" s="1" t="s">
        <v>134</v>
      </c>
      <c r="Y135" s="1">
        <v>1</v>
      </c>
      <c r="Z135" s="1">
        <v>1</v>
      </c>
      <c r="AA135" s="8">
        <v>9</v>
      </c>
      <c r="AB135" s="8" t="s">
        <v>19</v>
      </c>
      <c r="AC135" s="12"/>
      <c r="AD135" s="444"/>
      <c r="AE135" s="445"/>
      <c r="AF135" s="440" t="str">
        <f t="shared" si="45"/>
        <v xml:space="preserve"> </v>
      </c>
      <c r="AG135" s="442" t="str">
        <f t="shared" si="41"/>
        <v>-</v>
      </c>
      <c r="AH135" s="445"/>
      <c r="AI135" s="447" t="s">
        <v>532</v>
      </c>
      <c r="AJ135" s="444"/>
      <c r="AK135" s="445"/>
      <c r="AL135" s="440" t="str">
        <f t="shared" si="46"/>
        <v xml:space="preserve"> </v>
      </c>
      <c r="AM135" s="442" t="str">
        <f t="shared" si="42"/>
        <v>-</v>
      </c>
      <c r="AN135" s="445"/>
      <c r="AO135" s="447" t="s">
        <v>532</v>
      </c>
      <c r="AP135" s="444"/>
      <c r="AQ135" s="445"/>
      <c r="AR135" s="440" t="str">
        <f t="shared" si="47"/>
        <v xml:space="preserve"> </v>
      </c>
      <c r="AS135" s="447" t="s">
        <v>532</v>
      </c>
      <c r="AT135" s="463"/>
      <c r="AU135" s="447" t="s">
        <v>532</v>
      </c>
      <c r="AV135" s="444"/>
      <c r="AW135" s="445"/>
      <c r="AX135" s="440" t="str">
        <f t="shared" si="48"/>
        <v xml:space="preserve"> </v>
      </c>
      <c r="AY135" s="442" t="str">
        <f t="shared" si="43"/>
        <v>-</v>
      </c>
      <c r="AZ135" s="445"/>
      <c r="BA135" s="447" t="s">
        <v>532</v>
      </c>
      <c r="BB135" s="59"/>
      <c r="BC135" s="223"/>
      <c r="BD135" s="60" t="str">
        <f t="shared" si="49"/>
        <v xml:space="preserve"> </v>
      </c>
      <c r="BE135" s="213" t="str">
        <f t="shared" si="44"/>
        <v>-</v>
      </c>
      <c r="BF135" s="172"/>
      <c r="BG135" s="225" t="s">
        <v>215</v>
      </c>
      <c r="BH135" s="59"/>
      <c r="BI135" s="223"/>
      <c r="BJ135" s="60" t="str">
        <f t="shared" si="50"/>
        <v xml:space="preserve"> </v>
      </c>
      <c r="BK135" s="213" t="s">
        <v>215</v>
      </c>
      <c r="BL135" s="172"/>
      <c r="BM135" s="225" t="s">
        <v>215</v>
      </c>
    </row>
    <row r="136" spans="2:65" s="26" customFormat="1" ht="114.75">
      <c r="B136" s="2">
        <f t="shared" si="51"/>
        <v>129</v>
      </c>
      <c r="C136" s="7"/>
      <c r="D136" s="7"/>
      <c r="E136" s="7"/>
      <c r="F136" s="22" t="s">
        <v>135</v>
      </c>
      <c r="G136" s="16"/>
      <c r="H136" s="13"/>
      <c r="I136" s="8"/>
      <c r="J136" s="8"/>
      <c r="K136" s="8"/>
      <c r="L136" s="8"/>
      <c r="M136" s="359" t="s">
        <v>206</v>
      </c>
      <c r="N136" s="1"/>
      <c r="O136" s="56"/>
      <c r="P136" s="93">
        <f t="shared" si="55"/>
        <v>109</v>
      </c>
      <c r="Q136" s="113">
        <v>1</v>
      </c>
      <c r="R136" s="21" t="s">
        <v>229</v>
      </c>
      <c r="S136" s="96" t="s">
        <v>136</v>
      </c>
      <c r="T136" s="94"/>
      <c r="U136" s="21" t="s">
        <v>226</v>
      </c>
      <c r="V136" s="10"/>
      <c r="W136" s="25">
        <v>3</v>
      </c>
      <c r="X136" s="1" t="s">
        <v>18</v>
      </c>
      <c r="Y136" s="1">
        <v>1</v>
      </c>
      <c r="Z136" s="1">
        <v>1</v>
      </c>
      <c r="AA136" s="8">
        <v>9</v>
      </c>
      <c r="AB136" s="8" t="s">
        <v>19</v>
      </c>
      <c r="AC136" s="101"/>
      <c r="AD136" s="444"/>
      <c r="AE136" s="445"/>
      <c r="AF136" s="440" t="str">
        <f t="shared" si="45"/>
        <v xml:space="preserve"> </v>
      </c>
      <c r="AG136" s="442" t="str">
        <f t="shared" ref="AG136:AG199" si="56">IF(OR(AE$8="判定対象外",AF$8="判定対象外",AF136="-"),"-",IF(AE136=AF136,"OK","NG"))</f>
        <v>-</v>
      </c>
      <c r="AH136" s="445"/>
      <c r="AI136" s="447" t="s">
        <v>532</v>
      </c>
      <c r="AJ136" s="444"/>
      <c r="AK136" s="445"/>
      <c r="AL136" s="440" t="str">
        <f t="shared" si="46"/>
        <v xml:space="preserve"> </v>
      </c>
      <c r="AM136" s="442" t="str">
        <f t="shared" ref="AM136:AM199" si="57">IF(OR(AK$8="判定対象外",AL$8="判定対象外",AL136="-"),"-",IF(AK136=AL136,"OK","NG"))</f>
        <v>-</v>
      </c>
      <c r="AN136" s="445"/>
      <c r="AO136" s="447" t="s">
        <v>532</v>
      </c>
      <c r="AP136" s="444"/>
      <c r="AQ136" s="445"/>
      <c r="AR136" s="440" t="str">
        <f t="shared" si="47"/>
        <v xml:space="preserve"> </v>
      </c>
      <c r="AS136" s="447" t="s">
        <v>532</v>
      </c>
      <c r="AT136" s="463"/>
      <c r="AU136" s="447" t="s">
        <v>532</v>
      </c>
      <c r="AV136" s="444"/>
      <c r="AW136" s="445"/>
      <c r="AX136" s="440" t="str">
        <f t="shared" si="48"/>
        <v xml:space="preserve"> </v>
      </c>
      <c r="AY136" s="442" t="str">
        <f t="shared" ref="AY136:AY199" si="58">IF(OR(AW$8="判定対象外",AX$8="判定対象外",AX136="-"),"-",IF(AW136=AX136,"OK","NG"))</f>
        <v>-</v>
      </c>
      <c r="AZ136" s="445"/>
      <c r="BA136" s="447" t="s">
        <v>532</v>
      </c>
      <c r="BB136" s="59"/>
      <c r="BC136" s="223"/>
      <c r="BD136" s="60" t="str">
        <f t="shared" si="49"/>
        <v xml:space="preserve"> </v>
      </c>
      <c r="BE136" s="213" t="str">
        <f t="shared" ref="BE136:BE199" si="59">IF(OR(BC$8="判定対象外",BD$8="判定対象外",BD136="-"),"-",IF(BC136=BD136,"OK","NG"))</f>
        <v>-</v>
      </c>
      <c r="BF136" s="172"/>
      <c r="BG136" s="225" t="s">
        <v>215</v>
      </c>
      <c r="BH136" s="59"/>
      <c r="BI136" s="223"/>
      <c r="BJ136" s="60" t="str">
        <f t="shared" si="50"/>
        <v xml:space="preserve"> </v>
      </c>
      <c r="BK136" s="213" t="s">
        <v>215</v>
      </c>
      <c r="BL136" s="172"/>
      <c r="BM136" s="225" t="s">
        <v>215</v>
      </c>
    </row>
    <row r="137" spans="2:65" s="26" customFormat="1" ht="138.75" customHeight="1">
      <c r="B137" s="64">
        <f t="shared" si="51"/>
        <v>130</v>
      </c>
      <c r="C137" s="7"/>
      <c r="D137" s="7"/>
      <c r="E137" s="7"/>
      <c r="F137" s="110" t="s">
        <v>137</v>
      </c>
      <c r="G137" s="16"/>
      <c r="H137" s="13"/>
      <c r="I137" s="8"/>
      <c r="J137" s="8"/>
      <c r="K137" s="8"/>
      <c r="L137" s="8"/>
      <c r="M137" s="11" t="s">
        <v>479</v>
      </c>
      <c r="N137" s="1"/>
      <c r="O137" s="56"/>
      <c r="P137" s="93">
        <f t="shared" si="55"/>
        <v>110</v>
      </c>
      <c r="Q137" s="113">
        <v>1</v>
      </c>
      <c r="R137" s="21" t="str">
        <f t="shared" si="54"/>
        <v>X</v>
      </c>
      <c r="S137" s="96" t="s">
        <v>183</v>
      </c>
      <c r="T137" s="94"/>
      <c r="U137" s="21" t="s">
        <v>226</v>
      </c>
      <c r="V137" s="10"/>
      <c r="W137" s="25">
        <v>3</v>
      </c>
      <c r="X137" s="1" t="s">
        <v>254</v>
      </c>
      <c r="Y137" s="1">
        <v>1</v>
      </c>
      <c r="Z137" s="1">
        <v>1</v>
      </c>
      <c r="AA137" s="8" t="s">
        <v>229</v>
      </c>
      <c r="AB137" s="8" t="s">
        <v>226</v>
      </c>
      <c r="AC137" s="12"/>
      <c r="AD137" s="444"/>
      <c r="AE137" s="445"/>
      <c r="AF137" s="440" t="str">
        <f t="shared" si="45"/>
        <v xml:space="preserve"> </v>
      </c>
      <c r="AG137" s="442" t="str">
        <f t="shared" si="56"/>
        <v>-</v>
      </c>
      <c r="AH137" s="445"/>
      <c r="AI137" s="447" t="s">
        <v>532</v>
      </c>
      <c r="AJ137" s="444"/>
      <c r="AK137" s="445"/>
      <c r="AL137" s="440" t="str">
        <f t="shared" si="46"/>
        <v xml:space="preserve"> </v>
      </c>
      <c r="AM137" s="442" t="str">
        <f t="shared" si="57"/>
        <v>-</v>
      </c>
      <c r="AN137" s="445"/>
      <c r="AO137" s="447" t="s">
        <v>532</v>
      </c>
      <c r="AP137" s="444"/>
      <c r="AQ137" s="445"/>
      <c r="AR137" s="440" t="str">
        <f t="shared" si="47"/>
        <v xml:space="preserve"> </v>
      </c>
      <c r="AS137" s="447" t="s">
        <v>532</v>
      </c>
      <c r="AT137" s="463"/>
      <c r="AU137" s="447" t="s">
        <v>532</v>
      </c>
      <c r="AV137" s="444"/>
      <c r="AW137" s="445"/>
      <c r="AX137" s="440" t="str">
        <f t="shared" si="48"/>
        <v xml:space="preserve"> </v>
      </c>
      <c r="AY137" s="442" t="str">
        <f t="shared" si="58"/>
        <v>-</v>
      </c>
      <c r="AZ137" s="445"/>
      <c r="BA137" s="447" t="s">
        <v>532</v>
      </c>
      <c r="BB137" s="59"/>
      <c r="BC137" s="223"/>
      <c r="BD137" s="60" t="str">
        <f t="shared" si="49"/>
        <v xml:space="preserve"> </v>
      </c>
      <c r="BE137" s="213" t="str">
        <f t="shared" si="59"/>
        <v>-</v>
      </c>
      <c r="BF137" s="172"/>
      <c r="BG137" s="225" t="s">
        <v>215</v>
      </c>
      <c r="BH137" s="59"/>
      <c r="BI137" s="223"/>
      <c r="BJ137" s="60" t="str">
        <f t="shared" si="50"/>
        <v xml:space="preserve"> </v>
      </c>
      <c r="BK137" s="213" t="s">
        <v>215</v>
      </c>
      <c r="BL137" s="172"/>
      <c r="BM137" s="225" t="s">
        <v>215</v>
      </c>
    </row>
    <row r="138" spans="2:65" s="26" customFormat="1">
      <c r="B138" s="64">
        <f t="shared" si="51"/>
        <v>131</v>
      </c>
      <c r="C138" s="7"/>
      <c r="D138" s="7"/>
      <c r="E138" s="7"/>
      <c r="F138" s="22" t="s">
        <v>138</v>
      </c>
      <c r="G138" s="16"/>
      <c r="H138" s="13"/>
      <c r="I138" s="8"/>
      <c r="J138" s="8"/>
      <c r="K138" s="8"/>
      <c r="L138" s="8"/>
      <c r="M138" s="359" t="s">
        <v>139</v>
      </c>
      <c r="N138" s="1"/>
      <c r="O138" s="56"/>
      <c r="P138" s="93">
        <f t="shared" si="55"/>
        <v>111</v>
      </c>
      <c r="Q138" s="113">
        <v>400</v>
      </c>
      <c r="R138" s="21" t="str">
        <f t="shared" si="54"/>
        <v>NX</v>
      </c>
      <c r="S138" s="96" t="s">
        <v>140</v>
      </c>
      <c r="T138" s="94"/>
      <c r="U138" s="21" t="s">
        <v>226</v>
      </c>
      <c r="V138" s="10"/>
      <c r="W138" s="25">
        <v>3</v>
      </c>
      <c r="X138" s="1" t="s">
        <v>141</v>
      </c>
      <c r="Y138" s="1">
        <v>1</v>
      </c>
      <c r="Z138" s="1">
        <v>400</v>
      </c>
      <c r="AA138" s="8" t="s">
        <v>123</v>
      </c>
      <c r="AB138" s="8" t="s">
        <v>226</v>
      </c>
      <c r="AC138" s="12"/>
      <c r="AD138" s="444"/>
      <c r="AE138" s="445"/>
      <c r="AF138" s="449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38" s="442" t="str">
        <f t="shared" si="56"/>
        <v>-</v>
      </c>
      <c r="AH138" s="445"/>
      <c r="AI138" s="447" t="s">
        <v>532</v>
      </c>
      <c r="AJ138" s="444"/>
      <c r="AK138" s="445"/>
      <c r="AL138" s="449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38" s="442" t="str">
        <f t="shared" si="57"/>
        <v>-</v>
      </c>
      <c r="AN138" s="445"/>
      <c r="AO138" s="447" t="s">
        <v>532</v>
      </c>
      <c r="AP138" s="444"/>
      <c r="AQ138" s="445"/>
      <c r="AR138" s="449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38" s="447" t="s">
        <v>532</v>
      </c>
      <c r="AT138" s="463"/>
      <c r="AU138" s="447" t="s">
        <v>532</v>
      </c>
      <c r="AV138" s="444"/>
      <c r="AW138" s="445"/>
      <c r="AX138" s="449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38" s="442" t="str">
        <f t="shared" si="58"/>
        <v>-</v>
      </c>
      <c r="AZ138" s="445"/>
      <c r="BA138" s="447" t="s">
        <v>532</v>
      </c>
      <c r="BB138" s="59"/>
      <c r="BC138" s="223"/>
      <c r="BD138" s="252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38" s="213" t="str">
        <f t="shared" si="59"/>
        <v>-</v>
      </c>
      <c r="BF138" s="172"/>
      <c r="BG138" s="225" t="s">
        <v>215</v>
      </c>
      <c r="BH138" s="59"/>
      <c r="BI138" s="223"/>
      <c r="BJ138" s="252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38" s="213" t="s">
        <v>215</v>
      </c>
      <c r="BL138" s="172"/>
      <c r="BM138" s="225" t="s">
        <v>215</v>
      </c>
    </row>
    <row r="139" spans="2:65" s="26" customFormat="1" ht="63.75">
      <c r="B139" s="64">
        <f t="shared" si="51"/>
        <v>132</v>
      </c>
      <c r="C139" s="7"/>
      <c r="D139" s="7"/>
      <c r="E139" s="7"/>
      <c r="F139" s="22" t="s">
        <v>142</v>
      </c>
      <c r="G139" s="16"/>
      <c r="H139" s="13"/>
      <c r="I139" s="8"/>
      <c r="J139" s="8"/>
      <c r="K139" s="8"/>
      <c r="L139" s="8"/>
      <c r="M139" s="359" t="s">
        <v>314</v>
      </c>
      <c r="N139" s="1"/>
      <c r="O139" s="56"/>
      <c r="P139" s="93">
        <f t="shared" si="55"/>
        <v>112</v>
      </c>
      <c r="Q139" s="113">
        <v>400</v>
      </c>
      <c r="R139" s="21" t="str">
        <f t="shared" si="54"/>
        <v>NX</v>
      </c>
      <c r="S139" s="96" t="s">
        <v>143</v>
      </c>
      <c r="T139" s="94"/>
      <c r="U139" s="21" t="s">
        <v>226</v>
      </c>
      <c r="V139" s="10"/>
      <c r="W139" s="25">
        <v>3</v>
      </c>
      <c r="X139" s="1" t="s">
        <v>144</v>
      </c>
      <c r="Y139" s="1">
        <v>1</v>
      </c>
      <c r="Z139" s="1">
        <v>400</v>
      </c>
      <c r="AA139" s="8" t="s">
        <v>123</v>
      </c>
      <c r="AB139" s="8" t="s">
        <v>226</v>
      </c>
      <c r="AC139" s="12"/>
      <c r="AD139" s="444"/>
      <c r="AE139" s="445"/>
      <c r="AF139" s="450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39" s="442" t="str">
        <f t="shared" si="56"/>
        <v>-</v>
      </c>
      <c r="AH139" s="445"/>
      <c r="AI139" s="447" t="s">
        <v>532</v>
      </c>
      <c r="AJ139" s="444"/>
      <c r="AK139" s="445"/>
      <c r="AL139" s="450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39" s="442" t="str">
        <f t="shared" si="57"/>
        <v>-</v>
      </c>
      <c r="AN139" s="445"/>
      <c r="AO139" s="447" t="s">
        <v>532</v>
      </c>
      <c r="AP139" s="444"/>
      <c r="AQ139" s="445"/>
      <c r="AR139" s="450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39" s="447" t="s">
        <v>532</v>
      </c>
      <c r="AT139" s="463"/>
      <c r="AU139" s="447" t="s">
        <v>532</v>
      </c>
      <c r="AV139" s="444"/>
      <c r="AW139" s="445"/>
      <c r="AX139" s="450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39" s="442" t="str">
        <f t="shared" si="58"/>
        <v>-</v>
      </c>
      <c r="AZ139" s="445"/>
      <c r="BA139" s="447" t="s">
        <v>532</v>
      </c>
      <c r="BB139" s="59"/>
      <c r="BC139" s="223"/>
      <c r="BD139" s="90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39" s="213" t="str">
        <f t="shared" si="59"/>
        <v>-</v>
      </c>
      <c r="BF139" s="172"/>
      <c r="BG139" s="225" t="s">
        <v>215</v>
      </c>
      <c r="BH139" s="59"/>
      <c r="BI139" s="223"/>
      <c r="BJ139" s="90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39" s="213" t="s">
        <v>215</v>
      </c>
      <c r="BL139" s="172"/>
      <c r="BM139" s="225" t="s">
        <v>215</v>
      </c>
    </row>
    <row r="140" spans="2:65" s="26" customFormat="1">
      <c r="B140" s="64">
        <f t="shared" si="51"/>
        <v>133</v>
      </c>
      <c r="C140" s="7"/>
      <c r="D140" s="7"/>
      <c r="E140" s="7"/>
      <c r="F140" s="22" t="s">
        <v>145</v>
      </c>
      <c r="G140" s="16"/>
      <c r="H140" s="13"/>
      <c r="I140" s="8"/>
      <c r="J140" s="8"/>
      <c r="K140" s="8"/>
      <c r="L140" s="8"/>
      <c r="M140" s="11" t="s">
        <v>146</v>
      </c>
      <c r="N140" s="1"/>
      <c r="O140" s="56"/>
      <c r="P140" s="93">
        <f t="shared" si="55"/>
        <v>113</v>
      </c>
      <c r="Q140" s="113">
        <v>400</v>
      </c>
      <c r="R140" s="21" t="str">
        <f t="shared" si="54"/>
        <v>NX</v>
      </c>
      <c r="S140" s="96" t="s">
        <v>147</v>
      </c>
      <c r="T140" s="94"/>
      <c r="U140" s="21" t="s">
        <v>226</v>
      </c>
      <c r="V140" s="10"/>
      <c r="W140" s="25">
        <v>3</v>
      </c>
      <c r="X140" s="1" t="s">
        <v>148</v>
      </c>
      <c r="Y140" s="1">
        <v>1</v>
      </c>
      <c r="Z140" s="1">
        <v>400</v>
      </c>
      <c r="AA140" s="8" t="s">
        <v>123</v>
      </c>
      <c r="AB140" s="8" t="s">
        <v>226</v>
      </c>
      <c r="AC140" s="12"/>
      <c r="AD140" s="444"/>
      <c r="AE140" s="440"/>
      <c r="AF140" s="450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40" s="442" t="str">
        <f t="shared" si="56"/>
        <v>-</v>
      </c>
      <c r="AH140" s="440"/>
      <c r="AI140" s="447" t="s">
        <v>532</v>
      </c>
      <c r="AJ140" s="444"/>
      <c r="AK140" s="440"/>
      <c r="AL140" s="450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40" s="442" t="str">
        <f t="shared" si="57"/>
        <v>-</v>
      </c>
      <c r="AN140" s="440"/>
      <c r="AO140" s="447" t="s">
        <v>532</v>
      </c>
      <c r="AP140" s="444"/>
      <c r="AQ140" s="440"/>
      <c r="AR140" s="450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40" s="447" t="s">
        <v>532</v>
      </c>
      <c r="AT140" s="462"/>
      <c r="AU140" s="447" t="s">
        <v>532</v>
      </c>
      <c r="AV140" s="444"/>
      <c r="AW140" s="440"/>
      <c r="AX140" s="450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40" s="442" t="str">
        <f t="shared" si="58"/>
        <v>-</v>
      </c>
      <c r="AZ140" s="440"/>
      <c r="BA140" s="447" t="s">
        <v>532</v>
      </c>
      <c r="BB140" s="59"/>
      <c r="BC140" s="60"/>
      <c r="BD140" s="90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40" s="213" t="str">
        <f t="shared" si="59"/>
        <v>-</v>
      </c>
      <c r="BF140" s="167"/>
      <c r="BG140" s="225" t="s">
        <v>215</v>
      </c>
      <c r="BH140" s="59"/>
      <c r="BI140" s="60"/>
      <c r="BJ140" s="90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40" s="213" t="s">
        <v>215</v>
      </c>
      <c r="BL140" s="167"/>
      <c r="BM140" s="225" t="s">
        <v>215</v>
      </c>
    </row>
    <row r="141" spans="2:65" s="26" customFormat="1" ht="76.5">
      <c r="B141" s="64">
        <f t="shared" si="51"/>
        <v>134</v>
      </c>
      <c r="C141" s="7"/>
      <c r="D141" s="7"/>
      <c r="E141" s="7"/>
      <c r="F141" s="22" t="s">
        <v>149</v>
      </c>
      <c r="G141" s="16"/>
      <c r="H141" s="13"/>
      <c r="I141" s="8"/>
      <c r="J141" s="8"/>
      <c r="K141" s="8"/>
      <c r="L141" s="8"/>
      <c r="M141" s="11" t="s">
        <v>315</v>
      </c>
      <c r="N141" s="1"/>
      <c r="O141" s="56"/>
      <c r="P141" s="93">
        <f t="shared" si="55"/>
        <v>114</v>
      </c>
      <c r="Q141" s="113">
        <v>400</v>
      </c>
      <c r="R141" s="21" t="str">
        <f t="shared" si="54"/>
        <v>NX</v>
      </c>
      <c r="S141" s="96" t="s">
        <v>150</v>
      </c>
      <c r="T141" s="94"/>
      <c r="U141" s="21" t="s">
        <v>226</v>
      </c>
      <c r="V141" s="10"/>
      <c r="W141" s="25">
        <v>3</v>
      </c>
      <c r="X141" s="1" t="s">
        <v>151</v>
      </c>
      <c r="Y141" s="1">
        <v>1</v>
      </c>
      <c r="Z141" s="1">
        <v>400</v>
      </c>
      <c r="AA141" s="8" t="s">
        <v>123</v>
      </c>
      <c r="AB141" s="8" t="s">
        <v>226</v>
      </c>
      <c r="AC141" s="12"/>
      <c r="AD141" s="444"/>
      <c r="AE141" s="440"/>
      <c r="AF141" s="450" t="str">
        <f t="shared" si="4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41" s="442" t="str">
        <f t="shared" si="56"/>
        <v>-</v>
      </c>
      <c r="AH141" s="440"/>
      <c r="AI141" s="447" t="s">
        <v>532</v>
      </c>
      <c r="AJ141" s="444"/>
      <c r="AK141" s="440"/>
      <c r="AL141" s="450" t="str">
        <f t="shared" si="4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41" s="442" t="str">
        <f t="shared" si="57"/>
        <v>-</v>
      </c>
      <c r="AN141" s="440"/>
      <c r="AO141" s="447" t="s">
        <v>532</v>
      </c>
      <c r="AP141" s="444"/>
      <c r="AQ141" s="440"/>
      <c r="AR141" s="450" t="str">
        <f t="shared" si="4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41" s="447" t="s">
        <v>532</v>
      </c>
      <c r="AT141" s="462"/>
      <c r="AU141" s="447" t="s">
        <v>532</v>
      </c>
      <c r="AV141" s="444"/>
      <c r="AW141" s="440"/>
      <c r="AX141" s="450" t="str">
        <f t="shared" si="4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41" s="442" t="str">
        <f t="shared" si="58"/>
        <v>-</v>
      </c>
      <c r="AZ141" s="440"/>
      <c r="BA141" s="447" t="s">
        <v>532</v>
      </c>
      <c r="BB141" s="59"/>
      <c r="BC141" s="60"/>
      <c r="BD141" s="90" t="str">
        <f t="shared" si="4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41" s="213" t="str">
        <f t="shared" si="59"/>
        <v>-</v>
      </c>
      <c r="BF141" s="167"/>
      <c r="BG141" s="225" t="s">
        <v>215</v>
      </c>
      <c r="BH141" s="59"/>
      <c r="BI141" s="60"/>
      <c r="BJ141" s="90" t="str">
        <f t="shared" si="5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41" s="213" t="s">
        <v>215</v>
      </c>
      <c r="BL141" s="167"/>
      <c r="BM141" s="225" t="s">
        <v>215</v>
      </c>
    </row>
    <row r="142" spans="2:65" s="26" customFormat="1">
      <c r="B142" s="64">
        <f t="shared" si="51"/>
        <v>135</v>
      </c>
      <c r="C142" s="7"/>
      <c r="D142" s="7"/>
      <c r="E142" s="7"/>
      <c r="F142" s="22" t="s">
        <v>152</v>
      </c>
      <c r="G142" s="16"/>
      <c r="H142" s="13"/>
      <c r="I142" s="8"/>
      <c r="J142" s="8"/>
      <c r="K142" s="8"/>
      <c r="L142" s="8"/>
      <c r="M142" s="11" t="s">
        <v>146</v>
      </c>
      <c r="N142" s="1"/>
      <c r="O142" s="56"/>
      <c r="P142" s="93">
        <f t="shared" si="55"/>
        <v>115</v>
      </c>
      <c r="Q142" s="113">
        <v>400</v>
      </c>
      <c r="R142" s="21" t="str">
        <f t="shared" si="54"/>
        <v>NX</v>
      </c>
      <c r="S142" s="96" t="s">
        <v>153</v>
      </c>
      <c r="T142" s="94"/>
      <c r="U142" s="21" t="s">
        <v>226</v>
      </c>
      <c r="V142" s="10"/>
      <c r="W142" s="25">
        <v>3</v>
      </c>
      <c r="X142" s="1" t="s">
        <v>154</v>
      </c>
      <c r="Y142" s="1">
        <v>1</v>
      </c>
      <c r="Z142" s="1">
        <v>400</v>
      </c>
      <c r="AA142" s="8" t="s">
        <v>123</v>
      </c>
      <c r="AB142" s="8" t="s">
        <v>226</v>
      </c>
      <c r="AC142" s="12"/>
      <c r="AD142" s="444"/>
      <c r="AE142" s="440"/>
      <c r="AF142" s="450" t="str">
        <f t="shared" ref="AF142:AF205" si="60">IF(AH142="-","-",AH142&amp;REPT(IF($R142="N","　",IF($R142="9","0"," ")),$Z142-LENB(AH142)))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42" s="442" t="str">
        <f t="shared" si="56"/>
        <v>-</v>
      </c>
      <c r="AH142" s="440"/>
      <c r="AI142" s="447" t="s">
        <v>532</v>
      </c>
      <c r="AJ142" s="444"/>
      <c r="AK142" s="440"/>
      <c r="AL142" s="450" t="str">
        <f t="shared" ref="AL142:AL205" si="61">IF(AN142="-","-",AN142&amp;REPT(IF($R142="N","　",IF($R142="9","0"," ")),$Z142-LENB(AN142)))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42" s="442" t="str">
        <f t="shared" si="57"/>
        <v>-</v>
      </c>
      <c r="AN142" s="440"/>
      <c r="AO142" s="447" t="s">
        <v>532</v>
      </c>
      <c r="AP142" s="444"/>
      <c r="AQ142" s="440"/>
      <c r="AR142" s="450" t="str">
        <f t="shared" ref="AR142:AR205" si="62">IF(AT142="-","-",AT142&amp;REPT(IF($R142="N","　",IF($R142="9","0"," ")),$Z142-LENB(AT142)))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42" s="447" t="s">
        <v>532</v>
      </c>
      <c r="AT142" s="462"/>
      <c r="AU142" s="447" t="s">
        <v>532</v>
      </c>
      <c r="AV142" s="444"/>
      <c r="AW142" s="440"/>
      <c r="AX142" s="450" t="str">
        <f t="shared" ref="AX142:AX205" si="63">IF(AZ142="-","-",AZ142&amp;REPT(IF($R142="N","　",IF($R142="9","0"," ")),$Z142-LENB(AZ142)))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42" s="442" t="str">
        <f t="shared" si="58"/>
        <v>-</v>
      </c>
      <c r="AZ142" s="440"/>
      <c r="BA142" s="447" t="s">
        <v>532</v>
      </c>
      <c r="BB142" s="59"/>
      <c r="BC142" s="60"/>
      <c r="BD142" s="90" t="str">
        <f t="shared" ref="BD142:BD205" si="64">IF(BF142="-","-",BF142&amp;REPT(IF($R142="N","　",IF($R142="9","0"," ")),$Z142-LENB(BF142)))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42" s="213" t="str">
        <f t="shared" si="59"/>
        <v>-</v>
      </c>
      <c r="BF142" s="167"/>
      <c r="BG142" s="225" t="s">
        <v>215</v>
      </c>
      <c r="BH142" s="59"/>
      <c r="BI142" s="60"/>
      <c r="BJ142" s="90" t="str">
        <f t="shared" ref="BJ142:BJ205" si="65">IF(BL142="-","-",BL142&amp;REPT(IF($R142="N","　",IF($R142="9","0"," ")),$Z142-LENB(BL142)))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42" s="213" t="s">
        <v>215</v>
      </c>
      <c r="BL142" s="167"/>
      <c r="BM142" s="225" t="s">
        <v>215</v>
      </c>
    </row>
    <row r="143" spans="2:65" s="26" customFormat="1">
      <c r="B143" s="64">
        <f t="shared" si="51"/>
        <v>136</v>
      </c>
      <c r="C143" s="7"/>
      <c r="D143" s="7"/>
      <c r="E143" s="7"/>
      <c r="F143" s="22" t="s">
        <v>155</v>
      </c>
      <c r="G143" s="16"/>
      <c r="H143" s="13"/>
      <c r="I143" s="8"/>
      <c r="J143" s="8"/>
      <c r="K143" s="8"/>
      <c r="L143" s="8"/>
      <c r="M143" s="11" t="s">
        <v>146</v>
      </c>
      <c r="N143" s="1"/>
      <c r="O143" s="56"/>
      <c r="P143" s="93">
        <f t="shared" si="55"/>
        <v>116</v>
      </c>
      <c r="Q143" s="113">
        <v>400</v>
      </c>
      <c r="R143" s="21" t="str">
        <f t="shared" si="54"/>
        <v>NX</v>
      </c>
      <c r="S143" s="96" t="s">
        <v>156</v>
      </c>
      <c r="T143" s="94"/>
      <c r="U143" s="21" t="s">
        <v>226</v>
      </c>
      <c r="V143" s="10"/>
      <c r="W143" s="25">
        <v>3</v>
      </c>
      <c r="X143" s="1" t="s">
        <v>157</v>
      </c>
      <c r="Y143" s="1">
        <v>1</v>
      </c>
      <c r="Z143" s="1">
        <v>400</v>
      </c>
      <c r="AA143" s="8" t="s">
        <v>123</v>
      </c>
      <c r="AB143" s="8" t="s">
        <v>226</v>
      </c>
      <c r="AC143" s="12"/>
      <c r="AD143" s="444"/>
      <c r="AE143" s="440"/>
      <c r="AF143" s="450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43" s="442" t="str">
        <f t="shared" si="56"/>
        <v>-</v>
      </c>
      <c r="AH143" s="440"/>
      <c r="AI143" s="447" t="s">
        <v>532</v>
      </c>
      <c r="AJ143" s="444"/>
      <c r="AK143" s="440"/>
      <c r="AL143" s="450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43" s="442" t="str">
        <f t="shared" si="57"/>
        <v>-</v>
      </c>
      <c r="AN143" s="440"/>
      <c r="AO143" s="447" t="s">
        <v>532</v>
      </c>
      <c r="AP143" s="444"/>
      <c r="AQ143" s="440"/>
      <c r="AR143" s="450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43" s="447" t="s">
        <v>532</v>
      </c>
      <c r="AT143" s="462"/>
      <c r="AU143" s="447" t="s">
        <v>532</v>
      </c>
      <c r="AV143" s="444"/>
      <c r="AW143" s="440"/>
      <c r="AX143" s="450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43" s="442" t="str">
        <f t="shared" si="58"/>
        <v>-</v>
      </c>
      <c r="AZ143" s="440"/>
      <c r="BA143" s="447" t="s">
        <v>532</v>
      </c>
      <c r="BB143" s="59"/>
      <c r="BC143" s="60"/>
      <c r="BD143" s="90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43" s="213" t="str">
        <f t="shared" si="59"/>
        <v>-</v>
      </c>
      <c r="BF143" s="167"/>
      <c r="BG143" s="225" t="s">
        <v>215</v>
      </c>
      <c r="BH143" s="59"/>
      <c r="BI143" s="60"/>
      <c r="BJ143" s="90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43" s="213" t="s">
        <v>215</v>
      </c>
      <c r="BL143" s="167"/>
      <c r="BM143" s="225" t="s">
        <v>215</v>
      </c>
    </row>
    <row r="144" spans="2:65" s="26" customFormat="1" ht="89.25">
      <c r="B144" s="64">
        <f t="shared" si="51"/>
        <v>137</v>
      </c>
      <c r="C144" s="7"/>
      <c r="D144" s="7"/>
      <c r="E144" s="7"/>
      <c r="F144" s="22" t="s">
        <v>158</v>
      </c>
      <c r="G144" s="16"/>
      <c r="H144" s="13"/>
      <c r="I144" s="8"/>
      <c r="J144" s="8"/>
      <c r="K144" s="8"/>
      <c r="L144" s="8"/>
      <c r="M144" s="11" t="s">
        <v>316</v>
      </c>
      <c r="N144" s="1"/>
      <c r="O144" s="56"/>
      <c r="P144" s="93">
        <f t="shared" si="55"/>
        <v>117</v>
      </c>
      <c r="Q144" s="113">
        <v>1</v>
      </c>
      <c r="R144" s="21" t="str">
        <f t="shared" si="54"/>
        <v>X</v>
      </c>
      <c r="S144" s="96" t="s">
        <v>159</v>
      </c>
      <c r="T144" s="94"/>
      <c r="U144" s="21" t="s">
        <v>226</v>
      </c>
      <c r="V144" s="10"/>
      <c r="W144" s="25">
        <v>3</v>
      </c>
      <c r="X144" s="1" t="s">
        <v>255</v>
      </c>
      <c r="Y144" s="1">
        <v>1</v>
      </c>
      <c r="Z144" s="1">
        <v>1</v>
      </c>
      <c r="AA144" s="8" t="s">
        <v>109</v>
      </c>
      <c r="AB144" s="8" t="s">
        <v>19</v>
      </c>
      <c r="AC144" s="102"/>
      <c r="AD144" s="444"/>
      <c r="AE144" s="445"/>
      <c r="AF144" s="440" t="str">
        <f t="shared" si="60"/>
        <v xml:space="preserve"> </v>
      </c>
      <c r="AG144" s="442" t="str">
        <f t="shared" si="56"/>
        <v>-</v>
      </c>
      <c r="AH144" s="445"/>
      <c r="AI144" s="447" t="s">
        <v>532</v>
      </c>
      <c r="AJ144" s="444"/>
      <c r="AK144" s="445"/>
      <c r="AL144" s="440" t="str">
        <f t="shared" si="61"/>
        <v xml:space="preserve"> </v>
      </c>
      <c r="AM144" s="442" t="str">
        <f t="shared" si="57"/>
        <v>-</v>
      </c>
      <c r="AN144" s="445"/>
      <c r="AO144" s="447" t="s">
        <v>532</v>
      </c>
      <c r="AP144" s="444"/>
      <c r="AQ144" s="445"/>
      <c r="AR144" s="440" t="str">
        <f t="shared" si="62"/>
        <v xml:space="preserve"> </v>
      </c>
      <c r="AS144" s="447" t="s">
        <v>532</v>
      </c>
      <c r="AT144" s="463"/>
      <c r="AU144" s="447" t="s">
        <v>532</v>
      </c>
      <c r="AV144" s="444"/>
      <c r="AW144" s="445"/>
      <c r="AX144" s="440" t="str">
        <f t="shared" si="63"/>
        <v xml:space="preserve"> </v>
      </c>
      <c r="AY144" s="442" t="str">
        <f t="shared" si="58"/>
        <v>-</v>
      </c>
      <c r="AZ144" s="445"/>
      <c r="BA144" s="447" t="s">
        <v>532</v>
      </c>
      <c r="BB144" s="59"/>
      <c r="BC144" s="223"/>
      <c r="BD144" s="60" t="str">
        <f t="shared" si="64"/>
        <v xml:space="preserve"> </v>
      </c>
      <c r="BE144" s="213" t="str">
        <f t="shared" si="59"/>
        <v>-</v>
      </c>
      <c r="BF144" s="172"/>
      <c r="BG144" s="225" t="s">
        <v>215</v>
      </c>
      <c r="BH144" s="59"/>
      <c r="BI144" s="223"/>
      <c r="BJ144" s="60" t="str">
        <f t="shared" si="65"/>
        <v xml:space="preserve"> </v>
      </c>
      <c r="BK144" s="213" t="s">
        <v>215</v>
      </c>
      <c r="BL144" s="172"/>
      <c r="BM144" s="225" t="s">
        <v>215</v>
      </c>
    </row>
    <row r="145" spans="1:65" s="26" customFormat="1">
      <c r="B145" s="64">
        <f t="shared" si="51"/>
        <v>138</v>
      </c>
      <c r="C145" s="7"/>
      <c r="D145" s="7"/>
      <c r="E145" s="7"/>
      <c r="F145" s="22" t="s">
        <v>160</v>
      </c>
      <c r="G145" s="16"/>
      <c r="H145" s="13"/>
      <c r="I145" s="8"/>
      <c r="J145" s="8"/>
      <c r="K145" s="8"/>
      <c r="L145" s="8"/>
      <c r="M145" s="11"/>
      <c r="N145" s="1"/>
      <c r="O145" s="56"/>
      <c r="P145" s="93">
        <f t="shared" si="55"/>
        <v>118</v>
      </c>
      <c r="Q145" s="113">
        <v>128</v>
      </c>
      <c r="R145" s="21" t="str">
        <f t="shared" si="54"/>
        <v>X</v>
      </c>
      <c r="S145" s="96" t="s">
        <v>161</v>
      </c>
      <c r="T145" s="94"/>
      <c r="U145" s="21" t="s">
        <v>226</v>
      </c>
      <c r="V145" s="10"/>
      <c r="W145" s="25">
        <v>3</v>
      </c>
      <c r="X145" s="1" t="s">
        <v>256</v>
      </c>
      <c r="Y145" s="1">
        <v>1</v>
      </c>
      <c r="Z145" s="1">
        <v>128</v>
      </c>
      <c r="AA145" s="8" t="s">
        <v>109</v>
      </c>
      <c r="AB145" s="8" t="s">
        <v>19</v>
      </c>
      <c r="AC145" s="12"/>
      <c r="AD145" s="444"/>
      <c r="AE145" s="440"/>
      <c r="AF145" s="440" t="str">
        <f t="shared" si="60"/>
        <v xml:space="preserve">                                                                                                                                </v>
      </c>
      <c r="AG145" s="442" t="str">
        <f t="shared" si="56"/>
        <v>-</v>
      </c>
      <c r="AH145" s="440"/>
      <c r="AI145" s="447" t="s">
        <v>532</v>
      </c>
      <c r="AJ145" s="444"/>
      <c r="AK145" s="440"/>
      <c r="AL145" s="440" t="str">
        <f t="shared" si="61"/>
        <v xml:space="preserve">                                                                                                                                </v>
      </c>
      <c r="AM145" s="442" t="str">
        <f t="shared" si="57"/>
        <v>-</v>
      </c>
      <c r="AN145" s="440"/>
      <c r="AO145" s="447" t="s">
        <v>532</v>
      </c>
      <c r="AP145" s="444"/>
      <c r="AQ145" s="440"/>
      <c r="AR145" s="440" t="str">
        <f t="shared" si="62"/>
        <v xml:space="preserve">                                                                                                                                </v>
      </c>
      <c r="AS145" s="447" t="s">
        <v>532</v>
      </c>
      <c r="AT145" s="462"/>
      <c r="AU145" s="447" t="s">
        <v>532</v>
      </c>
      <c r="AV145" s="444"/>
      <c r="AW145" s="440"/>
      <c r="AX145" s="440" t="str">
        <f t="shared" si="63"/>
        <v xml:space="preserve">                                                                                                                                </v>
      </c>
      <c r="AY145" s="442" t="str">
        <f t="shared" si="58"/>
        <v>-</v>
      </c>
      <c r="AZ145" s="440"/>
      <c r="BA145" s="447" t="s">
        <v>532</v>
      </c>
      <c r="BB145" s="59"/>
      <c r="BC145" s="60"/>
      <c r="BD145" s="60" t="str">
        <f t="shared" si="64"/>
        <v xml:space="preserve">                                                                                                                                </v>
      </c>
      <c r="BE145" s="213" t="str">
        <f t="shared" si="59"/>
        <v>-</v>
      </c>
      <c r="BF145" s="167"/>
      <c r="BG145" s="225" t="s">
        <v>215</v>
      </c>
      <c r="BH145" s="59"/>
      <c r="BI145" s="60"/>
      <c r="BJ145" s="60" t="str">
        <f t="shared" si="65"/>
        <v xml:space="preserve">                                                                                                                                </v>
      </c>
      <c r="BK145" s="213" t="s">
        <v>215</v>
      </c>
      <c r="BL145" s="167"/>
      <c r="BM145" s="225" t="s">
        <v>215</v>
      </c>
    </row>
    <row r="146" spans="1:65" s="26" customFormat="1" ht="114.75">
      <c r="B146" s="64">
        <f t="shared" si="51"/>
        <v>139</v>
      </c>
      <c r="C146" s="7"/>
      <c r="D146" s="7"/>
      <c r="E146" s="7"/>
      <c r="F146" s="22" t="s">
        <v>162</v>
      </c>
      <c r="G146" s="16"/>
      <c r="H146" s="13"/>
      <c r="I146" s="8"/>
      <c r="J146" s="8"/>
      <c r="K146" s="8"/>
      <c r="L146" s="8"/>
      <c r="M146" s="11" t="s">
        <v>294</v>
      </c>
      <c r="N146" s="1"/>
      <c r="O146" s="56"/>
      <c r="P146" s="93">
        <f t="shared" si="55"/>
        <v>119</v>
      </c>
      <c r="Q146" s="113">
        <v>1</v>
      </c>
      <c r="R146" s="21" t="str">
        <f t="shared" si="54"/>
        <v>X</v>
      </c>
      <c r="S146" s="96" t="s">
        <v>163</v>
      </c>
      <c r="T146" s="94"/>
      <c r="U146" s="21" t="s">
        <v>226</v>
      </c>
      <c r="V146" s="10"/>
      <c r="W146" s="25">
        <v>3</v>
      </c>
      <c r="X146" s="1" t="s">
        <v>257</v>
      </c>
      <c r="Y146" s="1">
        <v>1</v>
      </c>
      <c r="Z146" s="1">
        <v>1</v>
      </c>
      <c r="AA146" s="8" t="s">
        <v>109</v>
      </c>
      <c r="AB146" s="8" t="s">
        <v>19</v>
      </c>
      <c r="AC146" s="102"/>
      <c r="AD146" s="444"/>
      <c r="AE146" s="445"/>
      <c r="AF146" s="440" t="str">
        <f t="shared" si="60"/>
        <v xml:space="preserve"> </v>
      </c>
      <c r="AG146" s="442" t="str">
        <f t="shared" si="56"/>
        <v>-</v>
      </c>
      <c r="AH146" s="445"/>
      <c r="AI146" s="447" t="s">
        <v>532</v>
      </c>
      <c r="AJ146" s="444"/>
      <c r="AK146" s="445"/>
      <c r="AL146" s="440" t="str">
        <f t="shared" si="61"/>
        <v xml:space="preserve"> </v>
      </c>
      <c r="AM146" s="442" t="str">
        <f t="shared" si="57"/>
        <v>-</v>
      </c>
      <c r="AN146" s="445"/>
      <c r="AO146" s="447" t="s">
        <v>532</v>
      </c>
      <c r="AP146" s="444"/>
      <c r="AQ146" s="445"/>
      <c r="AR146" s="440" t="str">
        <f t="shared" si="62"/>
        <v xml:space="preserve"> </v>
      </c>
      <c r="AS146" s="447" t="s">
        <v>532</v>
      </c>
      <c r="AT146" s="463"/>
      <c r="AU146" s="447" t="s">
        <v>532</v>
      </c>
      <c r="AV146" s="444"/>
      <c r="AW146" s="445"/>
      <c r="AX146" s="440" t="str">
        <f t="shared" si="63"/>
        <v xml:space="preserve"> </v>
      </c>
      <c r="AY146" s="442" t="str">
        <f t="shared" si="58"/>
        <v>-</v>
      </c>
      <c r="AZ146" s="445"/>
      <c r="BA146" s="447" t="s">
        <v>532</v>
      </c>
      <c r="BB146" s="59"/>
      <c r="BC146" s="223"/>
      <c r="BD146" s="60" t="str">
        <f t="shared" si="64"/>
        <v xml:space="preserve"> </v>
      </c>
      <c r="BE146" s="213" t="str">
        <f t="shared" si="59"/>
        <v>-</v>
      </c>
      <c r="BF146" s="172"/>
      <c r="BG146" s="225" t="s">
        <v>215</v>
      </c>
      <c r="BH146" s="59"/>
      <c r="BI146" s="223"/>
      <c r="BJ146" s="60" t="str">
        <f t="shared" si="65"/>
        <v xml:space="preserve"> </v>
      </c>
      <c r="BK146" s="213" t="s">
        <v>215</v>
      </c>
      <c r="BL146" s="172"/>
      <c r="BM146" s="225" t="s">
        <v>215</v>
      </c>
    </row>
    <row r="147" spans="1:65" s="26" customFormat="1" ht="127.5">
      <c r="B147" s="64">
        <f t="shared" si="51"/>
        <v>140</v>
      </c>
      <c r="C147" s="7"/>
      <c r="D147" s="7"/>
      <c r="E147" s="7"/>
      <c r="F147" s="22" t="s">
        <v>164</v>
      </c>
      <c r="G147" s="16"/>
      <c r="H147" s="13"/>
      <c r="I147" s="8"/>
      <c r="J147" s="8" t="s">
        <v>231</v>
      </c>
      <c r="K147" s="8"/>
      <c r="L147" s="8"/>
      <c r="M147" s="359" t="s">
        <v>317</v>
      </c>
      <c r="N147" s="1"/>
      <c r="O147" s="56"/>
      <c r="P147" s="93">
        <f t="shared" si="55"/>
        <v>120</v>
      </c>
      <c r="Q147" s="113">
        <v>1</v>
      </c>
      <c r="R147" s="21" t="str">
        <f t="shared" si="54"/>
        <v>X</v>
      </c>
      <c r="S147" s="96" t="s">
        <v>165</v>
      </c>
      <c r="T147" s="94"/>
      <c r="U147" s="21" t="s">
        <v>226</v>
      </c>
      <c r="V147" s="10"/>
      <c r="W147" s="25">
        <v>3</v>
      </c>
      <c r="X147" s="1" t="s">
        <v>258</v>
      </c>
      <c r="Y147" s="1">
        <v>1</v>
      </c>
      <c r="Z147" s="1">
        <v>1</v>
      </c>
      <c r="AA147" s="8" t="s">
        <v>109</v>
      </c>
      <c r="AB147" s="8" t="s">
        <v>19</v>
      </c>
      <c r="AC147" s="102"/>
      <c r="AD147" s="444"/>
      <c r="AE147" s="445"/>
      <c r="AF147" s="440" t="str">
        <f t="shared" si="60"/>
        <v xml:space="preserve"> </v>
      </c>
      <c r="AG147" s="442" t="str">
        <f t="shared" si="56"/>
        <v>-</v>
      </c>
      <c r="AH147" s="445"/>
      <c r="AI147" s="447" t="s">
        <v>532</v>
      </c>
      <c r="AJ147" s="444"/>
      <c r="AK147" s="445"/>
      <c r="AL147" s="440" t="str">
        <f t="shared" si="61"/>
        <v xml:space="preserve"> </v>
      </c>
      <c r="AM147" s="442" t="str">
        <f t="shared" si="57"/>
        <v>-</v>
      </c>
      <c r="AN147" s="445"/>
      <c r="AO147" s="447" t="s">
        <v>532</v>
      </c>
      <c r="AP147" s="444"/>
      <c r="AQ147" s="445"/>
      <c r="AR147" s="440" t="str">
        <f t="shared" si="62"/>
        <v xml:space="preserve"> </v>
      </c>
      <c r="AS147" s="447" t="s">
        <v>532</v>
      </c>
      <c r="AT147" s="463"/>
      <c r="AU147" s="447" t="s">
        <v>532</v>
      </c>
      <c r="AV147" s="444"/>
      <c r="AW147" s="445"/>
      <c r="AX147" s="440" t="str">
        <f t="shared" si="63"/>
        <v xml:space="preserve"> </v>
      </c>
      <c r="AY147" s="442" t="str">
        <f t="shared" si="58"/>
        <v>-</v>
      </c>
      <c r="AZ147" s="445"/>
      <c r="BA147" s="447" t="s">
        <v>532</v>
      </c>
      <c r="BB147" s="59"/>
      <c r="BC147" s="223"/>
      <c r="BD147" s="60" t="str">
        <f t="shared" si="64"/>
        <v xml:space="preserve"> </v>
      </c>
      <c r="BE147" s="213" t="str">
        <f t="shared" si="59"/>
        <v>-</v>
      </c>
      <c r="BF147" s="172"/>
      <c r="BG147" s="225" t="s">
        <v>215</v>
      </c>
      <c r="BH147" s="59"/>
      <c r="BI147" s="223"/>
      <c r="BJ147" s="60" t="str">
        <f t="shared" si="65"/>
        <v xml:space="preserve"> </v>
      </c>
      <c r="BK147" s="213" t="s">
        <v>215</v>
      </c>
      <c r="BL147" s="172"/>
      <c r="BM147" s="225" t="s">
        <v>215</v>
      </c>
    </row>
    <row r="148" spans="1:65" s="26" customFormat="1" ht="319.5" customHeight="1">
      <c r="B148" s="64">
        <f t="shared" si="51"/>
        <v>141</v>
      </c>
      <c r="C148" s="7"/>
      <c r="D148" s="7"/>
      <c r="E148" s="53"/>
      <c r="F148" s="111" t="s">
        <v>367</v>
      </c>
      <c r="G148" s="66"/>
      <c r="H148" s="61"/>
      <c r="I148" s="8"/>
      <c r="J148" s="8" t="s">
        <v>231</v>
      </c>
      <c r="K148" s="8"/>
      <c r="L148" s="8"/>
      <c r="M148" s="356" t="s">
        <v>493</v>
      </c>
      <c r="N148" s="16"/>
      <c r="O148" s="56"/>
      <c r="P148" s="93">
        <f t="shared" si="55"/>
        <v>121</v>
      </c>
      <c r="Q148" s="113">
        <v>2</v>
      </c>
      <c r="R148" s="21" t="str">
        <f t="shared" si="54"/>
        <v>X</v>
      </c>
      <c r="S148" s="96" t="s">
        <v>166</v>
      </c>
      <c r="T148" s="94"/>
      <c r="U148" s="21" t="s">
        <v>226</v>
      </c>
      <c r="V148" s="10"/>
      <c r="W148" s="25">
        <v>3</v>
      </c>
      <c r="X148" s="1" t="s">
        <v>260</v>
      </c>
      <c r="Y148" s="1">
        <v>2</v>
      </c>
      <c r="Z148" s="1">
        <v>2</v>
      </c>
      <c r="AA148" s="8" t="s">
        <v>229</v>
      </c>
      <c r="AB148" s="8" t="s">
        <v>226</v>
      </c>
      <c r="AC148" s="67"/>
      <c r="AD148" s="444"/>
      <c r="AE148" s="445"/>
      <c r="AF148" s="446" t="str">
        <f t="shared" si="60"/>
        <v xml:space="preserve">  </v>
      </c>
      <c r="AG148" s="442" t="str">
        <f t="shared" si="56"/>
        <v>-</v>
      </c>
      <c r="AH148" s="445"/>
      <c r="AI148" s="448" t="s">
        <v>532</v>
      </c>
      <c r="AJ148" s="444"/>
      <c r="AK148" s="445"/>
      <c r="AL148" s="446" t="str">
        <f t="shared" si="61"/>
        <v xml:space="preserve">  </v>
      </c>
      <c r="AM148" s="442" t="str">
        <f t="shared" si="57"/>
        <v>-</v>
      </c>
      <c r="AN148" s="445"/>
      <c r="AO148" s="448" t="s">
        <v>532</v>
      </c>
      <c r="AP148" s="444"/>
      <c r="AQ148" s="445"/>
      <c r="AR148" s="446" t="str">
        <f t="shared" si="62"/>
        <v xml:space="preserve">  </v>
      </c>
      <c r="AS148" s="442" t="s">
        <v>532</v>
      </c>
      <c r="AT148" s="463"/>
      <c r="AU148" s="448" t="s">
        <v>532</v>
      </c>
      <c r="AV148" s="444"/>
      <c r="AW148" s="445"/>
      <c r="AX148" s="446" t="str">
        <f t="shared" si="63"/>
        <v xml:space="preserve">  </v>
      </c>
      <c r="AY148" s="442" t="str">
        <f t="shared" si="58"/>
        <v>-</v>
      </c>
      <c r="AZ148" s="445"/>
      <c r="BA148" s="448" t="s">
        <v>532</v>
      </c>
      <c r="BB148" s="59"/>
      <c r="BC148" s="223"/>
      <c r="BD148" s="254" t="str">
        <f t="shared" si="64"/>
        <v>B1</v>
      </c>
      <c r="BE148" s="213" t="str">
        <f t="shared" si="59"/>
        <v>-</v>
      </c>
      <c r="BF148" s="172" t="s">
        <v>112</v>
      </c>
      <c r="BG148" s="405" t="str">
        <f>IF(OR(BC$8="判定対象外",BF$8="判定対象外",BF148="-"),"-",IF(BC148=BF148,"OK","NG"))</f>
        <v>NG</v>
      </c>
      <c r="BH148" s="59"/>
      <c r="BI148" s="223"/>
      <c r="BJ148" s="254" t="str">
        <f t="shared" si="65"/>
        <v>C2</v>
      </c>
      <c r="BK148" s="213" t="str">
        <f>IF(OR(BI$8="判定対象外",BJ$8="判定対象外",BJ148="-"),"-",IF(BI148=BJ148,"OK","NG"))</f>
        <v>NG</v>
      </c>
      <c r="BL148" s="172" t="s">
        <v>573</v>
      </c>
      <c r="BM148" s="405" t="str">
        <f>IF(OR(BI$8="判定対象外",BL$8="判定対象外",BL148="-"),"-",IF(BI148=BL148,"OK","NG"))</f>
        <v>NG</v>
      </c>
    </row>
    <row r="149" spans="1:65" s="26" customFormat="1" ht="25.5">
      <c r="B149" s="64">
        <f t="shared" si="51"/>
        <v>142</v>
      </c>
      <c r="C149" s="7"/>
      <c r="D149" s="7"/>
      <c r="E149" s="53"/>
      <c r="F149" s="65" t="s">
        <v>167</v>
      </c>
      <c r="G149" s="66"/>
      <c r="H149" s="61"/>
      <c r="I149" s="8"/>
      <c r="J149" s="8"/>
      <c r="K149" s="8"/>
      <c r="L149" s="8"/>
      <c r="M149" s="11" t="s">
        <v>274</v>
      </c>
      <c r="N149" s="16"/>
      <c r="O149" s="56"/>
      <c r="P149" s="93">
        <f t="shared" si="55"/>
        <v>122</v>
      </c>
      <c r="Q149" s="113">
        <v>7</v>
      </c>
      <c r="R149" s="21" t="str">
        <f t="shared" si="54"/>
        <v>X</v>
      </c>
      <c r="S149" s="96" t="s">
        <v>168</v>
      </c>
      <c r="T149" s="94"/>
      <c r="U149" s="21" t="s">
        <v>226</v>
      </c>
      <c r="V149" s="10"/>
      <c r="W149" s="25">
        <v>3</v>
      </c>
      <c r="X149" s="1" t="s">
        <v>261</v>
      </c>
      <c r="Y149" s="1">
        <v>7</v>
      </c>
      <c r="Z149" s="1">
        <v>7</v>
      </c>
      <c r="AA149" s="8" t="s">
        <v>229</v>
      </c>
      <c r="AB149" s="8" t="s">
        <v>226</v>
      </c>
      <c r="AC149" s="103"/>
      <c r="AD149" s="444"/>
      <c r="AE149" s="440"/>
      <c r="AF149" s="440" t="str">
        <f t="shared" si="60"/>
        <v xml:space="preserve">       </v>
      </c>
      <c r="AG149" s="442" t="str">
        <f t="shared" si="56"/>
        <v>-</v>
      </c>
      <c r="AH149" s="440"/>
      <c r="AI149" s="447" t="s">
        <v>532</v>
      </c>
      <c r="AJ149" s="444"/>
      <c r="AK149" s="440"/>
      <c r="AL149" s="440" t="str">
        <f t="shared" si="61"/>
        <v xml:space="preserve">       </v>
      </c>
      <c r="AM149" s="442" t="str">
        <f t="shared" si="57"/>
        <v>-</v>
      </c>
      <c r="AN149" s="440"/>
      <c r="AO149" s="447" t="s">
        <v>532</v>
      </c>
      <c r="AP149" s="444"/>
      <c r="AQ149" s="440"/>
      <c r="AR149" s="440" t="str">
        <f t="shared" si="62"/>
        <v xml:space="preserve">       </v>
      </c>
      <c r="AS149" s="447" t="s">
        <v>532</v>
      </c>
      <c r="AT149" s="462"/>
      <c r="AU149" s="447" t="s">
        <v>532</v>
      </c>
      <c r="AV149" s="444"/>
      <c r="AW149" s="440"/>
      <c r="AX149" s="440" t="str">
        <f t="shared" si="63"/>
        <v xml:space="preserve">       </v>
      </c>
      <c r="AY149" s="442" t="str">
        <f t="shared" si="58"/>
        <v>-</v>
      </c>
      <c r="AZ149" s="440"/>
      <c r="BA149" s="447" t="s">
        <v>532</v>
      </c>
      <c r="BB149" s="59"/>
      <c r="BC149" s="60"/>
      <c r="BD149" s="60" t="str">
        <f t="shared" si="64"/>
        <v xml:space="preserve">       </v>
      </c>
      <c r="BE149" s="213" t="str">
        <f t="shared" si="59"/>
        <v>-</v>
      </c>
      <c r="BF149" s="167"/>
      <c r="BG149" s="225" t="s">
        <v>215</v>
      </c>
      <c r="BH149" s="59"/>
      <c r="BI149" s="60"/>
      <c r="BJ149" s="60" t="str">
        <f t="shared" si="65"/>
        <v xml:space="preserve">       </v>
      </c>
      <c r="BK149" s="213" t="s">
        <v>215</v>
      </c>
      <c r="BL149" s="167"/>
      <c r="BM149" s="225" t="s">
        <v>215</v>
      </c>
    </row>
    <row r="150" spans="1:65" s="80" customFormat="1" ht="25.5">
      <c r="B150" s="64">
        <f t="shared" si="51"/>
        <v>143</v>
      </c>
      <c r="C150" s="68"/>
      <c r="D150" s="68"/>
      <c r="E150" s="69"/>
      <c r="F150" s="70" t="s">
        <v>275</v>
      </c>
      <c r="G150" s="71"/>
      <c r="H150" s="72"/>
      <c r="I150" s="73"/>
      <c r="J150" s="73"/>
      <c r="K150" s="74"/>
      <c r="L150" s="74"/>
      <c r="M150" s="83" t="s">
        <v>274</v>
      </c>
      <c r="N150" s="75"/>
      <c r="O150" s="76"/>
      <c r="P150" s="93">
        <f t="shared" si="55"/>
        <v>123</v>
      </c>
      <c r="Q150" s="117">
        <v>10</v>
      </c>
      <c r="R150" s="21" t="str">
        <f t="shared" si="54"/>
        <v>X</v>
      </c>
      <c r="S150" s="96" t="s">
        <v>169</v>
      </c>
      <c r="T150" s="104"/>
      <c r="U150" s="21" t="s">
        <v>226</v>
      </c>
      <c r="V150" s="76"/>
      <c r="W150" s="77">
        <v>3</v>
      </c>
      <c r="X150" s="55" t="s">
        <v>170</v>
      </c>
      <c r="Y150" s="55">
        <v>10</v>
      </c>
      <c r="Z150" s="55">
        <v>10</v>
      </c>
      <c r="AA150" s="73" t="s">
        <v>109</v>
      </c>
      <c r="AB150" s="73" t="s">
        <v>19</v>
      </c>
      <c r="AC150" s="103"/>
      <c r="AD150" s="451"/>
      <c r="AE150" s="452"/>
      <c r="AF150" s="453" t="str">
        <f t="shared" si="60"/>
        <v xml:space="preserve">          </v>
      </c>
      <c r="AG150" s="442" t="str">
        <f t="shared" si="56"/>
        <v>-</v>
      </c>
      <c r="AH150" s="452"/>
      <c r="AI150" s="447" t="s">
        <v>532</v>
      </c>
      <c r="AJ150" s="451"/>
      <c r="AK150" s="452"/>
      <c r="AL150" s="453" t="str">
        <f t="shared" si="61"/>
        <v xml:space="preserve">          </v>
      </c>
      <c r="AM150" s="442" t="str">
        <f t="shared" si="57"/>
        <v>-</v>
      </c>
      <c r="AN150" s="452"/>
      <c r="AO150" s="447" t="s">
        <v>532</v>
      </c>
      <c r="AP150" s="451"/>
      <c r="AQ150" s="452"/>
      <c r="AR150" s="453" t="str">
        <f t="shared" si="62"/>
        <v xml:space="preserve">          </v>
      </c>
      <c r="AS150" s="447" t="s">
        <v>532</v>
      </c>
      <c r="AT150" s="464"/>
      <c r="AU150" s="447" t="s">
        <v>532</v>
      </c>
      <c r="AV150" s="451"/>
      <c r="AW150" s="452"/>
      <c r="AX150" s="453" t="str">
        <f t="shared" si="63"/>
        <v xml:space="preserve">          </v>
      </c>
      <c r="AY150" s="442" t="str">
        <f t="shared" si="58"/>
        <v>-</v>
      </c>
      <c r="AZ150" s="452"/>
      <c r="BA150" s="447" t="s">
        <v>532</v>
      </c>
      <c r="BB150" s="78"/>
      <c r="BC150" s="420"/>
      <c r="BD150" s="79" t="str">
        <f t="shared" si="64"/>
        <v xml:space="preserve">          </v>
      </c>
      <c r="BE150" s="213" t="str">
        <f t="shared" si="59"/>
        <v>-</v>
      </c>
      <c r="BF150" s="378"/>
      <c r="BG150" s="225" t="s">
        <v>215</v>
      </c>
      <c r="BH150" s="78"/>
      <c r="BI150" s="420"/>
      <c r="BJ150" s="79" t="str">
        <f t="shared" si="65"/>
        <v xml:space="preserve">          </v>
      </c>
      <c r="BK150" s="213" t="s">
        <v>215</v>
      </c>
      <c r="BL150" s="378"/>
      <c r="BM150" s="225" t="s">
        <v>215</v>
      </c>
    </row>
    <row r="151" spans="1:65" s="80" customFormat="1" ht="25.5">
      <c r="B151" s="64">
        <f t="shared" ref="B151:B214" si="66">ROW()-7</f>
        <v>144</v>
      </c>
      <c r="C151" s="68"/>
      <c r="D151" s="68"/>
      <c r="E151" s="68"/>
      <c r="F151" s="81" t="s">
        <v>171</v>
      </c>
      <c r="G151" s="14"/>
      <c r="H151" s="82"/>
      <c r="I151" s="73"/>
      <c r="J151" s="73"/>
      <c r="K151" s="74"/>
      <c r="L151" s="74"/>
      <c r="M151" s="83" t="s">
        <v>274</v>
      </c>
      <c r="N151" s="75"/>
      <c r="O151" s="76"/>
      <c r="P151" s="93">
        <f t="shared" si="55"/>
        <v>124</v>
      </c>
      <c r="Q151" s="117">
        <v>3</v>
      </c>
      <c r="R151" s="21" t="str">
        <f t="shared" si="54"/>
        <v>X</v>
      </c>
      <c r="S151" s="96" t="s">
        <v>172</v>
      </c>
      <c r="T151" s="104"/>
      <c r="U151" s="21" t="s">
        <v>226</v>
      </c>
      <c r="V151" s="76"/>
      <c r="W151" s="77">
        <v>3</v>
      </c>
      <c r="X151" s="55" t="s">
        <v>173</v>
      </c>
      <c r="Y151" s="55">
        <v>3</v>
      </c>
      <c r="Z151" s="55">
        <v>3</v>
      </c>
      <c r="AA151" s="73" t="s">
        <v>109</v>
      </c>
      <c r="AB151" s="73" t="s">
        <v>19</v>
      </c>
      <c r="AC151" s="103"/>
      <c r="AD151" s="451"/>
      <c r="AE151" s="452"/>
      <c r="AF151" s="453" t="str">
        <f t="shared" si="60"/>
        <v xml:space="preserve">   </v>
      </c>
      <c r="AG151" s="442" t="str">
        <f t="shared" si="56"/>
        <v>-</v>
      </c>
      <c r="AH151" s="452"/>
      <c r="AI151" s="447" t="s">
        <v>532</v>
      </c>
      <c r="AJ151" s="451"/>
      <c r="AK151" s="452"/>
      <c r="AL151" s="453" t="str">
        <f t="shared" si="61"/>
        <v xml:space="preserve">   </v>
      </c>
      <c r="AM151" s="442" t="str">
        <f t="shared" si="57"/>
        <v>-</v>
      </c>
      <c r="AN151" s="452"/>
      <c r="AO151" s="447" t="s">
        <v>532</v>
      </c>
      <c r="AP151" s="451"/>
      <c r="AQ151" s="452"/>
      <c r="AR151" s="453" t="str">
        <f t="shared" si="62"/>
        <v xml:space="preserve">   </v>
      </c>
      <c r="AS151" s="447" t="s">
        <v>532</v>
      </c>
      <c r="AT151" s="464"/>
      <c r="AU151" s="447" t="s">
        <v>532</v>
      </c>
      <c r="AV151" s="451"/>
      <c r="AW151" s="452"/>
      <c r="AX151" s="453" t="str">
        <f t="shared" si="63"/>
        <v xml:space="preserve">   </v>
      </c>
      <c r="AY151" s="442" t="str">
        <f t="shared" si="58"/>
        <v>-</v>
      </c>
      <c r="AZ151" s="452"/>
      <c r="BA151" s="447" t="s">
        <v>532</v>
      </c>
      <c r="BB151" s="78"/>
      <c r="BC151" s="420"/>
      <c r="BD151" s="79" t="str">
        <f t="shared" si="64"/>
        <v xml:space="preserve">   </v>
      </c>
      <c r="BE151" s="213" t="str">
        <f t="shared" si="59"/>
        <v>-</v>
      </c>
      <c r="BF151" s="378"/>
      <c r="BG151" s="225" t="s">
        <v>215</v>
      </c>
      <c r="BH151" s="78"/>
      <c r="BI151" s="420"/>
      <c r="BJ151" s="79" t="str">
        <f t="shared" si="65"/>
        <v xml:space="preserve">   </v>
      </c>
      <c r="BK151" s="213" t="s">
        <v>215</v>
      </c>
      <c r="BL151" s="378"/>
      <c r="BM151" s="225" t="s">
        <v>215</v>
      </c>
    </row>
    <row r="152" spans="1:65" s="80" customFormat="1" ht="25.5">
      <c r="B152" s="64">
        <f t="shared" si="66"/>
        <v>145</v>
      </c>
      <c r="C152" s="68"/>
      <c r="D152" s="68"/>
      <c r="E152" s="68"/>
      <c r="F152" s="81" t="s">
        <v>174</v>
      </c>
      <c r="G152" s="14"/>
      <c r="H152" s="82"/>
      <c r="I152" s="73"/>
      <c r="J152" s="73"/>
      <c r="K152" s="74"/>
      <c r="L152" s="74"/>
      <c r="M152" s="83" t="s">
        <v>274</v>
      </c>
      <c r="N152" s="75"/>
      <c r="O152" s="76"/>
      <c r="P152" s="93">
        <f>P151+1</f>
        <v>125</v>
      </c>
      <c r="Q152" s="117">
        <v>2</v>
      </c>
      <c r="R152" s="21" t="str">
        <f t="shared" si="54"/>
        <v>X</v>
      </c>
      <c r="S152" s="96" t="s">
        <v>175</v>
      </c>
      <c r="T152" s="104"/>
      <c r="U152" s="21" t="s">
        <v>226</v>
      </c>
      <c r="V152" s="76"/>
      <c r="W152" s="77">
        <v>3</v>
      </c>
      <c r="X152" s="55" t="s">
        <v>176</v>
      </c>
      <c r="Y152" s="55">
        <v>2</v>
      </c>
      <c r="Z152" s="55">
        <v>2</v>
      </c>
      <c r="AA152" s="73" t="s">
        <v>109</v>
      </c>
      <c r="AB152" s="73" t="s">
        <v>19</v>
      </c>
      <c r="AC152" s="103"/>
      <c r="AD152" s="451"/>
      <c r="AE152" s="452"/>
      <c r="AF152" s="453" t="str">
        <f t="shared" si="60"/>
        <v xml:space="preserve">  </v>
      </c>
      <c r="AG152" s="442" t="str">
        <f t="shared" si="56"/>
        <v>-</v>
      </c>
      <c r="AH152" s="452"/>
      <c r="AI152" s="447" t="s">
        <v>532</v>
      </c>
      <c r="AJ152" s="451"/>
      <c r="AK152" s="452"/>
      <c r="AL152" s="453" t="str">
        <f t="shared" si="61"/>
        <v xml:space="preserve">  </v>
      </c>
      <c r="AM152" s="442" t="str">
        <f t="shared" si="57"/>
        <v>-</v>
      </c>
      <c r="AN152" s="452"/>
      <c r="AO152" s="447" t="s">
        <v>532</v>
      </c>
      <c r="AP152" s="451"/>
      <c r="AQ152" s="452"/>
      <c r="AR152" s="453" t="str">
        <f t="shared" si="62"/>
        <v xml:space="preserve">  </v>
      </c>
      <c r="AS152" s="447" t="s">
        <v>532</v>
      </c>
      <c r="AT152" s="464"/>
      <c r="AU152" s="447" t="s">
        <v>532</v>
      </c>
      <c r="AV152" s="451"/>
      <c r="AW152" s="452"/>
      <c r="AX152" s="453" t="str">
        <f t="shared" si="63"/>
        <v xml:space="preserve">  </v>
      </c>
      <c r="AY152" s="442" t="str">
        <f t="shared" si="58"/>
        <v>-</v>
      </c>
      <c r="AZ152" s="452"/>
      <c r="BA152" s="447" t="s">
        <v>532</v>
      </c>
      <c r="BB152" s="78"/>
      <c r="BC152" s="420"/>
      <c r="BD152" s="79" t="str">
        <f t="shared" si="64"/>
        <v xml:space="preserve">  </v>
      </c>
      <c r="BE152" s="213" t="str">
        <f t="shared" si="59"/>
        <v>-</v>
      </c>
      <c r="BF152" s="378"/>
      <c r="BG152" s="225" t="s">
        <v>215</v>
      </c>
      <c r="BH152" s="78"/>
      <c r="BI152" s="420"/>
      <c r="BJ152" s="79" t="str">
        <f t="shared" si="65"/>
        <v xml:space="preserve">  </v>
      </c>
      <c r="BK152" s="213" t="s">
        <v>215</v>
      </c>
      <c r="BL152" s="378"/>
      <c r="BM152" s="225" t="s">
        <v>215</v>
      </c>
    </row>
    <row r="153" spans="1:65" s="80" customFormat="1" ht="51.75" customHeight="1">
      <c r="B153" s="64">
        <f t="shared" si="66"/>
        <v>146</v>
      </c>
      <c r="C153" s="68"/>
      <c r="D153" s="68"/>
      <c r="E153" s="68"/>
      <c r="F153" s="228" t="s">
        <v>177</v>
      </c>
      <c r="G153" s="229"/>
      <c r="H153" s="230"/>
      <c r="I153" s="73"/>
      <c r="J153" s="73"/>
      <c r="K153" s="74"/>
      <c r="L153" s="74"/>
      <c r="M153" s="83" t="s">
        <v>178</v>
      </c>
      <c r="N153" s="75"/>
      <c r="O153" s="76"/>
      <c r="P153" s="93">
        <f>P152+1</f>
        <v>126</v>
      </c>
      <c r="Q153" s="117">
        <v>5</v>
      </c>
      <c r="R153" s="21" t="str">
        <f t="shared" si="54"/>
        <v>X</v>
      </c>
      <c r="S153" s="96" t="s">
        <v>179</v>
      </c>
      <c r="T153" s="104"/>
      <c r="U153" s="21" t="s">
        <v>226</v>
      </c>
      <c r="V153" s="76"/>
      <c r="W153" s="77">
        <v>3</v>
      </c>
      <c r="X153" s="55" t="s">
        <v>262</v>
      </c>
      <c r="Y153" s="55">
        <v>5</v>
      </c>
      <c r="Z153" s="55">
        <v>5</v>
      </c>
      <c r="AA153" s="73" t="s">
        <v>109</v>
      </c>
      <c r="AB153" s="73" t="s">
        <v>19</v>
      </c>
      <c r="AC153" s="84"/>
      <c r="AD153" s="451"/>
      <c r="AE153" s="452"/>
      <c r="AF153" s="453" t="str">
        <f t="shared" si="60"/>
        <v xml:space="preserve">     </v>
      </c>
      <c r="AG153" s="442" t="str">
        <f t="shared" si="56"/>
        <v>-</v>
      </c>
      <c r="AH153" s="452"/>
      <c r="AI153" s="447" t="s">
        <v>532</v>
      </c>
      <c r="AJ153" s="451"/>
      <c r="AK153" s="452"/>
      <c r="AL153" s="453" t="str">
        <f t="shared" si="61"/>
        <v xml:space="preserve">     </v>
      </c>
      <c r="AM153" s="442" t="str">
        <f t="shared" si="57"/>
        <v>-</v>
      </c>
      <c r="AN153" s="452"/>
      <c r="AO153" s="447" t="s">
        <v>532</v>
      </c>
      <c r="AP153" s="451"/>
      <c r="AQ153" s="452"/>
      <c r="AR153" s="453" t="str">
        <f t="shared" si="62"/>
        <v xml:space="preserve">     </v>
      </c>
      <c r="AS153" s="447" t="s">
        <v>532</v>
      </c>
      <c r="AT153" s="464"/>
      <c r="AU153" s="447" t="s">
        <v>532</v>
      </c>
      <c r="AV153" s="451"/>
      <c r="AW153" s="452"/>
      <c r="AX153" s="453" t="str">
        <f t="shared" si="63"/>
        <v xml:space="preserve">     </v>
      </c>
      <c r="AY153" s="442" t="str">
        <f t="shared" si="58"/>
        <v>-</v>
      </c>
      <c r="AZ153" s="452"/>
      <c r="BA153" s="447" t="s">
        <v>532</v>
      </c>
      <c r="BB153" s="78"/>
      <c r="BC153" s="420"/>
      <c r="BD153" s="79" t="str">
        <f t="shared" si="64"/>
        <v xml:space="preserve">     </v>
      </c>
      <c r="BE153" s="213" t="str">
        <f t="shared" si="59"/>
        <v>-</v>
      </c>
      <c r="BF153" s="378"/>
      <c r="BG153" s="225" t="s">
        <v>215</v>
      </c>
      <c r="BH153" s="78"/>
      <c r="BI153" s="420"/>
      <c r="BJ153" s="79" t="str">
        <f t="shared" si="65"/>
        <v xml:space="preserve">     </v>
      </c>
      <c r="BK153" s="213" t="s">
        <v>215</v>
      </c>
      <c r="BL153" s="382"/>
      <c r="BM153" s="225" t="s">
        <v>215</v>
      </c>
    </row>
    <row r="154" spans="1:65" s="80" customFormat="1" ht="51.75" customHeight="1">
      <c r="B154" s="64">
        <f t="shared" si="66"/>
        <v>147</v>
      </c>
      <c r="C154" s="68"/>
      <c r="D154" s="68"/>
      <c r="E154" s="68"/>
      <c r="F154" s="228" t="s">
        <v>180</v>
      </c>
      <c r="G154" s="229"/>
      <c r="H154" s="230"/>
      <c r="I154" s="73"/>
      <c r="J154" s="73"/>
      <c r="K154" s="74"/>
      <c r="L154" s="74"/>
      <c r="M154" s="83" t="s">
        <v>181</v>
      </c>
      <c r="N154" s="75"/>
      <c r="O154" s="76"/>
      <c r="P154" s="93">
        <f>P153+1</f>
        <v>127</v>
      </c>
      <c r="Q154" s="117">
        <v>64</v>
      </c>
      <c r="R154" s="21" t="str">
        <f>IF(AA154="M","NX",AA154)</f>
        <v>NX</v>
      </c>
      <c r="S154" s="96" t="s">
        <v>182</v>
      </c>
      <c r="T154" s="104"/>
      <c r="U154" s="21" t="s">
        <v>226</v>
      </c>
      <c r="V154" s="76" t="s">
        <v>263</v>
      </c>
      <c r="W154" s="77">
        <v>3</v>
      </c>
      <c r="X154" s="55" t="s">
        <v>264</v>
      </c>
      <c r="Y154" s="55">
        <v>1</v>
      </c>
      <c r="Z154" s="55">
        <v>64</v>
      </c>
      <c r="AA154" s="73" t="s">
        <v>252</v>
      </c>
      <c r="AB154" s="73" t="s">
        <v>19</v>
      </c>
      <c r="AC154" s="84" t="s">
        <v>263</v>
      </c>
      <c r="AD154" s="451"/>
      <c r="AE154" s="452"/>
      <c r="AF154" s="453" t="str">
        <f t="shared" si="60"/>
        <v xml:space="preserve">                                                                </v>
      </c>
      <c r="AG154" s="442" t="str">
        <f t="shared" si="56"/>
        <v>-</v>
      </c>
      <c r="AH154" s="452"/>
      <c r="AI154" s="447" t="s">
        <v>532</v>
      </c>
      <c r="AJ154" s="451"/>
      <c r="AK154" s="452"/>
      <c r="AL154" s="453" t="str">
        <f t="shared" si="61"/>
        <v xml:space="preserve">                                                                </v>
      </c>
      <c r="AM154" s="442" t="str">
        <f t="shared" si="57"/>
        <v>-</v>
      </c>
      <c r="AN154" s="452"/>
      <c r="AO154" s="447" t="s">
        <v>532</v>
      </c>
      <c r="AP154" s="451"/>
      <c r="AQ154" s="452"/>
      <c r="AR154" s="453" t="str">
        <f t="shared" si="62"/>
        <v xml:space="preserve">                                                                </v>
      </c>
      <c r="AS154" s="447" t="s">
        <v>532</v>
      </c>
      <c r="AT154" s="464"/>
      <c r="AU154" s="447" t="s">
        <v>532</v>
      </c>
      <c r="AV154" s="451"/>
      <c r="AW154" s="452"/>
      <c r="AX154" s="453" t="str">
        <f t="shared" si="63"/>
        <v xml:space="preserve">                                                                </v>
      </c>
      <c r="AY154" s="442" t="str">
        <f t="shared" si="58"/>
        <v>-</v>
      </c>
      <c r="AZ154" s="452"/>
      <c r="BA154" s="447" t="s">
        <v>532</v>
      </c>
      <c r="BB154" s="78"/>
      <c r="BC154" s="420"/>
      <c r="BD154" s="79" t="str">
        <f t="shared" si="64"/>
        <v xml:space="preserve">                                                                </v>
      </c>
      <c r="BE154" s="213" t="str">
        <f t="shared" si="59"/>
        <v>-</v>
      </c>
      <c r="BF154" s="378"/>
      <c r="BG154" s="225" t="s">
        <v>215</v>
      </c>
      <c r="BH154" s="78"/>
      <c r="BI154" s="420"/>
      <c r="BJ154" s="79" t="str">
        <f t="shared" si="65"/>
        <v xml:space="preserve">                                                                </v>
      </c>
      <c r="BK154" s="213" t="s">
        <v>215</v>
      </c>
      <c r="BL154" s="382"/>
      <c r="BM154" s="225" t="s">
        <v>215</v>
      </c>
    </row>
    <row r="155" spans="1:65" s="80" customFormat="1" ht="92.25" customHeight="1">
      <c r="B155" s="64">
        <f t="shared" si="66"/>
        <v>148</v>
      </c>
      <c r="C155" s="68"/>
      <c r="D155" s="68"/>
      <c r="E155" s="68"/>
      <c r="F155" s="81" t="s">
        <v>276</v>
      </c>
      <c r="G155" s="14"/>
      <c r="H155" s="82"/>
      <c r="I155" s="73"/>
      <c r="J155" s="73"/>
      <c r="K155" s="74"/>
      <c r="L155" s="74"/>
      <c r="M155" s="415" t="s">
        <v>207</v>
      </c>
      <c r="N155" s="75"/>
      <c r="O155" s="76"/>
      <c r="P155" s="93">
        <f>P154+1</f>
        <v>128</v>
      </c>
      <c r="Q155" s="117">
        <v>7</v>
      </c>
      <c r="R155" s="21" t="s">
        <v>229</v>
      </c>
      <c r="S155" s="96" t="s">
        <v>265</v>
      </c>
      <c r="T155" s="104"/>
      <c r="U155" s="21" t="s">
        <v>226</v>
      </c>
      <c r="V155" s="76"/>
      <c r="W155" s="77">
        <v>3</v>
      </c>
      <c r="X155" s="55" t="s">
        <v>266</v>
      </c>
      <c r="Y155" s="55">
        <v>7</v>
      </c>
      <c r="Z155" s="55">
        <v>7</v>
      </c>
      <c r="AA155" s="73" t="s">
        <v>229</v>
      </c>
      <c r="AB155" s="73" t="s">
        <v>19</v>
      </c>
      <c r="AC155" s="84"/>
      <c r="AD155" s="451"/>
      <c r="AE155" s="452"/>
      <c r="AF155" s="453" t="str">
        <f t="shared" si="60"/>
        <v xml:space="preserve">       </v>
      </c>
      <c r="AG155" s="442" t="str">
        <f t="shared" si="56"/>
        <v>-</v>
      </c>
      <c r="AH155" s="452"/>
      <c r="AI155" s="447" t="s">
        <v>532</v>
      </c>
      <c r="AJ155" s="451"/>
      <c r="AK155" s="452"/>
      <c r="AL155" s="453" t="str">
        <f t="shared" si="61"/>
        <v xml:space="preserve">       </v>
      </c>
      <c r="AM155" s="442" t="str">
        <f t="shared" si="57"/>
        <v>-</v>
      </c>
      <c r="AN155" s="452"/>
      <c r="AO155" s="447" t="s">
        <v>532</v>
      </c>
      <c r="AP155" s="451"/>
      <c r="AQ155" s="452"/>
      <c r="AR155" s="453" t="str">
        <f t="shared" si="62"/>
        <v xml:space="preserve">       </v>
      </c>
      <c r="AS155" s="447" t="s">
        <v>532</v>
      </c>
      <c r="AT155" s="464"/>
      <c r="AU155" s="447" t="s">
        <v>532</v>
      </c>
      <c r="AV155" s="451"/>
      <c r="AW155" s="452"/>
      <c r="AX155" s="453" t="str">
        <f t="shared" si="63"/>
        <v xml:space="preserve">       </v>
      </c>
      <c r="AY155" s="442" t="str">
        <f t="shared" si="58"/>
        <v>-</v>
      </c>
      <c r="AZ155" s="452"/>
      <c r="BA155" s="447" t="s">
        <v>532</v>
      </c>
      <c r="BB155" s="78"/>
      <c r="BC155" s="420"/>
      <c r="BD155" s="79" t="str">
        <f t="shared" si="64"/>
        <v xml:space="preserve">       </v>
      </c>
      <c r="BE155" s="213" t="str">
        <f t="shared" si="59"/>
        <v>-</v>
      </c>
      <c r="BF155" s="378"/>
      <c r="BG155" s="225" t="s">
        <v>215</v>
      </c>
      <c r="BH155" s="78"/>
      <c r="BI155" s="420"/>
      <c r="BJ155" s="79" t="str">
        <f t="shared" si="65"/>
        <v xml:space="preserve">       </v>
      </c>
      <c r="BK155" s="213" t="s">
        <v>215</v>
      </c>
      <c r="BL155" s="378"/>
      <c r="BM155" s="225" t="s">
        <v>215</v>
      </c>
    </row>
    <row r="156" spans="1:65" s="80" customFormat="1" ht="127.9" thickBot="1">
      <c r="A156" s="216"/>
      <c r="B156" s="231">
        <f t="shared" si="66"/>
        <v>149</v>
      </c>
      <c r="C156" s="232"/>
      <c r="D156" s="232"/>
      <c r="E156" s="232"/>
      <c r="F156" s="234" t="s">
        <v>267</v>
      </c>
      <c r="G156" s="235"/>
      <c r="H156" s="236"/>
      <c r="I156" s="237"/>
      <c r="J156" s="237"/>
      <c r="K156" s="237"/>
      <c r="L156" s="237"/>
      <c r="M156" s="416" t="s">
        <v>277</v>
      </c>
      <c r="N156" s="417"/>
      <c r="O156" s="419"/>
      <c r="P156" s="429">
        <f>P155+1</f>
        <v>129</v>
      </c>
      <c r="Q156" s="430">
        <v>1</v>
      </c>
      <c r="R156" s="431">
        <v>9</v>
      </c>
      <c r="S156" s="430" t="s">
        <v>268</v>
      </c>
      <c r="T156" s="430"/>
      <c r="U156" s="431" t="s">
        <v>226</v>
      </c>
      <c r="V156" s="432"/>
      <c r="W156" s="433" t="str">
        <f>IF(C156&lt;&gt;"","0",IF(D156&lt;&gt;"","1",IF(E156&lt;&gt;"","2",IF(F156&lt;&gt;"","3",IF(G156&lt;&gt;"","4",IF(H156&lt;&gt;"","5"))))))</f>
        <v>3</v>
      </c>
      <c r="X156" s="434" t="s">
        <v>269</v>
      </c>
      <c r="Y156" s="434">
        <v>1</v>
      </c>
      <c r="Z156" s="434">
        <v>1</v>
      </c>
      <c r="AA156" s="435">
        <v>9</v>
      </c>
      <c r="AB156" s="237" t="s">
        <v>226</v>
      </c>
      <c r="AC156" s="436"/>
      <c r="AD156" s="454"/>
      <c r="AE156" s="455"/>
      <c r="AF156" s="456" t="str">
        <f t="shared" si="60"/>
        <v xml:space="preserve"> </v>
      </c>
      <c r="AG156" s="457" t="str">
        <f t="shared" si="56"/>
        <v>-</v>
      </c>
      <c r="AH156" s="455"/>
      <c r="AI156" s="458" t="s">
        <v>532</v>
      </c>
      <c r="AJ156" s="454"/>
      <c r="AK156" s="455"/>
      <c r="AL156" s="456" t="str">
        <f t="shared" si="61"/>
        <v xml:space="preserve"> </v>
      </c>
      <c r="AM156" s="457" t="str">
        <f t="shared" si="57"/>
        <v>-</v>
      </c>
      <c r="AN156" s="455"/>
      <c r="AO156" s="458" t="s">
        <v>532</v>
      </c>
      <c r="AP156" s="454"/>
      <c r="AQ156" s="455"/>
      <c r="AR156" s="456" t="str">
        <f t="shared" si="62"/>
        <v xml:space="preserve"> </v>
      </c>
      <c r="AS156" s="457" t="s">
        <v>532</v>
      </c>
      <c r="AT156" s="465"/>
      <c r="AU156" s="458" t="s">
        <v>532</v>
      </c>
      <c r="AV156" s="454"/>
      <c r="AW156" s="455"/>
      <c r="AX156" s="456" t="str">
        <f t="shared" si="63"/>
        <v xml:space="preserve"> </v>
      </c>
      <c r="AY156" s="457" t="str">
        <f t="shared" si="58"/>
        <v>-</v>
      </c>
      <c r="AZ156" s="455"/>
      <c r="BA156" s="458" t="s">
        <v>532</v>
      </c>
      <c r="BB156" s="211"/>
      <c r="BC156" s="422"/>
      <c r="BD156" s="212" t="str">
        <f t="shared" si="64"/>
        <v xml:space="preserve"> </v>
      </c>
      <c r="BE156" s="226" t="str">
        <f t="shared" si="59"/>
        <v>-</v>
      </c>
      <c r="BF156" s="352"/>
      <c r="BG156" s="403" t="s">
        <v>215</v>
      </c>
      <c r="BH156" s="211"/>
      <c r="BI156" s="422"/>
      <c r="BJ156" s="212" t="str">
        <f t="shared" si="65"/>
        <v xml:space="preserve"> </v>
      </c>
      <c r="BK156" s="226" t="s">
        <v>215</v>
      </c>
      <c r="BL156" s="352"/>
      <c r="BM156" s="403" t="s">
        <v>215</v>
      </c>
    </row>
    <row r="157" spans="1:65" s="26" customFormat="1" ht="18.75" customHeight="1" thickTop="1">
      <c r="B157" s="2">
        <f t="shared" si="66"/>
        <v>150</v>
      </c>
      <c r="C157" s="7"/>
      <c r="D157" s="7"/>
      <c r="E157" s="100" t="s">
        <v>482</v>
      </c>
      <c r="F157" s="410"/>
      <c r="G157" s="410"/>
      <c r="H157" s="61"/>
      <c r="I157" s="8" t="s">
        <v>29</v>
      </c>
      <c r="J157" s="8" t="s">
        <v>446</v>
      </c>
      <c r="K157" s="8"/>
      <c r="L157" s="8"/>
      <c r="M157" s="1" t="s">
        <v>272</v>
      </c>
      <c r="N157" s="9"/>
      <c r="O157" s="423"/>
      <c r="P157" s="93"/>
      <c r="Q157" s="113"/>
      <c r="R157" s="21"/>
      <c r="S157" s="424"/>
      <c r="T157" s="9"/>
      <c r="U157" s="21"/>
      <c r="V157" s="98"/>
      <c r="W157" s="25" t="str">
        <f>IF(C157&lt;&gt;"","0",IF(D157&lt;&gt;"","1",IF(E157&lt;&gt;"","2",IF(F157&lt;&gt;"","3",IF(G157&lt;&gt;"","4",IF(H157&lt;&gt;"","5"))))))</f>
        <v>2</v>
      </c>
      <c r="X157" s="1" t="s">
        <v>117</v>
      </c>
      <c r="Y157" s="1"/>
      <c r="Z157" s="1"/>
      <c r="AA157" s="8"/>
      <c r="AB157" s="8" t="s">
        <v>480</v>
      </c>
      <c r="AC157" s="62"/>
      <c r="AD157" s="444"/>
      <c r="AE157" s="440"/>
      <c r="AF157" s="440" t="str">
        <f t="shared" si="60"/>
        <v/>
      </c>
      <c r="AG157" s="442" t="str">
        <f t="shared" si="56"/>
        <v>-</v>
      </c>
      <c r="AH157" s="440"/>
      <c r="AI157" s="448" t="s">
        <v>532</v>
      </c>
      <c r="AJ157" s="444"/>
      <c r="AK157" s="440"/>
      <c r="AL157" s="440" t="str">
        <f t="shared" si="61"/>
        <v/>
      </c>
      <c r="AM157" s="442" t="str">
        <f t="shared" si="57"/>
        <v>-</v>
      </c>
      <c r="AN157" s="440"/>
      <c r="AO157" s="448" t="s">
        <v>532</v>
      </c>
      <c r="AP157" s="444"/>
      <c r="AQ157" s="440"/>
      <c r="AR157" s="440" t="str">
        <f t="shared" si="62"/>
        <v/>
      </c>
      <c r="AS157" s="442" t="s">
        <v>532</v>
      </c>
      <c r="AT157" s="462"/>
      <c r="AU157" s="448" t="s">
        <v>532</v>
      </c>
      <c r="AV157" s="444"/>
      <c r="AW157" s="440"/>
      <c r="AX157" s="440" t="str">
        <f t="shared" si="63"/>
        <v/>
      </c>
      <c r="AY157" s="442" t="str">
        <f t="shared" si="58"/>
        <v>-</v>
      </c>
      <c r="AZ157" s="440"/>
      <c r="BA157" s="448" t="s">
        <v>532</v>
      </c>
      <c r="BB157" s="59"/>
      <c r="BC157" s="60"/>
      <c r="BD157" s="60" t="str">
        <f t="shared" si="64"/>
        <v/>
      </c>
      <c r="BE157" s="213" t="str">
        <f t="shared" si="59"/>
        <v>-</v>
      </c>
      <c r="BF157" s="167"/>
      <c r="BG157" s="405" t="s">
        <v>215</v>
      </c>
      <c r="BH157" s="59"/>
      <c r="BI157" s="60"/>
      <c r="BJ157" s="60" t="str">
        <f t="shared" si="65"/>
        <v/>
      </c>
      <c r="BK157" s="260" t="s">
        <v>215</v>
      </c>
      <c r="BL157" s="167"/>
      <c r="BM157" s="405" t="s">
        <v>215</v>
      </c>
    </row>
    <row r="158" spans="1:65" s="26" customFormat="1" ht="63.75">
      <c r="B158" s="2">
        <f t="shared" si="66"/>
        <v>151</v>
      </c>
      <c r="C158" s="127"/>
      <c r="D158" s="7"/>
      <c r="E158" s="7"/>
      <c r="F158" s="110" t="s">
        <v>87</v>
      </c>
      <c r="G158" s="16"/>
      <c r="H158" s="13"/>
      <c r="I158" s="6"/>
      <c r="J158" s="6"/>
      <c r="K158" s="6"/>
      <c r="L158" s="8"/>
      <c r="M158" s="23" t="s">
        <v>248</v>
      </c>
      <c r="N158" s="1"/>
      <c r="O158" s="56"/>
      <c r="P158" s="93">
        <f>P156+1</f>
        <v>130</v>
      </c>
      <c r="Q158" s="115">
        <v>2</v>
      </c>
      <c r="R158" s="21" t="str">
        <f>IF(AA158="M","NX",AA158)</f>
        <v>X</v>
      </c>
      <c r="S158" s="96" t="s">
        <v>483</v>
      </c>
      <c r="T158" s="94"/>
      <c r="U158" s="21" t="s">
        <v>480</v>
      </c>
      <c r="V158" s="116" t="s">
        <v>189</v>
      </c>
      <c r="W158" s="25" t="str">
        <f>IF(C158&lt;&gt;"","0",IF(D158&lt;&gt;"","1",IF(E158&lt;&gt;"","2",IF(F158&lt;&gt;"","3",IF(G158&lt;&gt;"","4",IF(H158&lt;&gt;"","5"))))))</f>
        <v>3</v>
      </c>
      <c r="X158" s="5" t="s">
        <v>484</v>
      </c>
      <c r="Y158" s="57">
        <v>2</v>
      </c>
      <c r="Z158" s="57">
        <v>2</v>
      </c>
      <c r="AA158" s="58" t="s">
        <v>109</v>
      </c>
      <c r="AB158" s="58" t="s">
        <v>19</v>
      </c>
      <c r="AC158" s="12"/>
      <c r="AD158" s="444"/>
      <c r="AE158" s="445"/>
      <c r="AF158" s="446" t="str">
        <f t="shared" si="60"/>
        <v xml:space="preserve">  </v>
      </c>
      <c r="AG158" s="442" t="str">
        <f t="shared" si="56"/>
        <v>-</v>
      </c>
      <c r="AH158" s="445"/>
      <c r="AI158" s="447" t="s">
        <v>532</v>
      </c>
      <c r="AJ158" s="444"/>
      <c r="AK158" s="445"/>
      <c r="AL158" s="446" t="str">
        <f t="shared" si="61"/>
        <v xml:space="preserve">  </v>
      </c>
      <c r="AM158" s="442" t="str">
        <f t="shared" si="57"/>
        <v>-</v>
      </c>
      <c r="AN158" s="445"/>
      <c r="AO158" s="447" t="s">
        <v>532</v>
      </c>
      <c r="AP158" s="444"/>
      <c r="AQ158" s="445"/>
      <c r="AR158" s="446" t="str">
        <f t="shared" si="62"/>
        <v xml:space="preserve">  </v>
      </c>
      <c r="AS158" s="447" t="s">
        <v>532</v>
      </c>
      <c r="AT158" s="463"/>
      <c r="AU158" s="447" t="s">
        <v>532</v>
      </c>
      <c r="AV158" s="444"/>
      <c r="AW158" s="445"/>
      <c r="AX158" s="446" t="str">
        <f t="shared" si="63"/>
        <v xml:space="preserve">  </v>
      </c>
      <c r="AY158" s="442" t="str">
        <f t="shared" si="58"/>
        <v>-</v>
      </c>
      <c r="AZ158" s="445"/>
      <c r="BA158" s="447" t="s">
        <v>532</v>
      </c>
      <c r="BB158" s="59"/>
      <c r="BC158" s="223"/>
      <c r="BD158" s="254" t="str">
        <f t="shared" si="64"/>
        <v xml:space="preserve">  </v>
      </c>
      <c r="BE158" s="213" t="str">
        <f t="shared" si="59"/>
        <v>-</v>
      </c>
      <c r="BF158" s="172"/>
      <c r="BG158" s="225" t="s">
        <v>215</v>
      </c>
      <c r="BH158" s="59"/>
      <c r="BI158" s="223"/>
      <c r="BJ158" s="254" t="str">
        <f t="shared" si="65"/>
        <v xml:space="preserve">  </v>
      </c>
      <c r="BK158" s="213" t="s">
        <v>215</v>
      </c>
      <c r="BL158" s="172"/>
      <c r="BM158" s="225" t="s">
        <v>215</v>
      </c>
    </row>
    <row r="159" spans="1:65" s="26" customFormat="1" ht="344.25">
      <c r="B159" s="2">
        <f t="shared" si="66"/>
        <v>152</v>
      </c>
      <c r="C159" s="7"/>
      <c r="D159" s="7"/>
      <c r="E159" s="7"/>
      <c r="F159" s="110" t="s">
        <v>304</v>
      </c>
      <c r="G159" s="16"/>
      <c r="H159" s="13"/>
      <c r="I159" s="8"/>
      <c r="J159" s="8" t="s">
        <v>231</v>
      </c>
      <c r="K159" s="8"/>
      <c r="L159" s="8"/>
      <c r="M159" s="355" t="s">
        <v>478</v>
      </c>
      <c r="N159" s="11"/>
      <c r="O159" s="56"/>
      <c r="P159" s="93">
        <f>P158+1</f>
        <v>131</v>
      </c>
      <c r="Q159" s="113">
        <v>2</v>
      </c>
      <c r="R159" s="21" t="str">
        <f t="shared" ref="R159:R183" si="67">IF(AA159="M","NX",AA159)</f>
        <v>X</v>
      </c>
      <c r="S159" s="96" t="s">
        <v>310</v>
      </c>
      <c r="T159" s="94"/>
      <c r="U159" s="21" t="s">
        <v>226</v>
      </c>
      <c r="V159" s="10"/>
      <c r="W159" s="25">
        <v>3</v>
      </c>
      <c r="X159" s="1" t="s">
        <v>243</v>
      </c>
      <c r="Y159" s="1">
        <v>2</v>
      </c>
      <c r="Z159" s="1">
        <v>2</v>
      </c>
      <c r="AA159" s="8" t="s">
        <v>109</v>
      </c>
      <c r="AB159" s="8" t="s">
        <v>19</v>
      </c>
      <c r="AC159" s="12"/>
      <c r="AD159" s="444"/>
      <c r="AE159" s="445"/>
      <c r="AF159" s="446" t="str">
        <f t="shared" si="60"/>
        <v xml:space="preserve">  </v>
      </c>
      <c r="AG159" s="442" t="str">
        <f t="shared" si="56"/>
        <v>-</v>
      </c>
      <c r="AH159" s="445"/>
      <c r="AI159" s="448" t="s">
        <v>532</v>
      </c>
      <c r="AJ159" s="444"/>
      <c r="AK159" s="445"/>
      <c r="AL159" s="446" t="str">
        <f t="shared" si="61"/>
        <v xml:space="preserve">  </v>
      </c>
      <c r="AM159" s="442" t="str">
        <f t="shared" si="57"/>
        <v>-</v>
      </c>
      <c r="AN159" s="445"/>
      <c r="AO159" s="448" t="s">
        <v>532</v>
      </c>
      <c r="AP159" s="444"/>
      <c r="AQ159" s="445"/>
      <c r="AR159" s="446" t="str">
        <f t="shared" si="62"/>
        <v xml:space="preserve">  </v>
      </c>
      <c r="AS159" s="442" t="s">
        <v>532</v>
      </c>
      <c r="AT159" s="463"/>
      <c r="AU159" s="448" t="s">
        <v>532</v>
      </c>
      <c r="AV159" s="444"/>
      <c r="AW159" s="445"/>
      <c r="AX159" s="446" t="str">
        <f t="shared" si="63"/>
        <v xml:space="preserve">  </v>
      </c>
      <c r="AY159" s="442" t="str">
        <f t="shared" si="58"/>
        <v>-</v>
      </c>
      <c r="AZ159" s="445"/>
      <c r="BA159" s="448" t="s">
        <v>532</v>
      </c>
      <c r="BB159" s="59"/>
      <c r="BC159" s="223"/>
      <c r="BD159" s="254" t="str">
        <f t="shared" si="64"/>
        <v>A1</v>
      </c>
      <c r="BE159" s="213" t="str">
        <f t="shared" si="59"/>
        <v>-</v>
      </c>
      <c r="BF159" s="172" t="s">
        <v>185</v>
      </c>
      <c r="BG159" s="405" t="str">
        <f>IF(OR(BC$8="判定対象外",BF$8="判定対象外",BF159="-"),"-",IF(BC159=BF159,"OK","NG"))</f>
        <v>NG</v>
      </c>
      <c r="BH159" s="59"/>
      <c r="BI159" s="223"/>
      <c r="BJ159" s="254" t="str">
        <f t="shared" si="65"/>
        <v>B0</v>
      </c>
      <c r="BK159" s="213" t="str">
        <f>IF(OR(BI$8="判定対象外",BJ$8="判定対象外",BJ159="-"),"-",IF(BI159=BJ159,"OK","NG"))</f>
        <v>NG</v>
      </c>
      <c r="BL159" s="172" t="s">
        <v>574</v>
      </c>
      <c r="BM159" s="405" t="str">
        <f>IF(OR(BI$8="判定対象外",BL$8="判定対象外",BL159="-"),"-",IF(BI159=BL159,"OK","NG"))</f>
        <v>NG</v>
      </c>
    </row>
    <row r="160" spans="1:65" s="26" customFormat="1">
      <c r="B160" s="2">
        <f t="shared" si="66"/>
        <v>153</v>
      </c>
      <c r="C160" s="7"/>
      <c r="D160" s="7"/>
      <c r="E160" s="7"/>
      <c r="F160" s="22" t="s">
        <v>273</v>
      </c>
      <c r="G160" s="16"/>
      <c r="H160" s="13"/>
      <c r="I160" s="8"/>
      <c r="J160" s="8"/>
      <c r="K160" s="8"/>
      <c r="L160" s="8"/>
      <c r="M160" s="358" t="s">
        <v>205</v>
      </c>
      <c r="N160" s="11"/>
      <c r="O160" s="56"/>
      <c r="P160" s="93">
        <f t="shared" ref="P160:P181" si="68">P159+1</f>
        <v>132</v>
      </c>
      <c r="Q160" s="113">
        <v>2</v>
      </c>
      <c r="R160" s="21" t="str">
        <f t="shared" si="67"/>
        <v>X</v>
      </c>
      <c r="S160" s="96" t="s">
        <v>118</v>
      </c>
      <c r="T160" s="94"/>
      <c r="U160" s="21" t="s">
        <v>226</v>
      </c>
      <c r="V160" s="10"/>
      <c r="W160" s="25">
        <v>3</v>
      </c>
      <c r="X160" s="1" t="s">
        <v>119</v>
      </c>
      <c r="Y160" s="1">
        <v>2</v>
      </c>
      <c r="Z160" s="1">
        <v>2</v>
      </c>
      <c r="AA160" s="8" t="s">
        <v>109</v>
      </c>
      <c r="AB160" s="8" t="s">
        <v>19</v>
      </c>
      <c r="AC160" s="12"/>
      <c r="AD160" s="444"/>
      <c r="AE160" s="440"/>
      <c r="AF160" s="440" t="str">
        <f t="shared" si="60"/>
        <v xml:space="preserve">  </v>
      </c>
      <c r="AG160" s="442" t="str">
        <f t="shared" si="56"/>
        <v>-</v>
      </c>
      <c r="AH160" s="440"/>
      <c r="AI160" s="447" t="s">
        <v>532</v>
      </c>
      <c r="AJ160" s="444"/>
      <c r="AK160" s="440"/>
      <c r="AL160" s="440" t="str">
        <f t="shared" si="61"/>
        <v xml:space="preserve">  </v>
      </c>
      <c r="AM160" s="442" t="str">
        <f t="shared" si="57"/>
        <v>-</v>
      </c>
      <c r="AN160" s="440"/>
      <c r="AO160" s="447" t="s">
        <v>532</v>
      </c>
      <c r="AP160" s="444"/>
      <c r="AQ160" s="440"/>
      <c r="AR160" s="440" t="str">
        <f t="shared" si="62"/>
        <v xml:space="preserve">  </v>
      </c>
      <c r="AS160" s="447" t="s">
        <v>532</v>
      </c>
      <c r="AT160" s="462"/>
      <c r="AU160" s="447" t="s">
        <v>532</v>
      </c>
      <c r="AV160" s="444"/>
      <c r="AW160" s="440"/>
      <c r="AX160" s="440" t="str">
        <f t="shared" si="63"/>
        <v xml:space="preserve">  </v>
      </c>
      <c r="AY160" s="442" t="str">
        <f t="shared" si="58"/>
        <v>-</v>
      </c>
      <c r="AZ160" s="440"/>
      <c r="BA160" s="447" t="s">
        <v>532</v>
      </c>
      <c r="BB160" s="59"/>
      <c r="BC160" s="60"/>
      <c r="BD160" s="60" t="str">
        <f t="shared" si="64"/>
        <v xml:space="preserve">  </v>
      </c>
      <c r="BE160" s="213" t="str">
        <f t="shared" si="59"/>
        <v>-</v>
      </c>
      <c r="BF160" s="167"/>
      <c r="BG160" s="225" t="s">
        <v>215</v>
      </c>
      <c r="BH160" s="59"/>
      <c r="BI160" s="60"/>
      <c r="BJ160" s="60" t="str">
        <f t="shared" si="65"/>
        <v xml:space="preserve">  </v>
      </c>
      <c r="BK160" s="213" t="s">
        <v>215</v>
      </c>
      <c r="BL160" s="167"/>
      <c r="BM160" s="225" t="s">
        <v>215</v>
      </c>
    </row>
    <row r="161" spans="2:65" s="26" customFormat="1">
      <c r="B161" s="2">
        <f t="shared" si="66"/>
        <v>154</v>
      </c>
      <c r="C161" s="7"/>
      <c r="D161" s="7"/>
      <c r="E161" s="7"/>
      <c r="F161" s="22" t="s">
        <v>120</v>
      </c>
      <c r="G161" s="16"/>
      <c r="H161" s="13"/>
      <c r="I161" s="8"/>
      <c r="J161" s="8" t="s">
        <v>231</v>
      </c>
      <c r="K161" s="8"/>
      <c r="L161" s="8"/>
      <c r="M161" s="1" t="s">
        <v>121</v>
      </c>
      <c r="N161" s="1"/>
      <c r="O161" s="56"/>
      <c r="P161" s="93">
        <f t="shared" si="68"/>
        <v>133</v>
      </c>
      <c r="Q161" s="113">
        <v>255</v>
      </c>
      <c r="R161" s="21" t="str">
        <f t="shared" si="67"/>
        <v>NX</v>
      </c>
      <c r="S161" s="96" t="s">
        <v>122</v>
      </c>
      <c r="T161" s="94"/>
      <c r="U161" s="21" t="s">
        <v>226</v>
      </c>
      <c r="V161" s="10"/>
      <c r="W161" s="25">
        <v>3</v>
      </c>
      <c r="X161" s="1" t="s">
        <v>250</v>
      </c>
      <c r="Y161" s="1">
        <v>1</v>
      </c>
      <c r="Z161" s="1">
        <v>255</v>
      </c>
      <c r="AA161" s="8" t="s">
        <v>123</v>
      </c>
      <c r="AB161" s="8" t="s">
        <v>19</v>
      </c>
      <c r="AC161" s="12"/>
      <c r="AD161" s="444"/>
      <c r="AE161" s="445"/>
      <c r="AF161" s="445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61" s="442" t="str">
        <f t="shared" si="56"/>
        <v>-</v>
      </c>
      <c r="AH161" s="445"/>
      <c r="AI161" s="447" t="s">
        <v>532</v>
      </c>
      <c r="AJ161" s="444"/>
      <c r="AK161" s="445"/>
      <c r="AL161" s="445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61" s="442" t="str">
        <f t="shared" si="57"/>
        <v>-</v>
      </c>
      <c r="AN161" s="445"/>
      <c r="AO161" s="447" t="s">
        <v>532</v>
      </c>
      <c r="AP161" s="444"/>
      <c r="AQ161" s="445"/>
      <c r="AR161" s="445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61" s="447" t="s">
        <v>532</v>
      </c>
      <c r="AT161" s="463"/>
      <c r="AU161" s="447" t="s">
        <v>532</v>
      </c>
      <c r="AV161" s="444"/>
      <c r="AW161" s="445"/>
      <c r="AX161" s="445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61" s="442" t="str">
        <f t="shared" si="58"/>
        <v>-</v>
      </c>
      <c r="AZ161" s="445"/>
      <c r="BA161" s="447" t="s">
        <v>532</v>
      </c>
      <c r="BB161" s="59"/>
      <c r="BC161" s="223"/>
      <c r="BD161" s="223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61" s="213" t="str">
        <f t="shared" si="59"/>
        <v>-</v>
      </c>
      <c r="BF161" s="172"/>
      <c r="BG161" s="225" t="s">
        <v>215</v>
      </c>
      <c r="BH161" s="59"/>
      <c r="BI161" s="223"/>
      <c r="BJ161" s="223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61" s="213" t="s">
        <v>215</v>
      </c>
      <c r="BL161" s="172"/>
      <c r="BM161" s="225" t="s">
        <v>215</v>
      </c>
    </row>
    <row r="162" spans="2:65" s="26" customFormat="1">
      <c r="B162" s="19">
        <f t="shared" si="66"/>
        <v>155</v>
      </c>
      <c r="C162" s="7"/>
      <c r="D162" s="7"/>
      <c r="E162" s="7"/>
      <c r="F162" s="3" t="s">
        <v>124</v>
      </c>
      <c r="G162" s="3"/>
      <c r="H162" s="4"/>
      <c r="I162" s="6"/>
      <c r="J162" s="6"/>
      <c r="K162" s="6"/>
      <c r="L162" s="6"/>
      <c r="M162" s="23" t="s">
        <v>125</v>
      </c>
      <c r="N162" s="5"/>
      <c r="O162" s="54"/>
      <c r="P162" s="93">
        <f t="shared" si="68"/>
        <v>134</v>
      </c>
      <c r="Q162" s="114">
        <v>256</v>
      </c>
      <c r="R162" s="21" t="str">
        <f t="shared" si="67"/>
        <v>NX</v>
      </c>
      <c r="S162" s="96" t="s">
        <v>126</v>
      </c>
      <c r="T162" s="94"/>
      <c r="U162" s="21" t="s">
        <v>226</v>
      </c>
      <c r="V162" s="10"/>
      <c r="W162" s="28">
        <v>3</v>
      </c>
      <c r="X162" s="5" t="s">
        <v>251</v>
      </c>
      <c r="Y162" s="5">
        <v>1</v>
      </c>
      <c r="Z162" s="5">
        <v>256</v>
      </c>
      <c r="AA162" s="6" t="s">
        <v>252</v>
      </c>
      <c r="AB162" s="6" t="s">
        <v>226</v>
      </c>
      <c r="AC162" s="63"/>
      <c r="AD162" s="444"/>
      <c r="AE162" s="440"/>
      <c r="AF162" s="440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62" s="442" t="str">
        <f t="shared" si="56"/>
        <v>-</v>
      </c>
      <c r="AH162" s="440"/>
      <c r="AI162" s="447" t="s">
        <v>532</v>
      </c>
      <c r="AJ162" s="444"/>
      <c r="AK162" s="440"/>
      <c r="AL162" s="440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62" s="442" t="str">
        <f t="shared" si="57"/>
        <v>-</v>
      </c>
      <c r="AN162" s="440"/>
      <c r="AO162" s="447" t="s">
        <v>532</v>
      </c>
      <c r="AP162" s="444"/>
      <c r="AQ162" s="440"/>
      <c r="AR162" s="440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62" s="447" t="s">
        <v>532</v>
      </c>
      <c r="AT162" s="462"/>
      <c r="AU162" s="447" t="s">
        <v>532</v>
      </c>
      <c r="AV162" s="444"/>
      <c r="AW162" s="440"/>
      <c r="AX162" s="440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62" s="442" t="str">
        <f t="shared" si="58"/>
        <v>-</v>
      </c>
      <c r="AZ162" s="440"/>
      <c r="BA162" s="447" t="s">
        <v>532</v>
      </c>
      <c r="BB162" s="59"/>
      <c r="BC162" s="60"/>
      <c r="BD162" s="60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62" s="213" t="str">
        <f t="shared" si="59"/>
        <v>-</v>
      </c>
      <c r="BF162" s="167"/>
      <c r="BG162" s="225" t="s">
        <v>215</v>
      </c>
      <c r="BH162" s="59"/>
      <c r="BI162" s="60"/>
      <c r="BJ162" s="60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62" s="213" t="s">
        <v>215</v>
      </c>
      <c r="BL162" s="167"/>
      <c r="BM162" s="225" t="s">
        <v>215</v>
      </c>
    </row>
    <row r="163" spans="2:65" s="26" customFormat="1" ht="63.75">
      <c r="B163" s="2">
        <f t="shared" si="66"/>
        <v>156</v>
      </c>
      <c r="C163" s="7"/>
      <c r="D163" s="7"/>
      <c r="E163" s="7"/>
      <c r="F163" s="22" t="s">
        <v>127</v>
      </c>
      <c r="G163" s="16"/>
      <c r="H163" s="13"/>
      <c r="I163" s="8"/>
      <c r="J163" s="8"/>
      <c r="K163" s="8"/>
      <c r="L163" s="8"/>
      <c r="M163" s="11" t="s">
        <v>311</v>
      </c>
      <c r="N163" s="1"/>
      <c r="O163" s="56"/>
      <c r="P163" s="93">
        <f t="shared" si="68"/>
        <v>135</v>
      </c>
      <c r="Q163" s="113">
        <v>256</v>
      </c>
      <c r="R163" s="21" t="str">
        <f t="shared" si="67"/>
        <v>NX</v>
      </c>
      <c r="S163" s="96" t="s">
        <v>128</v>
      </c>
      <c r="T163" s="94"/>
      <c r="U163" s="21" t="s">
        <v>226</v>
      </c>
      <c r="V163" s="10"/>
      <c r="W163" s="25">
        <v>3</v>
      </c>
      <c r="X163" s="1" t="s">
        <v>129</v>
      </c>
      <c r="Y163" s="1">
        <v>1</v>
      </c>
      <c r="Z163" s="1">
        <v>256</v>
      </c>
      <c r="AA163" s="8" t="s">
        <v>123</v>
      </c>
      <c r="AB163" s="8" t="s">
        <v>226</v>
      </c>
      <c r="AC163" s="12"/>
      <c r="AD163" s="444"/>
      <c r="AE163" s="445"/>
      <c r="AF163" s="446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63" s="442" t="str">
        <f t="shared" si="56"/>
        <v>-</v>
      </c>
      <c r="AH163" s="445"/>
      <c r="AI163" s="447" t="s">
        <v>532</v>
      </c>
      <c r="AJ163" s="444"/>
      <c r="AK163" s="445"/>
      <c r="AL163" s="446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63" s="442" t="str">
        <f t="shared" si="57"/>
        <v>-</v>
      </c>
      <c r="AN163" s="445"/>
      <c r="AO163" s="447" t="s">
        <v>532</v>
      </c>
      <c r="AP163" s="444"/>
      <c r="AQ163" s="445"/>
      <c r="AR163" s="446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63" s="447" t="s">
        <v>532</v>
      </c>
      <c r="AT163" s="463"/>
      <c r="AU163" s="447" t="s">
        <v>532</v>
      </c>
      <c r="AV163" s="444"/>
      <c r="AW163" s="445"/>
      <c r="AX163" s="446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63" s="442" t="str">
        <f t="shared" si="58"/>
        <v>-</v>
      </c>
      <c r="AZ163" s="445"/>
      <c r="BA163" s="447" t="s">
        <v>532</v>
      </c>
      <c r="BB163" s="59"/>
      <c r="BC163" s="223"/>
      <c r="BD163" s="254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63" s="213" t="str">
        <f t="shared" si="59"/>
        <v>-</v>
      </c>
      <c r="BF163" s="172"/>
      <c r="BG163" s="225" t="s">
        <v>215</v>
      </c>
      <c r="BH163" s="59"/>
      <c r="BI163" s="223"/>
      <c r="BJ163" s="254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63" s="213" t="s">
        <v>215</v>
      </c>
      <c r="BL163" s="172"/>
      <c r="BM163" s="225" t="s">
        <v>215</v>
      </c>
    </row>
    <row r="164" spans="2:65" s="26" customFormat="1" ht="63.75">
      <c r="B164" s="2">
        <f t="shared" si="66"/>
        <v>157</v>
      </c>
      <c r="C164" s="7"/>
      <c r="D164" s="7"/>
      <c r="E164" s="7"/>
      <c r="F164" s="22" t="s">
        <v>130</v>
      </c>
      <c r="G164" s="16"/>
      <c r="H164" s="13"/>
      <c r="I164" s="8"/>
      <c r="J164" s="8"/>
      <c r="K164" s="8"/>
      <c r="L164" s="8"/>
      <c r="M164" s="11" t="s">
        <v>312</v>
      </c>
      <c r="N164" s="1"/>
      <c r="O164" s="56"/>
      <c r="P164" s="93">
        <f t="shared" si="68"/>
        <v>136</v>
      </c>
      <c r="Q164" s="113">
        <v>256</v>
      </c>
      <c r="R164" s="21" t="str">
        <f t="shared" si="67"/>
        <v>NX</v>
      </c>
      <c r="S164" s="96" t="s">
        <v>131</v>
      </c>
      <c r="T164" s="94"/>
      <c r="U164" s="21" t="s">
        <v>226</v>
      </c>
      <c r="V164" s="10"/>
      <c r="W164" s="25">
        <v>3</v>
      </c>
      <c r="X164" s="1" t="s">
        <v>132</v>
      </c>
      <c r="Y164" s="1">
        <v>1</v>
      </c>
      <c r="Z164" s="1">
        <v>256</v>
      </c>
      <c r="AA164" s="8" t="s">
        <v>123</v>
      </c>
      <c r="AB164" s="8" t="s">
        <v>226</v>
      </c>
      <c r="AC164" s="12"/>
      <c r="AD164" s="444"/>
      <c r="AE164" s="445"/>
      <c r="AF164" s="446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64" s="442" t="str">
        <f t="shared" si="56"/>
        <v>-</v>
      </c>
      <c r="AH164" s="445"/>
      <c r="AI164" s="447" t="s">
        <v>532</v>
      </c>
      <c r="AJ164" s="444"/>
      <c r="AK164" s="445"/>
      <c r="AL164" s="446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64" s="442" t="str">
        <f t="shared" si="57"/>
        <v>-</v>
      </c>
      <c r="AN164" s="445"/>
      <c r="AO164" s="447" t="s">
        <v>532</v>
      </c>
      <c r="AP164" s="444"/>
      <c r="AQ164" s="445"/>
      <c r="AR164" s="446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64" s="447" t="s">
        <v>532</v>
      </c>
      <c r="AT164" s="463"/>
      <c r="AU164" s="447" t="s">
        <v>532</v>
      </c>
      <c r="AV164" s="444"/>
      <c r="AW164" s="445"/>
      <c r="AX164" s="446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64" s="442" t="str">
        <f t="shared" si="58"/>
        <v>-</v>
      </c>
      <c r="AZ164" s="445"/>
      <c r="BA164" s="447" t="s">
        <v>532</v>
      </c>
      <c r="BB164" s="59"/>
      <c r="BC164" s="223"/>
      <c r="BD164" s="254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64" s="213" t="str">
        <f t="shared" si="59"/>
        <v>-</v>
      </c>
      <c r="BF164" s="172"/>
      <c r="BG164" s="225" t="s">
        <v>215</v>
      </c>
      <c r="BH164" s="59"/>
      <c r="BI164" s="223"/>
      <c r="BJ164" s="254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64" s="213" t="s">
        <v>215</v>
      </c>
      <c r="BL164" s="172"/>
      <c r="BM164" s="225" t="s">
        <v>215</v>
      </c>
    </row>
    <row r="165" spans="2:65" s="26" customFormat="1" ht="69" customHeight="1">
      <c r="B165" s="19">
        <f t="shared" si="66"/>
        <v>158</v>
      </c>
      <c r="C165" s="7"/>
      <c r="D165" s="7"/>
      <c r="E165" s="7"/>
      <c r="F165" s="110" t="s">
        <v>313</v>
      </c>
      <c r="G165" s="16"/>
      <c r="H165" s="13"/>
      <c r="I165" s="8"/>
      <c r="J165" s="8" t="s">
        <v>231</v>
      </c>
      <c r="K165" s="8"/>
      <c r="L165" s="8"/>
      <c r="M165" s="11" t="s">
        <v>253</v>
      </c>
      <c r="N165" s="1"/>
      <c r="O165" s="56"/>
      <c r="P165" s="93">
        <f t="shared" si="68"/>
        <v>137</v>
      </c>
      <c r="Q165" s="113">
        <v>1</v>
      </c>
      <c r="R165" s="21" t="s">
        <v>229</v>
      </c>
      <c r="S165" s="96" t="s">
        <v>133</v>
      </c>
      <c r="T165" s="94"/>
      <c r="U165" s="21" t="s">
        <v>226</v>
      </c>
      <c r="V165" s="10"/>
      <c r="W165" s="25">
        <v>3</v>
      </c>
      <c r="X165" s="1" t="s">
        <v>134</v>
      </c>
      <c r="Y165" s="1">
        <v>1</v>
      </c>
      <c r="Z165" s="1">
        <v>1</v>
      </c>
      <c r="AA165" s="8">
        <v>9</v>
      </c>
      <c r="AB165" s="8" t="s">
        <v>19</v>
      </c>
      <c r="AC165" s="12"/>
      <c r="AD165" s="444"/>
      <c r="AE165" s="445"/>
      <c r="AF165" s="440" t="str">
        <f t="shared" si="60"/>
        <v xml:space="preserve"> </v>
      </c>
      <c r="AG165" s="442" t="str">
        <f t="shared" si="56"/>
        <v>-</v>
      </c>
      <c r="AH165" s="445"/>
      <c r="AI165" s="447" t="s">
        <v>532</v>
      </c>
      <c r="AJ165" s="444"/>
      <c r="AK165" s="445"/>
      <c r="AL165" s="440" t="str">
        <f t="shared" si="61"/>
        <v xml:space="preserve"> </v>
      </c>
      <c r="AM165" s="442" t="str">
        <f t="shared" si="57"/>
        <v>-</v>
      </c>
      <c r="AN165" s="445"/>
      <c r="AO165" s="447" t="s">
        <v>532</v>
      </c>
      <c r="AP165" s="444"/>
      <c r="AQ165" s="445"/>
      <c r="AR165" s="440" t="str">
        <f t="shared" si="62"/>
        <v xml:space="preserve"> </v>
      </c>
      <c r="AS165" s="447" t="s">
        <v>532</v>
      </c>
      <c r="AT165" s="463"/>
      <c r="AU165" s="447" t="s">
        <v>532</v>
      </c>
      <c r="AV165" s="444"/>
      <c r="AW165" s="445"/>
      <c r="AX165" s="440" t="str">
        <f t="shared" si="63"/>
        <v xml:space="preserve"> </v>
      </c>
      <c r="AY165" s="442" t="str">
        <f t="shared" si="58"/>
        <v>-</v>
      </c>
      <c r="AZ165" s="445"/>
      <c r="BA165" s="447" t="s">
        <v>532</v>
      </c>
      <c r="BB165" s="59"/>
      <c r="BC165" s="223"/>
      <c r="BD165" s="60" t="str">
        <f t="shared" si="64"/>
        <v xml:space="preserve"> </v>
      </c>
      <c r="BE165" s="213" t="str">
        <f t="shared" si="59"/>
        <v>-</v>
      </c>
      <c r="BF165" s="172"/>
      <c r="BG165" s="225" t="s">
        <v>215</v>
      </c>
      <c r="BH165" s="59"/>
      <c r="BI165" s="223"/>
      <c r="BJ165" s="60" t="str">
        <f t="shared" si="65"/>
        <v xml:space="preserve"> </v>
      </c>
      <c r="BK165" s="213" t="s">
        <v>215</v>
      </c>
      <c r="BL165" s="172"/>
      <c r="BM165" s="225" t="s">
        <v>215</v>
      </c>
    </row>
    <row r="166" spans="2:65" s="26" customFormat="1" ht="114.75">
      <c r="B166" s="2">
        <f t="shared" si="66"/>
        <v>159</v>
      </c>
      <c r="C166" s="7"/>
      <c r="D166" s="7"/>
      <c r="E166" s="7"/>
      <c r="F166" s="22" t="s">
        <v>135</v>
      </c>
      <c r="G166" s="16"/>
      <c r="H166" s="13"/>
      <c r="I166" s="8"/>
      <c r="J166" s="8"/>
      <c r="K166" s="8"/>
      <c r="L166" s="8"/>
      <c r="M166" s="359" t="s">
        <v>206</v>
      </c>
      <c r="N166" s="1"/>
      <c r="O166" s="56"/>
      <c r="P166" s="93">
        <f t="shared" si="68"/>
        <v>138</v>
      </c>
      <c r="Q166" s="113">
        <v>1</v>
      </c>
      <c r="R166" s="21" t="s">
        <v>229</v>
      </c>
      <c r="S166" s="96" t="s">
        <v>136</v>
      </c>
      <c r="T166" s="94"/>
      <c r="U166" s="21" t="s">
        <v>226</v>
      </c>
      <c r="V166" s="10"/>
      <c r="W166" s="25">
        <v>3</v>
      </c>
      <c r="X166" s="1" t="s">
        <v>18</v>
      </c>
      <c r="Y166" s="1">
        <v>1</v>
      </c>
      <c r="Z166" s="1">
        <v>1</v>
      </c>
      <c r="AA166" s="8">
        <v>9</v>
      </c>
      <c r="AB166" s="8" t="s">
        <v>19</v>
      </c>
      <c r="AC166" s="101"/>
      <c r="AD166" s="444"/>
      <c r="AE166" s="445"/>
      <c r="AF166" s="440" t="str">
        <f t="shared" si="60"/>
        <v xml:space="preserve"> </v>
      </c>
      <c r="AG166" s="442" t="str">
        <f t="shared" si="56"/>
        <v>-</v>
      </c>
      <c r="AH166" s="445"/>
      <c r="AI166" s="447" t="s">
        <v>532</v>
      </c>
      <c r="AJ166" s="444"/>
      <c r="AK166" s="445"/>
      <c r="AL166" s="440" t="str">
        <f t="shared" si="61"/>
        <v xml:space="preserve"> </v>
      </c>
      <c r="AM166" s="442" t="str">
        <f t="shared" si="57"/>
        <v>-</v>
      </c>
      <c r="AN166" s="445"/>
      <c r="AO166" s="447" t="s">
        <v>532</v>
      </c>
      <c r="AP166" s="444"/>
      <c r="AQ166" s="445"/>
      <c r="AR166" s="440" t="str">
        <f t="shared" si="62"/>
        <v xml:space="preserve"> </v>
      </c>
      <c r="AS166" s="447" t="s">
        <v>532</v>
      </c>
      <c r="AT166" s="463"/>
      <c r="AU166" s="447" t="s">
        <v>532</v>
      </c>
      <c r="AV166" s="444"/>
      <c r="AW166" s="445"/>
      <c r="AX166" s="440" t="str">
        <f t="shared" si="63"/>
        <v xml:space="preserve"> </v>
      </c>
      <c r="AY166" s="442" t="str">
        <f t="shared" si="58"/>
        <v>-</v>
      </c>
      <c r="AZ166" s="445"/>
      <c r="BA166" s="447" t="s">
        <v>532</v>
      </c>
      <c r="BB166" s="59"/>
      <c r="BC166" s="223"/>
      <c r="BD166" s="60" t="str">
        <f t="shared" si="64"/>
        <v xml:space="preserve"> </v>
      </c>
      <c r="BE166" s="213" t="str">
        <f t="shared" si="59"/>
        <v>-</v>
      </c>
      <c r="BF166" s="172"/>
      <c r="BG166" s="225" t="s">
        <v>215</v>
      </c>
      <c r="BH166" s="59"/>
      <c r="BI166" s="223"/>
      <c r="BJ166" s="60" t="str">
        <f t="shared" si="65"/>
        <v xml:space="preserve"> </v>
      </c>
      <c r="BK166" s="213" t="s">
        <v>215</v>
      </c>
      <c r="BL166" s="172"/>
      <c r="BM166" s="225" t="s">
        <v>215</v>
      </c>
    </row>
    <row r="167" spans="2:65" s="26" customFormat="1" ht="122.25" customHeight="1">
      <c r="B167" s="64">
        <f t="shared" si="66"/>
        <v>160</v>
      </c>
      <c r="C167" s="7"/>
      <c r="D167" s="7"/>
      <c r="E167" s="7"/>
      <c r="F167" s="110" t="s">
        <v>137</v>
      </c>
      <c r="G167" s="16"/>
      <c r="H167" s="13"/>
      <c r="I167" s="8"/>
      <c r="J167" s="8"/>
      <c r="K167" s="8"/>
      <c r="L167" s="8"/>
      <c r="M167" s="11" t="s">
        <v>479</v>
      </c>
      <c r="N167" s="1"/>
      <c r="O167" s="56"/>
      <c r="P167" s="93">
        <f t="shared" si="68"/>
        <v>139</v>
      </c>
      <c r="Q167" s="113">
        <v>1</v>
      </c>
      <c r="R167" s="21" t="str">
        <f t="shared" si="67"/>
        <v>X</v>
      </c>
      <c r="S167" s="96" t="s">
        <v>183</v>
      </c>
      <c r="T167" s="94"/>
      <c r="U167" s="21" t="s">
        <v>226</v>
      </c>
      <c r="V167" s="10"/>
      <c r="W167" s="25">
        <v>3</v>
      </c>
      <c r="X167" s="1" t="s">
        <v>254</v>
      </c>
      <c r="Y167" s="1">
        <v>1</v>
      </c>
      <c r="Z167" s="1">
        <v>1</v>
      </c>
      <c r="AA167" s="8" t="s">
        <v>229</v>
      </c>
      <c r="AB167" s="8" t="s">
        <v>226</v>
      </c>
      <c r="AC167" s="12"/>
      <c r="AD167" s="444"/>
      <c r="AE167" s="445"/>
      <c r="AF167" s="440" t="str">
        <f t="shared" si="60"/>
        <v xml:space="preserve"> </v>
      </c>
      <c r="AG167" s="442" t="str">
        <f t="shared" si="56"/>
        <v>-</v>
      </c>
      <c r="AH167" s="445"/>
      <c r="AI167" s="447" t="s">
        <v>532</v>
      </c>
      <c r="AJ167" s="444"/>
      <c r="AK167" s="445"/>
      <c r="AL167" s="440" t="str">
        <f t="shared" si="61"/>
        <v xml:space="preserve"> </v>
      </c>
      <c r="AM167" s="442" t="str">
        <f t="shared" si="57"/>
        <v>-</v>
      </c>
      <c r="AN167" s="445"/>
      <c r="AO167" s="447" t="s">
        <v>532</v>
      </c>
      <c r="AP167" s="444"/>
      <c r="AQ167" s="445"/>
      <c r="AR167" s="440" t="str">
        <f t="shared" si="62"/>
        <v xml:space="preserve"> </v>
      </c>
      <c r="AS167" s="447" t="s">
        <v>532</v>
      </c>
      <c r="AT167" s="463"/>
      <c r="AU167" s="447" t="s">
        <v>532</v>
      </c>
      <c r="AV167" s="444"/>
      <c r="AW167" s="445"/>
      <c r="AX167" s="440" t="str">
        <f t="shared" si="63"/>
        <v xml:space="preserve"> </v>
      </c>
      <c r="AY167" s="442" t="str">
        <f t="shared" si="58"/>
        <v>-</v>
      </c>
      <c r="AZ167" s="445"/>
      <c r="BA167" s="447" t="s">
        <v>532</v>
      </c>
      <c r="BB167" s="59"/>
      <c r="BC167" s="223"/>
      <c r="BD167" s="60" t="str">
        <f t="shared" si="64"/>
        <v xml:space="preserve"> </v>
      </c>
      <c r="BE167" s="213" t="str">
        <f t="shared" si="59"/>
        <v>-</v>
      </c>
      <c r="BF167" s="172"/>
      <c r="BG167" s="225" t="s">
        <v>215</v>
      </c>
      <c r="BH167" s="59"/>
      <c r="BI167" s="223"/>
      <c r="BJ167" s="60" t="str">
        <f t="shared" si="65"/>
        <v xml:space="preserve"> </v>
      </c>
      <c r="BK167" s="213" t="s">
        <v>215</v>
      </c>
      <c r="BL167" s="172"/>
      <c r="BM167" s="225" t="s">
        <v>215</v>
      </c>
    </row>
    <row r="168" spans="2:65" s="26" customFormat="1">
      <c r="B168" s="64">
        <f t="shared" si="66"/>
        <v>161</v>
      </c>
      <c r="C168" s="7"/>
      <c r="D168" s="7"/>
      <c r="E168" s="7"/>
      <c r="F168" s="22" t="s">
        <v>138</v>
      </c>
      <c r="G168" s="16"/>
      <c r="H168" s="13"/>
      <c r="I168" s="8"/>
      <c r="J168" s="8"/>
      <c r="K168" s="8"/>
      <c r="L168" s="8"/>
      <c r="M168" s="359" t="s">
        <v>139</v>
      </c>
      <c r="N168" s="1"/>
      <c r="O168" s="56"/>
      <c r="P168" s="93">
        <f t="shared" si="68"/>
        <v>140</v>
      </c>
      <c r="Q168" s="113">
        <v>400</v>
      </c>
      <c r="R168" s="21" t="str">
        <f t="shared" si="67"/>
        <v>NX</v>
      </c>
      <c r="S168" s="96" t="s">
        <v>140</v>
      </c>
      <c r="T168" s="94"/>
      <c r="U168" s="21" t="s">
        <v>226</v>
      </c>
      <c r="V168" s="10"/>
      <c r="W168" s="25">
        <v>3</v>
      </c>
      <c r="X168" s="1" t="s">
        <v>141</v>
      </c>
      <c r="Y168" s="1">
        <v>1</v>
      </c>
      <c r="Z168" s="1">
        <v>400</v>
      </c>
      <c r="AA168" s="8" t="s">
        <v>123</v>
      </c>
      <c r="AB168" s="8" t="s">
        <v>226</v>
      </c>
      <c r="AC168" s="12"/>
      <c r="AD168" s="444"/>
      <c r="AE168" s="445"/>
      <c r="AF168" s="449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68" s="442" t="str">
        <f t="shared" si="56"/>
        <v>-</v>
      </c>
      <c r="AH168" s="445"/>
      <c r="AI168" s="447" t="s">
        <v>532</v>
      </c>
      <c r="AJ168" s="444"/>
      <c r="AK168" s="445"/>
      <c r="AL168" s="449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68" s="442" t="str">
        <f t="shared" si="57"/>
        <v>-</v>
      </c>
      <c r="AN168" s="445"/>
      <c r="AO168" s="447" t="s">
        <v>532</v>
      </c>
      <c r="AP168" s="444"/>
      <c r="AQ168" s="445"/>
      <c r="AR168" s="449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68" s="447" t="s">
        <v>532</v>
      </c>
      <c r="AT168" s="463"/>
      <c r="AU168" s="447" t="s">
        <v>532</v>
      </c>
      <c r="AV168" s="444"/>
      <c r="AW168" s="445"/>
      <c r="AX168" s="449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68" s="442" t="str">
        <f t="shared" si="58"/>
        <v>-</v>
      </c>
      <c r="AZ168" s="445"/>
      <c r="BA168" s="447" t="s">
        <v>532</v>
      </c>
      <c r="BB168" s="59"/>
      <c r="BC168" s="223"/>
      <c r="BD168" s="252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68" s="213" t="str">
        <f t="shared" si="59"/>
        <v>-</v>
      </c>
      <c r="BF168" s="172"/>
      <c r="BG168" s="225" t="s">
        <v>215</v>
      </c>
      <c r="BH168" s="59"/>
      <c r="BI168" s="223"/>
      <c r="BJ168" s="252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68" s="213" t="s">
        <v>215</v>
      </c>
      <c r="BL168" s="172"/>
      <c r="BM168" s="225" t="s">
        <v>215</v>
      </c>
    </row>
    <row r="169" spans="2:65" s="26" customFormat="1" ht="63.75">
      <c r="B169" s="64">
        <f t="shared" si="66"/>
        <v>162</v>
      </c>
      <c r="C169" s="7"/>
      <c r="D169" s="7"/>
      <c r="E169" s="7"/>
      <c r="F169" s="22" t="s">
        <v>142</v>
      </c>
      <c r="G169" s="16"/>
      <c r="H169" s="13"/>
      <c r="I169" s="8"/>
      <c r="J169" s="8"/>
      <c r="K169" s="8"/>
      <c r="L169" s="8"/>
      <c r="M169" s="359" t="s">
        <v>314</v>
      </c>
      <c r="N169" s="1"/>
      <c r="O169" s="56"/>
      <c r="P169" s="93">
        <f t="shared" si="68"/>
        <v>141</v>
      </c>
      <c r="Q169" s="113">
        <v>400</v>
      </c>
      <c r="R169" s="21" t="str">
        <f t="shared" si="67"/>
        <v>NX</v>
      </c>
      <c r="S169" s="96" t="s">
        <v>143</v>
      </c>
      <c r="T169" s="94"/>
      <c r="U169" s="21" t="s">
        <v>226</v>
      </c>
      <c r="V169" s="10"/>
      <c r="W169" s="25">
        <v>3</v>
      </c>
      <c r="X169" s="1" t="s">
        <v>144</v>
      </c>
      <c r="Y169" s="1">
        <v>1</v>
      </c>
      <c r="Z169" s="1">
        <v>400</v>
      </c>
      <c r="AA169" s="8" t="s">
        <v>123</v>
      </c>
      <c r="AB169" s="8" t="s">
        <v>226</v>
      </c>
      <c r="AC169" s="12"/>
      <c r="AD169" s="444"/>
      <c r="AE169" s="445"/>
      <c r="AF169" s="450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69" s="442" t="str">
        <f t="shared" si="56"/>
        <v>-</v>
      </c>
      <c r="AH169" s="445"/>
      <c r="AI169" s="447" t="s">
        <v>532</v>
      </c>
      <c r="AJ169" s="444"/>
      <c r="AK169" s="445"/>
      <c r="AL169" s="450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69" s="442" t="str">
        <f t="shared" si="57"/>
        <v>-</v>
      </c>
      <c r="AN169" s="445"/>
      <c r="AO169" s="447" t="s">
        <v>532</v>
      </c>
      <c r="AP169" s="444"/>
      <c r="AQ169" s="445"/>
      <c r="AR169" s="450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69" s="447" t="s">
        <v>532</v>
      </c>
      <c r="AT169" s="463"/>
      <c r="AU169" s="447" t="s">
        <v>532</v>
      </c>
      <c r="AV169" s="444"/>
      <c r="AW169" s="445"/>
      <c r="AX169" s="450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69" s="442" t="str">
        <f t="shared" si="58"/>
        <v>-</v>
      </c>
      <c r="AZ169" s="445"/>
      <c r="BA169" s="447" t="s">
        <v>532</v>
      </c>
      <c r="BB169" s="59"/>
      <c r="BC169" s="223"/>
      <c r="BD169" s="90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69" s="213" t="str">
        <f t="shared" si="59"/>
        <v>-</v>
      </c>
      <c r="BF169" s="172"/>
      <c r="BG169" s="225" t="s">
        <v>215</v>
      </c>
      <c r="BH169" s="59"/>
      <c r="BI169" s="223"/>
      <c r="BJ169" s="90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69" s="213" t="s">
        <v>215</v>
      </c>
      <c r="BL169" s="172"/>
      <c r="BM169" s="225" t="s">
        <v>215</v>
      </c>
    </row>
    <row r="170" spans="2:65" s="26" customFormat="1">
      <c r="B170" s="64">
        <f t="shared" si="66"/>
        <v>163</v>
      </c>
      <c r="C170" s="7"/>
      <c r="D170" s="7"/>
      <c r="E170" s="7"/>
      <c r="F170" s="22" t="s">
        <v>145</v>
      </c>
      <c r="G170" s="16"/>
      <c r="H170" s="13"/>
      <c r="I170" s="8"/>
      <c r="J170" s="8"/>
      <c r="K170" s="8"/>
      <c r="L170" s="8"/>
      <c r="M170" s="11" t="s">
        <v>146</v>
      </c>
      <c r="N170" s="1"/>
      <c r="O170" s="56"/>
      <c r="P170" s="93">
        <f t="shared" si="68"/>
        <v>142</v>
      </c>
      <c r="Q170" s="113">
        <v>400</v>
      </c>
      <c r="R170" s="21" t="str">
        <f t="shared" si="67"/>
        <v>NX</v>
      </c>
      <c r="S170" s="96" t="s">
        <v>147</v>
      </c>
      <c r="T170" s="94"/>
      <c r="U170" s="21" t="s">
        <v>226</v>
      </c>
      <c r="V170" s="10"/>
      <c r="W170" s="25">
        <v>3</v>
      </c>
      <c r="X170" s="1" t="s">
        <v>148</v>
      </c>
      <c r="Y170" s="1">
        <v>1</v>
      </c>
      <c r="Z170" s="1">
        <v>400</v>
      </c>
      <c r="AA170" s="8" t="s">
        <v>123</v>
      </c>
      <c r="AB170" s="8" t="s">
        <v>226</v>
      </c>
      <c r="AC170" s="12"/>
      <c r="AD170" s="444"/>
      <c r="AE170" s="440"/>
      <c r="AF170" s="450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70" s="442" t="str">
        <f t="shared" si="56"/>
        <v>-</v>
      </c>
      <c r="AH170" s="440"/>
      <c r="AI170" s="447" t="s">
        <v>532</v>
      </c>
      <c r="AJ170" s="444"/>
      <c r="AK170" s="440"/>
      <c r="AL170" s="450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70" s="442" t="str">
        <f t="shared" si="57"/>
        <v>-</v>
      </c>
      <c r="AN170" s="440"/>
      <c r="AO170" s="447" t="s">
        <v>532</v>
      </c>
      <c r="AP170" s="444"/>
      <c r="AQ170" s="440"/>
      <c r="AR170" s="450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70" s="447" t="s">
        <v>532</v>
      </c>
      <c r="AT170" s="462"/>
      <c r="AU170" s="447" t="s">
        <v>532</v>
      </c>
      <c r="AV170" s="444"/>
      <c r="AW170" s="440"/>
      <c r="AX170" s="450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70" s="442" t="str">
        <f t="shared" si="58"/>
        <v>-</v>
      </c>
      <c r="AZ170" s="440"/>
      <c r="BA170" s="447" t="s">
        <v>532</v>
      </c>
      <c r="BB170" s="59"/>
      <c r="BC170" s="60"/>
      <c r="BD170" s="90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70" s="213" t="str">
        <f t="shared" si="59"/>
        <v>-</v>
      </c>
      <c r="BF170" s="167"/>
      <c r="BG170" s="225" t="s">
        <v>215</v>
      </c>
      <c r="BH170" s="59"/>
      <c r="BI170" s="60"/>
      <c r="BJ170" s="90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70" s="213" t="s">
        <v>215</v>
      </c>
      <c r="BL170" s="167"/>
      <c r="BM170" s="225" t="s">
        <v>215</v>
      </c>
    </row>
    <row r="171" spans="2:65" s="26" customFormat="1" ht="76.5">
      <c r="B171" s="64">
        <f t="shared" si="66"/>
        <v>164</v>
      </c>
      <c r="C171" s="7"/>
      <c r="D171" s="7"/>
      <c r="E171" s="7"/>
      <c r="F171" s="22" t="s">
        <v>149</v>
      </c>
      <c r="G171" s="16"/>
      <c r="H171" s="13"/>
      <c r="I171" s="8"/>
      <c r="J171" s="8"/>
      <c r="K171" s="8"/>
      <c r="L171" s="8"/>
      <c r="M171" s="11" t="s">
        <v>315</v>
      </c>
      <c r="N171" s="1"/>
      <c r="O171" s="56"/>
      <c r="P171" s="93">
        <f t="shared" si="68"/>
        <v>143</v>
      </c>
      <c r="Q171" s="113">
        <v>400</v>
      </c>
      <c r="R171" s="21" t="str">
        <f t="shared" si="67"/>
        <v>NX</v>
      </c>
      <c r="S171" s="96" t="s">
        <v>150</v>
      </c>
      <c r="T171" s="94"/>
      <c r="U171" s="21" t="s">
        <v>226</v>
      </c>
      <c r="V171" s="10"/>
      <c r="W171" s="25">
        <v>3</v>
      </c>
      <c r="X171" s="1" t="s">
        <v>151</v>
      </c>
      <c r="Y171" s="1">
        <v>1</v>
      </c>
      <c r="Z171" s="1">
        <v>400</v>
      </c>
      <c r="AA171" s="8" t="s">
        <v>123</v>
      </c>
      <c r="AB171" s="8" t="s">
        <v>226</v>
      </c>
      <c r="AC171" s="12"/>
      <c r="AD171" s="444"/>
      <c r="AE171" s="440"/>
      <c r="AF171" s="450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71" s="442" t="str">
        <f t="shared" si="56"/>
        <v>-</v>
      </c>
      <c r="AH171" s="440"/>
      <c r="AI171" s="447" t="s">
        <v>532</v>
      </c>
      <c r="AJ171" s="444"/>
      <c r="AK171" s="440"/>
      <c r="AL171" s="450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71" s="442" t="str">
        <f t="shared" si="57"/>
        <v>-</v>
      </c>
      <c r="AN171" s="440"/>
      <c r="AO171" s="447" t="s">
        <v>532</v>
      </c>
      <c r="AP171" s="444"/>
      <c r="AQ171" s="440"/>
      <c r="AR171" s="450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71" s="447" t="s">
        <v>532</v>
      </c>
      <c r="AT171" s="462"/>
      <c r="AU171" s="447" t="s">
        <v>532</v>
      </c>
      <c r="AV171" s="444"/>
      <c r="AW171" s="440"/>
      <c r="AX171" s="450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71" s="442" t="str">
        <f t="shared" si="58"/>
        <v>-</v>
      </c>
      <c r="AZ171" s="440"/>
      <c r="BA171" s="447" t="s">
        <v>532</v>
      </c>
      <c r="BB171" s="59"/>
      <c r="BC171" s="60"/>
      <c r="BD171" s="90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71" s="213" t="str">
        <f t="shared" si="59"/>
        <v>-</v>
      </c>
      <c r="BF171" s="167"/>
      <c r="BG171" s="225" t="s">
        <v>215</v>
      </c>
      <c r="BH171" s="59"/>
      <c r="BI171" s="60"/>
      <c r="BJ171" s="90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71" s="213" t="s">
        <v>215</v>
      </c>
      <c r="BL171" s="167"/>
      <c r="BM171" s="225" t="s">
        <v>215</v>
      </c>
    </row>
    <row r="172" spans="2:65" s="26" customFormat="1">
      <c r="B172" s="64">
        <f t="shared" si="66"/>
        <v>165</v>
      </c>
      <c r="C172" s="7"/>
      <c r="D172" s="7"/>
      <c r="E172" s="7"/>
      <c r="F172" s="22" t="s">
        <v>152</v>
      </c>
      <c r="G172" s="16"/>
      <c r="H172" s="13"/>
      <c r="I172" s="8"/>
      <c r="J172" s="8"/>
      <c r="K172" s="8"/>
      <c r="L172" s="8"/>
      <c r="M172" s="11" t="s">
        <v>146</v>
      </c>
      <c r="N172" s="1"/>
      <c r="O172" s="56"/>
      <c r="P172" s="93">
        <f t="shared" si="68"/>
        <v>144</v>
      </c>
      <c r="Q172" s="113">
        <v>400</v>
      </c>
      <c r="R172" s="21" t="str">
        <f t="shared" si="67"/>
        <v>NX</v>
      </c>
      <c r="S172" s="96" t="s">
        <v>153</v>
      </c>
      <c r="T172" s="94"/>
      <c r="U172" s="21" t="s">
        <v>226</v>
      </c>
      <c r="V172" s="10"/>
      <c r="W172" s="25">
        <v>3</v>
      </c>
      <c r="X172" s="1" t="s">
        <v>154</v>
      </c>
      <c r="Y172" s="1">
        <v>1</v>
      </c>
      <c r="Z172" s="1">
        <v>400</v>
      </c>
      <c r="AA172" s="8" t="s">
        <v>123</v>
      </c>
      <c r="AB172" s="8" t="s">
        <v>226</v>
      </c>
      <c r="AC172" s="12"/>
      <c r="AD172" s="444"/>
      <c r="AE172" s="440"/>
      <c r="AF172" s="450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72" s="442" t="str">
        <f t="shared" si="56"/>
        <v>-</v>
      </c>
      <c r="AH172" s="440"/>
      <c r="AI172" s="447" t="s">
        <v>532</v>
      </c>
      <c r="AJ172" s="444"/>
      <c r="AK172" s="440"/>
      <c r="AL172" s="450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72" s="442" t="str">
        <f t="shared" si="57"/>
        <v>-</v>
      </c>
      <c r="AN172" s="440"/>
      <c r="AO172" s="447" t="s">
        <v>532</v>
      </c>
      <c r="AP172" s="444"/>
      <c r="AQ172" s="440"/>
      <c r="AR172" s="450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72" s="447" t="s">
        <v>532</v>
      </c>
      <c r="AT172" s="462"/>
      <c r="AU172" s="447" t="s">
        <v>532</v>
      </c>
      <c r="AV172" s="444"/>
      <c r="AW172" s="440"/>
      <c r="AX172" s="450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72" s="442" t="str">
        <f t="shared" si="58"/>
        <v>-</v>
      </c>
      <c r="AZ172" s="440"/>
      <c r="BA172" s="447" t="s">
        <v>532</v>
      </c>
      <c r="BB172" s="59"/>
      <c r="BC172" s="60"/>
      <c r="BD172" s="90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72" s="213" t="str">
        <f t="shared" si="59"/>
        <v>-</v>
      </c>
      <c r="BF172" s="167"/>
      <c r="BG172" s="225" t="s">
        <v>215</v>
      </c>
      <c r="BH172" s="59"/>
      <c r="BI172" s="60"/>
      <c r="BJ172" s="90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72" s="213" t="s">
        <v>215</v>
      </c>
      <c r="BL172" s="167"/>
      <c r="BM172" s="225" t="s">
        <v>215</v>
      </c>
    </row>
    <row r="173" spans="2:65" s="26" customFormat="1">
      <c r="B173" s="64">
        <f t="shared" si="66"/>
        <v>166</v>
      </c>
      <c r="C173" s="7"/>
      <c r="D173" s="7"/>
      <c r="E173" s="7"/>
      <c r="F173" s="22" t="s">
        <v>155</v>
      </c>
      <c r="G173" s="16"/>
      <c r="H173" s="13"/>
      <c r="I173" s="8"/>
      <c r="J173" s="8"/>
      <c r="K173" s="8"/>
      <c r="L173" s="8"/>
      <c r="M173" s="11" t="s">
        <v>146</v>
      </c>
      <c r="N173" s="1"/>
      <c r="O173" s="56"/>
      <c r="P173" s="93">
        <f t="shared" si="68"/>
        <v>145</v>
      </c>
      <c r="Q173" s="113">
        <v>400</v>
      </c>
      <c r="R173" s="21" t="str">
        <f t="shared" si="67"/>
        <v>NX</v>
      </c>
      <c r="S173" s="96" t="s">
        <v>156</v>
      </c>
      <c r="T173" s="94"/>
      <c r="U173" s="21" t="s">
        <v>226</v>
      </c>
      <c r="V173" s="10"/>
      <c r="W173" s="25">
        <v>3</v>
      </c>
      <c r="X173" s="1" t="s">
        <v>157</v>
      </c>
      <c r="Y173" s="1">
        <v>1</v>
      </c>
      <c r="Z173" s="1">
        <v>400</v>
      </c>
      <c r="AA173" s="8" t="s">
        <v>123</v>
      </c>
      <c r="AB173" s="8" t="s">
        <v>226</v>
      </c>
      <c r="AC173" s="12"/>
      <c r="AD173" s="444"/>
      <c r="AE173" s="440"/>
      <c r="AF173" s="450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73" s="442" t="str">
        <f t="shared" si="56"/>
        <v>-</v>
      </c>
      <c r="AH173" s="440"/>
      <c r="AI173" s="447" t="s">
        <v>532</v>
      </c>
      <c r="AJ173" s="444"/>
      <c r="AK173" s="440"/>
      <c r="AL173" s="450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73" s="442" t="str">
        <f t="shared" si="57"/>
        <v>-</v>
      </c>
      <c r="AN173" s="440"/>
      <c r="AO173" s="447" t="s">
        <v>532</v>
      </c>
      <c r="AP173" s="444"/>
      <c r="AQ173" s="440"/>
      <c r="AR173" s="450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73" s="447" t="s">
        <v>532</v>
      </c>
      <c r="AT173" s="462"/>
      <c r="AU173" s="447" t="s">
        <v>532</v>
      </c>
      <c r="AV173" s="444"/>
      <c r="AW173" s="440"/>
      <c r="AX173" s="450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73" s="442" t="str">
        <f t="shared" si="58"/>
        <v>-</v>
      </c>
      <c r="AZ173" s="440"/>
      <c r="BA173" s="447" t="s">
        <v>532</v>
      </c>
      <c r="BB173" s="59"/>
      <c r="BC173" s="60"/>
      <c r="BD173" s="90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73" s="213" t="str">
        <f t="shared" si="59"/>
        <v>-</v>
      </c>
      <c r="BF173" s="167"/>
      <c r="BG173" s="225" t="s">
        <v>215</v>
      </c>
      <c r="BH173" s="59"/>
      <c r="BI173" s="60"/>
      <c r="BJ173" s="90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73" s="213" t="s">
        <v>215</v>
      </c>
      <c r="BL173" s="167"/>
      <c r="BM173" s="225" t="s">
        <v>215</v>
      </c>
    </row>
    <row r="174" spans="2:65" s="26" customFormat="1" ht="89.25">
      <c r="B174" s="64">
        <f t="shared" si="66"/>
        <v>167</v>
      </c>
      <c r="C174" s="7"/>
      <c r="D174" s="7"/>
      <c r="E174" s="7"/>
      <c r="F174" s="22" t="s">
        <v>158</v>
      </c>
      <c r="G174" s="16"/>
      <c r="H174" s="13"/>
      <c r="I174" s="8"/>
      <c r="J174" s="8"/>
      <c r="K174" s="8"/>
      <c r="L174" s="8"/>
      <c r="M174" s="11" t="s">
        <v>316</v>
      </c>
      <c r="N174" s="1"/>
      <c r="O174" s="56"/>
      <c r="P174" s="93">
        <f t="shared" si="68"/>
        <v>146</v>
      </c>
      <c r="Q174" s="113">
        <v>1</v>
      </c>
      <c r="R174" s="21" t="str">
        <f t="shared" si="67"/>
        <v>X</v>
      </c>
      <c r="S174" s="96" t="s">
        <v>159</v>
      </c>
      <c r="T174" s="94"/>
      <c r="U174" s="21" t="s">
        <v>226</v>
      </c>
      <c r="V174" s="10"/>
      <c r="W174" s="25">
        <v>3</v>
      </c>
      <c r="X174" s="1" t="s">
        <v>255</v>
      </c>
      <c r="Y174" s="1">
        <v>1</v>
      </c>
      <c r="Z174" s="1">
        <v>1</v>
      </c>
      <c r="AA174" s="8" t="s">
        <v>109</v>
      </c>
      <c r="AB174" s="8" t="s">
        <v>19</v>
      </c>
      <c r="AC174" s="102"/>
      <c r="AD174" s="444"/>
      <c r="AE174" s="445"/>
      <c r="AF174" s="440" t="str">
        <f t="shared" si="60"/>
        <v xml:space="preserve"> </v>
      </c>
      <c r="AG174" s="442" t="str">
        <f t="shared" si="56"/>
        <v>-</v>
      </c>
      <c r="AH174" s="445"/>
      <c r="AI174" s="447" t="s">
        <v>532</v>
      </c>
      <c r="AJ174" s="444"/>
      <c r="AK174" s="445"/>
      <c r="AL174" s="440" t="str">
        <f t="shared" si="61"/>
        <v xml:space="preserve"> </v>
      </c>
      <c r="AM174" s="442" t="str">
        <f t="shared" si="57"/>
        <v>-</v>
      </c>
      <c r="AN174" s="445"/>
      <c r="AO174" s="447" t="s">
        <v>532</v>
      </c>
      <c r="AP174" s="444"/>
      <c r="AQ174" s="445"/>
      <c r="AR174" s="440" t="str">
        <f t="shared" si="62"/>
        <v xml:space="preserve"> </v>
      </c>
      <c r="AS174" s="447" t="s">
        <v>532</v>
      </c>
      <c r="AT174" s="463"/>
      <c r="AU174" s="447" t="s">
        <v>532</v>
      </c>
      <c r="AV174" s="444"/>
      <c r="AW174" s="445"/>
      <c r="AX174" s="440" t="str">
        <f t="shared" si="63"/>
        <v xml:space="preserve"> </v>
      </c>
      <c r="AY174" s="442" t="str">
        <f t="shared" si="58"/>
        <v>-</v>
      </c>
      <c r="AZ174" s="445"/>
      <c r="BA174" s="447" t="s">
        <v>532</v>
      </c>
      <c r="BB174" s="59"/>
      <c r="BC174" s="223"/>
      <c r="BD174" s="60" t="str">
        <f t="shared" si="64"/>
        <v xml:space="preserve"> </v>
      </c>
      <c r="BE174" s="213" t="str">
        <f t="shared" si="59"/>
        <v>-</v>
      </c>
      <c r="BF174" s="172"/>
      <c r="BG174" s="225" t="s">
        <v>215</v>
      </c>
      <c r="BH174" s="59"/>
      <c r="BI174" s="223"/>
      <c r="BJ174" s="60" t="str">
        <f t="shared" si="65"/>
        <v xml:space="preserve"> </v>
      </c>
      <c r="BK174" s="213" t="s">
        <v>215</v>
      </c>
      <c r="BL174" s="172"/>
      <c r="BM174" s="225" t="s">
        <v>215</v>
      </c>
    </row>
    <row r="175" spans="2:65" s="26" customFormat="1">
      <c r="B175" s="64">
        <f t="shared" si="66"/>
        <v>168</v>
      </c>
      <c r="C175" s="7"/>
      <c r="D175" s="7"/>
      <c r="E175" s="7"/>
      <c r="F175" s="22" t="s">
        <v>160</v>
      </c>
      <c r="G175" s="16"/>
      <c r="H175" s="13"/>
      <c r="I175" s="8"/>
      <c r="J175" s="8"/>
      <c r="K175" s="8"/>
      <c r="L175" s="8"/>
      <c r="M175" s="11"/>
      <c r="N175" s="1"/>
      <c r="O175" s="56"/>
      <c r="P175" s="93">
        <f t="shared" si="68"/>
        <v>147</v>
      </c>
      <c r="Q175" s="113">
        <v>128</v>
      </c>
      <c r="R175" s="21" t="str">
        <f t="shared" si="67"/>
        <v>X</v>
      </c>
      <c r="S175" s="96" t="s">
        <v>161</v>
      </c>
      <c r="T175" s="94"/>
      <c r="U175" s="21" t="s">
        <v>226</v>
      </c>
      <c r="V175" s="10"/>
      <c r="W175" s="25">
        <v>3</v>
      </c>
      <c r="X175" s="1" t="s">
        <v>256</v>
      </c>
      <c r="Y175" s="1">
        <v>1</v>
      </c>
      <c r="Z175" s="1">
        <v>128</v>
      </c>
      <c r="AA175" s="8" t="s">
        <v>109</v>
      </c>
      <c r="AB175" s="8" t="s">
        <v>19</v>
      </c>
      <c r="AC175" s="12"/>
      <c r="AD175" s="444"/>
      <c r="AE175" s="440"/>
      <c r="AF175" s="440" t="str">
        <f t="shared" si="60"/>
        <v xml:space="preserve">                                                                                                                                </v>
      </c>
      <c r="AG175" s="442" t="str">
        <f t="shared" si="56"/>
        <v>-</v>
      </c>
      <c r="AH175" s="440"/>
      <c r="AI175" s="447" t="s">
        <v>532</v>
      </c>
      <c r="AJ175" s="444"/>
      <c r="AK175" s="440"/>
      <c r="AL175" s="440" t="str">
        <f t="shared" si="61"/>
        <v xml:space="preserve">                                                                                                                                </v>
      </c>
      <c r="AM175" s="442" t="str">
        <f t="shared" si="57"/>
        <v>-</v>
      </c>
      <c r="AN175" s="440"/>
      <c r="AO175" s="447" t="s">
        <v>532</v>
      </c>
      <c r="AP175" s="444"/>
      <c r="AQ175" s="440"/>
      <c r="AR175" s="440" t="str">
        <f t="shared" si="62"/>
        <v xml:space="preserve">                                                                                                                                </v>
      </c>
      <c r="AS175" s="447" t="s">
        <v>532</v>
      </c>
      <c r="AT175" s="462"/>
      <c r="AU175" s="447" t="s">
        <v>532</v>
      </c>
      <c r="AV175" s="444"/>
      <c r="AW175" s="440"/>
      <c r="AX175" s="440" t="str">
        <f t="shared" si="63"/>
        <v xml:space="preserve">                                                                                                                                </v>
      </c>
      <c r="AY175" s="442" t="str">
        <f t="shared" si="58"/>
        <v>-</v>
      </c>
      <c r="AZ175" s="440"/>
      <c r="BA175" s="447" t="s">
        <v>532</v>
      </c>
      <c r="BB175" s="59"/>
      <c r="BC175" s="60"/>
      <c r="BD175" s="60" t="str">
        <f t="shared" si="64"/>
        <v xml:space="preserve">                                                                                                                                </v>
      </c>
      <c r="BE175" s="213" t="str">
        <f t="shared" si="59"/>
        <v>-</v>
      </c>
      <c r="BF175" s="167"/>
      <c r="BG175" s="225" t="s">
        <v>215</v>
      </c>
      <c r="BH175" s="59"/>
      <c r="BI175" s="60"/>
      <c r="BJ175" s="60" t="str">
        <f t="shared" si="65"/>
        <v xml:space="preserve">                                                                                                                                </v>
      </c>
      <c r="BK175" s="213" t="s">
        <v>215</v>
      </c>
      <c r="BL175" s="167"/>
      <c r="BM175" s="225" t="s">
        <v>215</v>
      </c>
    </row>
    <row r="176" spans="2:65" s="26" customFormat="1" ht="114.75">
      <c r="B176" s="64">
        <f t="shared" si="66"/>
        <v>169</v>
      </c>
      <c r="C176" s="7"/>
      <c r="D176" s="7"/>
      <c r="E176" s="7"/>
      <c r="F176" s="22" t="s">
        <v>162</v>
      </c>
      <c r="G176" s="16"/>
      <c r="H176" s="13"/>
      <c r="I176" s="8"/>
      <c r="J176" s="8"/>
      <c r="K176" s="8"/>
      <c r="L176" s="8"/>
      <c r="M176" s="11" t="s">
        <v>294</v>
      </c>
      <c r="N176" s="1"/>
      <c r="O176" s="56"/>
      <c r="P176" s="93">
        <f t="shared" si="68"/>
        <v>148</v>
      </c>
      <c r="Q176" s="113">
        <v>1</v>
      </c>
      <c r="R176" s="21" t="str">
        <f t="shared" si="67"/>
        <v>X</v>
      </c>
      <c r="S176" s="96" t="s">
        <v>163</v>
      </c>
      <c r="T176" s="94"/>
      <c r="U176" s="21" t="s">
        <v>226</v>
      </c>
      <c r="V176" s="10"/>
      <c r="W176" s="25">
        <v>3</v>
      </c>
      <c r="X176" s="1" t="s">
        <v>257</v>
      </c>
      <c r="Y176" s="1">
        <v>1</v>
      </c>
      <c r="Z176" s="1">
        <v>1</v>
      </c>
      <c r="AA176" s="8" t="s">
        <v>109</v>
      </c>
      <c r="AB176" s="8" t="s">
        <v>19</v>
      </c>
      <c r="AC176" s="102"/>
      <c r="AD176" s="444"/>
      <c r="AE176" s="445"/>
      <c r="AF176" s="440" t="str">
        <f t="shared" si="60"/>
        <v xml:space="preserve"> </v>
      </c>
      <c r="AG176" s="442" t="str">
        <f t="shared" si="56"/>
        <v>-</v>
      </c>
      <c r="AH176" s="445"/>
      <c r="AI176" s="447" t="s">
        <v>532</v>
      </c>
      <c r="AJ176" s="444"/>
      <c r="AK176" s="445"/>
      <c r="AL176" s="440" t="str">
        <f t="shared" si="61"/>
        <v xml:space="preserve"> </v>
      </c>
      <c r="AM176" s="442" t="str">
        <f t="shared" si="57"/>
        <v>-</v>
      </c>
      <c r="AN176" s="445"/>
      <c r="AO176" s="447" t="s">
        <v>532</v>
      </c>
      <c r="AP176" s="444"/>
      <c r="AQ176" s="445"/>
      <c r="AR176" s="440" t="str">
        <f t="shared" si="62"/>
        <v xml:space="preserve"> </v>
      </c>
      <c r="AS176" s="447" t="s">
        <v>532</v>
      </c>
      <c r="AT176" s="463"/>
      <c r="AU176" s="447" t="s">
        <v>532</v>
      </c>
      <c r="AV176" s="444"/>
      <c r="AW176" s="445"/>
      <c r="AX176" s="440" t="str">
        <f t="shared" si="63"/>
        <v xml:space="preserve"> </v>
      </c>
      <c r="AY176" s="442" t="str">
        <f t="shared" si="58"/>
        <v>-</v>
      </c>
      <c r="AZ176" s="445"/>
      <c r="BA176" s="447" t="s">
        <v>532</v>
      </c>
      <c r="BB176" s="59"/>
      <c r="BC176" s="223"/>
      <c r="BD176" s="60" t="str">
        <f t="shared" si="64"/>
        <v xml:space="preserve"> </v>
      </c>
      <c r="BE176" s="213" t="str">
        <f t="shared" si="59"/>
        <v>-</v>
      </c>
      <c r="BF176" s="172"/>
      <c r="BG176" s="225" t="s">
        <v>215</v>
      </c>
      <c r="BH176" s="59"/>
      <c r="BI176" s="223"/>
      <c r="BJ176" s="60" t="str">
        <f t="shared" si="65"/>
        <v xml:space="preserve"> </v>
      </c>
      <c r="BK176" s="213" t="s">
        <v>215</v>
      </c>
      <c r="BL176" s="172"/>
      <c r="BM176" s="225" t="s">
        <v>215</v>
      </c>
    </row>
    <row r="177" spans="1:65" s="26" customFormat="1" ht="127.5">
      <c r="B177" s="64">
        <f t="shared" si="66"/>
        <v>170</v>
      </c>
      <c r="C177" s="7"/>
      <c r="D177" s="7"/>
      <c r="E177" s="7"/>
      <c r="F177" s="22" t="s">
        <v>164</v>
      </c>
      <c r="G177" s="16"/>
      <c r="H177" s="13"/>
      <c r="I177" s="8"/>
      <c r="J177" s="8" t="s">
        <v>231</v>
      </c>
      <c r="K177" s="8"/>
      <c r="L177" s="8"/>
      <c r="M177" s="359" t="s">
        <v>317</v>
      </c>
      <c r="N177" s="1"/>
      <c r="O177" s="56"/>
      <c r="P177" s="93">
        <f t="shared" si="68"/>
        <v>149</v>
      </c>
      <c r="Q177" s="113">
        <v>1</v>
      </c>
      <c r="R177" s="21" t="str">
        <f t="shared" si="67"/>
        <v>X</v>
      </c>
      <c r="S177" s="96" t="s">
        <v>165</v>
      </c>
      <c r="T177" s="94"/>
      <c r="U177" s="21" t="s">
        <v>226</v>
      </c>
      <c r="V177" s="10"/>
      <c r="W177" s="25">
        <v>3</v>
      </c>
      <c r="X177" s="1" t="s">
        <v>258</v>
      </c>
      <c r="Y177" s="1">
        <v>1</v>
      </c>
      <c r="Z177" s="1">
        <v>1</v>
      </c>
      <c r="AA177" s="8" t="s">
        <v>109</v>
      </c>
      <c r="AB177" s="8" t="s">
        <v>19</v>
      </c>
      <c r="AC177" s="102"/>
      <c r="AD177" s="444"/>
      <c r="AE177" s="445"/>
      <c r="AF177" s="440" t="str">
        <f t="shared" si="60"/>
        <v xml:space="preserve"> </v>
      </c>
      <c r="AG177" s="442" t="str">
        <f t="shared" si="56"/>
        <v>-</v>
      </c>
      <c r="AH177" s="445"/>
      <c r="AI177" s="447" t="s">
        <v>532</v>
      </c>
      <c r="AJ177" s="444"/>
      <c r="AK177" s="445"/>
      <c r="AL177" s="440" t="str">
        <f t="shared" si="61"/>
        <v xml:space="preserve"> </v>
      </c>
      <c r="AM177" s="442" t="str">
        <f t="shared" si="57"/>
        <v>-</v>
      </c>
      <c r="AN177" s="445"/>
      <c r="AO177" s="447" t="s">
        <v>532</v>
      </c>
      <c r="AP177" s="444"/>
      <c r="AQ177" s="445"/>
      <c r="AR177" s="440" t="str">
        <f t="shared" si="62"/>
        <v xml:space="preserve"> </v>
      </c>
      <c r="AS177" s="447" t="s">
        <v>532</v>
      </c>
      <c r="AT177" s="463"/>
      <c r="AU177" s="447" t="s">
        <v>532</v>
      </c>
      <c r="AV177" s="444"/>
      <c r="AW177" s="445"/>
      <c r="AX177" s="440" t="str">
        <f t="shared" si="63"/>
        <v xml:space="preserve"> </v>
      </c>
      <c r="AY177" s="442" t="str">
        <f t="shared" si="58"/>
        <v>-</v>
      </c>
      <c r="AZ177" s="445"/>
      <c r="BA177" s="447" t="s">
        <v>532</v>
      </c>
      <c r="BB177" s="59"/>
      <c r="BC177" s="223"/>
      <c r="BD177" s="60" t="str">
        <f t="shared" si="64"/>
        <v xml:space="preserve"> </v>
      </c>
      <c r="BE177" s="213" t="str">
        <f t="shared" si="59"/>
        <v>-</v>
      </c>
      <c r="BF177" s="172"/>
      <c r="BG177" s="225" t="s">
        <v>215</v>
      </c>
      <c r="BH177" s="59"/>
      <c r="BI177" s="223"/>
      <c r="BJ177" s="60" t="str">
        <f t="shared" si="65"/>
        <v xml:space="preserve"> </v>
      </c>
      <c r="BK177" s="213" t="s">
        <v>215</v>
      </c>
      <c r="BL177" s="172"/>
      <c r="BM177" s="225" t="s">
        <v>215</v>
      </c>
    </row>
    <row r="178" spans="1:65" s="26" customFormat="1" ht="319.5" customHeight="1">
      <c r="B178" s="64">
        <f t="shared" si="66"/>
        <v>171</v>
      </c>
      <c r="C178" s="7"/>
      <c r="D178" s="7"/>
      <c r="E178" s="53"/>
      <c r="F178" s="111" t="s">
        <v>367</v>
      </c>
      <c r="G178" s="66"/>
      <c r="H178" s="61"/>
      <c r="I178" s="8"/>
      <c r="J178" s="8" t="s">
        <v>231</v>
      </c>
      <c r="K178" s="8"/>
      <c r="L178" s="8"/>
      <c r="M178" s="356" t="s">
        <v>493</v>
      </c>
      <c r="N178" s="16"/>
      <c r="O178" s="56"/>
      <c r="P178" s="93">
        <f t="shared" si="68"/>
        <v>150</v>
      </c>
      <c r="Q178" s="113">
        <v>2</v>
      </c>
      <c r="R178" s="21" t="str">
        <f t="shared" si="67"/>
        <v>X</v>
      </c>
      <c r="S178" s="96" t="s">
        <v>166</v>
      </c>
      <c r="T178" s="94"/>
      <c r="U178" s="21" t="s">
        <v>226</v>
      </c>
      <c r="V178" s="10"/>
      <c r="W178" s="25">
        <v>3</v>
      </c>
      <c r="X178" s="1" t="s">
        <v>260</v>
      </c>
      <c r="Y178" s="1">
        <v>2</v>
      </c>
      <c r="Z178" s="1">
        <v>2</v>
      </c>
      <c r="AA178" s="8" t="s">
        <v>229</v>
      </c>
      <c r="AB178" s="8" t="s">
        <v>226</v>
      </c>
      <c r="AC178" s="67"/>
      <c r="AD178" s="444"/>
      <c r="AE178" s="445"/>
      <c r="AF178" s="446" t="str">
        <f t="shared" si="60"/>
        <v xml:space="preserve">  </v>
      </c>
      <c r="AG178" s="442" t="str">
        <f t="shared" si="56"/>
        <v>-</v>
      </c>
      <c r="AH178" s="445"/>
      <c r="AI178" s="448" t="s">
        <v>532</v>
      </c>
      <c r="AJ178" s="444"/>
      <c r="AK178" s="445"/>
      <c r="AL178" s="446" t="str">
        <f t="shared" si="61"/>
        <v xml:space="preserve">  </v>
      </c>
      <c r="AM178" s="442" t="str">
        <f t="shared" si="57"/>
        <v>-</v>
      </c>
      <c r="AN178" s="445"/>
      <c r="AO178" s="448" t="s">
        <v>532</v>
      </c>
      <c r="AP178" s="444"/>
      <c r="AQ178" s="445"/>
      <c r="AR178" s="446" t="str">
        <f t="shared" si="62"/>
        <v xml:space="preserve">  </v>
      </c>
      <c r="AS178" s="442" t="s">
        <v>532</v>
      </c>
      <c r="AT178" s="463"/>
      <c r="AU178" s="448" t="s">
        <v>532</v>
      </c>
      <c r="AV178" s="444"/>
      <c r="AW178" s="445"/>
      <c r="AX178" s="446" t="str">
        <f t="shared" si="63"/>
        <v xml:space="preserve">  </v>
      </c>
      <c r="AY178" s="442" t="str">
        <f t="shared" si="58"/>
        <v>-</v>
      </c>
      <c r="AZ178" s="445"/>
      <c r="BA178" s="448" t="s">
        <v>532</v>
      </c>
      <c r="BB178" s="59"/>
      <c r="BC178" s="223"/>
      <c r="BD178" s="254" t="str">
        <f t="shared" si="64"/>
        <v>C1</v>
      </c>
      <c r="BE178" s="213" t="str">
        <f t="shared" si="59"/>
        <v>-</v>
      </c>
      <c r="BF178" s="172" t="s">
        <v>217</v>
      </c>
      <c r="BG178" s="405" t="str">
        <f>IF(OR(BC$8="判定対象外",BF$8="判定対象外",BF178="-"),"-",IF(BC178=BF178,"OK","NG"))</f>
        <v>NG</v>
      </c>
      <c r="BH178" s="59"/>
      <c r="BI178" s="223"/>
      <c r="BJ178" s="254" t="str">
        <f t="shared" si="65"/>
        <v>D2</v>
      </c>
      <c r="BK178" s="213" t="str">
        <f>IF(OR(BI$8="判定対象外",BJ$8="判定対象外",BJ178="-"),"-",IF(BI178=BJ178,"OK","NG"))</f>
        <v>NG</v>
      </c>
      <c r="BL178" s="172" t="s">
        <v>575</v>
      </c>
      <c r="BM178" s="405" t="str">
        <f>IF(OR(BI$8="判定対象外",BL$8="判定対象外",BL178="-"),"-",IF(BI178=BL178,"OK","NG"))</f>
        <v>NG</v>
      </c>
    </row>
    <row r="179" spans="1:65" s="26" customFormat="1" ht="25.5">
      <c r="B179" s="64">
        <f t="shared" si="66"/>
        <v>172</v>
      </c>
      <c r="C179" s="7"/>
      <c r="D179" s="7"/>
      <c r="E179" s="53"/>
      <c r="F179" s="65" t="s">
        <v>167</v>
      </c>
      <c r="G179" s="66"/>
      <c r="H179" s="61"/>
      <c r="I179" s="8"/>
      <c r="J179" s="8"/>
      <c r="K179" s="8"/>
      <c r="L179" s="8"/>
      <c r="M179" s="11" t="s">
        <v>274</v>
      </c>
      <c r="N179" s="16"/>
      <c r="O179" s="56"/>
      <c r="P179" s="93">
        <f t="shared" si="68"/>
        <v>151</v>
      </c>
      <c r="Q179" s="113">
        <v>7</v>
      </c>
      <c r="R179" s="21" t="str">
        <f t="shared" si="67"/>
        <v>X</v>
      </c>
      <c r="S179" s="96" t="s">
        <v>168</v>
      </c>
      <c r="T179" s="94"/>
      <c r="U179" s="21" t="s">
        <v>226</v>
      </c>
      <c r="V179" s="10"/>
      <c r="W179" s="25">
        <v>3</v>
      </c>
      <c r="X179" s="1" t="s">
        <v>261</v>
      </c>
      <c r="Y179" s="1">
        <v>7</v>
      </c>
      <c r="Z179" s="1">
        <v>7</v>
      </c>
      <c r="AA179" s="8" t="s">
        <v>229</v>
      </c>
      <c r="AB179" s="8" t="s">
        <v>226</v>
      </c>
      <c r="AC179" s="103"/>
      <c r="AD179" s="444"/>
      <c r="AE179" s="440"/>
      <c r="AF179" s="440" t="str">
        <f t="shared" si="60"/>
        <v xml:space="preserve">       </v>
      </c>
      <c r="AG179" s="442" t="str">
        <f t="shared" si="56"/>
        <v>-</v>
      </c>
      <c r="AH179" s="440"/>
      <c r="AI179" s="447" t="s">
        <v>532</v>
      </c>
      <c r="AJ179" s="444"/>
      <c r="AK179" s="440"/>
      <c r="AL179" s="440" t="str">
        <f t="shared" si="61"/>
        <v xml:space="preserve">       </v>
      </c>
      <c r="AM179" s="442" t="str">
        <f t="shared" si="57"/>
        <v>-</v>
      </c>
      <c r="AN179" s="440"/>
      <c r="AO179" s="447" t="s">
        <v>532</v>
      </c>
      <c r="AP179" s="444"/>
      <c r="AQ179" s="440"/>
      <c r="AR179" s="440" t="str">
        <f t="shared" si="62"/>
        <v xml:space="preserve">       </v>
      </c>
      <c r="AS179" s="447" t="s">
        <v>532</v>
      </c>
      <c r="AT179" s="462"/>
      <c r="AU179" s="447" t="s">
        <v>532</v>
      </c>
      <c r="AV179" s="444"/>
      <c r="AW179" s="440"/>
      <c r="AX179" s="440" t="str">
        <f t="shared" si="63"/>
        <v xml:space="preserve">       </v>
      </c>
      <c r="AY179" s="442" t="str">
        <f t="shared" si="58"/>
        <v>-</v>
      </c>
      <c r="AZ179" s="440"/>
      <c r="BA179" s="447" t="s">
        <v>532</v>
      </c>
      <c r="BB179" s="59"/>
      <c r="BC179" s="60"/>
      <c r="BD179" s="60" t="str">
        <f t="shared" si="64"/>
        <v xml:space="preserve">       </v>
      </c>
      <c r="BE179" s="213" t="str">
        <f t="shared" si="59"/>
        <v>-</v>
      </c>
      <c r="BF179" s="167"/>
      <c r="BG179" s="225" t="s">
        <v>215</v>
      </c>
      <c r="BH179" s="59"/>
      <c r="BI179" s="60"/>
      <c r="BJ179" s="60" t="str">
        <f t="shared" si="65"/>
        <v xml:space="preserve">       </v>
      </c>
      <c r="BK179" s="213" t="s">
        <v>215</v>
      </c>
      <c r="BL179" s="167"/>
      <c r="BM179" s="225" t="s">
        <v>215</v>
      </c>
    </row>
    <row r="180" spans="1:65" s="80" customFormat="1" ht="25.5">
      <c r="B180" s="64">
        <f t="shared" si="66"/>
        <v>173</v>
      </c>
      <c r="C180" s="68"/>
      <c r="D180" s="68"/>
      <c r="E180" s="69"/>
      <c r="F180" s="70" t="s">
        <v>275</v>
      </c>
      <c r="G180" s="71"/>
      <c r="H180" s="72"/>
      <c r="I180" s="73"/>
      <c r="J180" s="73"/>
      <c r="K180" s="74"/>
      <c r="L180" s="74"/>
      <c r="M180" s="83" t="s">
        <v>274</v>
      </c>
      <c r="N180" s="75"/>
      <c r="O180" s="76"/>
      <c r="P180" s="93">
        <f t="shared" si="68"/>
        <v>152</v>
      </c>
      <c r="Q180" s="117">
        <v>10</v>
      </c>
      <c r="R180" s="21" t="str">
        <f t="shared" si="67"/>
        <v>X</v>
      </c>
      <c r="S180" s="96" t="s">
        <v>169</v>
      </c>
      <c r="T180" s="104"/>
      <c r="U180" s="21" t="s">
        <v>226</v>
      </c>
      <c r="V180" s="76"/>
      <c r="W180" s="77">
        <v>3</v>
      </c>
      <c r="X180" s="55" t="s">
        <v>170</v>
      </c>
      <c r="Y180" s="55">
        <v>10</v>
      </c>
      <c r="Z180" s="55">
        <v>10</v>
      </c>
      <c r="AA180" s="73" t="s">
        <v>109</v>
      </c>
      <c r="AB180" s="73" t="s">
        <v>19</v>
      </c>
      <c r="AC180" s="103"/>
      <c r="AD180" s="451"/>
      <c r="AE180" s="452"/>
      <c r="AF180" s="453" t="str">
        <f t="shared" si="60"/>
        <v xml:space="preserve">          </v>
      </c>
      <c r="AG180" s="442" t="str">
        <f t="shared" si="56"/>
        <v>-</v>
      </c>
      <c r="AH180" s="452"/>
      <c r="AI180" s="447" t="s">
        <v>532</v>
      </c>
      <c r="AJ180" s="451"/>
      <c r="AK180" s="452"/>
      <c r="AL180" s="453" t="str">
        <f t="shared" si="61"/>
        <v xml:space="preserve">          </v>
      </c>
      <c r="AM180" s="442" t="str">
        <f t="shared" si="57"/>
        <v>-</v>
      </c>
      <c r="AN180" s="452"/>
      <c r="AO180" s="447" t="s">
        <v>532</v>
      </c>
      <c r="AP180" s="451"/>
      <c r="AQ180" s="452"/>
      <c r="AR180" s="453" t="str">
        <f t="shared" si="62"/>
        <v xml:space="preserve">          </v>
      </c>
      <c r="AS180" s="447" t="s">
        <v>532</v>
      </c>
      <c r="AT180" s="464"/>
      <c r="AU180" s="447" t="s">
        <v>532</v>
      </c>
      <c r="AV180" s="451"/>
      <c r="AW180" s="452"/>
      <c r="AX180" s="453" t="str">
        <f t="shared" si="63"/>
        <v xml:space="preserve">          </v>
      </c>
      <c r="AY180" s="442" t="str">
        <f t="shared" si="58"/>
        <v>-</v>
      </c>
      <c r="AZ180" s="452"/>
      <c r="BA180" s="447" t="s">
        <v>532</v>
      </c>
      <c r="BB180" s="78"/>
      <c r="BC180" s="420"/>
      <c r="BD180" s="79" t="str">
        <f t="shared" si="64"/>
        <v xml:space="preserve">          </v>
      </c>
      <c r="BE180" s="213" t="str">
        <f t="shared" si="59"/>
        <v>-</v>
      </c>
      <c r="BF180" s="378"/>
      <c r="BG180" s="225" t="s">
        <v>215</v>
      </c>
      <c r="BH180" s="78"/>
      <c r="BI180" s="420"/>
      <c r="BJ180" s="79" t="str">
        <f t="shared" si="65"/>
        <v xml:space="preserve">          </v>
      </c>
      <c r="BK180" s="213" t="s">
        <v>215</v>
      </c>
      <c r="BL180" s="378"/>
      <c r="BM180" s="225" t="s">
        <v>215</v>
      </c>
    </row>
    <row r="181" spans="1:65" s="80" customFormat="1" ht="25.5">
      <c r="B181" s="64">
        <f t="shared" si="66"/>
        <v>174</v>
      </c>
      <c r="C181" s="68"/>
      <c r="D181" s="68"/>
      <c r="E181" s="68"/>
      <c r="F181" s="81" t="s">
        <v>171</v>
      </c>
      <c r="G181" s="14"/>
      <c r="H181" s="82"/>
      <c r="I181" s="73"/>
      <c r="J181" s="73"/>
      <c r="K181" s="74"/>
      <c r="L181" s="74"/>
      <c r="M181" s="83" t="s">
        <v>274</v>
      </c>
      <c r="N181" s="75"/>
      <c r="O181" s="76"/>
      <c r="P181" s="93">
        <f t="shared" si="68"/>
        <v>153</v>
      </c>
      <c r="Q181" s="117">
        <v>3</v>
      </c>
      <c r="R181" s="21" t="str">
        <f t="shared" si="67"/>
        <v>X</v>
      </c>
      <c r="S181" s="96" t="s">
        <v>172</v>
      </c>
      <c r="T181" s="104"/>
      <c r="U181" s="21" t="s">
        <v>226</v>
      </c>
      <c r="V181" s="76"/>
      <c r="W181" s="77">
        <v>3</v>
      </c>
      <c r="X181" s="55" t="s">
        <v>173</v>
      </c>
      <c r="Y181" s="55">
        <v>3</v>
      </c>
      <c r="Z181" s="55">
        <v>3</v>
      </c>
      <c r="AA181" s="73" t="s">
        <v>109</v>
      </c>
      <c r="AB181" s="73" t="s">
        <v>19</v>
      </c>
      <c r="AC181" s="103"/>
      <c r="AD181" s="451"/>
      <c r="AE181" s="452"/>
      <c r="AF181" s="453" t="str">
        <f t="shared" si="60"/>
        <v xml:space="preserve">   </v>
      </c>
      <c r="AG181" s="442" t="str">
        <f t="shared" si="56"/>
        <v>-</v>
      </c>
      <c r="AH181" s="452"/>
      <c r="AI181" s="447" t="s">
        <v>532</v>
      </c>
      <c r="AJ181" s="451"/>
      <c r="AK181" s="452"/>
      <c r="AL181" s="453" t="str">
        <f t="shared" si="61"/>
        <v xml:space="preserve">   </v>
      </c>
      <c r="AM181" s="442" t="str">
        <f t="shared" si="57"/>
        <v>-</v>
      </c>
      <c r="AN181" s="452"/>
      <c r="AO181" s="447" t="s">
        <v>532</v>
      </c>
      <c r="AP181" s="451"/>
      <c r="AQ181" s="452"/>
      <c r="AR181" s="453" t="str">
        <f t="shared" si="62"/>
        <v xml:space="preserve">   </v>
      </c>
      <c r="AS181" s="447" t="s">
        <v>532</v>
      </c>
      <c r="AT181" s="464"/>
      <c r="AU181" s="447" t="s">
        <v>532</v>
      </c>
      <c r="AV181" s="451"/>
      <c r="AW181" s="452"/>
      <c r="AX181" s="453" t="str">
        <f t="shared" si="63"/>
        <v xml:space="preserve">   </v>
      </c>
      <c r="AY181" s="442" t="str">
        <f t="shared" si="58"/>
        <v>-</v>
      </c>
      <c r="AZ181" s="452"/>
      <c r="BA181" s="447" t="s">
        <v>532</v>
      </c>
      <c r="BB181" s="78"/>
      <c r="BC181" s="420"/>
      <c r="BD181" s="79" t="str">
        <f t="shared" si="64"/>
        <v xml:space="preserve">   </v>
      </c>
      <c r="BE181" s="213" t="str">
        <f t="shared" si="59"/>
        <v>-</v>
      </c>
      <c r="BF181" s="378"/>
      <c r="BG181" s="225" t="s">
        <v>215</v>
      </c>
      <c r="BH181" s="78"/>
      <c r="BI181" s="420"/>
      <c r="BJ181" s="79" t="str">
        <f t="shared" si="65"/>
        <v xml:space="preserve">   </v>
      </c>
      <c r="BK181" s="213" t="s">
        <v>215</v>
      </c>
      <c r="BL181" s="378"/>
      <c r="BM181" s="225" t="s">
        <v>215</v>
      </c>
    </row>
    <row r="182" spans="1:65" s="80" customFormat="1" ht="25.5">
      <c r="B182" s="64">
        <f t="shared" si="66"/>
        <v>175</v>
      </c>
      <c r="C182" s="68"/>
      <c r="D182" s="68"/>
      <c r="E182" s="68"/>
      <c r="F182" s="81" t="s">
        <v>174</v>
      </c>
      <c r="G182" s="14"/>
      <c r="H182" s="82"/>
      <c r="I182" s="73"/>
      <c r="J182" s="73"/>
      <c r="K182" s="74"/>
      <c r="L182" s="74"/>
      <c r="M182" s="83" t="s">
        <v>274</v>
      </c>
      <c r="N182" s="75"/>
      <c r="O182" s="76"/>
      <c r="P182" s="93">
        <f>P181+1</f>
        <v>154</v>
      </c>
      <c r="Q182" s="117">
        <v>2</v>
      </c>
      <c r="R182" s="21" t="str">
        <f t="shared" si="67"/>
        <v>X</v>
      </c>
      <c r="S182" s="96" t="s">
        <v>175</v>
      </c>
      <c r="T182" s="104"/>
      <c r="U182" s="21" t="s">
        <v>226</v>
      </c>
      <c r="V182" s="76"/>
      <c r="W182" s="77">
        <v>3</v>
      </c>
      <c r="X182" s="55" t="s">
        <v>176</v>
      </c>
      <c r="Y182" s="55">
        <v>2</v>
      </c>
      <c r="Z182" s="55">
        <v>2</v>
      </c>
      <c r="AA182" s="73" t="s">
        <v>109</v>
      </c>
      <c r="AB182" s="73" t="s">
        <v>19</v>
      </c>
      <c r="AC182" s="103"/>
      <c r="AD182" s="451"/>
      <c r="AE182" s="452"/>
      <c r="AF182" s="453" t="str">
        <f t="shared" si="60"/>
        <v xml:space="preserve">  </v>
      </c>
      <c r="AG182" s="442" t="str">
        <f t="shared" si="56"/>
        <v>-</v>
      </c>
      <c r="AH182" s="452"/>
      <c r="AI182" s="447" t="s">
        <v>532</v>
      </c>
      <c r="AJ182" s="451"/>
      <c r="AK182" s="452"/>
      <c r="AL182" s="453" t="str">
        <f t="shared" si="61"/>
        <v xml:space="preserve">  </v>
      </c>
      <c r="AM182" s="442" t="str">
        <f t="shared" si="57"/>
        <v>-</v>
      </c>
      <c r="AN182" s="452"/>
      <c r="AO182" s="447" t="s">
        <v>532</v>
      </c>
      <c r="AP182" s="451"/>
      <c r="AQ182" s="452"/>
      <c r="AR182" s="453" t="str">
        <f t="shared" si="62"/>
        <v xml:space="preserve">  </v>
      </c>
      <c r="AS182" s="447" t="s">
        <v>532</v>
      </c>
      <c r="AT182" s="464"/>
      <c r="AU182" s="447" t="s">
        <v>532</v>
      </c>
      <c r="AV182" s="451"/>
      <c r="AW182" s="452"/>
      <c r="AX182" s="453" t="str">
        <f t="shared" si="63"/>
        <v xml:space="preserve">  </v>
      </c>
      <c r="AY182" s="442" t="str">
        <f t="shared" si="58"/>
        <v>-</v>
      </c>
      <c r="AZ182" s="452"/>
      <c r="BA182" s="447" t="s">
        <v>532</v>
      </c>
      <c r="BB182" s="78"/>
      <c r="BC182" s="420"/>
      <c r="BD182" s="79" t="str">
        <f t="shared" si="64"/>
        <v xml:space="preserve">  </v>
      </c>
      <c r="BE182" s="213" t="str">
        <f t="shared" si="59"/>
        <v>-</v>
      </c>
      <c r="BF182" s="378"/>
      <c r="BG182" s="225" t="s">
        <v>215</v>
      </c>
      <c r="BH182" s="78"/>
      <c r="BI182" s="420"/>
      <c r="BJ182" s="79" t="str">
        <f t="shared" si="65"/>
        <v xml:space="preserve">  </v>
      </c>
      <c r="BK182" s="213" t="s">
        <v>215</v>
      </c>
      <c r="BL182" s="378"/>
      <c r="BM182" s="225" t="s">
        <v>215</v>
      </c>
    </row>
    <row r="183" spans="1:65" s="80" customFormat="1" ht="51.75" customHeight="1">
      <c r="B183" s="64">
        <f t="shared" si="66"/>
        <v>176</v>
      </c>
      <c r="C183" s="68"/>
      <c r="D183" s="68"/>
      <c r="E183" s="68"/>
      <c r="F183" s="228" t="s">
        <v>177</v>
      </c>
      <c r="G183" s="229"/>
      <c r="H183" s="230"/>
      <c r="I183" s="73"/>
      <c r="J183" s="73"/>
      <c r="K183" s="74"/>
      <c r="L183" s="74"/>
      <c r="M183" s="83" t="s">
        <v>178</v>
      </c>
      <c r="N183" s="75"/>
      <c r="O183" s="76"/>
      <c r="P183" s="93">
        <f>P182+1</f>
        <v>155</v>
      </c>
      <c r="Q183" s="117">
        <v>5</v>
      </c>
      <c r="R183" s="21" t="str">
        <f t="shared" si="67"/>
        <v>X</v>
      </c>
      <c r="S183" s="96" t="s">
        <v>179</v>
      </c>
      <c r="T183" s="104"/>
      <c r="U183" s="21" t="s">
        <v>226</v>
      </c>
      <c r="V183" s="76"/>
      <c r="W183" s="77">
        <v>3</v>
      </c>
      <c r="X183" s="55" t="s">
        <v>262</v>
      </c>
      <c r="Y183" s="55">
        <v>5</v>
      </c>
      <c r="Z183" s="55">
        <v>5</v>
      </c>
      <c r="AA183" s="73" t="s">
        <v>109</v>
      </c>
      <c r="AB183" s="73" t="s">
        <v>19</v>
      </c>
      <c r="AC183" s="84"/>
      <c r="AD183" s="451"/>
      <c r="AE183" s="459"/>
      <c r="AF183" s="453" t="str">
        <f t="shared" si="60"/>
        <v xml:space="preserve">     </v>
      </c>
      <c r="AG183" s="442" t="str">
        <f t="shared" si="56"/>
        <v>-</v>
      </c>
      <c r="AH183" s="459"/>
      <c r="AI183" s="447" t="s">
        <v>532</v>
      </c>
      <c r="AJ183" s="451"/>
      <c r="AK183" s="459"/>
      <c r="AL183" s="453" t="str">
        <f t="shared" si="61"/>
        <v xml:space="preserve">     </v>
      </c>
      <c r="AM183" s="442" t="str">
        <f t="shared" si="57"/>
        <v>-</v>
      </c>
      <c r="AN183" s="459"/>
      <c r="AO183" s="447" t="s">
        <v>532</v>
      </c>
      <c r="AP183" s="451"/>
      <c r="AQ183" s="459"/>
      <c r="AR183" s="453" t="str">
        <f t="shared" si="62"/>
        <v xml:space="preserve">     </v>
      </c>
      <c r="AS183" s="447" t="s">
        <v>532</v>
      </c>
      <c r="AT183" s="466"/>
      <c r="AU183" s="447" t="s">
        <v>532</v>
      </c>
      <c r="AV183" s="451"/>
      <c r="AW183" s="459"/>
      <c r="AX183" s="453" t="str">
        <f t="shared" si="63"/>
        <v xml:space="preserve">     </v>
      </c>
      <c r="AY183" s="442" t="str">
        <f t="shared" si="58"/>
        <v>-</v>
      </c>
      <c r="AZ183" s="459"/>
      <c r="BA183" s="447" t="s">
        <v>532</v>
      </c>
      <c r="BB183" s="78"/>
      <c r="BC183" s="421"/>
      <c r="BD183" s="79" t="str">
        <f t="shared" si="64"/>
        <v xml:space="preserve">     </v>
      </c>
      <c r="BE183" s="213" t="str">
        <f t="shared" si="59"/>
        <v>-</v>
      </c>
      <c r="BF183" s="382"/>
      <c r="BG183" s="225" t="s">
        <v>215</v>
      </c>
      <c r="BH183" s="78"/>
      <c r="BI183" s="421"/>
      <c r="BJ183" s="79" t="str">
        <f t="shared" si="65"/>
        <v xml:space="preserve">     </v>
      </c>
      <c r="BK183" s="213" t="s">
        <v>215</v>
      </c>
      <c r="BL183" s="382"/>
      <c r="BM183" s="225" t="s">
        <v>215</v>
      </c>
    </row>
    <row r="184" spans="1:65" s="80" customFormat="1" ht="51.75" customHeight="1">
      <c r="B184" s="64">
        <f t="shared" si="66"/>
        <v>177</v>
      </c>
      <c r="C184" s="68"/>
      <c r="D184" s="68"/>
      <c r="E184" s="68"/>
      <c r="F184" s="228" t="s">
        <v>180</v>
      </c>
      <c r="G184" s="229"/>
      <c r="H184" s="230"/>
      <c r="I184" s="73"/>
      <c r="J184" s="73"/>
      <c r="K184" s="74"/>
      <c r="L184" s="74"/>
      <c r="M184" s="83" t="s">
        <v>181</v>
      </c>
      <c r="N184" s="75"/>
      <c r="O184" s="76"/>
      <c r="P184" s="93">
        <f>P183+1</f>
        <v>156</v>
      </c>
      <c r="Q184" s="117">
        <v>64</v>
      </c>
      <c r="R184" s="21" t="str">
        <f>IF(AA184="M","NX",AA184)</f>
        <v>NX</v>
      </c>
      <c r="S184" s="96" t="s">
        <v>182</v>
      </c>
      <c r="T184" s="104"/>
      <c r="U184" s="21" t="s">
        <v>226</v>
      </c>
      <c r="V184" s="76" t="s">
        <v>263</v>
      </c>
      <c r="W184" s="77">
        <v>3</v>
      </c>
      <c r="X184" s="55" t="s">
        <v>264</v>
      </c>
      <c r="Y184" s="55">
        <v>1</v>
      </c>
      <c r="Z184" s="55">
        <v>64</v>
      </c>
      <c r="AA184" s="73" t="s">
        <v>252</v>
      </c>
      <c r="AB184" s="73" t="s">
        <v>19</v>
      </c>
      <c r="AC184" s="84" t="s">
        <v>263</v>
      </c>
      <c r="AD184" s="451"/>
      <c r="AE184" s="459"/>
      <c r="AF184" s="453" t="str">
        <f t="shared" si="60"/>
        <v xml:space="preserve">                                                                </v>
      </c>
      <c r="AG184" s="442" t="str">
        <f t="shared" si="56"/>
        <v>-</v>
      </c>
      <c r="AH184" s="459"/>
      <c r="AI184" s="447" t="s">
        <v>532</v>
      </c>
      <c r="AJ184" s="451"/>
      <c r="AK184" s="459"/>
      <c r="AL184" s="453" t="str">
        <f t="shared" si="61"/>
        <v xml:space="preserve">                                                                </v>
      </c>
      <c r="AM184" s="442" t="str">
        <f t="shared" si="57"/>
        <v>-</v>
      </c>
      <c r="AN184" s="459"/>
      <c r="AO184" s="447" t="s">
        <v>532</v>
      </c>
      <c r="AP184" s="451"/>
      <c r="AQ184" s="459"/>
      <c r="AR184" s="453" t="str">
        <f t="shared" si="62"/>
        <v xml:space="preserve">                                                                </v>
      </c>
      <c r="AS184" s="447" t="s">
        <v>532</v>
      </c>
      <c r="AT184" s="466"/>
      <c r="AU184" s="447" t="s">
        <v>532</v>
      </c>
      <c r="AV184" s="451"/>
      <c r="AW184" s="459"/>
      <c r="AX184" s="453" t="str">
        <f t="shared" si="63"/>
        <v xml:space="preserve">                                                                </v>
      </c>
      <c r="AY184" s="442" t="str">
        <f t="shared" si="58"/>
        <v>-</v>
      </c>
      <c r="AZ184" s="459"/>
      <c r="BA184" s="447" t="s">
        <v>532</v>
      </c>
      <c r="BB184" s="78"/>
      <c r="BC184" s="421"/>
      <c r="BD184" s="79" t="str">
        <f t="shared" si="64"/>
        <v xml:space="preserve">                                                                </v>
      </c>
      <c r="BE184" s="213" t="str">
        <f t="shared" si="59"/>
        <v>-</v>
      </c>
      <c r="BF184" s="382"/>
      <c r="BG184" s="225" t="s">
        <v>215</v>
      </c>
      <c r="BH184" s="78"/>
      <c r="BI184" s="421"/>
      <c r="BJ184" s="79" t="str">
        <f t="shared" si="65"/>
        <v xml:space="preserve">                                                                </v>
      </c>
      <c r="BK184" s="213" t="s">
        <v>215</v>
      </c>
      <c r="BL184" s="382"/>
      <c r="BM184" s="225" t="s">
        <v>215</v>
      </c>
    </row>
    <row r="185" spans="1:65" s="80" customFormat="1" ht="92.25" customHeight="1">
      <c r="B185" s="64">
        <f t="shared" si="66"/>
        <v>178</v>
      </c>
      <c r="C185" s="68"/>
      <c r="D185" s="68"/>
      <c r="E185" s="68"/>
      <c r="F185" s="81" t="s">
        <v>276</v>
      </c>
      <c r="G185" s="14"/>
      <c r="H185" s="82"/>
      <c r="I185" s="73"/>
      <c r="J185" s="73"/>
      <c r="K185" s="74"/>
      <c r="L185" s="74"/>
      <c r="M185" s="415" t="s">
        <v>207</v>
      </c>
      <c r="N185" s="75"/>
      <c r="O185" s="76"/>
      <c r="P185" s="93">
        <f>P184+1</f>
        <v>157</v>
      </c>
      <c r="Q185" s="117">
        <v>7</v>
      </c>
      <c r="R185" s="21" t="s">
        <v>229</v>
      </c>
      <c r="S185" s="96" t="s">
        <v>265</v>
      </c>
      <c r="T185" s="104"/>
      <c r="U185" s="21" t="s">
        <v>226</v>
      </c>
      <c r="V185" s="76"/>
      <c r="W185" s="77">
        <v>3</v>
      </c>
      <c r="X185" s="55" t="s">
        <v>266</v>
      </c>
      <c r="Y185" s="55">
        <v>7</v>
      </c>
      <c r="Z185" s="55">
        <v>7</v>
      </c>
      <c r="AA185" s="73" t="s">
        <v>229</v>
      </c>
      <c r="AB185" s="73" t="s">
        <v>19</v>
      </c>
      <c r="AC185" s="84"/>
      <c r="AD185" s="451"/>
      <c r="AE185" s="452"/>
      <c r="AF185" s="453" t="str">
        <f t="shared" si="60"/>
        <v xml:space="preserve">       </v>
      </c>
      <c r="AG185" s="442" t="str">
        <f t="shared" si="56"/>
        <v>-</v>
      </c>
      <c r="AH185" s="452"/>
      <c r="AI185" s="447" t="s">
        <v>532</v>
      </c>
      <c r="AJ185" s="451"/>
      <c r="AK185" s="452"/>
      <c r="AL185" s="453" t="str">
        <f t="shared" si="61"/>
        <v xml:space="preserve">       </v>
      </c>
      <c r="AM185" s="442" t="str">
        <f t="shared" si="57"/>
        <v>-</v>
      </c>
      <c r="AN185" s="452"/>
      <c r="AO185" s="447" t="s">
        <v>532</v>
      </c>
      <c r="AP185" s="451"/>
      <c r="AQ185" s="452"/>
      <c r="AR185" s="453" t="str">
        <f t="shared" si="62"/>
        <v xml:space="preserve">       </v>
      </c>
      <c r="AS185" s="447" t="s">
        <v>532</v>
      </c>
      <c r="AT185" s="464"/>
      <c r="AU185" s="447" t="s">
        <v>532</v>
      </c>
      <c r="AV185" s="451"/>
      <c r="AW185" s="452"/>
      <c r="AX185" s="453" t="str">
        <f t="shared" si="63"/>
        <v xml:space="preserve">       </v>
      </c>
      <c r="AY185" s="442" t="str">
        <f t="shared" si="58"/>
        <v>-</v>
      </c>
      <c r="AZ185" s="452"/>
      <c r="BA185" s="447" t="s">
        <v>532</v>
      </c>
      <c r="BB185" s="78"/>
      <c r="BC185" s="420"/>
      <c r="BD185" s="79" t="str">
        <f t="shared" si="64"/>
        <v xml:space="preserve">       </v>
      </c>
      <c r="BE185" s="213" t="str">
        <f t="shared" si="59"/>
        <v>-</v>
      </c>
      <c r="BF185" s="378"/>
      <c r="BG185" s="225" t="s">
        <v>215</v>
      </c>
      <c r="BH185" s="78"/>
      <c r="BI185" s="420"/>
      <c r="BJ185" s="79" t="str">
        <f t="shared" si="65"/>
        <v xml:space="preserve">       </v>
      </c>
      <c r="BK185" s="213" t="s">
        <v>215</v>
      </c>
      <c r="BL185" s="378"/>
      <c r="BM185" s="225" t="s">
        <v>215</v>
      </c>
    </row>
    <row r="186" spans="1:65" s="80" customFormat="1" ht="127.9" thickBot="1">
      <c r="A186" s="216"/>
      <c r="B186" s="231">
        <f t="shared" si="66"/>
        <v>179</v>
      </c>
      <c r="C186" s="232"/>
      <c r="D186" s="232"/>
      <c r="E186" s="232"/>
      <c r="F186" s="234" t="s">
        <v>267</v>
      </c>
      <c r="G186" s="235"/>
      <c r="H186" s="236"/>
      <c r="I186" s="237"/>
      <c r="J186" s="237"/>
      <c r="K186" s="237"/>
      <c r="L186" s="237"/>
      <c r="M186" s="416" t="s">
        <v>277</v>
      </c>
      <c r="N186" s="417"/>
      <c r="O186" s="419"/>
      <c r="P186" s="429">
        <f>P185+1</f>
        <v>158</v>
      </c>
      <c r="Q186" s="430">
        <v>1</v>
      </c>
      <c r="R186" s="431">
        <v>9</v>
      </c>
      <c r="S186" s="430" t="s">
        <v>268</v>
      </c>
      <c r="T186" s="430"/>
      <c r="U186" s="431" t="s">
        <v>226</v>
      </c>
      <c r="V186" s="432"/>
      <c r="W186" s="433" t="str">
        <f>IF(C186&lt;&gt;"","0",IF(D186&lt;&gt;"","1",IF(E186&lt;&gt;"","2",IF(F186&lt;&gt;"","3",IF(G186&lt;&gt;"","4",IF(H186&lt;&gt;"","5"))))))</f>
        <v>3</v>
      </c>
      <c r="X186" s="434" t="s">
        <v>269</v>
      </c>
      <c r="Y186" s="434">
        <v>1</v>
      </c>
      <c r="Z186" s="434">
        <v>1</v>
      </c>
      <c r="AA186" s="435">
        <v>9</v>
      </c>
      <c r="AB186" s="237" t="s">
        <v>226</v>
      </c>
      <c r="AC186" s="436"/>
      <c r="AD186" s="454"/>
      <c r="AE186" s="455"/>
      <c r="AF186" s="456" t="str">
        <f t="shared" si="60"/>
        <v xml:space="preserve"> </v>
      </c>
      <c r="AG186" s="457" t="str">
        <f t="shared" si="56"/>
        <v>-</v>
      </c>
      <c r="AH186" s="455"/>
      <c r="AI186" s="458" t="s">
        <v>532</v>
      </c>
      <c r="AJ186" s="454"/>
      <c r="AK186" s="455"/>
      <c r="AL186" s="456" t="str">
        <f t="shared" si="61"/>
        <v xml:space="preserve"> </v>
      </c>
      <c r="AM186" s="457" t="str">
        <f t="shared" si="57"/>
        <v>-</v>
      </c>
      <c r="AN186" s="455"/>
      <c r="AO186" s="458" t="s">
        <v>532</v>
      </c>
      <c r="AP186" s="454"/>
      <c r="AQ186" s="455"/>
      <c r="AR186" s="456" t="str">
        <f t="shared" si="62"/>
        <v xml:space="preserve"> </v>
      </c>
      <c r="AS186" s="457" t="s">
        <v>532</v>
      </c>
      <c r="AT186" s="465"/>
      <c r="AU186" s="458" t="s">
        <v>532</v>
      </c>
      <c r="AV186" s="454"/>
      <c r="AW186" s="455"/>
      <c r="AX186" s="456" t="str">
        <f t="shared" si="63"/>
        <v xml:space="preserve"> </v>
      </c>
      <c r="AY186" s="457" t="str">
        <f t="shared" si="58"/>
        <v>-</v>
      </c>
      <c r="AZ186" s="455"/>
      <c r="BA186" s="458" t="s">
        <v>532</v>
      </c>
      <c r="BB186" s="211"/>
      <c r="BC186" s="422"/>
      <c r="BD186" s="212" t="str">
        <f t="shared" si="64"/>
        <v xml:space="preserve"> </v>
      </c>
      <c r="BE186" s="226" t="str">
        <f t="shared" si="59"/>
        <v>-</v>
      </c>
      <c r="BF186" s="352"/>
      <c r="BG186" s="403" t="s">
        <v>215</v>
      </c>
      <c r="BH186" s="211"/>
      <c r="BI186" s="422"/>
      <c r="BJ186" s="212" t="str">
        <f t="shared" si="65"/>
        <v xml:space="preserve"> </v>
      </c>
      <c r="BK186" s="226" t="s">
        <v>215</v>
      </c>
      <c r="BL186" s="352"/>
      <c r="BM186" s="403" t="s">
        <v>215</v>
      </c>
    </row>
    <row r="187" spans="1:65" s="26" customFormat="1" ht="18.75" customHeight="1" thickTop="1">
      <c r="B187" s="2">
        <f t="shared" si="66"/>
        <v>180</v>
      </c>
      <c r="C187" s="7"/>
      <c r="D187" s="7"/>
      <c r="E187" s="100" t="s">
        <v>494</v>
      </c>
      <c r="F187" s="410"/>
      <c r="G187" s="410"/>
      <c r="H187" s="61"/>
      <c r="I187" s="8" t="s">
        <v>29</v>
      </c>
      <c r="J187" s="8" t="s">
        <v>495</v>
      </c>
      <c r="K187" s="8"/>
      <c r="L187" s="8"/>
      <c r="M187" s="1" t="s">
        <v>272</v>
      </c>
      <c r="N187" s="9"/>
      <c r="O187" s="423"/>
      <c r="P187" s="93"/>
      <c r="Q187" s="113"/>
      <c r="R187" s="21"/>
      <c r="S187" s="424"/>
      <c r="T187" s="9"/>
      <c r="U187" s="21"/>
      <c r="V187" s="98"/>
      <c r="W187" s="25" t="str">
        <f>IF(C187&lt;&gt;"","0",IF(D187&lt;&gt;"","1",IF(E187&lt;&gt;"","2",IF(F187&lt;&gt;"","3",IF(G187&lt;&gt;"","4",IF(H187&lt;&gt;"","5"))))))</f>
        <v>2</v>
      </c>
      <c r="X187" s="1" t="s">
        <v>117</v>
      </c>
      <c r="Y187" s="1"/>
      <c r="Z187" s="1"/>
      <c r="AA187" s="8"/>
      <c r="AB187" s="8" t="s">
        <v>496</v>
      </c>
      <c r="AC187" s="62"/>
      <c r="AD187" s="444"/>
      <c r="AE187" s="440"/>
      <c r="AF187" s="440" t="str">
        <f t="shared" si="60"/>
        <v/>
      </c>
      <c r="AG187" s="442" t="str">
        <f t="shared" si="56"/>
        <v>-</v>
      </c>
      <c r="AH187" s="440"/>
      <c r="AI187" s="448" t="s">
        <v>532</v>
      </c>
      <c r="AJ187" s="444"/>
      <c r="AK187" s="440"/>
      <c r="AL187" s="440" t="str">
        <f t="shared" si="61"/>
        <v/>
      </c>
      <c r="AM187" s="442" t="str">
        <f t="shared" si="57"/>
        <v>-</v>
      </c>
      <c r="AN187" s="440"/>
      <c r="AO187" s="448" t="s">
        <v>532</v>
      </c>
      <c r="AP187" s="444"/>
      <c r="AQ187" s="440"/>
      <c r="AR187" s="440" t="str">
        <f t="shared" si="62"/>
        <v/>
      </c>
      <c r="AS187" s="442" t="s">
        <v>532</v>
      </c>
      <c r="AT187" s="462"/>
      <c r="AU187" s="448" t="s">
        <v>532</v>
      </c>
      <c r="AV187" s="444"/>
      <c r="AW187" s="440"/>
      <c r="AX187" s="440" t="str">
        <f t="shared" si="63"/>
        <v/>
      </c>
      <c r="AY187" s="442" t="str">
        <f t="shared" si="58"/>
        <v>-</v>
      </c>
      <c r="AZ187" s="440"/>
      <c r="BA187" s="448" t="s">
        <v>532</v>
      </c>
      <c r="BB187" s="59"/>
      <c r="BC187" s="60"/>
      <c r="BD187" s="60" t="str">
        <f t="shared" si="64"/>
        <v/>
      </c>
      <c r="BE187" s="213" t="str">
        <f t="shared" si="59"/>
        <v>-</v>
      </c>
      <c r="BF187" s="167"/>
      <c r="BG187" s="405" t="s">
        <v>215</v>
      </c>
      <c r="BH187" s="59"/>
      <c r="BI187" s="60"/>
      <c r="BJ187" s="60" t="str">
        <f t="shared" si="65"/>
        <v/>
      </c>
      <c r="BK187" s="260" t="s">
        <v>215</v>
      </c>
      <c r="BL187" s="167"/>
      <c r="BM187" s="405" t="s">
        <v>215</v>
      </c>
    </row>
    <row r="188" spans="1:65" s="26" customFormat="1" ht="63.75">
      <c r="B188" s="2">
        <f t="shared" si="66"/>
        <v>181</v>
      </c>
      <c r="C188" s="127"/>
      <c r="D188" s="7"/>
      <c r="E188" s="7"/>
      <c r="F188" s="110" t="s">
        <v>87</v>
      </c>
      <c r="G188" s="16"/>
      <c r="H188" s="13"/>
      <c r="I188" s="6"/>
      <c r="J188" s="6"/>
      <c r="K188" s="6"/>
      <c r="L188" s="8"/>
      <c r="M188" s="23" t="s">
        <v>248</v>
      </c>
      <c r="N188" s="1"/>
      <c r="O188" s="56"/>
      <c r="P188" s="93">
        <f>P186+1</f>
        <v>159</v>
      </c>
      <c r="Q188" s="115">
        <v>2</v>
      </c>
      <c r="R188" s="21" t="str">
        <f>IF(AA188="M","NX",AA188)</f>
        <v>X</v>
      </c>
      <c r="S188" s="96" t="s">
        <v>497</v>
      </c>
      <c r="T188" s="94"/>
      <c r="U188" s="21" t="s">
        <v>496</v>
      </c>
      <c r="V188" s="116" t="s">
        <v>189</v>
      </c>
      <c r="W188" s="25" t="str">
        <f>IF(C188&lt;&gt;"","0",IF(D188&lt;&gt;"","1",IF(E188&lt;&gt;"","2",IF(F188&lt;&gt;"","3",IF(G188&lt;&gt;"","4",IF(H188&lt;&gt;"","5"))))))</f>
        <v>3</v>
      </c>
      <c r="X188" s="5" t="s">
        <v>498</v>
      </c>
      <c r="Y188" s="57">
        <v>2</v>
      </c>
      <c r="Z188" s="57">
        <v>2</v>
      </c>
      <c r="AA188" s="58" t="s">
        <v>109</v>
      </c>
      <c r="AB188" s="58" t="s">
        <v>19</v>
      </c>
      <c r="AC188" s="12"/>
      <c r="AD188" s="444"/>
      <c r="AE188" s="445"/>
      <c r="AF188" s="446" t="str">
        <f t="shared" si="60"/>
        <v xml:space="preserve">  </v>
      </c>
      <c r="AG188" s="442" t="str">
        <f t="shared" si="56"/>
        <v>-</v>
      </c>
      <c r="AH188" s="445"/>
      <c r="AI188" s="447" t="s">
        <v>532</v>
      </c>
      <c r="AJ188" s="444"/>
      <c r="AK188" s="445"/>
      <c r="AL188" s="446" t="str">
        <f t="shared" si="61"/>
        <v xml:space="preserve">  </v>
      </c>
      <c r="AM188" s="442" t="str">
        <f t="shared" si="57"/>
        <v>-</v>
      </c>
      <c r="AN188" s="445"/>
      <c r="AO188" s="447" t="s">
        <v>532</v>
      </c>
      <c r="AP188" s="444"/>
      <c r="AQ188" s="445"/>
      <c r="AR188" s="446" t="str">
        <f t="shared" si="62"/>
        <v xml:space="preserve">  </v>
      </c>
      <c r="AS188" s="447" t="s">
        <v>532</v>
      </c>
      <c r="AT188" s="463"/>
      <c r="AU188" s="447" t="s">
        <v>532</v>
      </c>
      <c r="AV188" s="444"/>
      <c r="AW188" s="445"/>
      <c r="AX188" s="446" t="str">
        <f t="shared" si="63"/>
        <v xml:space="preserve">  </v>
      </c>
      <c r="AY188" s="442" t="str">
        <f t="shared" si="58"/>
        <v>-</v>
      </c>
      <c r="AZ188" s="445"/>
      <c r="BA188" s="447" t="s">
        <v>532</v>
      </c>
      <c r="BB188" s="59"/>
      <c r="BC188" s="223"/>
      <c r="BD188" s="254" t="str">
        <f t="shared" si="64"/>
        <v xml:space="preserve">  </v>
      </c>
      <c r="BE188" s="213" t="str">
        <f t="shared" si="59"/>
        <v>-</v>
      </c>
      <c r="BF188" s="172"/>
      <c r="BG188" s="225" t="s">
        <v>215</v>
      </c>
      <c r="BH188" s="59"/>
      <c r="BI188" s="223"/>
      <c r="BJ188" s="254" t="str">
        <f t="shared" si="65"/>
        <v xml:space="preserve">  </v>
      </c>
      <c r="BK188" s="213" t="s">
        <v>215</v>
      </c>
      <c r="BL188" s="172"/>
      <c r="BM188" s="225" t="s">
        <v>215</v>
      </c>
    </row>
    <row r="189" spans="1:65" s="26" customFormat="1" ht="344.25">
      <c r="B189" s="2">
        <f t="shared" si="66"/>
        <v>182</v>
      </c>
      <c r="C189" s="7"/>
      <c r="D189" s="7"/>
      <c r="E189" s="7"/>
      <c r="F189" s="110" t="s">
        <v>304</v>
      </c>
      <c r="G189" s="16"/>
      <c r="H189" s="13"/>
      <c r="I189" s="8"/>
      <c r="J189" s="8" t="s">
        <v>231</v>
      </c>
      <c r="K189" s="8"/>
      <c r="L189" s="8"/>
      <c r="M189" s="355" t="s">
        <v>478</v>
      </c>
      <c r="N189" s="11"/>
      <c r="O189" s="56"/>
      <c r="P189" s="93">
        <f>P188+1</f>
        <v>160</v>
      </c>
      <c r="Q189" s="113">
        <v>2</v>
      </c>
      <c r="R189" s="21" t="str">
        <f t="shared" ref="R189:R213" si="69">IF(AA189="M","NX",AA189)</f>
        <v>X</v>
      </c>
      <c r="S189" s="96" t="s">
        <v>310</v>
      </c>
      <c r="T189" s="94"/>
      <c r="U189" s="21" t="s">
        <v>226</v>
      </c>
      <c r="V189" s="10"/>
      <c r="W189" s="25">
        <v>3</v>
      </c>
      <c r="X189" s="1" t="s">
        <v>243</v>
      </c>
      <c r="Y189" s="1">
        <v>2</v>
      </c>
      <c r="Z189" s="1">
        <v>2</v>
      </c>
      <c r="AA189" s="8" t="s">
        <v>109</v>
      </c>
      <c r="AB189" s="8" t="s">
        <v>19</v>
      </c>
      <c r="AC189" s="12"/>
      <c r="AD189" s="444"/>
      <c r="AE189" s="445"/>
      <c r="AF189" s="446" t="str">
        <f t="shared" si="60"/>
        <v xml:space="preserve">  </v>
      </c>
      <c r="AG189" s="442" t="str">
        <f t="shared" si="56"/>
        <v>-</v>
      </c>
      <c r="AH189" s="445"/>
      <c r="AI189" s="448" t="s">
        <v>532</v>
      </c>
      <c r="AJ189" s="444"/>
      <c r="AK189" s="445"/>
      <c r="AL189" s="446" t="str">
        <f t="shared" si="61"/>
        <v xml:space="preserve">  </v>
      </c>
      <c r="AM189" s="442" t="str">
        <f t="shared" si="57"/>
        <v>-</v>
      </c>
      <c r="AN189" s="445"/>
      <c r="AO189" s="448" t="s">
        <v>532</v>
      </c>
      <c r="AP189" s="444"/>
      <c r="AQ189" s="445"/>
      <c r="AR189" s="446" t="str">
        <f t="shared" si="62"/>
        <v xml:space="preserve">  </v>
      </c>
      <c r="AS189" s="442" t="s">
        <v>532</v>
      </c>
      <c r="AT189" s="463"/>
      <c r="AU189" s="448" t="s">
        <v>532</v>
      </c>
      <c r="AV189" s="444"/>
      <c r="AW189" s="445"/>
      <c r="AX189" s="446" t="str">
        <f t="shared" si="63"/>
        <v xml:space="preserve">  </v>
      </c>
      <c r="AY189" s="442" t="str">
        <f t="shared" si="58"/>
        <v>-</v>
      </c>
      <c r="AZ189" s="445"/>
      <c r="BA189" s="448" t="s">
        <v>532</v>
      </c>
      <c r="BB189" s="59"/>
      <c r="BC189" s="223"/>
      <c r="BD189" s="254" t="str">
        <f t="shared" si="64"/>
        <v>A0</v>
      </c>
      <c r="BE189" s="213" t="str">
        <f t="shared" si="59"/>
        <v>-</v>
      </c>
      <c r="BF189" s="172" t="s">
        <v>187</v>
      </c>
      <c r="BG189" s="405" t="str">
        <f>IF(OR(BC$8="判定対象外",BF$8="判定対象外",BF189="-"),"-",IF(BC189=BF189,"OK","NG"))</f>
        <v>NG</v>
      </c>
      <c r="BH189" s="59"/>
      <c r="BI189" s="223"/>
      <c r="BJ189" s="254" t="str">
        <f t="shared" si="65"/>
        <v>C0</v>
      </c>
      <c r="BK189" s="213" t="str">
        <f>IF(OR(BI$8="判定対象外",BJ$8="判定対象外",BJ189="-"),"-",IF(BI189=BJ189,"OK","NG"))</f>
        <v>NG</v>
      </c>
      <c r="BL189" s="172" t="s">
        <v>111</v>
      </c>
      <c r="BM189" s="405" t="str">
        <f>IF(OR(BI$8="判定対象外",BL$8="判定対象外",BL189="-"),"-",IF(BI189=BL189,"OK","NG"))</f>
        <v>NG</v>
      </c>
    </row>
    <row r="190" spans="1:65" s="26" customFormat="1">
      <c r="B190" s="2">
        <f t="shared" si="66"/>
        <v>183</v>
      </c>
      <c r="C190" s="7"/>
      <c r="D190" s="7"/>
      <c r="E190" s="7"/>
      <c r="F190" s="22" t="s">
        <v>273</v>
      </c>
      <c r="G190" s="16"/>
      <c r="H190" s="13"/>
      <c r="I190" s="8"/>
      <c r="J190" s="8"/>
      <c r="K190" s="8"/>
      <c r="L190" s="8"/>
      <c r="M190" s="358" t="s">
        <v>205</v>
      </c>
      <c r="N190" s="11"/>
      <c r="O190" s="56"/>
      <c r="P190" s="93">
        <f t="shared" ref="P190:P211" si="70">P189+1</f>
        <v>161</v>
      </c>
      <c r="Q190" s="113">
        <v>2</v>
      </c>
      <c r="R190" s="21" t="str">
        <f t="shared" si="69"/>
        <v>X</v>
      </c>
      <c r="S190" s="96" t="s">
        <v>118</v>
      </c>
      <c r="T190" s="94"/>
      <c r="U190" s="21" t="s">
        <v>496</v>
      </c>
      <c r="V190" s="10"/>
      <c r="W190" s="25">
        <v>3</v>
      </c>
      <c r="X190" s="1" t="s">
        <v>119</v>
      </c>
      <c r="Y190" s="1">
        <v>2</v>
      </c>
      <c r="Z190" s="1">
        <v>2</v>
      </c>
      <c r="AA190" s="8" t="s">
        <v>109</v>
      </c>
      <c r="AB190" s="8" t="s">
        <v>19</v>
      </c>
      <c r="AC190" s="12"/>
      <c r="AD190" s="444"/>
      <c r="AE190" s="440"/>
      <c r="AF190" s="440" t="str">
        <f t="shared" si="60"/>
        <v xml:space="preserve">  </v>
      </c>
      <c r="AG190" s="442" t="str">
        <f t="shared" si="56"/>
        <v>-</v>
      </c>
      <c r="AH190" s="440"/>
      <c r="AI190" s="447" t="s">
        <v>532</v>
      </c>
      <c r="AJ190" s="444"/>
      <c r="AK190" s="440"/>
      <c r="AL190" s="440" t="str">
        <f t="shared" si="61"/>
        <v xml:space="preserve">  </v>
      </c>
      <c r="AM190" s="442" t="str">
        <f t="shared" si="57"/>
        <v>-</v>
      </c>
      <c r="AN190" s="440"/>
      <c r="AO190" s="447" t="s">
        <v>532</v>
      </c>
      <c r="AP190" s="444"/>
      <c r="AQ190" s="440"/>
      <c r="AR190" s="440" t="str">
        <f t="shared" si="62"/>
        <v xml:space="preserve">  </v>
      </c>
      <c r="AS190" s="447" t="s">
        <v>532</v>
      </c>
      <c r="AT190" s="462"/>
      <c r="AU190" s="447" t="s">
        <v>532</v>
      </c>
      <c r="AV190" s="444"/>
      <c r="AW190" s="440"/>
      <c r="AX190" s="440" t="str">
        <f t="shared" si="63"/>
        <v xml:space="preserve">  </v>
      </c>
      <c r="AY190" s="442" t="str">
        <f t="shared" si="58"/>
        <v>-</v>
      </c>
      <c r="AZ190" s="440"/>
      <c r="BA190" s="447" t="s">
        <v>532</v>
      </c>
      <c r="BB190" s="59"/>
      <c r="BC190" s="60"/>
      <c r="BD190" s="60" t="str">
        <f t="shared" si="64"/>
        <v xml:space="preserve">  </v>
      </c>
      <c r="BE190" s="213" t="str">
        <f t="shared" si="59"/>
        <v>-</v>
      </c>
      <c r="BF190" s="167"/>
      <c r="BG190" s="225" t="s">
        <v>215</v>
      </c>
      <c r="BH190" s="59"/>
      <c r="BI190" s="60"/>
      <c r="BJ190" s="60" t="str">
        <f t="shared" si="65"/>
        <v xml:space="preserve">  </v>
      </c>
      <c r="BK190" s="213" t="s">
        <v>215</v>
      </c>
      <c r="BL190" s="167"/>
      <c r="BM190" s="225" t="s">
        <v>215</v>
      </c>
    </row>
    <row r="191" spans="1:65" s="26" customFormat="1">
      <c r="B191" s="2">
        <f t="shared" si="66"/>
        <v>184</v>
      </c>
      <c r="C191" s="7"/>
      <c r="D191" s="7"/>
      <c r="E191" s="7"/>
      <c r="F191" s="22" t="s">
        <v>120</v>
      </c>
      <c r="G191" s="16"/>
      <c r="H191" s="13"/>
      <c r="I191" s="8"/>
      <c r="J191" s="8" t="s">
        <v>495</v>
      </c>
      <c r="K191" s="8"/>
      <c r="L191" s="8"/>
      <c r="M191" s="1" t="s">
        <v>121</v>
      </c>
      <c r="N191" s="1"/>
      <c r="O191" s="56"/>
      <c r="P191" s="93">
        <f t="shared" si="70"/>
        <v>162</v>
      </c>
      <c r="Q191" s="113">
        <v>255</v>
      </c>
      <c r="R191" s="21" t="str">
        <f t="shared" si="69"/>
        <v>NX</v>
      </c>
      <c r="S191" s="96" t="s">
        <v>122</v>
      </c>
      <c r="T191" s="94"/>
      <c r="U191" s="21" t="s">
        <v>496</v>
      </c>
      <c r="V191" s="10"/>
      <c r="W191" s="25">
        <v>3</v>
      </c>
      <c r="X191" s="1" t="s">
        <v>499</v>
      </c>
      <c r="Y191" s="1">
        <v>1</v>
      </c>
      <c r="Z191" s="1">
        <v>255</v>
      </c>
      <c r="AA191" s="8" t="s">
        <v>123</v>
      </c>
      <c r="AB191" s="8" t="s">
        <v>19</v>
      </c>
      <c r="AC191" s="12"/>
      <c r="AD191" s="444"/>
      <c r="AE191" s="445"/>
      <c r="AF191" s="445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91" s="442" t="str">
        <f t="shared" si="56"/>
        <v>-</v>
      </c>
      <c r="AH191" s="445"/>
      <c r="AI191" s="447" t="s">
        <v>532</v>
      </c>
      <c r="AJ191" s="444"/>
      <c r="AK191" s="445"/>
      <c r="AL191" s="445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91" s="442" t="str">
        <f t="shared" si="57"/>
        <v>-</v>
      </c>
      <c r="AN191" s="445"/>
      <c r="AO191" s="447" t="s">
        <v>532</v>
      </c>
      <c r="AP191" s="444"/>
      <c r="AQ191" s="445"/>
      <c r="AR191" s="445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91" s="447" t="s">
        <v>532</v>
      </c>
      <c r="AT191" s="463"/>
      <c r="AU191" s="447" t="s">
        <v>532</v>
      </c>
      <c r="AV191" s="444"/>
      <c r="AW191" s="445"/>
      <c r="AX191" s="445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91" s="442" t="str">
        <f t="shared" si="58"/>
        <v>-</v>
      </c>
      <c r="AZ191" s="445"/>
      <c r="BA191" s="447" t="s">
        <v>532</v>
      </c>
      <c r="BB191" s="59"/>
      <c r="BC191" s="223"/>
      <c r="BD191" s="223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91" s="213" t="str">
        <f t="shared" si="59"/>
        <v>-</v>
      </c>
      <c r="BF191" s="172"/>
      <c r="BG191" s="225" t="s">
        <v>215</v>
      </c>
      <c r="BH191" s="59"/>
      <c r="BI191" s="223"/>
      <c r="BJ191" s="223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91" s="213" t="s">
        <v>215</v>
      </c>
      <c r="BL191" s="172"/>
      <c r="BM191" s="225" t="s">
        <v>215</v>
      </c>
    </row>
    <row r="192" spans="1:65" s="26" customFormat="1">
      <c r="B192" s="19">
        <f t="shared" si="66"/>
        <v>185</v>
      </c>
      <c r="C192" s="7"/>
      <c r="D192" s="7"/>
      <c r="E192" s="7"/>
      <c r="F192" s="3" t="s">
        <v>124</v>
      </c>
      <c r="G192" s="3"/>
      <c r="H192" s="4"/>
      <c r="I192" s="6"/>
      <c r="J192" s="6"/>
      <c r="K192" s="6"/>
      <c r="L192" s="6"/>
      <c r="M192" s="23" t="s">
        <v>125</v>
      </c>
      <c r="N192" s="5"/>
      <c r="O192" s="54"/>
      <c r="P192" s="93">
        <f t="shared" si="70"/>
        <v>163</v>
      </c>
      <c r="Q192" s="114">
        <v>256</v>
      </c>
      <c r="R192" s="21" t="str">
        <f t="shared" si="69"/>
        <v>NX</v>
      </c>
      <c r="S192" s="96" t="s">
        <v>126</v>
      </c>
      <c r="T192" s="94"/>
      <c r="U192" s="21" t="s">
        <v>496</v>
      </c>
      <c r="V192" s="10"/>
      <c r="W192" s="28">
        <v>3</v>
      </c>
      <c r="X192" s="5" t="s">
        <v>500</v>
      </c>
      <c r="Y192" s="5">
        <v>1</v>
      </c>
      <c r="Z192" s="5">
        <v>256</v>
      </c>
      <c r="AA192" s="6" t="s">
        <v>501</v>
      </c>
      <c r="AB192" s="6" t="s">
        <v>496</v>
      </c>
      <c r="AC192" s="63"/>
      <c r="AD192" s="444"/>
      <c r="AE192" s="440"/>
      <c r="AF192" s="440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92" s="442" t="str">
        <f t="shared" si="56"/>
        <v>-</v>
      </c>
      <c r="AH192" s="440"/>
      <c r="AI192" s="447" t="s">
        <v>532</v>
      </c>
      <c r="AJ192" s="444"/>
      <c r="AK192" s="440"/>
      <c r="AL192" s="440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92" s="442" t="str">
        <f t="shared" si="57"/>
        <v>-</v>
      </c>
      <c r="AN192" s="440"/>
      <c r="AO192" s="447" t="s">
        <v>532</v>
      </c>
      <c r="AP192" s="444"/>
      <c r="AQ192" s="440"/>
      <c r="AR192" s="440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92" s="447" t="s">
        <v>532</v>
      </c>
      <c r="AT192" s="462"/>
      <c r="AU192" s="447" t="s">
        <v>532</v>
      </c>
      <c r="AV192" s="444"/>
      <c r="AW192" s="440"/>
      <c r="AX192" s="440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92" s="442" t="str">
        <f t="shared" si="58"/>
        <v>-</v>
      </c>
      <c r="AZ192" s="440"/>
      <c r="BA192" s="447" t="s">
        <v>532</v>
      </c>
      <c r="BB192" s="59"/>
      <c r="BC192" s="60"/>
      <c r="BD192" s="60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92" s="213" t="str">
        <f t="shared" si="59"/>
        <v>-</v>
      </c>
      <c r="BF192" s="167"/>
      <c r="BG192" s="225" t="s">
        <v>215</v>
      </c>
      <c r="BH192" s="59"/>
      <c r="BI192" s="60"/>
      <c r="BJ192" s="60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92" s="213" t="s">
        <v>215</v>
      </c>
      <c r="BL192" s="167"/>
      <c r="BM192" s="225" t="s">
        <v>215</v>
      </c>
    </row>
    <row r="193" spans="2:65" s="26" customFormat="1" ht="63.75">
      <c r="B193" s="2">
        <f t="shared" si="66"/>
        <v>186</v>
      </c>
      <c r="C193" s="7"/>
      <c r="D193" s="7"/>
      <c r="E193" s="7"/>
      <c r="F193" s="22" t="s">
        <v>127</v>
      </c>
      <c r="G193" s="16"/>
      <c r="H193" s="13"/>
      <c r="I193" s="8"/>
      <c r="J193" s="8"/>
      <c r="K193" s="8"/>
      <c r="L193" s="8"/>
      <c r="M193" s="11" t="s">
        <v>311</v>
      </c>
      <c r="N193" s="1"/>
      <c r="O193" s="56"/>
      <c r="P193" s="93">
        <f t="shared" si="70"/>
        <v>164</v>
      </c>
      <c r="Q193" s="113">
        <v>256</v>
      </c>
      <c r="R193" s="21" t="str">
        <f t="shared" si="69"/>
        <v>NX</v>
      </c>
      <c r="S193" s="96" t="s">
        <v>128</v>
      </c>
      <c r="T193" s="94"/>
      <c r="U193" s="21" t="s">
        <v>496</v>
      </c>
      <c r="V193" s="10"/>
      <c r="W193" s="25">
        <v>3</v>
      </c>
      <c r="X193" s="1" t="s">
        <v>129</v>
      </c>
      <c r="Y193" s="1">
        <v>1</v>
      </c>
      <c r="Z193" s="1">
        <v>256</v>
      </c>
      <c r="AA193" s="8" t="s">
        <v>123</v>
      </c>
      <c r="AB193" s="8" t="s">
        <v>496</v>
      </c>
      <c r="AC193" s="12"/>
      <c r="AD193" s="444"/>
      <c r="AE193" s="445"/>
      <c r="AF193" s="446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93" s="442" t="str">
        <f t="shared" si="56"/>
        <v>-</v>
      </c>
      <c r="AH193" s="445"/>
      <c r="AI193" s="447" t="s">
        <v>532</v>
      </c>
      <c r="AJ193" s="444"/>
      <c r="AK193" s="445"/>
      <c r="AL193" s="446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93" s="442" t="str">
        <f t="shared" si="57"/>
        <v>-</v>
      </c>
      <c r="AN193" s="445"/>
      <c r="AO193" s="447" t="s">
        <v>532</v>
      </c>
      <c r="AP193" s="444"/>
      <c r="AQ193" s="445"/>
      <c r="AR193" s="446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93" s="447" t="s">
        <v>532</v>
      </c>
      <c r="AT193" s="463"/>
      <c r="AU193" s="447" t="s">
        <v>532</v>
      </c>
      <c r="AV193" s="444"/>
      <c r="AW193" s="445"/>
      <c r="AX193" s="446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93" s="442" t="str">
        <f t="shared" si="58"/>
        <v>-</v>
      </c>
      <c r="AZ193" s="445"/>
      <c r="BA193" s="447" t="s">
        <v>532</v>
      </c>
      <c r="BB193" s="59"/>
      <c r="BC193" s="223"/>
      <c r="BD193" s="254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93" s="213" t="str">
        <f t="shared" si="59"/>
        <v>-</v>
      </c>
      <c r="BF193" s="172"/>
      <c r="BG193" s="225" t="s">
        <v>215</v>
      </c>
      <c r="BH193" s="59"/>
      <c r="BI193" s="223"/>
      <c r="BJ193" s="254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93" s="213" t="s">
        <v>215</v>
      </c>
      <c r="BL193" s="172"/>
      <c r="BM193" s="225" t="s">
        <v>215</v>
      </c>
    </row>
    <row r="194" spans="2:65" s="26" customFormat="1" ht="63.75">
      <c r="B194" s="2">
        <f t="shared" si="66"/>
        <v>187</v>
      </c>
      <c r="C194" s="7"/>
      <c r="D194" s="7"/>
      <c r="E194" s="7"/>
      <c r="F194" s="22" t="s">
        <v>130</v>
      </c>
      <c r="G194" s="16"/>
      <c r="H194" s="13"/>
      <c r="I194" s="8"/>
      <c r="J194" s="8"/>
      <c r="K194" s="8"/>
      <c r="L194" s="8"/>
      <c r="M194" s="11" t="s">
        <v>312</v>
      </c>
      <c r="N194" s="1"/>
      <c r="O194" s="56"/>
      <c r="P194" s="93">
        <f t="shared" si="70"/>
        <v>165</v>
      </c>
      <c r="Q194" s="113">
        <v>256</v>
      </c>
      <c r="R194" s="21" t="str">
        <f t="shared" si="69"/>
        <v>NX</v>
      </c>
      <c r="S194" s="96" t="s">
        <v>131</v>
      </c>
      <c r="T194" s="94"/>
      <c r="U194" s="21" t="s">
        <v>226</v>
      </c>
      <c r="V194" s="10"/>
      <c r="W194" s="25">
        <v>3</v>
      </c>
      <c r="X194" s="1" t="s">
        <v>132</v>
      </c>
      <c r="Y194" s="1">
        <v>1</v>
      </c>
      <c r="Z194" s="1">
        <v>256</v>
      </c>
      <c r="AA194" s="8" t="s">
        <v>123</v>
      </c>
      <c r="AB194" s="8" t="s">
        <v>226</v>
      </c>
      <c r="AC194" s="12"/>
      <c r="AD194" s="444"/>
      <c r="AE194" s="445"/>
      <c r="AF194" s="446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94" s="442" t="str">
        <f t="shared" si="56"/>
        <v>-</v>
      </c>
      <c r="AH194" s="445"/>
      <c r="AI194" s="447" t="s">
        <v>532</v>
      </c>
      <c r="AJ194" s="444"/>
      <c r="AK194" s="445"/>
      <c r="AL194" s="446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94" s="442" t="str">
        <f t="shared" si="57"/>
        <v>-</v>
      </c>
      <c r="AN194" s="445"/>
      <c r="AO194" s="447" t="s">
        <v>532</v>
      </c>
      <c r="AP194" s="444"/>
      <c r="AQ194" s="445"/>
      <c r="AR194" s="446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94" s="447" t="s">
        <v>532</v>
      </c>
      <c r="AT194" s="463"/>
      <c r="AU194" s="447" t="s">
        <v>532</v>
      </c>
      <c r="AV194" s="444"/>
      <c r="AW194" s="445"/>
      <c r="AX194" s="446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94" s="442" t="str">
        <f t="shared" si="58"/>
        <v>-</v>
      </c>
      <c r="AZ194" s="445"/>
      <c r="BA194" s="447" t="s">
        <v>532</v>
      </c>
      <c r="BB194" s="59"/>
      <c r="BC194" s="223"/>
      <c r="BD194" s="254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94" s="213" t="str">
        <f t="shared" si="59"/>
        <v>-</v>
      </c>
      <c r="BF194" s="172"/>
      <c r="BG194" s="225" t="s">
        <v>215</v>
      </c>
      <c r="BH194" s="59"/>
      <c r="BI194" s="223"/>
      <c r="BJ194" s="254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94" s="213" t="s">
        <v>215</v>
      </c>
      <c r="BL194" s="172"/>
      <c r="BM194" s="225" t="s">
        <v>215</v>
      </c>
    </row>
    <row r="195" spans="2:65" s="26" customFormat="1" ht="69" customHeight="1">
      <c r="B195" s="19">
        <f t="shared" si="66"/>
        <v>188</v>
      </c>
      <c r="C195" s="7"/>
      <c r="D195" s="7"/>
      <c r="E195" s="7"/>
      <c r="F195" s="110" t="s">
        <v>313</v>
      </c>
      <c r="G195" s="16"/>
      <c r="H195" s="13"/>
      <c r="I195" s="8"/>
      <c r="J195" s="8" t="s">
        <v>231</v>
      </c>
      <c r="K195" s="8"/>
      <c r="L195" s="8"/>
      <c r="M195" s="11" t="s">
        <v>253</v>
      </c>
      <c r="N195" s="1"/>
      <c r="O195" s="56"/>
      <c r="P195" s="93">
        <f t="shared" si="70"/>
        <v>166</v>
      </c>
      <c r="Q195" s="113">
        <v>1</v>
      </c>
      <c r="R195" s="21" t="s">
        <v>229</v>
      </c>
      <c r="S195" s="96" t="s">
        <v>133</v>
      </c>
      <c r="T195" s="94"/>
      <c r="U195" s="21" t="s">
        <v>226</v>
      </c>
      <c r="V195" s="10"/>
      <c r="W195" s="25">
        <v>3</v>
      </c>
      <c r="X195" s="1" t="s">
        <v>134</v>
      </c>
      <c r="Y195" s="1">
        <v>1</v>
      </c>
      <c r="Z195" s="1">
        <v>1</v>
      </c>
      <c r="AA195" s="8">
        <v>9</v>
      </c>
      <c r="AB195" s="8" t="s">
        <v>19</v>
      </c>
      <c r="AC195" s="12"/>
      <c r="AD195" s="444"/>
      <c r="AE195" s="445"/>
      <c r="AF195" s="440" t="str">
        <f t="shared" si="60"/>
        <v xml:space="preserve"> </v>
      </c>
      <c r="AG195" s="442" t="str">
        <f t="shared" si="56"/>
        <v>-</v>
      </c>
      <c r="AH195" s="445"/>
      <c r="AI195" s="447" t="s">
        <v>532</v>
      </c>
      <c r="AJ195" s="444"/>
      <c r="AK195" s="445"/>
      <c r="AL195" s="440" t="str">
        <f t="shared" si="61"/>
        <v xml:space="preserve"> </v>
      </c>
      <c r="AM195" s="442" t="str">
        <f t="shared" si="57"/>
        <v>-</v>
      </c>
      <c r="AN195" s="445"/>
      <c r="AO195" s="447" t="s">
        <v>532</v>
      </c>
      <c r="AP195" s="444"/>
      <c r="AQ195" s="445"/>
      <c r="AR195" s="440" t="str">
        <f t="shared" si="62"/>
        <v xml:space="preserve"> </v>
      </c>
      <c r="AS195" s="447" t="s">
        <v>532</v>
      </c>
      <c r="AT195" s="463"/>
      <c r="AU195" s="447" t="s">
        <v>532</v>
      </c>
      <c r="AV195" s="444"/>
      <c r="AW195" s="445"/>
      <c r="AX195" s="440" t="str">
        <f t="shared" si="63"/>
        <v xml:space="preserve"> </v>
      </c>
      <c r="AY195" s="442" t="str">
        <f t="shared" si="58"/>
        <v>-</v>
      </c>
      <c r="AZ195" s="445"/>
      <c r="BA195" s="447" t="s">
        <v>532</v>
      </c>
      <c r="BB195" s="59"/>
      <c r="BC195" s="223"/>
      <c r="BD195" s="60" t="str">
        <f t="shared" si="64"/>
        <v xml:space="preserve"> </v>
      </c>
      <c r="BE195" s="213" t="str">
        <f t="shared" si="59"/>
        <v>-</v>
      </c>
      <c r="BF195" s="172"/>
      <c r="BG195" s="225" t="s">
        <v>215</v>
      </c>
      <c r="BH195" s="59"/>
      <c r="BI195" s="223"/>
      <c r="BJ195" s="60" t="str">
        <f t="shared" si="65"/>
        <v xml:space="preserve"> </v>
      </c>
      <c r="BK195" s="213" t="s">
        <v>215</v>
      </c>
      <c r="BL195" s="172"/>
      <c r="BM195" s="225" t="s">
        <v>215</v>
      </c>
    </row>
    <row r="196" spans="2:65" s="26" customFormat="1" ht="114.75">
      <c r="B196" s="2">
        <f t="shared" si="66"/>
        <v>189</v>
      </c>
      <c r="C196" s="7"/>
      <c r="D196" s="7"/>
      <c r="E196" s="7"/>
      <c r="F196" s="22" t="s">
        <v>135</v>
      </c>
      <c r="G196" s="16"/>
      <c r="H196" s="13"/>
      <c r="I196" s="8"/>
      <c r="J196" s="8"/>
      <c r="K196" s="8"/>
      <c r="L196" s="8"/>
      <c r="M196" s="359" t="s">
        <v>206</v>
      </c>
      <c r="N196" s="1"/>
      <c r="O196" s="56"/>
      <c r="P196" s="93">
        <f t="shared" si="70"/>
        <v>167</v>
      </c>
      <c r="Q196" s="113">
        <v>1</v>
      </c>
      <c r="R196" s="21" t="s">
        <v>229</v>
      </c>
      <c r="S196" s="96" t="s">
        <v>136</v>
      </c>
      <c r="T196" s="94"/>
      <c r="U196" s="21" t="s">
        <v>226</v>
      </c>
      <c r="V196" s="10"/>
      <c r="W196" s="25">
        <v>3</v>
      </c>
      <c r="X196" s="1" t="s">
        <v>18</v>
      </c>
      <c r="Y196" s="1">
        <v>1</v>
      </c>
      <c r="Z196" s="1">
        <v>1</v>
      </c>
      <c r="AA196" s="8">
        <v>9</v>
      </c>
      <c r="AB196" s="8" t="s">
        <v>19</v>
      </c>
      <c r="AC196" s="101"/>
      <c r="AD196" s="444"/>
      <c r="AE196" s="445"/>
      <c r="AF196" s="440" t="str">
        <f t="shared" si="60"/>
        <v xml:space="preserve"> </v>
      </c>
      <c r="AG196" s="442" t="str">
        <f t="shared" si="56"/>
        <v>-</v>
      </c>
      <c r="AH196" s="445"/>
      <c r="AI196" s="447" t="s">
        <v>532</v>
      </c>
      <c r="AJ196" s="444"/>
      <c r="AK196" s="445"/>
      <c r="AL196" s="440" t="str">
        <f t="shared" si="61"/>
        <v xml:space="preserve"> </v>
      </c>
      <c r="AM196" s="442" t="str">
        <f t="shared" si="57"/>
        <v>-</v>
      </c>
      <c r="AN196" s="445"/>
      <c r="AO196" s="447" t="s">
        <v>532</v>
      </c>
      <c r="AP196" s="444"/>
      <c r="AQ196" s="445"/>
      <c r="AR196" s="440" t="str">
        <f t="shared" si="62"/>
        <v xml:space="preserve"> </v>
      </c>
      <c r="AS196" s="447" t="s">
        <v>532</v>
      </c>
      <c r="AT196" s="463"/>
      <c r="AU196" s="447" t="s">
        <v>532</v>
      </c>
      <c r="AV196" s="444"/>
      <c r="AW196" s="445"/>
      <c r="AX196" s="440" t="str">
        <f t="shared" si="63"/>
        <v xml:space="preserve"> </v>
      </c>
      <c r="AY196" s="442" t="str">
        <f t="shared" si="58"/>
        <v>-</v>
      </c>
      <c r="AZ196" s="445"/>
      <c r="BA196" s="447" t="s">
        <v>532</v>
      </c>
      <c r="BB196" s="59"/>
      <c r="BC196" s="223"/>
      <c r="BD196" s="60" t="str">
        <f t="shared" si="64"/>
        <v xml:space="preserve"> </v>
      </c>
      <c r="BE196" s="213" t="str">
        <f t="shared" si="59"/>
        <v>-</v>
      </c>
      <c r="BF196" s="172"/>
      <c r="BG196" s="225" t="s">
        <v>215</v>
      </c>
      <c r="BH196" s="59"/>
      <c r="BI196" s="223"/>
      <c r="BJ196" s="60" t="str">
        <f t="shared" si="65"/>
        <v xml:space="preserve"> </v>
      </c>
      <c r="BK196" s="213" t="s">
        <v>215</v>
      </c>
      <c r="BL196" s="172"/>
      <c r="BM196" s="225" t="s">
        <v>215</v>
      </c>
    </row>
    <row r="197" spans="2:65" s="26" customFormat="1" ht="126.75" customHeight="1">
      <c r="B197" s="64">
        <f t="shared" si="66"/>
        <v>190</v>
      </c>
      <c r="C197" s="7"/>
      <c r="D197" s="7"/>
      <c r="E197" s="7"/>
      <c r="F197" s="110" t="s">
        <v>137</v>
      </c>
      <c r="G197" s="16"/>
      <c r="H197" s="13"/>
      <c r="I197" s="8"/>
      <c r="J197" s="8"/>
      <c r="K197" s="8"/>
      <c r="L197" s="8"/>
      <c r="M197" s="11" t="s">
        <v>479</v>
      </c>
      <c r="N197" s="1"/>
      <c r="O197" s="56"/>
      <c r="P197" s="93">
        <f t="shared" si="70"/>
        <v>168</v>
      </c>
      <c r="Q197" s="113">
        <v>1</v>
      </c>
      <c r="R197" s="21" t="str">
        <f t="shared" si="69"/>
        <v>X</v>
      </c>
      <c r="S197" s="96" t="s">
        <v>183</v>
      </c>
      <c r="T197" s="94"/>
      <c r="U197" s="21" t="s">
        <v>226</v>
      </c>
      <c r="V197" s="10"/>
      <c r="W197" s="25">
        <v>3</v>
      </c>
      <c r="X197" s="1" t="s">
        <v>254</v>
      </c>
      <c r="Y197" s="1">
        <v>1</v>
      </c>
      <c r="Z197" s="1">
        <v>1</v>
      </c>
      <c r="AA197" s="8" t="s">
        <v>229</v>
      </c>
      <c r="AB197" s="8" t="s">
        <v>226</v>
      </c>
      <c r="AC197" s="12"/>
      <c r="AD197" s="444"/>
      <c r="AE197" s="445"/>
      <c r="AF197" s="440" t="str">
        <f t="shared" si="60"/>
        <v xml:space="preserve"> </v>
      </c>
      <c r="AG197" s="442" t="str">
        <f t="shared" si="56"/>
        <v>-</v>
      </c>
      <c r="AH197" s="445"/>
      <c r="AI197" s="447" t="s">
        <v>532</v>
      </c>
      <c r="AJ197" s="444"/>
      <c r="AK197" s="445"/>
      <c r="AL197" s="440" t="str">
        <f t="shared" si="61"/>
        <v xml:space="preserve"> </v>
      </c>
      <c r="AM197" s="442" t="str">
        <f t="shared" si="57"/>
        <v>-</v>
      </c>
      <c r="AN197" s="445"/>
      <c r="AO197" s="447" t="s">
        <v>532</v>
      </c>
      <c r="AP197" s="444"/>
      <c r="AQ197" s="445"/>
      <c r="AR197" s="440" t="str">
        <f t="shared" si="62"/>
        <v xml:space="preserve"> </v>
      </c>
      <c r="AS197" s="447" t="s">
        <v>532</v>
      </c>
      <c r="AT197" s="463"/>
      <c r="AU197" s="447" t="s">
        <v>532</v>
      </c>
      <c r="AV197" s="444"/>
      <c r="AW197" s="445"/>
      <c r="AX197" s="440" t="str">
        <f t="shared" si="63"/>
        <v xml:space="preserve"> </v>
      </c>
      <c r="AY197" s="442" t="str">
        <f t="shared" si="58"/>
        <v>-</v>
      </c>
      <c r="AZ197" s="445"/>
      <c r="BA197" s="447" t="s">
        <v>532</v>
      </c>
      <c r="BB197" s="59"/>
      <c r="BC197" s="223"/>
      <c r="BD197" s="60" t="str">
        <f t="shared" si="64"/>
        <v xml:space="preserve"> </v>
      </c>
      <c r="BE197" s="213" t="str">
        <f t="shared" si="59"/>
        <v>-</v>
      </c>
      <c r="BF197" s="172"/>
      <c r="BG197" s="225" t="s">
        <v>215</v>
      </c>
      <c r="BH197" s="59"/>
      <c r="BI197" s="223"/>
      <c r="BJ197" s="60" t="str">
        <f t="shared" si="65"/>
        <v xml:space="preserve"> </v>
      </c>
      <c r="BK197" s="213" t="s">
        <v>215</v>
      </c>
      <c r="BL197" s="172"/>
      <c r="BM197" s="225" t="s">
        <v>215</v>
      </c>
    </row>
    <row r="198" spans="2:65" s="26" customFormat="1">
      <c r="B198" s="64">
        <f t="shared" si="66"/>
        <v>191</v>
      </c>
      <c r="C198" s="7"/>
      <c r="D198" s="7"/>
      <c r="E198" s="7"/>
      <c r="F198" s="22" t="s">
        <v>138</v>
      </c>
      <c r="G198" s="16"/>
      <c r="H198" s="13"/>
      <c r="I198" s="8"/>
      <c r="J198" s="8"/>
      <c r="K198" s="8"/>
      <c r="L198" s="8"/>
      <c r="M198" s="359" t="s">
        <v>139</v>
      </c>
      <c r="N198" s="1"/>
      <c r="O198" s="56"/>
      <c r="P198" s="93">
        <f t="shared" si="70"/>
        <v>169</v>
      </c>
      <c r="Q198" s="113">
        <v>400</v>
      </c>
      <c r="R198" s="21" t="str">
        <f t="shared" si="69"/>
        <v>NX</v>
      </c>
      <c r="S198" s="96" t="s">
        <v>140</v>
      </c>
      <c r="T198" s="94"/>
      <c r="U198" s="21" t="s">
        <v>226</v>
      </c>
      <c r="V198" s="10"/>
      <c r="W198" s="25">
        <v>3</v>
      </c>
      <c r="X198" s="1" t="s">
        <v>141</v>
      </c>
      <c r="Y198" s="1">
        <v>1</v>
      </c>
      <c r="Z198" s="1">
        <v>400</v>
      </c>
      <c r="AA198" s="8" t="s">
        <v>123</v>
      </c>
      <c r="AB198" s="8" t="s">
        <v>226</v>
      </c>
      <c r="AC198" s="12"/>
      <c r="AD198" s="444"/>
      <c r="AE198" s="445"/>
      <c r="AF198" s="449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98" s="442" t="str">
        <f t="shared" si="56"/>
        <v>-</v>
      </c>
      <c r="AH198" s="445"/>
      <c r="AI198" s="447" t="s">
        <v>532</v>
      </c>
      <c r="AJ198" s="444"/>
      <c r="AK198" s="445"/>
      <c r="AL198" s="449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98" s="442" t="str">
        <f t="shared" si="57"/>
        <v>-</v>
      </c>
      <c r="AN198" s="445"/>
      <c r="AO198" s="447" t="s">
        <v>532</v>
      </c>
      <c r="AP198" s="444"/>
      <c r="AQ198" s="445"/>
      <c r="AR198" s="449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98" s="447" t="s">
        <v>532</v>
      </c>
      <c r="AT198" s="463"/>
      <c r="AU198" s="447" t="s">
        <v>532</v>
      </c>
      <c r="AV198" s="444"/>
      <c r="AW198" s="445"/>
      <c r="AX198" s="449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98" s="442" t="str">
        <f t="shared" si="58"/>
        <v>-</v>
      </c>
      <c r="AZ198" s="445"/>
      <c r="BA198" s="447" t="s">
        <v>532</v>
      </c>
      <c r="BB198" s="59"/>
      <c r="BC198" s="223"/>
      <c r="BD198" s="252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98" s="213" t="str">
        <f t="shared" si="59"/>
        <v>-</v>
      </c>
      <c r="BF198" s="172"/>
      <c r="BG198" s="225" t="s">
        <v>215</v>
      </c>
      <c r="BH198" s="59"/>
      <c r="BI198" s="223"/>
      <c r="BJ198" s="252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98" s="213" t="s">
        <v>215</v>
      </c>
      <c r="BL198" s="172"/>
      <c r="BM198" s="225" t="s">
        <v>215</v>
      </c>
    </row>
    <row r="199" spans="2:65" s="26" customFormat="1" ht="63.75">
      <c r="B199" s="64">
        <f t="shared" si="66"/>
        <v>192</v>
      </c>
      <c r="C199" s="7"/>
      <c r="D199" s="7"/>
      <c r="E199" s="7"/>
      <c r="F199" s="22" t="s">
        <v>142</v>
      </c>
      <c r="G199" s="16"/>
      <c r="H199" s="13"/>
      <c r="I199" s="8"/>
      <c r="J199" s="8"/>
      <c r="K199" s="8"/>
      <c r="L199" s="8"/>
      <c r="M199" s="359" t="s">
        <v>314</v>
      </c>
      <c r="N199" s="1"/>
      <c r="O199" s="56"/>
      <c r="P199" s="93">
        <f t="shared" si="70"/>
        <v>170</v>
      </c>
      <c r="Q199" s="113">
        <v>400</v>
      </c>
      <c r="R199" s="21" t="str">
        <f t="shared" si="69"/>
        <v>NX</v>
      </c>
      <c r="S199" s="96" t="s">
        <v>143</v>
      </c>
      <c r="T199" s="94"/>
      <c r="U199" s="21" t="s">
        <v>226</v>
      </c>
      <c r="V199" s="10"/>
      <c r="W199" s="25">
        <v>3</v>
      </c>
      <c r="X199" s="1" t="s">
        <v>144</v>
      </c>
      <c r="Y199" s="1">
        <v>1</v>
      </c>
      <c r="Z199" s="1">
        <v>400</v>
      </c>
      <c r="AA199" s="8" t="s">
        <v>123</v>
      </c>
      <c r="AB199" s="8" t="s">
        <v>226</v>
      </c>
      <c r="AC199" s="12"/>
      <c r="AD199" s="444"/>
      <c r="AE199" s="445"/>
      <c r="AF199" s="450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199" s="442" t="str">
        <f t="shared" si="56"/>
        <v>-</v>
      </c>
      <c r="AH199" s="445"/>
      <c r="AI199" s="447" t="s">
        <v>532</v>
      </c>
      <c r="AJ199" s="444"/>
      <c r="AK199" s="445"/>
      <c r="AL199" s="450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199" s="442" t="str">
        <f t="shared" si="57"/>
        <v>-</v>
      </c>
      <c r="AN199" s="445"/>
      <c r="AO199" s="447" t="s">
        <v>532</v>
      </c>
      <c r="AP199" s="444"/>
      <c r="AQ199" s="445"/>
      <c r="AR199" s="450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199" s="447" t="s">
        <v>532</v>
      </c>
      <c r="AT199" s="463"/>
      <c r="AU199" s="447" t="s">
        <v>532</v>
      </c>
      <c r="AV199" s="444"/>
      <c r="AW199" s="445"/>
      <c r="AX199" s="450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199" s="442" t="str">
        <f t="shared" si="58"/>
        <v>-</v>
      </c>
      <c r="AZ199" s="445"/>
      <c r="BA199" s="447" t="s">
        <v>532</v>
      </c>
      <c r="BB199" s="59"/>
      <c r="BC199" s="223"/>
      <c r="BD199" s="90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199" s="213" t="str">
        <f t="shared" si="59"/>
        <v>-</v>
      </c>
      <c r="BF199" s="172"/>
      <c r="BG199" s="225" t="s">
        <v>215</v>
      </c>
      <c r="BH199" s="59"/>
      <c r="BI199" s="223"/>
      <c r="BJ199" s="90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199" s="213" t="s">
        <v>215</v>
      </c>
      <c r="BL199" s="172"/>
      <c r="BM199" s="225" t="s">
        <v>215</v>
      </c>
    </row>
    <row r="200" spans="2:65" s="26" customFormat="1">
      <c r="B200" s="64">
        <f t="shared" si="66"/>
        <v>193</v>
      </c>
      <c r="C200" s="7"/>
      <c r="D200" s="7"/>
      <c r="E200" s="7"/>
      <c r="F200" s="22" t="s">
        <v>145</v>
      </c>
      <c r="G200" s="16"/>
      <c r="H200" s="13"/>
      <c r="I200" s="8"/>
      <c r="J200" s="8"/>
      <c r="K200" s="8"/>
      <c r="L200" s="8"/>
      <c r="M200" s="11" t="s">
        <v>146</v>
      </c>
      <c r="N200" s="1"/>
      <c r="O200" s="56"/>
      <c r="P200" s="93">
        <f t="shared" si="70"/>
        <v>171</v>
      </c>
      <c r="Q200" s="113">
        <v>400</v>
      </c>
      <c r="R200" s="21" t="str">
        <f t="shared" si="69"/>
        <v>NX</v>
      </c>
      <c r="S200" s="96" t="s">
        <v>147</v>
      </c>
      <c r="T200" s="94"/>
      <c r="U200" s="21" t="s">
        <v>226</v>
      </c>
      <c r="V200" s="10"/>
      <c r="W200" s="25">
        <v>3</v>
      </c>
      <c r="X200" s="1" t="s">
        <v>148</v>
      </c>
      <c r="Y200" s="1">
        <v>1</v>
      </c>
      <c r="Z200" s="1">
        <v>400</v>
      </c>
      <c r="AA200" s="8" t="s">
        <v>123</v>
      </c>
      <c r="AB200" s="8" t="s">
        <v>226</v>
      </c>
      <c r="AC200" s="12"/>
      <c r="AD200" s="444"/>
      <c r="AE200" s="440"/>
      <c r="AF200" s="450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00" s="442" t="str">
        <f t="shared" ref="AG200:AG263" si="71">IF(OR(AE$8="判定対象外",AF$8="判定対象外",AF200="-"),"-",IF(AE200=AF200,"OK","NG"))</f>
        <v>-</v>
      </c>
      <c r="AH200" s="440"/>
      <c r="AI200" s="447" t="s">
        <v>532</v>
      </c>
      <c r="AJ200" s="444"/>
      <c r="AK200" s="440"/>
      <c r="AL200" s="450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00" s="442" t="str">
        <f t="shared" ref="AM200:AM263" si="72">IF(OR(AK$8="判定対象外",AL$8="判定対象外",AL200="-"),"-",IF(AK200=AL200,"OK","NG"))</f>
        <v>-</v>
      </c>
      <c r="AN200" s="440"/>
      <c r="AO200" s="447" t="s">
        <v>532</v>
      </c>
      <c r="AP200" s="444"/>
      <c r="AQ200" s="440"/>
      <c r="AR200" s="450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00" s="447" t="s">
        <v>532</v>
      </c>
      <c r="AT200" s="462"/>
      <c r="AU200" s="447" t="s">
        <v>532</v>
      </c>
      <c r="AV200" s="444"/>
      <c r="AW200" s="440"/>
      <c r="AX200" s="450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00" s="442" t="str">
        <f t="shared" ref="AY200:AY263" si="73">IF(OR(AW$8="判定対象外",AX$8="判定対象外",AX200="-"),"-",IF(AW200=AX200,"OK","NG"))</f>
        <v>-</v>
      </c>
      <c r="AZ200" s="440"/>
      <c r="BA200" s="447" t="s">
        <v>532</v>
      </c>
      <c r="BB200" s="59"/>
      <c r="BC200" s="60"/>
      <c r="BD200" s="90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00" s="213" t="str">
        <f t="shared" ref="BE200:BE263" si="74">IF(OR(BC$8="判定対象外",BD$8="判定対象外",BD200="-"),"-",IF(BC200=BD200,"OK","NG"))</f>
        <v>-</v>
      </c>
      <c r="BF200" s="167"/>
      <c r="BG200" s="225" t="s">
        <v>215</v>
      </c>
      <c r="BH200" s="59"/>
      <c r="BI200" s="60"/>
      <c r="BJ200" s="90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00" s="213" t="s">
        <v>215</v>
      </c>
      <c r="BL200" s="167"/>
      <c r="BM200" s="225" t="s">
        <v>215</v>
      </c>
    </row>
    <row r="201" spans="2:65" s="26" customFormat="1" ht="76.5">
      <c r="B201" s="64">
        <f t="shared" si="66"/>
        <v>194</v>
      </c>
      <c r="C201" s="7"/>
      <c r="D201" s="7"/>
      <c r="E201" s="7"/>
      <c r="F201" s="22" t="s">
        <v>149</v>
      </c>
      <c r="G201" s="16"/>
      <c r="H201" s="13"/>
      <c r="I201" s="8"/>
      <c r="J201" s="8"/>
      <c r="K201" s="8"/>
      <c r="L201" s="8"/>
      <c r="M201" s="11" t="s">
        <v>315</v>
      </c>
      <c r="N201" s="1"/>
      <c r="O201" s="56"/>
      <c r="P201" s="93">
        <f t="shared" si="70"/>
        <v>172</v>
      </c>
      <c r="Q201" s="113">
        <v>400</v>
      </c>
      <c r="R201" s="21" t="str">
        <f t="shared" si="69"/>
        <v>NX</v>
      </c>
      <c r="S201" s="96" t="s">
        <v>150</v>
      </c>
      <c r="T201" s="94"/>
      <c r="U201" s="21" t="s">
        <v>226</v>
      </c>
      <c r="V201" s="10"/>
      <c r="W201" s="25">
        <v>3</v>
      </c>
      <c r="X201" s="1" t="s">
        <v>151</v>
      </c>
      <c r="Y201" s="1">
        <v>1</v>
      </c>
      <c r="Z201" s="1">
        <v>400</v>
      </c>
      <c r="AA201" s="8" t="s">
        <v>123</v>
      </c>
      <c r="AB201" s="8" t="s">
        <v>226</v>
      </c>
      <c r="AC201" s="12"/>
      <c r="AD201" s="444"/>
      <c r="AE201" s="440"/>
      <c r="AF201" s="450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01" s="442" t="str">
        <f t="shared" si="71"/>
        <v>-</v>
      </c>
      <c r="AH201" s="440"/>
      <c r="AI201" s="447" t="s">
        <v>532</v>
      </c>
      <c r="AJ201" s="444"/>
      <c r="AK201" s="440"/>
      <c r="AL201" s="450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01" s="442" t="str">
        <f t="shared" si="72"/>
        <v>-</v>
      </c>
      <c r="AN201" s="440"/>
      <c r="AO201" s="447" t="s">
        <v>532</v>
      </c>
      <c r="AP201" s="444"/>
      <c r="AQ201" s="440"/>
      <c r="AR201" s="450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01" s="447" t="s">
        <v>532</v>
      </c>
      <c r="AT201" s="462"/>
      <c r="AU201" s="447" t="s">
        <v>532</v>
      </c>
      <c r="AV201" s="444"/>
      <c r="AW201" s="440"/>
      <c r="AX201" s="450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01" s="442" t="str">
        <f t="shared" si="73"/>
        <v>-</v>
      </c>
      <c r="AZ201" s="440"/>
      <c r="BA201" s="447" t="s">
        <v>532</v>
      </c>
      <c r="BB201" s="59"/>
      <c r="BC201" s="60"/>
      <c r="BD201" s="90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01" s="213" t="str">
        <f t="shared" si="74"/>
        <v>-</v>
      </c>
      <c r="BF201" s="167"/>
      <c r="BG201" s="225" t="s">
        <v>215</v>
      </c>
      <c r="BH201" s="59"/>
      <c r="BI201" s="60"/>
      <c r="BJ201" s="90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01" s="213" t="s">
        <v>215</v>
      </c>
      <c r="BL201" s="167"/>
      <c r="BM201" s="225" t="s">
        <v>215</v>
      </c>
    </row>
    <row r="202" spans="2:65" s="26" customFormat="1">
      <c r="B202" s="64">
        <f t="shared" si="66"/>
        <v>195</v>
      </c>
      <c r="C202" s="7"/>
      <c r="D202" s="7"/>
      <c r="E202" s="7"/>
      <c r="F202" s="22" t="s">
        <v>152</v>
      </c>
      <c r="G202" s="16"/>
      <c r="H202" s="13"/>
      <c r="I202" s="8"/>
      <c r="J202" s="8"/>
      <c r="K202" s="8"/>
      <c r="L202" s="8"/>
      <c r="M202" s="11" t="s">
        <v>146</v>
      </c>
      <c r="N202" s="1"/>
      <c r="O202" s="56"/>
      <c r="P202" s="93">
        <f t="shared" si="70"/>
        <v>173</v>
      </c>
      <c r="Q202" s="113">
        <v>400</v>
      </c>
      <c r="R202" s="21" t="str">
        <f t="shared" si="69"/>
        <v>NX</v>
      </c>
      <c r="S202" s="96" t="s">
        <v>153</v>
      </c>
      <c r="T202" s="94"/>
      <c r="U202" s="21" t="s">
        <v>226</v>
      </c>
      <c r="V202" s="10"/>
      <c r="W202" s="25">
        <v>3</v>
      </c>
      <c r="X202" s="1" t="s">
        <v>154</v>
      </c>
      <c r="Y202" s="1">
        <v>1</v>
      </c>
      <c r="Z202" s="1">
        <v>400</v>
      </c>
      <c r="AA202" s="8" t="s">
        <v>123</v>
      </c>
      <c r="AB202" s="8" t="s">
        <v>226</v>
      </c>
      <c r="AC202" s="12"/>
      <c r="AD202" s="444"/>
      <c r="AE202" s="440"/>
      <c r="AF202" s="450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02" s="442" t="str">
        <f t="shared" si="71"/>
        <v>-</v>
      </c>
      <c r="AH202" s="440"/>
      <c r="AI202" s="447" t="s">
        <v>532</v>
      </c>
      <c r="AJ202" s="444"/>
      <c r="AK202" s="440"/>
      <c r="AL202" s="450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02" s="442" t="str">
        <f t="shared" si="72"/>
        <v>-</v>
      </c>
      <c r="AN202" s="440"/>
      <c r="AO202" s="447" t="s">
        <v>532</v>
      </c>
      <c r="AP202" s="444"/>
      <c r="AQ202" s="440"/>
      <c r="AR202" s="450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02" s="447" t="s">
        <v>532</v>
      </c>
      <c r="AT202" s="462"/>
      <c r="AU202" s="447" t="s">
        <v>532</v>
      </c>
      <c r="AV202" s="444"/>
      <c r="AW202" s="440"/>
      <c r="AX202" s="450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02" s="442" t="str">
        <f t="shared" si="73"/>
        <v>-</v>
      </c>
      <c r="AZ202" s="440"/>
      <c r="BA202" s="447" t="s">
        <v>532</v>
      </c>
      <c r="BB202" s="59"/>
      <c r="BC202" s="60"/>
      <c r="BD202" s="90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02" s="213" t="str">
        <f t="shared" si="74"/>
        <v>-</v>
      </c>
      <c r="BF202" s="167"/>
      <c r="BG202" s="225" t="s">
        <v>215</v>
      </c>
      <c r="BH202" s="59"/>
      <c r="BI202" s="60"/>
      <c r="BJ202" s="90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02" s="213" t="s">
        <v>215</v>
      </c>
      <c r="BL202" s="167"/>
      <c r="BM202" s="225" t="s">
        <v>215</v>
      </c>
    </row>
    <row r="203" spans="2:65" s="26" customFormat="1">
      <c r="B203" s="64">
        <f t="shared" si="66"/>
        <v>196</v>
      </c>
      <c r="C203" s="7"/>
      <c r="D203" s="7"/>
      <c r="E203" s="7"/>
      <c r="F203" s="22" t="s">
        <v>155</v>
      </c>
      <c r="G203" s="16"/>
      <c r="H203" s="13"/>
      <c r="I203" s="8"/>
      <c r="J203" s="8"/>
      <c r="K203" s="8"/>
      <c r="L203" s="8"/>
      <c r="M203" s="11" t="s">
        <v>146</v>
      </c>
      <c r="N203" s="1"/>
      <c r="O203" s="56"/>
      <c r="P203" s="93">
        <f t="shared" si="70"/>
        <v>174</v>
      </c>
      <c r="Q203" s="113">
        <v>400</v>
      </c>
      <c r="R203" s="21" t="str">
        <f t="shared" si="69"/>
        <v>NX</v>
      </c>
      <c r="S203" s="96" t="s">
        <v>156</v>
      </c>
      <c r="T203" s="94"/>
      <c r="U203" s="21" t="s">
        <v>226</v>
      </c>
      <c r="V203" s="10"/>
      <c r="W203" s="25">
        <v>3</v>
      </c>
      <c r="X203" s="1" t="s">
        <v>157</v>
      </c>
      <c r="Y203" s="1">
        <v>1</v>
      </c>
      <c r="Z203" s="1">
        <v>400</v>
      </c>
      <c r="AA203" s="8" t="s">
        <v>123</v>
      </c>
      <c r="AB203" s="8" t="s">
        <v>226</v>
      </c>
      <c r="AC203" s="12"/>
      <c r="AD203" s="444"/>
      <c r="AE203" s="440"/>
      <c r="AF203" s="450" t="str">
        <f t="shared" si="6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03" s="442" t="str">
        <f t="shared" si="71"/>
        <v>-</v>
      </c>
      <c r="AH203" s="440"/>
      <c r="AI203" s="447" t="s">
        <v>532</v>
      </c>
      <c r="AJ203" s="444"/>
      <c r="AK203" s="440"/>
      <c r="AL203" s="450" t="str">
        <f t="shared" si="6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03" s="442" t="str">
        <f t="shared" si="72"/>
        <v>-</v>
      </c>
      <c r="AN203" s="440"/>
      <c r="AO203" s="447" t="s">
        <v>532</v>
      </c>
      <c r="AP203" s="444"/>
      <c r="AQ203" s="440"/>
      <c r="AR203" s="450" t="str">
        <f t="shared" si="6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03" s="447" t="s">
        <v>532</v>
      </c>
      <c r="AT203" s="462"/>
      <c r="AU203" s="447" t="s">
        <v>532</v>
      </c>
      <c r="AV203" s="444"/>
      <c r="AW203" s="440"/>
      <c r="AX203" s="450" t="str">
        <f t="shared" si="6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03" s="442" t="str">
        <f t="shared" si="73"/>
        <v>-</v>
      </c>
      <c r="AZ203" s="440"/>
      <c r="BA203" s="447" t="s">
        <v>532</v>
      </c>
      <c r="BB203" s="59"/>
      <c r="BC203" s="60"/>
      <c r="BD203" s="90" t="str">
        <f t="shared" si="6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03" s="213" t="str">
        <f t="shared" si="74"/>
        <v>-</v>
      </c>
      <c r="BF203" s="167"/>
      <c r="BG203" s="225" t="s">
        <v>215</v>
      </c>
      <c r="BH203" s="59"/>
      <c r="BI203" s="60"/>
      <c r="BJ203" s="90" t="str">
        <f t="shared" si="6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03" s="213" t="s">
        <v>215</v>
      </c>
      <c r="BL203" s="167"/>
      <c r="BM203" s="225" t="s">
        <v>215</v>
      </c>
    </row>
    <row r="204" spans="2:65" s="26" customFormat="1" ht="89.25">
      <c r="B204" s="64">
        <f t="shared" si="66"/>
        <v>197</v>
      </c>
      <c r="C204" s="7"/>
      <c r="D204" s="7"/>
      <c r="E204" s="7"/>
      <c r="F204" s="22" t="s">
        <v>158</v>
      </c>
      <c r="G204" s="16"/>
      <c r="H204" s="13"/>
      <c r="I204" s="8"/>
      <c r="J204" s="8"/>
      <c r="K204" s="8"/>
      <c r="L204" s="8"/>
      <c r="M204" s="11" t="s">
        <v>316</v>
      </c>
      <c r="N204" s="1"/>
      <c r="O204" s="56"/>
      <c r="P204" s="93">
        <f t="shared" si="70"/>
        <v>175</v>
      </c>
      <c r="Q204" s="113">
        <v>1</v>
      </c>
      <c r="R204" s="21" t="str">
        <f t="shared" si="69"/>
        <v>X</v>
      </c>
      <c r="S204" s="96" t="s">
        <v>159</v>
      </c>
      <c r="T204" s="94"/>
      <c r="U204" s="21" t="s">
        <v>226</v>
      </c>
      <c r="V204" s="10"/>
      <c r="W204" s="25">
        <v>3</v>
      </c>
      <c r="X204" s="1" t="s">
        <v>255</v>
      </c>
      <c r="Y204" s="1">
        <v>1</v>
      </c>
      <c r="Z204" s="1">
        <v>1</v>
      </c>
      <c r="AA204" s="8" t="s">
        <v>109</v>
      </c>
      <c r="AB204" s="8" t="s">
        <v>19</v>
      </c>
      <c r="AC204" s="102"/>
      <c r="AD204" s="444"/>
      <c r="AE204" s="445"/>
      <c r="AF204" s="440" t="str">
        <f t="shared" si="60"/>
        <v xml:space="preserve"> </v>
      </c>
      <c r="AG204" s="442" t="str">
        <f t="shared" si="71"/>
        <v>-</v>
      </c>
      <c r="AH204" s="445"/>
      <c r="AI204" s="447" t="s">
        <v>532</v>
      </c>
      <c r="AJ204" s="444"/>
      <c r="AK204" s="445"/>
      <c r="AL204" s="440" t="str">
        <f t="shared" si="61"/>
        <v xml:space="preserve"> </v>
      </c>
      <c r="AM204" s="442" t="str">
        <f t="shared" si="72"/>
        <v>-</v>
      </c>
      <c r="AN204" s="445"/>
      <c r="AO204" s="447" t="s">
        <v>532</v>
      </c>
      <c r="AP204" s="444"/>
      <c r="AQ204" s="445"/>
      <c r="AR204" s="440" t="str">
        <f t="shared" si="62"/>
        <v xml:space="preserve"> </v>
      </c>
      <c r="AS204" s="447" t="s">
        <v>532</v>
      </c>
      <c r="AT204" s="463"/>
      <c r="AU204" s="447" t="s">
        <v>532</v>
      </c>
      <c r="AV204" s="444"/>
      <c r="AW204" s="445"/>
      <c r="AX204" s="440" t="str">
        <f t="shared" si="63"/>
        <v xml:space="preserve"> </v>
      </c>
      <c r="AY204" s="442" t="str">
        <f t="shared" si="73"/>
        <v>-</v>
      </c>
      <c r="AZ204" s="445"/>
      <c r="BA204" s="447" t="s">
        <v>532</v>
      </c>
      <c r="BB204" s="59"/>
      <c r="BC204" s="223"/>
      <c r="BD204" s="60" t="str">
        <f t="shared" si="64"/>
        <v xml:space="preserve"> </v>
      </c>
      <c r="BE204" s="213" t="str">
        <f t="shared" si="74"/>
        <v>-</v>
      </c>
      <c r="BF204" s="172"/>
      <c r="BG204" s="225" t="s">
        <v>215</v>
      </c>
      <c r="BH204" s="59"/>
      <c r="BI204" s="223"/>
      <c r="BJ204" s="60" t="str">
        <f t="shared" si="65"/>
        <v xml:space="preserve"> </v>
      </c>
      <c r="BK204" s="213" t="s">
        <v>215</v>
      </c>
      <c r="BL204" s="172"/>
      <c r="BM204" s="225" t="s">
        <v>215</v>
      </c>
    </row>
    <row r="205" spans="2:65" s="26" customFormat="1">
      <c r="B205" s="64">
        <f t="shared" si="66"/>
        <v>198</v>
      </c>
      <c r="C205" s="7"/>
      <c r="D205" s="7"/>
      <c r="E205" s="7"/>
      <c r="F205" s="22" t="s">
        <v>160</v>
      </c>
      <c r="G205" s="16"/>
      <c r="H205" s="13"/>
      <c r="I205" s="8"/>
      <c r="J205" s="8"/>
      <c r="K205" s="8"/>
      <c r="L205" s="8"/>
      <c r="M205" s="11"/>
      <c r="N205" s="1"/>
      <c r="O205" s="56"/>
      <c r="P205" s="93">
        <f t="shared" si="70"/>
        <v>176</v>
      </c>
      <c r="Q205" s="113">
        <v>128</v>
      </c>
      <c r="R205" s="21" t="str">
        <f t="shared" si="69"/>
        <v>X</v>
      </c>
      <c r="S205" s="96" t="s">
        <v>161</v>
      </c>
      <c r="T205" s="94"/>
      <c r="U205" s="21" t="s">
        <v>226</v>
      </c>
      <c r="V205" s="10"/>
      <c r="W205" s="25">
        <v>3</v>
      </c>
      <c r="X205" s="1" t="s">
        <v>256</v>
      </c>
      <c r="Y205" s="1">
        <v>1</v>
      </c>
      <c r="Z205" s="1">
        <v>128</v>
      </c>
      <c r="AA205" s="8" t="s">
        <v>109</v>
      </c>
      <c r="AB205" s="8" t="s">
        <v>19</v>
      </c>
      <c r="AC205" s="12"/>
      <c r="AD205" s="444"/>
      <c r="AE205" s="440"/>
      <c r="AF205" s="440" t="str">
        <f t="shared" si="60"/>
        <v xml:space="preserve">                                                                                                                                </v>
      </c>
      <c r="AG205" s="442" t="str">
        <f t="shared" si="71"/>
        <v>-</v>
      </c>
      <c r="AH205" s="440"/>
      <c r="AI205" s="447" t="s">
        <v>532</v>
      </c>
      <c r="AJ205" s="444"/>
      <c r="AK205" s="440"/>
      <c r="AL205" s="440" t="str">
        <f t="shared" si="61"/>
        <v xml:space="preserve">                                                                                                                                </v>
      </c>
      <c r="AM205" s="442" t="str">
        <f t="shared" si="72"/>
        <v>-</v>
      </c>
      <c r="AN205" s="440"/>
      <c r="AO205" s="447" t="s">
        <v>532</v>
      </c>
      <c r="AP205" s="444"/>
      <c r="AQ205" s="440"/>
      <c r="AR205" s="440" t="str">
        <f t="shared" si="62"/>
        <v xml:space="preserve">                                                                                                                                </v>
      </c>
      <c r="AS205" s="447" t="s">
        <v>532</v>
      </c>
      <c r="AT205" s="462"/>
      <c r="AU205" s="447" t="s">
        <v>532</v>
      </c>
      <c r="AV205" s="444"/>
      <c r="AW205" s="440"/>
      <c r="AX205" s="440" t="str">
        <f t="shared" si="63"/>
        <v xml:space="preserve">                                                                                                                                </v>
      </c>
      <c r="AY205" s="442" t="str">
        <f t="shared" si="73"/>
        <v>-</v>
      </c>
      <c r="AZ205" s="440"/>
      <c r="BA205" s="447" t="s">
        <v>532</v>
      </c>
      <c r="BB205" s="59"/>
      <c r="BC205" s="60"/>
      <c r="BD205" s="60" t="str">
        <f t="shared" si="64"/>
        <v xml:space="preserve">                                                                                                                                </v>
      </c>
      <c r="BE205" s="213" t="str">
        <f t="shared" si="74"/>
        <v>-</v>
      </c>
      <c r="BF205" s="167"/>
      <c r="BG205" s="225" t="s">
        <v>215</v>
      </c>
      <c r="BH205" s="59"/>
      <c r="BI205" s="60"/>
      <c r="BJ205" s="60" t="str">
        <f t="shared" si="65"/>
        <v xml:space="preserve">                                                                                                                                </v>
      </c>
      <c r="BK205" s="213" t="s">
        <v>215</v>
      </c>
      <c r="BL205" s="167"/>
      <c r="BM205" s="225" t="s">
        <v>215</v>
      </c>
    </row>
    <row r="206" spans="2:65" s="26" customFormat="1" ht="114.75">
      <c r="B206" s="64">
        <f t="shared" si="66"/>
        <v>199</v>
      </c>
      <c r="C206" s="7"/>
      <c r="D206" s="7"/>
      <c r="E206" s="7"/>
      <c r="F206" s="22" t="s">
        <v>162</v>
      </c>
      <c r="G206" s="16"/>
      <c r="H206" s="13"/>
      <c r="I206" s="8"/>
      <c r="J206" s="8"/>
      <c r="K206" s="8"/>
      <c r="L206" s="8"/>
      <c r="M206" s="11" t="s">
        <v>294</v>
      </c>
      <c r="N206" s="1"/>
      <c r="O206" s="56"/>
      <c r="P206" s="93">
        <f t="shared" si="70"/>
        <v>177</v>
      </c>
      <c r="Q206" s="113">
        <v>1</v>
      </c>
      <c r="R206" s="21" t="str">
        <f t="shared" si="69"/>
        <v>X</v>
      </c>
      <c r="S206" s="96" t="s">
        <v>163</v>
      </c>
      <c r="T206" s="94"/>
      <c r="U206" s="21" t="s">
        <v>226</v>
      </c>
      <c r="V206" s="10"/>
      <c r="W206" s="25">
        <v>3</v>
      </c>
      <c r="X206" s="1" t="s">
        <v>257</v>
      </c>
      <c r="Y206" s="1">
        <v>1</v>
      </c>
      <c r="Z206" s="1">
        <v>1</v>
      </c>
      <c r="AA206" s="8" t="s">
        <v>109</v>
      </c>
      <c r="AB206" s="8" t="s">
        <v>19</v>
      </c>
      <c r="AC206" s="102"/>
      <c r="AD206" s="444"/>
      <c r="AE206" s="445"/>
      <c r="AF206" s="440" t="str">
        <f t="shared" ref="AF206:AF269" si="75">IF(AH206="-","-",AH206&amp;REPT(IF($R206="N","　",IF($R206="9","0"," ")),$Z206-LENB(AH206)))</f>
        <v xml:space="preserve"> </v>
      </c>
      <c r="AG206" s="442" t="str">
        <f t="shared" si="71"/>
        <v>-</v>
      </c>
      <c r="AH206" s="445"/>
      <c r="AI206" s="447" t="s">
        <v>532</v>
      </c>
      <c r="AJ206" s="444"/>
      <c r="AK206" s="445"/>
      <c r="AL206" s="440" t="str">
        <f t="shared" ref="AL206:AL269" si="76">IF(AN206="-","-",AN206&amp;REPT(IF($R206="N","　",IF($R206="9","0"," ")),$Z206-LENB(AN206)))</f>
        <v xml:space="preserve"> </v>
      </c>
      <c r="AM206" s="442" t="str">
        <f t="shared" si="72"/>
        <v>-</v>
      </c>
      <c r="AN206" s="445"/>
      <c r="AO206" s="447" t="s">
        <v>532</v>
      </c>
      <c r="AP206" s="444"/>
      <c r="AQ206" s="445"/>
      <c r="AR206" s="440" t="str">
        <f t="shared" ref="AR206:AR269" si="77">IF(AT206="-","-",AT206&amp;REPT(IF($R206="N","　",IF($R206="9","0"," ")),$Z206-LENB(AT206)))</f>
        <v xml:space="preserve"> </v>
      </c>
      <c r="AS206" s="447" t="s">
        <v>532</v>
      </c>
      <c r="AT206" s="463"/>
      <c r="AU206" s="447" t="s">
        <v>532</v>
      </c>
      <c r="AV206" s="444"/>
      <c r="AW206" s="445"/>
      <c r="AX206" s="440" t="str">
        <f t="shared" ref="AX206:AX269" si="78">IF(AZ206="-","-",AZ206&amp;REPT(IF($R206="N","　",IF($R206="9","0"," ")),$Z206-LENB(AZ206)))</f>
        <v xml:space="preserve"> </v>
      </c>
      <c r="AY206" s="442" t="str">
        <f t="shared" si="73"/>
        <v>-</v>
      </c>
      <c r="AZ206" s="445"/>
      <c r="BA206" s="447" t="s">
        <v>532</v>
      </c>
      <c r="BB206" s="59"/>
      <c r="BC206" s="223"/>
      <c r="BD206" s="60" t="str">
        <f t="shared" ref="BD206:BD269" si="79">IF(BF206="-","-",BF206&amp;REPT(IF($R206="N","　",IF($R206="9","0"," ")),$Z206-LENB(BF206)))</f>
        <v xml:space="preserve"> </v>
      </c>
      <c r="BE206" s="213" t="str">
        <f t="shared" si="74"/>
        <v>-</v>
      </c>
      <c r="BF206" s="172"/>
      <c r="BG206" s="225" t="s">
        <v>215</v>
      </c>
      <c r="BH206" s="59"/>
      <c r="BI206" s="223"/>
      <c r="BJ206" s="60" t="str">
        <f t="shared" ref="BJ206:BJ269" si="80">IF(BL206="-","-",BL206&amp;REPT(IF($R206="N","　",IF($R206="9","0"," ")),$Z206-LENB(BL206)))</f>
        <v xml:space="preserve"> </v>
      </c>
      <c r="BK206" s="213" t="s">
        <v>215</v>
      </c>
      <c r="BL206" s="172"/>
      <c r="BM206" s="225" t="s">
        <v>215</v>
      </c>
    </row>
    <row r="207" spans="2:65" s="26" customFormat="1" ht="127.5">
      <c r="B207" s="64">
        <f t="shared" si="66"/>
        <v>200</v>
      </c>
      <c r="C207" s="7"/>
      <c r="D207" s="7"/>
      <c r="E207" s="7"/>
      <c r="F207" s="22" t="s">
        <v>164</v>
      </c>
      <c r="G207" s="16"/>
      <c r="H207" s="13"/>
      <c r="I207" s="8"/>
      <c r="J207" s="8" t="s">
        <v>231</v>
      </c>
      <c r="K207" s="8"/>
      <c r="L207" s="8"/>
      <c r="M207" s="359" t="s">
        <v>317</v>
      </c>
      <c r="N207" s="1"/>
      <c r="O207" s="56"/>
      <c r="P207" s="93">
        <f t="shared" si="70"/>
        <v>178</v>
      </c>
      <c r="Q207" s="113">
        <v>1</v>
      </c>
      <c r="R207" s="21" t="str">
        <f t="shared" si="69"/>
        <v>X</v>
      </c>
      <c r="S207" s="96" t="s">
        <v>165</v>
      </c>
      <c r="T207" s="94"/>
      <c r="U207" s="21" t="s">
        <v>226</v>
      </c>
      <c r="V207" s="10"/>
      <c r="W207" s="25">
        <v>3</v>
      </c>
      <c r="X207" s="1" t="s">
        <v>258</v>
      </c>
      <c r="Y207" s="1">
        <v>1</v>
      </c>
      <c r="Z207" s="1">
        <v>1</v>
      </c>
      <c r="AA207" s="8" t="s">
        <v>109</v>
      </c>
      <c r="AB207" s="8" t="s">
        <v>19</v>
      </c>
      <c r="AC207" s="102"/>
      <c r="AD207" s="444"/>
      <c r="AE207" s="445"/>
      <c r="AF207" s="440" t="str">
        <f t="shared" si="75"/>
        <v xml:space="preserve"> </v>
      </c>
      <c r="AG207" s="442" t="str">
        <f t="shared" si="71"/>
        <v>-</v>
      </c>
      <c r="AH207" s="445"/>
      <c r="AI207" s="447" t="s">
        <v>532</v>
      </c>
      <c r="AJ207" s="444"/>
      <c r="AK207" s="445"/>
      <c r="AL207" s="440" t="str">
        <f t="shared" si="76"/>
        <v xml:space="preserve"> </v>
      </c>
      <c r="AM207" s="442" t="str">
        <f t="shared" si="72"/>
        <v>-</v>
      </c>
      <c r="AN207" s="445"/>
      <c r="AO207" s="447" t="s">
        <v>532</v>
      </c>
      <c r="AP207" s="444"/>
      <c r="AQ207" s="445"/>
      <c r="AR207" s="440" t="str">
        <f t="shared" si="77"/>
        <v xml:space="preserve"> </v>
      </c>
      <c r="AS207" s="447" t="s">
        <v>532</v>
      </c>
      <c r="AT207" s="463"/>
      <c r="AU207" s="447" t="s">
        <v>532</v>
      </c>
      <c r="AV207" s="444"/>
      <c r="AW207" s="445"/>
      <c r="AX207" s="440" t="str">
        <f t="shared" si="78"/>
        <v xml:space="preserve"> </v>
      </c>
      <c r="AY207" s="442" t="str">
        <f t="shared" si="73"/>
        <v>-</v>
      </c>
      <c r="AZ207" s="445"/>
      <c r="BA207" s="447" t="s">
        <v>532</v>
      </c>
      <c r="BB207" s="59"/>
      <c r="BC207" s="223"/>
      <c r="BD207" s="60" t="str">
        <f t="shared" si="79"/>
        <v xml:space="preserve"> </v>
      </c>
      <c r="BE207" s="213" t="str">
        <f t="shared" si="74"/>
        <v>-</v>
      </c>
      <c r="BF207" s="172"/>
      <c r="BG207" s="225" t="s">
        <v>215</v>
      </c>
      <c r="BH207" s="59"/>
      <c r="BI207" s="223"/>
      <c r="BJ207" s="60" t="str">
        <f t="shared" si="80"/>
        <v xml:space="preserve"> </v>
      </c>
      <c r="BK207" s="213" t="s">
        <v>215</v>
      </c>
      <c r="BL207" s="172"/>
      <c r="BM207" s="225" t="s">
        <v>215</v>
      </c>
    </row>
    <row r="208" spans="2:65" s="26" customFormat="1" ht="319.5" customHeight="1">
      <c r="B208" s="64">
        <f t="shared" si="66"/>
        <v>201</v>
      </c>
      <c r="C208" s="7"/>
      <c r="D208" s="7"/>
      <c r="E208" s="53"/>
      <c r="F208" s="111" t="s">
        <v>367</v>
      </c>
      <c r="G208" s="66"/>
      <c r="H208" s="61"/>
      <c r="I208" s="8"/>
      <c r="J208" s="8" t="s">
        <v>231</v>
      </c>
      <c r="K208" s="8"/>
      <c r="L208" s="8"/>
      <c r="M208" s="356" t="s">
        <v>493</v>
      </c>
      <c r="N208" s="16"/>
      <c r="O208" s="56"/>
      <c r="P208" s="93">
        <f t="shared" si="70"/>
        <v>179</v>
      </c>
      <c r="Q208" s="113">
        <v>2</v>
      </c>
      <c r="R208" s="21" t="str">
        <f t="shared" si="69"/>
        <v>X</v>
      </c>
      <c r="S208" s="96" t="s">
        <v>166</v>
      </c>
      <c r="T208" s="94"/>
      <c r="U208" s="21" t="s">
        <v>226</v>
      </c>
      <c r="V208" s="10"/>
      <c r="W208" s="25">
        <v>3</v>
      </c>
      <c r="X208" s="1" t="s">
        <v>260</v>
      </c>
      <c r="Y208" s="1">
        <v>2</v>
      </c>
      <c r="Z208" s="1">
        <v>2</v>
      </c>
      <c r="AA208" s="8" t="s">
        <v>229</v>
      </c>
      <c r="AB208" s="8" t="s">
        <v>226</v>
      </c>
      <c r="AC208" s="67"/>
      <c r="AD208" s="444"/>
      <c r="AE208" s="445"/>
      <c r="AF208" s="446" t="str">
        <f t="shared" si="75"/>
        <v xml:space="preserve">  </v>
      </c>
      <c r="AG208" s="442" t="str">
        <f t="shared" si="71"/>
        <v>-</v>
      </c>
      <c r="AH208" s="445"/>
      <c r="AI208" s="448" t="s">
        <v>532</v>
      </c>
      <c r="AJ208" s="444"/>
      <c r="AK208" s="445"/>
      <c r="AL208" s="446" t="str">
        <f t="shared" si="76"/>
        <v xml:space="preserve">  </v>
      </c>
      <c r="AM208" s="442" t="str">
        <f t="shared" si="72"/>
        <v>-</v>
      </c>
      <c r="AN208" s="445"/>
      <c r="AO208" s="448" t="s">
        <v>532</v>
      </c>
      <c r="AP208" s="444"/>
      <c r="AQ208" s="445"/>
      <c r="AR208" s="446" t="str">
        <f t="shared" si="77"/>
        <v xml:space="preserve">  </v>
      </c>
      <c r="AS208" s="442" t="s">
        <v>532</v>
      </c>
      <c r="AT208" s="463"/>
      <c r="AU208" s="448" t="s">
        <v>532</v>
      </c>
      <c r="AV208" s="444"/>
      <c r="AW208" s="445"/>
      <c r="AX208" s="446" t="str">
        <f t="shared" si="78"/>
        <v xml:space="preserve">  </v>
      </c>
      <c r="AY208" s="442" t="str">
        <f t="shared" si="73"/>
        <v>-</v>
      </c>
      <c r="AZ208" s="445"/>
      <c r="BA208" s="448" t="s">
        <v>532</v>
      </c>
      <c r="BB208" s="59"/>
      <c r="BC208" s="223"/>
      <c r="BD208" s="254" t="str">
        <f t="shared" si="79"/>
        <v>D1</v>
      </c>
      <c r="BE208" s="213" t="str">
        <f t="shared" si="74"/>
        <v>-</v>
      </c>
      <c r="BF208" s="172" t="s">
        <v>218</v>
      </c>
      <c r="BG208" s="405" t="str">
        <f>IF(OR(BC$8="判定対象外",BF$8="判定対象外",BF208="-"),"-",IF(BC208=BF208,"OK","NG"))</f>
        <v>NG</v>
      </c>
      <c r="BH208" s="59"/>
      <c r="BI208" s="223"/>
      <c r="BJ208" s="254" t="str">
        <f t="shared" si="80"/>
        <v>E1</v>
      </c>
      <c r="BK208" s="213" t="str">
        <f>IF(OR(BI$8="判定対象外",BJ$8="判定対象外",BJ208="-"),"-",IF(BI208=BJ208,"OK","NG"))</f>
        <v>NG</v>
      </c>
      <c r="BL208" s="172" t="s">
        <v>219</v>
      </c>
      <c r="BM208" s="405" t="str">
        <f>IF(OR(BI$8="判定対象外",BL$8="判定対象外",BL208="-"),"-",IF(BI208=BL208,"OK","NG"))</f>
        <v>NG</v>
      </c>
    </row>
    <row r="209" spans="1:65" s="26" customFormat="1" ht="25.5">
      <c r="B209" s="64">
        <f t="shared" si="66"/>
        <v>202</v>
      </c>
      <c r="C209" s="7"/>
      <c r="D209" s="7"/>
      <c r="E209" s="53"/>
      <c r="F209" s="65" t="s">
        <v>167</v>
      </c>
      <c r="G209" s="66"/>
      <c r="H209" s="61"/>
      <c r="I209" s="8"/>
      <c r="J209" s="8"/>
      <c r="K209" s="8"/>
      <c r="L209" s="8"/>
      <c r="M209" s="11" t="s">
        <v>274</v>
      </c>
      <c r="N209" s="16"/>
      <c r="O209" s="56"/>
      <c r="P209" s="93">
        <f t="shared" si="70"/>
        <v>180</v>
      </c>
      <c r="Q209" s="113">
        <v>7</v>
      </c>
      <c r="R209" s="21" t="str">
        <f t="shared" si="69"/>
        <v>X</v>
      </c>
      <c r="S209" s="96" t="s">
        <v>168</v>
      </c>
      <c r="T209" s="94"/>
      <c r="U209" s="21" t="s">
        <v>226</v>
      </c>
      <c r="V209" s="10"/>
      <c r="W209" s="25">
        <v>3</v>
      </c>
      <c r="X209" s="1" t="s">
        <v>261</v>
      </c>
      <c r="Y209" s="1">
        <v>7</v>
      </c>
      <c r="Z209" s="1">
        <v>7</v>
      </c>
      <c r="AA209" s="8" t="s">
        <v>229</v>
      </c>
      <c r="AB209" s="8" t="s">
        <v>226</v>
      </c>
      <c r="AC209" s="103"/>
      <c r="AD209" s="444"/>
      <c r="AE209" s="440"/>
      <c r="AF209" s="440" t="str">
        <f t="shared" si="75"/>
        <v xml:space="preserve">       </v>
      </c>
      <c r="AG209" s="442" t="str">
        <f t="shared" si="71"/>
        <v>-</v>
      </c>
      <c r="AH209" s="440"/>
      <c r="AI209" s="447" t="s">
        <v>532</v>
      </c>
      <c r="AJ209" s="444"/>
      <c r="AK209" s="440"/>
      <c r="AL209" s="440" t="str">
        <f t="shared" si="76"/>
        <v xml:space="preserve">       </v>
      </c>
      <c r="AM209" s="442" t="str">
        <f t="shared" si="72"/>
        <v>-</v>
      </c>
      <c r="AN209" s="440"/>
      <c r="AO209" s="447" t="s">
        <v>532</v>
      </c>
      <c r="AP209" s="444"/>
      <c r="AQ209" s="440"/>
      <c r="AR209" s="440" t="str">
        <f t="shared" si="77"/>
        <v xml:space="preserve">       </v>
      </c>
      <c r="AS209" s="447" t="s">
        <v>532</v>
      </c>
      <c r="AT209" s="462"/>
      <c r="AU209" s="447" t="s">
        <v>532</v>
      </c>
      <c r="AV209" s="444"/>
      <c r="AW209" s="440"/>
      <c r="AX209" s="440" t="str">
        <f t="shared" si="78"/>
        <v xml:space="preserve">       </v>
      </c>
      <c r="AY209" s="442" t="str">
        <f t="shared" si="73"/>
        <v>-</v>
      </c>
      <c r="AZ209" s="440"/>
      <c r="BA209" s="447" t="s">
        <v>532</v>
      </c>
      <c r="BB209" s="59"/>
      <c r="BC209" s="60"/>
      <c r="BD209" s="60" t="str">
        <f t="shared" si="79"/>
        <v xml:space="preserve">       </v>
      </c>
      <c r="BE209" s="213" t="str">
        <f t="shared" si="74"/>
        <v>-</v>
      </c>
      <c r="BF209" s="167"/>
      <c r="BG209" s="225" t="s">
        <v>215</v>
      </c>
      <c r="BH209" s="59"/>
      <c r="BI209" s="60"/>
      <c r="BJ209" s="60" t="str">
        <f t="shared" si="80"/>
        <v xml:space="preserve">       </v>
      </c>
      <c r="BK209" s="213" t="s">
        <v>215</v>
      </c>
      <c r="BL209" s="167"/>
      <c r="BM209" s="225" t="s">
        <v>215</v>
      </c>
    </row>
    <row r="210" spans="1:65" s="80" customFormat="1" ht="25.5">
      <c r="B210" s="64">
        <f t="shared" si="66"/>
        <v>203</v>
      </c>
      <c r="C210" s="68"/>
      <c r="D210" s="68"/>
      <c r="E210" s="69"/>
      <c r="F210" s="70" t="s">
        <v>275</v>
      </c>
      <c r="G210" s="71"/>
      <c r="H210" s="72"/>
      <c r="I210" s="73"/>
      <c r="J210" s="73"/>
      <c r="K210" s="74"/>
      <c r="L210" s="74"/>
      <c r="M210" s="83" t="s">
        <v>274</v>
      </c>
      <c r="N210" s="75"/>
      <c r="O210" s="76"/>
      <c r="P210" s="93">
        <f t="shared" si="70"/>
        <v>181</v>
      </c>
      <c r="Q210" s="117">
        <v>10</v>
      </c>
      <c r="R210" s="21" t="str">
        <f t="shared" si="69"/>
        <v>X</v>
      </c>
      <c r="S210" s="96" t="s">
        <v>169</v>
      </c>
      <c r="T210" s="104"/>
      <c r="U210" s="21" t="s">
        <v>226</v>
      </c>
      <c r="V210" s="76"/>
      <c r="W210" s="77">
        <v>3</v>
      </c>
      <c r="X210" s="55" t="s">
        <v>170</v>
      </c>
      <c r="Y210" s="55">
        <v>10</v>
      </c>
      <c r="Z210" s="55">
        <v>10</v>
      </c>
      <c r="AA210" s="73" t="s">
        <v>109</v>
      </c>
      <c r="AB210" s="73" t="s">
        <v>19</v>
      </c>
      <c r="AC210" s="103"/>
      <c r="AD210" s="451"/>
      <c r="AE210" s="452"/>
      <c r="AF210" s="453" t="str">
        <f t="shared" si="75"/>
        <v xml:space="preserve">          </v>
      </c>
      <c r="AG210" s="442" t="str">
        <f t="shared" si="71"/>
        <v>-</v>
      </c>
      <c r="AH210" s="452"/>
      <c r="AI210" s="447" t="s">
        <v>532</v>
      </c>
      <c r="AJ210" s="451"/>
      <c r="AK210" s="452"/>
      <c r="AL210" s="453" t="str">
        <f t="shared" si="76"/>
        <v xml:space="preserve">          </v>
      </c>
      <c r="AM210" s="442" t="str">
        <f t="shared" si="72"/>
        <v>-</v>
      </c>
      <c r="AN210" s="452"/>
      <c r="AO210" s="447" t="s">
        <v>532</v>
      </c>
      <c r="AP210" s="451"/>
      <c r="AQ210" s="452"/>
      <c r="AR210" s="453" t="str">
        <f t="shared" si="77"/>
        <v xml:space="preserve">          </v>
      </c>
      <c r="AS210" s="447" t="s">
        <v>532</v>
      </c>
      <c r="AT210" s="464"/>
      <c r="AU210" s="447" t="s">
        <v>532</v>
      </c>
      <c r="AV210" s="451"/>
      <c r="AW210" s="452"/>
      <c r="AX210" s="453" t="str">
        <f t="shared" si="78"/>
        <v xml:space="preserve">          </v>
      </c>
      <c r="AY210" s="442" t="str">
        <f t="shared" si="73"/>
        <v>-</v>
      </c>
      <c r="AZ210" s="452"/>
      <c r="BA210" s="447" t="s">
        <v>532</v>
      </c>
      <c r="BB210" s="78"/>
      <c r="BC210" s="420"/>
      <c r="BD210" s="79" t="str">
        <f t="shared" si="79"/>
        <v xml:space="preserve">          </v>
      </c>
      <c r="BE210" s="213" t="str">
        <f t="shared" si="74"/>
        <v>-</v>
      </c>
      <c r="BF210" s="378"/>
      <c r="BG210" s="225" t="s">
        <v>215</v>
      </c>
      <c r="BH210" s="78"/>
      <c r="BI210" s="420"/>
      <c r="BJ210" s="79" t="str">
        <f t="shared" si="80"/>
        <v xml:space="preserve">          </v>
      </c>
      <c r="BK210" s="213" t="s">
        <v>215</v>
      </c>
      <c r="BL210" s="378"/>
      <c r="BM210" s="225" t="s">
        <v>215</v>
      </c>
    </row>
    <row r="211" spans="1:65" s="80" customFormat="1" ht="25.5">
      <c r="B211" s="64">
        <f t="shared" si="66"/>
        <v>204</v>
      </c>
      <c r="C211" s="68"/>
      <c r="D211" s="68"/>
      <c r="E211" s="68"/>
      <c r="F211" s="81" t="s">
        <v>171</v>
      </c>
      <c r="G211" s="14"/>
      <c r="H211" s="82"/>
      <c r="I211" s="73"/>
      <c r="J211" s="73"/>
      <c r="K211" s="74"/>
      <c r="L211" s="74"/>
      <c r="M211" s="83" t="s">
        <v>274</v>
      </c>
      <c r="N211" s="75"/>
      <c r="O211" s="76"/>
      <c r="P211" s="93">
        <f t="shared" si="70"/>
        <v>182</v>
      </c>
      <c r="Q211" s="117">
        <v>3</v>
      </c>
      <c r="R211" s="21" t="str">
        <f t="shared" si="69"/>
        <v>X</v>
      </c>
      <c r="S211" s="96" t="s">
        <v>172</v>
      </c>
      <c r="T211" s="104"/>
      <c r="U211" s="21" t="s">
        <v>226</v>
      </c>
      <c r="V211" s="76"/>
      <c r="W211" s="77">
        <v>3</v>
      </c>
      <c r="X211" s="55" t="s">
        <v>173</v>
      </c>
      <c r="Y211" s="55">
        <v>3</v>
      </c>
      <c r="Z211" s="55">
        <v>3</v>
      </c>
      <c r="AA211" s="73" t="s">
        <v>109</v>
      </c>
      <c r="AB211" s="73" t="s">
        <v>19</v>
      </c>
      <c r="AC211" s="103"/>
      <c r="AD211" s="451"/>
      <c r="AE211" s="452"/>
      <c r="AF211" s="453" t="str">
        <f t="shared" si="75"/>
        <v xml:space="preserve">   </v>
      </c>
      <c r="AG211" s="442" t="str">
        <f t="shared" si="71"/>
        <v>-</v>
      </c>
      <c r="AH211" s="452"/>
      <c r="AI211" s="447" t="s">
        <v>532</v>
      </c>
      <c r="AJ211" s="451"/>
      <c r="AK211" s="452"/>
      <c r="AL211" s="453" t="str">
        <f t="shared" si="76"/>
        <v xml:space="preserve">   </v>
      </c>
      <c r="AM211" s="442" t="str">
        <f t="shared" si="72"/>
        <v>-</v>
      </c>
      <c r="AN211" s="452"/>
      <c r="AO211" s="447" t="s">
        <v>532</v>
      </c>
      <c r="AP211" s="451"/>
      <c r="AQ211" s="452"/>
      <c r="AR211" s="453" t="str">
        <f t="shared" si="77"/>
        <v xml:space="preserve">   </v>
      </c>
      <c r="AS211" s="447" t="s">
        <v>532</v>
      </c>
      <c r="AT211" s="464"/>
      <c r="AU211" s="447" t="s">
        <v>532</v>
      </c>
      <c r="AV211" s="451"/>
      <c r="AW211" s="452"/>
      <c r="AX211" s="453" t="str">
        <f t="shared" si="78"/>
        <v xml:space="preserve">   </v>
      </c>
      <c r="AY211" s="442" t="str">
        <f t="shared" si="73"/>
        <v>-</v>
      </c>
      <c r="AZ211" s="452"/>
      <c r="BA211" s="447" t="s">
        <v>532</v>
      </c>
      <c r="BB211" s="78"/>
      <c r="BC211" s="420"/>
      <c r="BD211" s="79" t="str">
        <f t="shared" si="79"/>
        <v xml:space="preserve">   </v>
      </c>
      <c r="BE211" s="213" t="str">
        <f t="shared" si="74"/>
        <v>-</v>
      </c>
      <c r="BF211" s="378"/>
      <c r="BG211" s="225" t="s">
        <v>215</v>
      </c>
      <c r="BH211" s="78"/>
      <c r="BI211" s="420"/>
      <c r="BJ211" s="79" t="str">
        <f t="shared" si="80"/>
        <v xml:space="preserve">   </v>
      </c>
      <c r="BK211" s="213" t="s">
        <v>215</v>
      </c>
      <c r="BL211" s="378"/>
      <c r="BM211" s="225" t="s">
        <v>215</v>
      </c>
    </row>
    <row r="212" spans="1:65" s="80" customFormat="1" ht="25.5">
      <c r="B212" s="64">
        <f t="shared" si="66"/>
        <v>205</v>
      </c>
      <c r="C212" s="68"/>
      <c r="D212" s="68"/>
      <c r="E212" s="68"/>
      <c r="F212" s="81" t="s">
        <v>174</v>
      </c>
      <c r="G212" s="14"/>
      <c r="H212" s="82"/>
      <c r="I212" s="73"/>
      <c r="J212" s="73"/>
      <c r="K212" s="74"/>
      <c r="L212" s="74"/>
      <c r="M212" s="83" t="s">
        <v>274</v>
      </c>
      <c r="N212" s="75"/>
      <c r="O212" s="76"/>
      <c r="P212" s="93">
        <f>P211+1</f>
        <v>183</v>
      </c>
      <c r="Q212" s="117">
        <v>2</v>
      </c>
      <c r="R212" s="21" t="str">
        <f t="shared" si="69"/>
        <v>X</v>
      </c>
      <c r="S212" s="96" t="s">
        <v>175</v>
      </c>
      <c r="T212" s="104"/>
      <c r="U212" s="21" t="s">
        <v>226</v>
      </c>
      <c r="V212" s="76"/>
      <c r="W212" s="77">
        <v>3</v>
      </c>
      <c r="X212" s="55" t="s">
        <v>176</v>
      </c>
      <c r="Y212" s="55">
        <v>2</v>
      </c>
      <c r="Z212" s="55">
        <v>2</v>
      </c>
      <c r="AA212" s="73" t="s">
        <v>109</v>
      </c>
      <c r="AB212" s="73" t="s">
        <v>19</v>
      </c>
      <c r="AC212" s="103"/>
      <c r="AD212" s="451"/>
      <c r="AE212" s="452"/>
      <c r="AF212" s="453" t="str">
        <f t="shared" si="75"/>
        <v xml:space="preserve">  </v>
      </c>
      <c r="AG212" s="442" t="str">
        <f t="shared" si="71"/>
        <v>-</v>
      </c>
      <c r="AH212" s="452"/>
      <c r="AI212" s="447" t="s">
        <v>532</v>
      </c>
      <c r="AJ212" s="451"/>
      <c r="AK212" s="452"/>
      <c r="AL212" s="453" t="str">
        <f t="shared" si="76"/>
        <v xml:space="preserve">  </v>
      </c>
      <c r="AM212" s="442" t="str">
        <f t="shared" si="72"/>
        <v>-</v>
      </c>
      <c r="AN212" s="452"/>
      <c r="AO212" s="447" t="s">
        <v>532</v>
      </c>
      <c r="AP212" s="451"/>
      <c r="AQ212" s="452"/>
      <c r="AR212" s="453" t="str">
        <f t="shared" si="77"/>
        <v xml:space="preserve">  </v>
      </c>
      <c r="AS212" s="447" t="s">
        <v>532</v>
      </c>
      <c r="AT212" s="464"/>
      <c r="AU212" s="447" t="s">
        <v>532</v>
      </c>
      <c r="AV212" s="451"/>
      <c r="AW212" s="452"/>
      <c r="AX212" s="453" t="str">
        <f t="shared" si="78"/>
        <v xml:space="preserve">  </v>
      </c>
      <c r="AY212" s="442" t="str">
        <f t="shared" si="73"/>
        <v>-</v>
      </c>
      <c r="AZ212" s="452"/>
      <c r="BA212" s="447" t="s">
        <v>532</v>
      </c>
      <c r="BB212" s="78"/>
      <c r="BC212" s="420"/>
      <c r="BD212" s="79" t="str">
        <f t="shared" si="79"/>
        <v xml:space="preserve">  </v>
      </c>
      <c r="BE212" s="213" t="str">
        <f t="shared" si="74"/>
        <v>-</v>
      </c>
      <c r="BF212" s="378"/>
      <c r="BG212" s="225" t="s">
        <v>215</v>
      </c>
      <c r="BH212" s="78"/>
      <c r="BI212" s="420"/>
      <c r="BJ212" s="79" t="str">
        <f t="shared" si="80"/>
        <v xml:space="preserve">  </v>
      </c>
      <c r="BK212" s="213" t="s">
        <v>215</v>
      </c>
      <c r="BL212" s="378"/>
      <c r="BM212" s="225" t="s">
        <v>215</v>
      </c>
    </row>
    <row r="213" spans="1:65" s="80" customFormat="1" ht="51.75" customHeight="1">
      <c r="B213" s="64">
        <f t="shared" si="66"/>
        <v>206</v>
      </c>
      <c r="C213" s="68"/>
      <c r="D213" s="68"/>
      <c r="E213" s="68"/>
      <c r="F213" s="228" t="s">
        <v>177</v>
      </c>
      <c r="G213" s="229"/>
      <c r="H213" s="230"/>
      <c r="I213" s="73"/>
      <c r="J213" s="73"/>
      <c r="K213" s="74"/>
      <c r="L213" s="74"/>
      <c r="M213" s="83" t="s">
        <v>178</v>
      </c>
      <c r="N213" s="75"/>
      <c r="O213" s="76"/>
      <c r="P213" s="93">
        <f>P212+1</f>
        <v>184</v>
      </c>
      <c r="Q213" s="117">
        <v>5</v>
      </c>
      <c r="R213" s="21" t="str">
        <f t="shared" si="69"/>
        <v>X</v>
      </c>
      <c r="S213" s="96" t="s">
        <v>179</v>
      </c>
      <c r="T213" s="104"/>
      <c r="U213" s="21" t="s">
        <v>496</v>
      </c>
      <c r="V213" s="76"/>
      <c r="W213" s="77">
        <v>3</v>
      </c>
      <c r="X213" s="55" t="s">
        <v>502</v>
      </c>
      <c r="Y213" s="55">
        <v>5</v>
      </c>
      <c r="Z213" s="55">
        <v>5</v>
      </c>
      <c r="AA213" s="73" t="s">
        <v>109</v>
      </c>
      <c r="AB213" s="73" t="s">
        <v>19</v>
      </c>
      <c r="AC213" s="84"/>
      <c r="AD213" s="451"/>
      <c r="AE213" s="459"/>
      <c r="AF213" s="453" t="str">
        <f t="shared" si="75"/>
        <v xml:space="preserve">     </v>
      </c>
      <c r="AG213" s="442" t="str">
        <f t="shared" si="71"/>
        <v>-</v>
      </c>
      <c r="AH213" s="459"/>
      <c r="AI213" s="447" t="s">
        <v>532</v>
      </c>
      <c r="AJ213" s="451"/>
      <c r="AK213" s="459"/>
      <c r="AL213" s="453" t="str">
        <f t="shared" si="76"/>
        <v xml:space="preserve">     </v>
      </c>
      <c r="AM213" s="442" t="str">
        <f t="shared" si="72"/>
        <v>-</v>
      </c>
      <c r="AN213" s="459"/>
      <c r="AO213" s="447" t="s">
        <v>532</v>
      </c>
      <c r="AP213" s="451"/>
      <c r="AQ213" s="459"/>
      <c r="AR213" s="453" t="str">
        <f t="shared" si="77"/>
        <v xml:space="preserve">     </v>
      </c>
      <c r="AS213" s="447" t="s">
        <v>532</v>
      </c>
      <c r="AT213" s="466"/>
      <c r="AU213" s="447" t="s">
        <v>532</v>
      </c>
      <c r="AV213" s="451"/>
      <c r="AW213" s="459"/>
      <c r="AX213" s="453" t="str">
        <f t="shared" si="78"/>
        <v xml:space="preserve">     </v>
      </c>
      <c r="AY213" s="442" t="str">
        <f t="shared" si="73"/>
        <v>-</v>
      </c>
      <c r="AZ213" s="459"/>
      <c r="BA213" s="447" t="s">
        <v>532</v>
      </c>
      <c r="BB213" s="78"/>
      <c r="BC213" s="421"/>
      <c r="BD213" s="79" t="str">
        <f t="shared" si="79"/>
        <v xml:space="preserve">     </v>
      </c>
      <c r="BE213" s="213" t="str">
        <f t="shared" si="74"/>
        <v>-</v>
      </c>
      <c r="BF213" s="382"/>
      <c r="BG213" s="225" t="s">
        <v>215</v>
      </c>
      <c r="BH213" s="78"/>
      <c r="BI213" s="421"/>
      <c r="BJ213" s="79" t="str">
        <f t="shared" si="80"/>
        <v xml:space="preserve">     </v>
      </c>
      <c r="BK213" s="213" t="s">
        <v>215</v>
      </c>
      <c r="BL213" s="382"/>
      <c r="BM213" s="225" t="s">
        <v>215</v>
      </c>
    </row>
    <row r="214" spans="1:65" s="80" customFormat="1" ht="51.75" customHeight="1">
      <c r="B214" s="64">
        <f t="shared" si="66"/>
        <v>207</v>
      </c>
      <c r="C214" s="68"/>
      <c r="D214" s="68"/>
      <c r="E214" s="68"/>
      <c r="F214" s="228" t="s">
        <v>180</v>
      </c>
      <c r="G214" s="229"/>
      <c r="H214" s="230"/>
      <c r="I214" s="73"/>
      <c r="J214" s="73"/>
      <c r="K214" s="74"/>
      <c r="L214" s="74"/>
      <c r="M214" s="83" t="s">
        <v>181</v>
      </c>
      <c r="N214" s="75"/>
      <c r="O214" s="76"/>
      <c r="P214" s="93">
        <f>P213+1</f>
        <v>185</v>
      </c>
      <c r="Q214" s="117">
        <v>64</v>
      </c>
      <c r="R214" s="21" t="str">
        <f>IF(AA214="M","NX",AA214)</f>
        <v>NX</v>
      </c>
      <c r="S214" s="96" t="s">
        <v>182</v>
      </c>
      <c r="T214" s="104"/>
      <c r="U214" s="21" t="s">
        <v>496</v>
      </c>
      <c r="V214" s="76" t="s">
        <v>503</v>
      </c>
      <c r="W214" s="77">
        <v>3</v>
      </c>
      <c r="X214" s="55" t="s">
        <v>504</v>
      </c>
      <c r="Y214" s="55">
        <v>1</v>
      </c>
      <c r="Z214" s="55">
        <v>64</v>
      </c>
      <c r="AA214" s="73" t="s">
        <v>501</v>
      </c>
      <c r="AB214" s="73" t="s">
        <v>19</v>
      </c>
      <c r="AC214" s="84" t="s">
        <v>503</v>
      </c>
      <c r="AD214" s="451"/>
      <c r="AE214" s="459"/>
      <c r="AF214" s="453" t="str">
        <f t="shared" si="75"/>
        <v xml:space="preserve">                                                                </v>
      </c>
      <c r="AG214" s="442" t="str">
        <f t="shared" si="71"/>
        <v>-</v>
      </c>
      <c r="AH214" s="459"/>
      <c r="AI214" s="447" t="s">
        <v>532</v>
      </c>
      <c r="AJ214" s="451"/>
      <c r="AK214" s="459"/>
      <c r="AL214" s="453" t="str">
        <f t="shared" si="76"/>
        <v xml:space="preserve">                                                                </v>
      </c>
      <c r="AM214" s="442" t="str">
        <f t="shared" si="72"/>
        <v>-</v>
      </c>
      <c r="AN214" s="459"/>
      <c r="AO214" s="447" t="s">
        <v>532</v>
      </c>
      <c r="AP214" s="451"/>
      <c r="AQ214" s="459"/>
      <c r="AR214" s="453" t="str">
        <f t="shared" si="77"/>
        <v xml:space="preserve">                                                                </v>
      </c>
      <c r="AS214" s="447" t="s">
        <v>532</v>
      </c>
      <c r="AT214" s="466"/>
      <c r="AU214" s="447" t="s">
        <v>532</v>
      </c>
      <c r="AV214" s="451"/>
      <c r="AW214" s="459"/>
      <c r="AX214" s="453" t="str">
        <f t="shared" si="78"/>
        <v xml:space="preserve">                                                                </v>
      </c>
      <c r="AY214" s="442" t="str">
        <f t="shared" si="73"/>
        <v>-</v>
      </c>
      <c r="AZ214" s="459"/>
      <c r="BA214" s="447" t="s">
        <v>532</v>
      </c>
      <c r="BB214" s="78"/>
      <c r="BC214" s="421"/>
      <c r="BD214" s="79" t="str">
        <f t="shared" si="79"/>
        <v xml:space="preserve">                                                                </v>
      </c>
      <c r="BE214" s="213" t="str">
        <f t="shared" si="74"/>
        <v>-</v>
      </c>
      <c r="BF214" s="382"/>
      <c r="BG214" s="225" t="s">
        <v>215</v>
      </c>
      <c r="BH214" s="78"/>
      <c r="BI214" s="421"/>
      <c r="BJ214" s="79" t="str">
        <f t="shared" si="80"/>
        <v xml:space="preserve">                                                                </v>
      </c>
      <c r="BK214" s="213" t="s">
        <v>215</v>
      </c>
      <c r="BL214" s="382"/>
      <c r="BM214" s="225" t="s">
        <v>215</v>
      </c>
    </row>
    <row r="215" spans="1:65" s="80" customFormat="1" ht="92.25" customHeight="1">
      <c r="B215" s="64">
        <f t="shared" ref="B215:B278" si="81">ROW()-7</f>
        <v>208</v>
      </c>
      <c r="C215" s="68"/>
      <c r="D215" s="68"/>
      <c r="E215" s="68"/>
      <c r="F215" s="81" t="s">
        <v>505</v>
      </c>
      <c r="G215" s="14"/>
      <c r="H215" s="82"/>
      <c r="I215" s="73"/>
      <c r="J215" s="73"/>
      <c r="K215" s="74"/>
      <c r="L215" s="74"/>
      <c r="M215" s="415" t="s">
        <v>207</v>
      </c>
      <c r="N215" s="75"/>
      <c r="O215" s="76"/>
      <c r="P215" s="93">
        <f>P214+1</f>
        <v>186</v>
      </c>
      <c r="Q215" s="117">
        <v>7</v>
      </c>
      <c r="R215" s="21" t="s">
        <v>506</v>
      </c>
      <c r="S215" s="96" t="s">
        <v>507</v>
      </c>
      <c r="T215" s="104"/>
      <c r="U215" s="21" t="s">
        <v>496</v>
      </c>
      <c r="V215" s="76"/>
      <c r="W215" s="77">
        <v>3</v>
      </c>
      <c r="X215" s="55" t="s">
        <v>508</v>
      </c>
      <c r="Y215" s="55">
        <v>7</v>
      </c>
      <c r="Z215" s="55">
        <v>7</v>
      </c>
      <c r="AA215" s="73" t="s">
        <v>506</v>
      </c>
      <c r="AB215" s="73" t="s">
        <v>19</v>
      </c>
      <c r="AC215" s="84"/>
      <c r="AD215" s="451"/>
      <c r="AE215" s="452"/>
      <c r="AF215" s="453" t="str">
        <f t="shared" si="75"/>
        <v xml:space="preserve">       </v>
      </c>
      <c r="AG215" s="442" t="str">
        <f t="shared" si="71"/>
        <v>-</v>
      </c>
      <c r="AH215" s="452"/>
      <c r="AI215" s="447" t="s">
        <v>532</v>
      </c>
      <c r="AJ215" s="451"/>
      <c r="AK215" s="452"/>
      <c r="AL215" s="453" t="str">
        <f t="shared" si="76"/>
        <v xml:space="preserve">       </v>
      </c>
      <c r="AM215" s="442" t="str">
        <f t="shared" si="72"/>
        <v>-</v>
      </c>
      <c r="AN215" s="452"/>
      <c r="AO215" s="447" t="s">
        <v>532</v>
      </c>
      <c r="AP215" s="451"/>
      <c r="AQ215" s="452"/>
      <c r="AR215" s="453" t="str">
        <f t="shared" si="77"/>
        <v xml:space="preserve">       </v>
      </c>
      <c r="AS215" s="447" t="s">
        <v>532</v>
      </c>
      <c r="AT215" s="464"/>
      <c r="AU215" s="447" t="s">
        <v>532</v>
      </c>
      <c r="AV215" s="451"/>
      <c r="AW215" s="452"/>
      <c r="AX215" s="453" t="str">
        <f t="shared" si="78"/>
        <v xml:space="preserve">       </v>
      </c>
      <c r="AY215" s="442" t="str">
        <f t="shared" si="73"/>
        <v>-</v>
      </c>
      <c r="AZ215" s="452"/>
      <c r="BA215" s="447" t="s">
        <v>532</v>
      </c>
      <c r="BB215" s="78"/>
      <c r="BC215" s="420"/>
      <c r="BD215" s="79" t="str">
        <f t="shared" si="79"/>
        <v xml:space="preserve">       </v>
      </c>
      <c r="BE215" s="213" t="str">
        <f t="shared" si="74"/>
        <v>-</v>
      </c>
      <c r="BF215" s="378"/>
      <c r="BG215" s="225" t="s">
        <v>215</v>
      </c>
      <c r="BH215" s="78"/>
      <c r="BI215" s="420"/>
      <c r="BJ215" s="79" t="str">
        <f t="shared" si="80"/>
        <v xml:space="preserve">       </v>
      </c>
      <c r="BK215" s="213" t="s">
        <v>215</v>
      </c>
      <c r="BL215" s="378"/>
      <c r="BM215" s="225" t="s">
        <v>215</v>
      </c>
    </row>
    <row r="216" spans="1:65" s="80" customFormat="1" ht="127.9" thickBot="1">
      <c r="A216" s="216"/>
      <c r="B216" s="231">
        <f t="shared" si="81"/>
        <v>209</v>
      </c>
      <c r="C216" s="232"/>
      <c r="D216" s="232"/>
      <c r="E216" s="232"/>
      <c r="F216" s="234" t="s">
        <v>267</v>
      </c>
      <c r="G216" s="235"/>
      <c r="H216" s="236"/>
      <c r="I216" s="237"/>
      <c r="J216" s="237"/>
      <c r="K216" s="237"/>
      <c r="L216" s="237"/>
      <c r="M216" s="416" t="s">
        <v>277</v>
      </c>
      <c r="N216" s="417"/>
      <c r="O216" s="419"/>
      <c r="P216" s="429">
        <f>P215+1</f>
        <v>187</v>
      </c>
      <c r="Q216" s="430">
        <v>1</v>
      </c>
      <c r="R216" s="431">
        <v>9</v>
      </c>
      <c r="S216" s="430" t="s">
        <v>268</v>
      </c>
      <c r="T216" s="430"/>
      <c r="U216" s="431" t="s">
        <v>226</v>
      </c>
      <c r="V216" s="432"/>
      <c r="W216" s="433" t="str">
        <f>IF(C216&lt;&gt;"","0",IF(D216&lt;&gt;"","1",IF(E216&lt;&gt;"","2",IF(F216&lt;&gt;"","3",IF(G216&lt;&gt;"","4",IF(H216&lt;&gt;"","5"))))))</f>
        <v>3</v>
      </c>
      <c r="X216" s="434" t="s">
        <v>269</v>
      </c>
      <c r="Y216" s="434">
        <v>1</v>
      </c>
      <c r="Z216" s="434">
        <v>1</v>
      </c>
      <c r="AA216" s="435">
        <v>9</v>
      </c>
      <c r="AB216" s="237" t="s">
        <v>226</v>
      </c>
      <c r="AC216" s="436"/>
      <c r="AD216" s="454"/>
      <c r="AE216" s="455"/>
      <c r="AF216" s="456" t="str">
        <f t="shared" si="75"/>
        <v xml:space="preserve"> </v>
      </c>
      <c r="AG216" s="457" t="str">
        <f t="shared" si="71"/>
        <v>-</v>
      </c>
      <c r="AH216" s="455"/>
      <c r="AI216" s="458" t="s">
        <v>532</v>
      </c>
      <c r="AJ216" s="454"/>
      <c r="AK216" s="455"/>
      <c r="AL216" s="456" t="str">
        <f t="shared" si="76"/>
        <v xml:space="preserve"> </v>
      </c>
      <c r="AM216" s="457" t="str">
        <f t="shared" si="72"/>
        <v>-</v>
      </c>
      <c r="AN216" s="455"/>
      <c r="AO216" s="458" t="s">
        <v>532</v>
      </c>
      <c r="AP216" s="454"/>
      <c r="AQ216" s="455"/>
      <c r="AR216" s="456" t="str">
        <f t="shared" si="77"/>
        <v xml:space="preserve"> </v>
      </c>
      <c r="AS216" s="457" t="s">
        <v>532</v>
      </c>
      <c r="AT216" s="465"/>
      <c r="AU216" s="458" t="s">
        <v>532</v>
      </c>
      <c r="AV216" s="454"/>
      <c r="AW216" s="455"/>
      <c r="AX216" s="456" t="str">
        <f t="shared" si="78"/>
        <v xml:space="preserve"> </v>
      </c>
      <c r="AY216" s="457" t="str">
        <f t="shared" si="73"/>
        <v>-</v>
      </c>
      <c r="AZ216" s="455"/>
      <c r="BA216" s="458" t="s">
        <v>532</v>
      </c>
      <c r="BB216" s="211"/>
      <c r="BC216" s="422"/>
      <c r="BD216" s="212" t="str">
        <f t="shared" si="79"/>
        <v xml:space="preserve"> </v>
      </c>
      <c r="BE216" s="226" t="str">
        <f t="shared" si="74"/>
        <v>-</v>
      </c>
      <c r="BF216" s="352"/>
      <c r="BG216" s="403" t="s">
        <v>215</v>
      </c>
      <c r="BH216" s="211"/>
      <c r="BI216" s="422"/>
      <c r="BJ216" s="212" t="str">
        <f t="shared" si="80"/>
        <v xml:space="preserve"> </v>
      </c>
      <c r="BK216" s="226" t="s">
        <v>215</v>
      </c>
      <c r="BL216" s="352"/>
      <c r="BM216" s="403" t="s">
        <v>215</v>
      </c>
    </row>
    <row r="217" spans="1:65" s="26" customFormat="1" ht="18.75" customHeight="1" thickTop="1">
      <c r="B217" s="2">
        <f t="shared" si="81"/>
        <v>210</v>
      </c>
      <c r="C217" s="7"/>
      <c r="D217" s="7"/>
      <c r="E217" s="100" t="s">
        <v>482</v>
      </c>
      <c r="F217" s="410"/>
      <c r="G217" s="410"/>
      <c r="H217" s="61"/>
      <c r="I217" s="8" t="s">
        <v>29</v>
      </c>
      <c r="J217" s="8" t="s">
        <v>446</v>
      </c>
      <c r="K217" s="8"/>
      <c r="L217" s="8"/>
      <c r="M217" s="1" t="s">
        <v>272</v>
      </c>
      <c r="N217" s="9"/>
      <c r="O217" s="423"/>
      <c r="P217" s="93"/>
      <c r="Q217" s="113"/>
      <c r="R217" s="21"/>
      <c r="S217" s="424"/>
      <c r="T217" s="9"/>
      <c r="U217" s="21"/>
      <c r="V217" s="98"/>
      <c r="W217" s="25" t="str">
        <f>IF(C217&lt;&gt;"","0",IF(D217&lt;&gt;"","1",IF(E217&lt;&gt;"","2",IF(F217&lt;&gt;"","3",IF(G217&lt;&gt;"","4",IF(H217&lt;&gt;"","5"))))))</f>
        <v>2</v>
      </c>
      <c r="X217" s="1" t="s">
        <v>117</v>
      </c>
      <c r="Y217" s="1"/>
      <c r="Z217" s="1"/>
      <c r="AA217" s="8"/>
      <c r="AB217" s="8" t="s">
        <v>480</v>
      </c>
      <c r="AC217" s="62"/>
      <c r="AD217" s="444"/>
      <c r="AE217" s="440"/>
      <c r="AF217" s="440" t="str">
        <f t="shared" si="75"/>
        <v/>
      </c>
      <c r="AG217" s="442" t="str">
        <f t="shared" si="71"/>
        <v>-</v>
      </c>
      <c r="AH217" s="440"/>
      <c r="AI217" s="448" t="s">
        <v>532</v>
      </c>
      <c r="AJ217" s="444"/>
      <c r="AK217" s="440"/>
      <c r="AL217" s="440" t="str">
        <f t="shared" si="76"/>
        <v/>
      </c>
      <c r="AM217" s="442" t="str">
        <f t="shared" si="72"/>
        <v>-</v>
      </c>
      <c r="AN217" s="440"/>
      <c r="AO217" s="448" t="s">
        <v>532</v>
      </c>
      <c r="AP217" s="444"/>
      <c r="AQ217" s="440"/>
      <c r="AR217" s="440" t="str">
        <f t="shared" si="77"/>
        <v/>
      </c>
      <c r="AS217" s="442" t="s">
        <v>532</v>
      </c>
      <c r="AT217" s="462"/>
      <c r="AU217" s="448" t="s">
        <v>532</v>
      </c>
      <c r="AV217" s="444"/>
      <c r="AW217" s="440"/>
      <c r="AX217" s="440" t="str">
        <f t="shared" si="78"/>
        <v/>
      </c>
      <c r="AY217" s="442" t="str">
        <f t="shared" si="73"/>
        <v>-</v>
      </c>
      <c r="AZ217" s="440"/>
      <c r="BA217" s="448" t="s">
        <v>532</v>
      </c>
      <c r="BB217" s="59"/>
      <c r="BC217" s="60"/>
      <c r="BD217" s="60" t="str">
        <f t="shared" si="79"/>
        <v/>
      </c>
      <c r="BE217" s="213" t="str">
        <f t="shared" si="74"/>
        <v>-</v>
      </c>
      <c r="BF217" s="167"/>
      <c r="BG217" s="405" t="s">
        <v>215</v>
      </c>
      <c r="BH217" s="59"/>
      <c r="BI217" s="60"/>
      <c r="BJ217" s="60" t="str">
        <f t="shared" si="80"/>
        <v/>
      </c>
      <c r="BK217" s="260" t="s">
        <v>215</v>
      </c>
      <c r="BL217" s="167"/>
      <c r="BM217" s="405" t="s">
        <v>215</v>
      </c>
    </row>
    <row r="218" spans="1:65" s="26" customFormat="1" ht="63.75">
      <c r="B218" s="2">
        <f t="shared" si="81"/>
        <v>211</v>
      </c>
      <c r="C218" s="127"/>
      <c r="D218" s="7"/>
      <c r="E218" s="7"/>
      <c r="F218" s="110" t="s">
        <v>87</v>
      </c>
      <c r="G218" s="16"/>
      <c r="H218" s="13"/>
      <c r="I218" s="6"/>
      <c r="J218" s="6"/>
      <c r="K218" s="6"/>
      <c r="L218" s="8"/>
      <c r="M218" s="23" t="s">
        <v>248</v>
      </c>
      <c r="N218" s="1"/>
      <c r="O218" s="56"/>
      <c r="P218" s="93">
        <f>P216+1</f>
        <v>188</v>
      </c>
      <c r="Q218" s="115">
        <v>2</v>
      </c>
      <c r="R218" s="21" t="str">
        <f>IF(AA218="M","NX",AA218)</f>
        <v>X</v>
      </c>
      <c r="S218" s="96" t="s">
        <v>483</v>
      </c>
      <c r="T218" s="94"/>
      <c r="U218" s="21" t="s">
        <v>480</v>
      </c>
      <c r="V218" s="116" t="s">
        <v>189</v>
      </c>
      <c r="W218" s="25" t="str">
        <f>IF(C218&lt;&gt;"","0",IF(D218&lt;&gt;"","1",IF(E218&lt;&gt;"","2",IF(F218&lt;&gt;"","3",IF(G218&lt;&gt;"","4",IF(H218&lt;&gt;"","5"))))))</f>
        <v>3</v>
      </c>
      <c r="X218" s="5" t="s">
        <v>484</v>
      </c>
      <c r="Y218" s="57">
        <v>2</v>
      </c>
      <c r="Z218" s="57">
        <v>2</v>
      </c>
      <c r="AA218" s="58" t="s">
        <v>109</v>
      </c>
      <c r="AB218" s="58" t="s">
        <v>19</v>
      </c>
      <c r="AC218" s="12"/>
      <c r="AD218" s="444"/>
      <c r="AE218" s="445"/>
      <c r="AF218" s="446" t="str">
        <f t="shared" si="75"/>
        <v xml:space="preserve">  </v>
      </c>
      <c r="AG218" s="442" t="str">
        <f t="shared" si="71"/>
        <v>-</v>
      </c>
      <c r="AH218" s="445"/>
      <c r="AI218" s="447" t="s">
        <v>532</v>
      </c>
      <c r="AJ218" s="444"/>
      <c r="AK218" s="445"/>
      <c r="AL218" s="446" t="str">
        <f t="shared" si="76"/>
        <v xml:space="preserve">  </v>
      </c>
      <c r="AM218" s="442" t="str">
        <f t="shared" si="72"/>
        <v>-</v>
      </c>
      <c r="AN218" s="445"/>
      <c r="AO218" s="447" t="s">
        <v>532</v>
      </c>
      <c r="AP218" s="444"/>
      <c r="AQ218" s="445"/>
      <c r="AR218" s="446" t="str">
        <f t="shared" si="77"/>
        <v xml:space="preserve">  </v>
      </c>
      <c r="AS218" s="447" t="s">
        <v>532</v>
      </c>
      <c r="AT218" s="463"/>
      <c r="AU218" s="447" t="s">
        <v>532</v>
      </c>
      <c r="AV218" s="444"/>
      <c r="AW218" s="445"/>
      <c r="AX218" s="446" t="str">
        <f t="shared" si="78"/>
        <v xml:space="preserve">  </v>
      </c>
      <c r="AY218" s="442" t="str">
        <f t="shared" si="73"/>
        <v>-</v>
      </c>
      <c r="AZ218" s="445"/>
      <c r="BA218" s="447" t="s">
        <v>532</v>
      </c>
      <c r="BB218" s="59"/>
      <c r="BC218" s="223"/>
      <c r="BD218" s="254" t="str">
        <f t="shared" si="79"/>
        <v xml:space="preserve">  </v>
      </c>
      <c r="BE218" s="213" t="str">
        <f t="shared" si="74"/>
        <v>-</v>
      </c>
      <c r="BF218" s="172"/>
      <c r="BG218" s="225" t="s">
        <v>215</v>
      </c>
      <c r="BH218" s="59"/>
      <c r="BI218" s="223"/>
      <c r="BJ218" s="254" t="str">
        <f t="shared" si="80"/>
        <v xml:space="preserve">  </v>
      </c>
      <c r="BK218" s="213" t="s">
        <v>215</v>
      </c>
      <c r="BL218" s="172"/>
      <c r="BM218" s="225" t="s">
        <v>215</v>
      </c>
    </row>
    <row r="219" spans="1:65" s="26" customFormat="1" ht="344.25">
      <c r="B219" s="2">
        <f t="shared" si="81"/>
        <v>212</v>
      </c>
      <c r="C219" s="7"/>
      <c r="D219" s="7"/>
      <c r="E219" s="7"/>
      <c r="F219" s="110" t="s">
        <v>304</v>
      </c>
      <c r="G219" s="16"/>
      <c r="H219" s="13"/>
      <c r="I219" s="8"/>
      <c r="J219" s="8" t="s">
        <v>231</v>
      </c>
      <c r="K219" s="8"/>
      <c r="L219" s="8"/>
      <c r="M219" s="355" t="s">
        <v>478</v>
      </c>
      <c r="N219" s="11"/>
      <c r="O219" s="56"/>
      <c r="P219" s="93">
        <f>P218+1</f>
        <v>189</v>
      </c>
      <c r="Q219" s="113">
        <v>2</v>
      </c>
      <c r="R219" s="21" t="str">
        <f t="shared" ref="R219:R243" si="82">IF(AA219="M","NX",AA219)</f>
        <v>X</v>
      </c>
      <c r="S219" s="96" t="s">
        <v>310</v>
      </c>
      <c r="T219" s="94"/>
      <c r="U219" s="21" t="s">
        <v>226</v>
      </c>
      <c r="V219" s="10"/>
      <c r="W219" s="25">
        <v>3</v>
      </c>
      <c r="X219" s="1" t="s">
        <v>243</v>
      </c>
      <c r="Y219" s="1">
        <v>2</v>
      </c>
      <c r="Z219" s="1">
        <v>2</v>
      </c>
      <c r="AA219" s="8" t="s">
        <v>109</v>
      </c>
      <c r="AB219" s="8" t="s">
        <v>19</v>
      </c>
      <c r="AC219" s="12"/>
      <c r="AD219" s="444"/>
      <c r="AE219" s="445"/>
      <c r="AF219" s="446" t="str">
        <f t="shared" si="75"/>
        <v xml:space="preserve">  </v>
      </c>
      <c r="AG219" s="442" t="str">
        <f t="shared" si="71"/>
        <v>-</v>
      </c>
      <c r="AH219" s="445"/>
      <c r="AI219" s="448" t="s">
        <v>532</v>
      </c>
      <c r="AJ219" s="444"/>
      <c r="AK219" s="445"/>
      <c r="AL219" s="446" t="str">
        <f t="shared" si="76"/>
        <v xml:space="preserve">  </v>
      </c>
      <c r="AM219" s="442" t="str">
        <f t="shared" si="72"/>
        <v>-</v>
      </c>
      <c r="AN219" s="445"/>
      <c r="AO219" s="448" t="s">
        <v>532</v>
      </c>
      <c r="AP219" s="444"/>
      <c r="AQ219" s="445"/>
      <c r="AR219" s="446" t="str">
        <f t="shared" si="77"/>
        <v xml:space="preserve">  </v>
      </c>
      <c r="AS219" s="442" t="s">
        <v>532</v>
      </c>
      <c r="AT219" s="463"/>
      <c r="AU219" s="448" t="s">
        <v>532</v>
      </c>
      <c r="AV219" s="444"/>
      <c r="AW219" s="445"/>
      <c r="AX219" s="446" t="str">
        <f t="shared" si="78"/>
        <v xml:space="preserve">  </v>
      </c>
      <c r="AY219" s="442" t="str">
        <f t="shared" si="73"/>
        <v>-</v>
      </c>
      <c r="AZ219" s="445"/>
      <c r="BA219" s="448" t="s">
        <v>532</v>
      </c>
      <c r="BB219" s="59"/>
      <c r="BC219" s="223"/>
      <c r="BD219" s="254" t="str">
        <f t="shared" si="79"/>
        <v>C0</v>
      </c>
      <c r="BE219" s="213" t="str">
        <f t="shared" si="74"/>
        <v>-</v>
      </c>
      <c r="BF219" s="172" t="s">
        <v>111</v>
      </c>
      <c r="BG219" s="405" t="str">
        <f>IF(OR(BC$8="判定対象外",BF$8="判定対象外",BF219="-"),"-",IF(BC219=BF219,"OK","NG"))</f>
        <v>NG</v>
      </c>
      <c r="BH219" s="59"/>
      <c r="BI219" s="223"/>
      <c r="BJ219" s="254" t="str">
        <f t="shared" si="80"/>
        <v>B3</v>
      </c>
      <c r="BK219" s="213" t="str">
        <f>IF(OR(BI$8="判定対象外",BJ$8="判定対象外",BJ219="-"),"-",IF(BI219=BJ219,"OK","NG"))</f>
        <v>NG</v>
      </c>
      <c r="BL219" s="172" t="s">
        <v>576</v>
      </c>
      <c r="BM219" s="405" t="str">
        <f>IF(OR(BI$8="判定対象外",BL$8="判定対象外",BL219="-"),"-",IF(BI219=BL219,"OK","NG"))</f>
        <v>NG</v>
      </c>
    </row>
    <row r="220" spans="1:65" s="26" customFormat="1">
      <c r="B220" s="2">
        <f t="shared" si="81"/>
        <v>213</v>
      </c>
      <c r="C220" s="7"/>
      <c r="D220" s="7"/>
      <c r="E220" s="7"/>
      <c r="F220" s="22" t="s">
        <v>273</v>
      </c>
      <c r="G220" s="16"/>
      <c r="H220" s="13"/>
      <c r="I220" s="8"/>
      <c r="J220" s="8"/>
      <c r="K220" s="8"/>
      <c r="L220" s="8"/>
      <c r="M220" s="358" t="s">
        <v>205</v>
      </c>
      <c r="N220" s="11"/>
      <c r="O220" s="56"/>
      <c r="P220" s="93">
        <f t="shared" ref="P220:P241" si="83">P219+1</f>
        <v>190</v>
      </c>
      <c r="Q220" s="113">
        <v>2</v>
      </c>
      <c r="R220" s="21" t="str">
        <f t="shared" si="82"/>
        <v>X</v>
      </c>
      <c r="S220" s="96" t="s">
        <v>118</v>
      </c>
      <c r="T220" s="94"/>
      <c r="U220" s="21" t="s">
        <v>226</v>
      </c>
      <c r="V220" s="10"/>
      <c r="W220" s="25">
        <v>3</v>
      </c>
      <c r="X220" s="1" t="s">
        <v>119</v>
      </c>
      <c r="Y220" s="1">
        <v>2</v>
      </c>
      <c r="Z220" s="1">
        <v>2</v>
      </c>
      <c r="AA220" s="8" t="s">
        <v>109</v>
      </c>
      <c r="AB220" s="8" t="s">
        <v>19</v>
      </c>
      <c r="AC220" s="12"/>
      <c r="AD220" s="444"/>
      <c r="AE220" s="440"/>
      <c r="AF220" s="440" t="str">
        <f t="shared" si="75"/>
        <v xml:space="preserve">  </v>
      </c>
      <c r="AG220" s="442" t="str">
        <f t="shared" si="71"/>
        <v>-</v>
      </c>
      <c r="AH220" s="440"/>
      <c r="AI220" s="447" t="s">
        <v>532</v>
      </c>
      <c r="AJ220" s="444"/>
      <c r="AK220" s="440"/>
      <c r="AL220" s="440" t="str">
        <f t="shared" si="76"/>
        <v xml:space="preserve">  </v>
      </c>
      <c r="AM220" s="442" t="str">
        <f t="shared" si="72"/>
        <v>-</v>
      </c>
      <c r="AN220" s="440"/>
      <c r="AO220" s="447" t="s">
        <v>532</v>
      </c>
      <c r="AP220" s="444"/>
      <c r="AQ220" s="440"/>
      <c r="AR220" s="440" t="str">
        <f t="shared" si="77"/>
        <v xml:space="preserve">  </v>
      </c>
      <c r="AS220" s="447" t="s">
        <v>532</v>
      </c>
      <c r="AT220" s="462"/>
      <c r="AU220" s="447" t="s">
        <v>532</v>
      </c>
      <c r="AV220" s="444"/>
      <c r="AW220" s="440"/>
      <c r="AX220" s="440" t="str">
        <f t="shared" si="78"/>
        <v xml:space="preserve">  </v>
      </c>
      <c r="AY220" s="442" t="str">
        <f t="shared" si="73"/>
        <v>-</v>
      </c>
      <c r="AZ220" s="440"/>
      <c r="BA220" s="447" t="s">
        <v>532</v>
      </c>
      <c r="BB220" s="59"/>
      <c r="BC220" s="60"/>
      <c r="BD220" s="60" t="str">
        <f t="shared" si="79"/>
        <v xml:space="preserve">  </v>
      </c>
      <c r="BE220" s="213" t="str">
        <f t="shared" si="74"/>
        <v>-</v>
      </c>
      <c r="BF220" s="167"/>
      <c r="BG220" s="225" t="s">
        <v>215</v>
      </c>
      <c r="BH220" s="59"/>
      <c r="BI220" s="60"/>
      <c r="BJ220" s="60" t="str">
        <f t="shared" si="80"/>
        <v xml:space="preserve">  </v>
      </c>
      <c r="BK220" s="213" t="s">
        <v>215</v>
      </c>
      <c r="BL220" s="167"/>
      <c r="BM220" s="225" t="s">
        <v>215</v>
      </c>
    </row>
    <row r="221" spans="1:65" s="26" customFormat="1">
      <c r="B221" s="2">
        <f t="shared" si="81"/>
        <v>214</v>
      </c>
      <c r="C221" s="7"/>
      <c r="D221" s="7"/>
      <c r="E221" s="7"/>
      <c r="F221" s="22" t="s">
        <v>120</v>
      </c>
      <c r="G221" s="16"/>
      <c r="H221" s="13"/>
      <c r="I221" s="8"/>
      <c r="J221" s="8" t="s">
        <v>231</v>
      </c>
      <c r="K221" s="8"/>
      <c r="L221" s="8"/>
      <c r="M221" s="1" t="s">
        <v>121</v>
      </c>
      <c r="N221" s="1"/>
      <c r="O221" s="56"/>
      <c r="P221" s="93">
        <f t="shared" si="83"/>
        <v>191</v>
      </c>
      <c r="Q221" s="113">
        <v>255</v>
      </c>
      <c r="R221" s="21" t="str">
        <f t="shared" si="82"/>
        <v>NX</v>
      </c>
      <c r="S221" s="96" t="s">
        <v>122</v>
      </c>
      <c r="T221" s="94"/>
      <c r="U221" s="21" t="s">
        <v>226</v>
      </c>
      <c r="V221" s="10"/>
      <c r="W221" s="25">
        <v>3</v>
      </c>
      <c r="X221" s="1" t="s">
        <v>250</v>
      </c>
      <c r="Y221" s="1">
        <v>1</v>
      </c>
      <c r="Z221" s="1">
        <v>255</v>
      </c>
      <c r="AA221" s="8" t="s">
        <v>123</v>
      </c>
      <c r="AB221" s="8" t="s">
        <v>19</v>
      </c>
      <c r="AC221" s="12"/>
      <c r="AD221" s="444"/>
      <c r="AE221" s="445"/>
      <c r="AF221" s="445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21" s="442" t="str">
        <f t="shared" si="71"/>
        <v>-</v>
      </c>
      <c r="AH221" s="445"/>
      <c r="AI221" s="447" t="s">
        <v>532</v>
      </c>
      <c r="AJ221" s="444"/>
      <c r="AK221" s="445"/>
      <c r="AL221" s="445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21" s="442" t="str">
        <f t="shared" si="72"/>
        <v>-</v>
      </c>
      <c r="AN221" s="445"/>
      <c r="AO221" s="447" t="s">
        <v>532</v>
      </c>
      <c r="AP221" s="444"/>
      <c r="AQ221" s="445"/>
      <c r="AR221" s="445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21" s="447" t="s">
        <v>532</v>
      </c>
      <c r="AT221" s="463"/>
      <c r="AU221" s="447" t="s">
        <v>532</v>
      </c>
      <c r="AV221" s="444"/>
      <c r="AW221" s="445"/>
      <c r="AX221" s="445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21" s="442" t="str">
        <f t="shared" si="73"/>
        <v>-</v>
      </c>
      <c r="AZ221" s="445"/>
      <c r="BA221" s="447" t="s">
        <v>532</v>
      </c>
      <c r="BB221" s="59"/>
      <c r="BC221" s="223"/>
      <c r="BD221" s="223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21" s="213" t="str">
        <f t="shared" si="74"/>
        <v>-</v>
      </c>
      <c r="BF221" s="172"/>
      <c r="BG221" s="225" t="s">
        <v>215</v>
      </c>
      <c r="BH221" s="59"/>
      <c r="BI221" s="223"/>
      <c r="BJ221" s="223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21" s="213" t="s">
        <v>215</v>
      </c>
      <c r="BL221" s="172"/>
      <c r="BM221" s="225" t="s">
        <v>215</v>
      </c>
    </row>
    <row r="222" spans="1:65" s="26" customFormat="1">
      <c r="B222" s="19">
        <f t="shared" si="81"/>
        <v>215</v>
      </c>
      <c r="C222" s="7"/>
      <c r="D222" s="7"/>
      <c r="E222" s="7"/>
      <c r="F222" s="3" t="s">
        <v>124</v>
      </c>
      <c r="G222" s="3"/>
      <c r="H222" s="4"/>
      <c r="I222" s="6"/>
      <c r="J222" s="6"/>
      <c r="K222" s="6"/>
      <c r="L222" s="6"/>
      <c r="M222" s="23" t="s">
        <v>125</v>
      </c>
      <c r="N222" s="5"/>
      <c r="O222" s="54"/>
      <c r="P222" s="93">
        <f t="shared" si="83"/>
        <v>192</v>
      </c>
      <c r="Q222" s="114">
        <v>256</v>
      </c>
      <c r="R222" s="21" t="str">
        <f t="shared" si="82"/>
        <v>NX</v>
      </c>
      <c r="S222" s="96" t="s">
        <v>126</v>
      </c>
      <c r="T222" s="94"/>
      <c r="U222" s="21" t="s">
        <v>226</v>
      </c>
      <c r="V222" s="10"/>
      <c r="W222" s="28">
        <v>3</v>
      </c>
      <c r="X222" s="5" t="s">
        <v>251</v>
      </c>
      <c r="Y222" s="5">
        <v>1</v>
      </c>
      <c r="Z222" s="5">
        <v>256</v>
      </c>
      <c r="AA222" s="6" t="s">
        <v>252</v>
      </c>
      <c r="AB222" s="6" t="s">
        <v>226</v>
      </c>
      <c r="AC222" s="63"/>
      <c r="AD222" s="444"/>
      <c r="AE222" s="440"/>
      <c r="AF222" s="440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22" s="442" t="str">
        <f t="shared" si="71"/>
        <v>-</v>
      </c>
      <c r="AH222" s="440"/>
      <c r="AI222" s="447" t="s">
        <v>532</v>
      </c>
      <c r="AJ222" s="444"/>
      <c r="AK222" s="440"/>
      <c r="AL222" s="440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22" s="442" t="str">
        <f t="shared" si="72"/>
        <v>-</v>
      </c>
      <c r="AN222" s="440"/>
      <c r="AO222" s="447" t="s">
        <v>532</v>
      </c>
      <c r="AP222" s="444"/>
      <c r="AQ222" s="440"/>
      <c r="AR222" s="440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22" s="447" t="s">
        <v>532</v>
      </c>
      <c r="AT222" s="462"/>
      <c r="AU222" s="447" t="s">
        <v>532</v>
      </c>
      <c r="AV222" s="444"/>
      <c r="AW222" s="440"/>
      <c r="AX222" s="440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22" s="442" t="str">
        <f t="shared" si="73"/>
        <v>-</v>
      </c>
      <c r="AZ222" s="440"/>
      <c r="BA222" s="447" t="s">
        <v>532</v>
      </c>
      <c r="BB222" s="59"/>
      <c r="BC222" s="60"/>
      <c r="BD222" s="60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22" s="213" t="str">
        <f t="shared" si="74"/>
        <v>-</v>
      </c>
      <c r="BF222" s="167"/>
      <c r="BG222" s="225" t="s">
        <v>215</v>
      </c>
      <c r="BH222" s="59"/>
      <c r="BI222" s="60"/>
      <c r="BJ222" s="60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22" s="213" t="s">
        <v>215</v>
      </c>
      <c r="BL222" s="167"/>
      <c r="BM222" s="225" t="s">
        <v>215</v>
      </c>
    </row>
    <row r="223" spans="1:65" s="26" customFormat="1" ht="63.75">
      <c r="B223" s="2">
        <f t="shared" si="81"/>
        <v>216</v>
      </c>
      <c r="C223" s="7"/>
      <c r="D223" s="7"/>
      <c r="E223" s="7"/>
      <c r="F223" s="22" t="s">
        <v>127</v>
      </c>
      <c r="G223" s="16"/>
      <c r="H223" s="13"/>
      <c r="I223" s="8"/>
      <c r="J223" s="8"/>
      <c r="K223" s="8"/>
      <c r="L223" s="8"/>
      <c r="M223" s="11" t="s">
        <v>311</v>
      </c>
      <c r="N223" s="1"/>
      <c r="O223" s="56"/>
      <c r="P223" s="93">
        <f t="shared" si="83"/>
        <v>193</v>
      </c>
      <c r="Q223" s="113">
        <v>256</v>
      </c>
      <c r="R223" s="21" t="str">
        <f t="shared" si="82"/>
        <v>NX</v>
      </c>
      <c r="S223" s="96" t="s">
        <v>128</v>
      </c>
      <c r="T223" s="94"/>
      <c r="U223" s="21" t="s">
        <v>226</v>
      </c>
      <c r="V223" s="10"/>
      <c r="W223" s="25">
        <v>3</v>
      </c>
      <c r="X223" s="1" t="s">
        <v>129</v>
      </c>
      <c r="Y223" s="1">
        <v>1</v>
      </c>
      <c r="Z223" s="1">
        <v>256</v>
      </c>
      <c r="AA223" s="8" t="s">
        <v>123</v>
      </c>
      <c r="AB223" s="8" t="s">
        <v>226</v>
      </c>
      <c r="AC223" s="12"/>
      <c r="AD223" s="444"/>
      <c r="AE223" s="445"/>
      <c r="AF223" s="446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23" s="442" t="str">
        <f t="shared" si="71"/>
        <v>-</v>
      </c>
      <c r="AH223" s="445"/>
      <c r="AI223" s="447" t="s">
        <v>532</v>
      </c>
      <c r="AJ223" s="444"/>
      <c r="AK223" s="445"/>
      <c r="AL223" s="446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23" s="442" t="str">
        <f t="shared" si="72"/>
        <v>-</v>
      </c>
      <c r="AN223" s="445"/>
      <c r="AO223" s="447" t="s">
        <v>532</v>
      </c>
      <c r="AP223" s="444"/>
      <c r="AQ223" s="445"/>
      <c r="AR223" s="446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23" s="447" t="s">
        <v>532</v>
      </c>
      <c r="AT223" s="463"/>
      <c r="AU223" s="447" t="s">
        <v>532</v>
      </c>
      <c r="AV223" s="444"/>
      <c r="AW223" s="445"/>
      <c r="AX223" s="446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23" s="442" t="str">
        <f t="shared" si="73"/>
        <v>-</v>
      </c>
      <c r="AZ223" s="445"/>
      <c r="BA223" s="447" t="s">
        <v>532</v>
      </c>
      <c r="BB223" s="59"/>
      <c r="BC223" s="223"/>
      <c r="BD223" s="254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23" s="213" t="str">
        <f t="shared" si="74"/>
        <v>-</v>
      </c>
      <c r="BF223" s="172"/>
      <c r="BG223" s="225" t="s">
        <v>215</v>
      </c>
      <c r="BH223" s="59"/>
      <c r="BI223" s="223"/>
      <c r="BJ223" s="254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23" s="213" t="s">
        <v>215</v>
      </c>
      <c r="BL223" s="172"/>
      <c r="BM223" s="225" t="s">
        <v>215</v>
      </c>
    </row>
    <row r="224" spans="1:65" s="26" customFormat="1" ht="63.75">
      <c r="B224" s="2">
        <f t="shared" si="81"/>
        <v>217</v>
      </c>
      <c r="C224" s="7"/>
      <c r="D224" s="7"/>
      <c r="E224" s="7"/>
      <c r="F224" s="22" t="s">
        <v>130</v>
      </c>
      <c r="G224" s="16"/>
      <c r="H224" s="13"/>
      <c r="I224" s="8"/>
      <c r="J224" s="8"/>
      <c r="K224" s="8"/>
      <c r="L224" s="8"/>
      <c r="M224" s="11" t="s">
        <v>312</v>
      </c>
      <c r="N224" s="1"/>
      <c r="O224" s="56"/>
      <c r="P224" s="93">
        <f t="shared" si="83"/>
        <v>194</v>
      </c>
      <c r="Q224" s="113">
        <v>256</v>
      </c>
      <c r="R224" s="21" t="str">
        <f t="shared" si="82"/>
        <v>NX</v>
      </c>
      <c r="S224" s="96" t="s">
        <v>131</v>
      </c>
      <c r="T224" s="94"/>
      <c r="U224" s="21" t="s">
        <v>226</v>
      </c>
      <c r="V224" s="10"/>
      <c r="W224" s="25">
        <v>3</v>
      </c>
      <c r="X224" s="1" t="s">
        <v>132</v>
      </c>
      <c r="Y224" s="1">
        <v>1</v>
      </c>
      <c r="Z224" s="1">
        <v>256</v>
      </c>
      <c r="AA224" s="8" t="s">
        <v>123</v>
      </c>
      <c r="AB224" s="8" t="s">
        <v>226</v>
      </c>
      <c r="AC224" s="12"/>
      <c r="AD224" s="444"/>
      <c r="AE224" s="445"/>
      <c r="AF224" s="446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24" s="442" t="str">
        <f t="shared" si="71"/>
        <v>-</v>
      </c>
      <c r="AH224" s="445"/>
      <c r="AI224" s="447" t="s">
        <v>532</v>
      </c>
      <c r="AJ224" s="444"/>
      <c r="AK224" s="445"/>
      <c r="AL224" s="446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24" s="442" t="str">
        <f t="shared" si="72"/>
        <v>-</v>
      </c>
      <c r="AN224" s="445"/>
      <c r="AO224" s="447" t="s">
        <v>532</v>
      </c>
      <c r="AP224" s="444"/>
      <c r="AQ224" s="445"/>
      <c r="AR224" s="446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24" s="447" t="s">
        <v>532</v>
      </c>
      <c r="AT224" s="463"/>
      <c r="AU224" s="447" t="s">
        <v>532</v>
      </c>
      <c r="AV224" s="444"/>
      <c r="AW224" s="445"/>
      <c r="AX224" s="446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24" s="442" t="str">
        <f t="shared" si="73"/>
        <v>-</v>
      </c>
      <c r="AZ224" s="445"/>
      <c r="BA224" s="447" t="s">
        <v>532</v>
      </c>
      <c r="BB224" s="59"/>
      <c r="BC224" s="223"/>
      <c r="BD224" s="254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24" s="213" t="str">
        <f t="shared" si="74"/>
        <v>-</v>
      </c>
      <c r="BF224" s="172"/>
      <c r="BG224" s="225" t="s">
        <v>215</v>
      </c>
      <c r="BH224" s="59"/>
      <c r="BI224" s="223"/>
      <c r="BJ224" s="254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24" s="213" t="s">
        <v>215</v>
      </c>
      <c r="BL224" s="172"/>
      <c r="BM224" s="225" t="s">
        <v>215</v>
      </c>
    </row>
    <row r="225" spans="2:65" s="26" customFormat="1" ht="69" customHeight="1">
      <c r="B225" s="19">
        <f t="shared" si="81"/>
        <v>218</v>
      </c>
      <c r="C225" s="7"/>
      <c r="D225" s="7"/>
      <c r="E225" s="7"/>
      <c r="F225" s="110" t="s">
        <v>313</v>
      </c>
      <c r="G225" s="16"/>
      <c r="H225" s="13"/>
      <c r="I225" s="8"/>
      <c r="J225" s="8" t="s">
        <v>231</v>
      </c>
      <c r="K225" s="8"/>
      <c r="L225" s="8"/>
      <c r="M225" s="11" t="s">
        <v>253</v>
      </c>
      <c r="N225" s="1"/>
      <c r="O225" s="56"/>
      <c r="P225" s="93">
        <f t="shared" si="83"/>
        <v>195</v>
      </c>
      <c r="Q225" s="113">
        <v>1</v>
      </c>
      <c r="R225" s="21" t="s">
        <v>229</v>
      </c>
      <c r="S225" s="96" t="s">
        <v>133</v>
      </c>
      <c r="T225" s="94"/>
      <c r="U225" s="21" t="s">
        <v>226</v>
      </c>
      <c r="V225" s="10"/>
      <c r="W225" s="25">
        <v>3</v>
      </c>
      <c r="X225" s="1" t="s">
        <v>134</v>
      </c>
      <c r="Y225" s="1">
        <v>1</v>
      </c>
      <c r="Z225" s="1">
        <v>1</v>
      </c>
      <c r="AA225" s="8">
        <v>9</v>
      </c>
      <c r="AB225" s="8" t="s">
        <v>19</v>
      </c>
      <c r="AC225" s="12"/>
      <c r="AD225" s="444"/>
      <c r="AE225" s="445"/>
      <c r="AF225" s="440" t="str">
        <f t="shared" si="75"/>
        <v xml:space="preserve"> </v>
      </c>
      <c r="AG225" s="442" t="str">
        <f t="shared" si="71"/>
        <v>-</v>
      </c>
      <c r="AH225" s="445"/>
      <c r="AI225" s="447" t="s">
        <v>532</v>
      </c>
      <c r="AJ225" s="444"/>
      <c r="AK225" s="445"/>
      <c r="AL225" s="440" t="str">
        <f t="shared" si="76"/>
        <v xml:space="preserve"> </v>
      </c>
      <c r="AM225" s="442" t="str">
        <f t="shared" si="72"/>
        <v>-</v>
      </c>
      <c r="AN225" s="445"/>
      <c r="AO225" s="447" t="s">
        <v>532</v>
      </c>
      <c r="AP225" s="444"/>
      <c r="AQ225" s="445"/>
      <c r="AR225" s="440" t="str">
        <f t="shared" si="77"/>
        <v xml:space="preserve"> </v>
      </c>
      <c r="AS225" s="447" t="s">
        <v>532</v>
      </c>
      <c r="AT225" s="463"/>
      <c r="AU225" s="447" t="s">
        <v>532</v>
      </c>
      <c r="AV225" s="444"/>
      <c r="AW225" s="445"/>
      <c r="AX225" s="440" t="str">
        <f t="shared" si="78"/>
        <v xml:space="preserve"> </v>
      </c>
      <c r="AY225" s="442" t="str">
        <f t="shared" si="73"/>
        <v>-</v>
      </c>
      <c r="AZ225" s="445"/>
      <c r="BA225" s="447" t="s">
        <v>532</v>
      </c>
      <c r="BB225" s="59"/>
      <c r="BC225" s="223"/>
      <c r="BD225" s="60" t="str">
        <f t="shared" si="79"/>
        <v xml:space="preserve"> </v>
      </c>
      <c r="BE225" s="213" t="str">
        <f t="shared" si="74"/>
        <v>-</v>
      </c>
      <c r="BF225" s="172"/>
      <c r="BG225" s="225" t="s">
        <v>215</v>
      </c>
      <c r="BH225" s="59"/>
      <c r="BI225" s="223"/>
      <c r="BJ225" s="60" t="str">
        <f t="shared" si="80"/>
        <v xml:space="preserve"> </v>
      </c>
      <c r="BK225" s="213" t="s">
        <v>215</v>
      </c>
      <c r="BL225" s="172"/>
      <c r="BM225" s="225" t="s">
        <v>215</v>
      </c>
    </row>
    <row r="226" spans="2:65" s="26" customFormat="1" ht="114.75">
      <c r="B226" s="2">
        <f t="shared" si="81"/>
        <v>219</v>
      </c>
      <c r="C226" s="7"/>
      <c r="D226" s="7"/>
      <c r="E226" s="7"/>
      <c r="F226" s="22" t="s">
        <v>135</v>
      </c>
      <c r="G226" s="16"/>
      <c r="H226" s="13"/>
      <c r="I226" s="8"/>
      <c r="J226" s="8"/>
      <c r="K226" s="8"/>
      <c r="L226" s="8"/>
      <c r="M226" s="359" t="s">
        <v>206</v>
      </c>
      <c r="N226" s="1"/>
      <c r="O226" s="56"/>
      <c r="P226" s="93">
        <f t="shared" si="83"/>
        <v>196</v>
      </c>
      <c r="Q226" s="113">
        <v>1</v>
      </c>
      <c r="R226" s="21" t="s">
        <v>229</v>
      </c>
      <c r="S226" s="96" t="s">
        <v>136</v>
      </c>
      <c r="T226" s="94"/>
      <c r="U226" s="21" t="s">
        <v>226</v>
      </c>
      <c r="V226" s="10"/>
      <c r="W226" s="25">
        <v>3</v>
      </c>
      <c r="X226" s="1" t="s">
        <v>18</v>
      </c>
      <c r="Y226" s="1">
        <v>1</v>
      </c>
      <c r="Z226" s="1">
        <v>1</v>
      </c>
      <c r="AA226" s="8">
        <v>9</v>
      </c>
      <c r="AB226" s="8" t="s">
        <v>19</v>
      </c>
      <c r="AC226" s="101"/>
      <c r="AD226" s="444"/>
      <c r="AE226" s="445"/>
      <c r="AF226" s="440" t="str">
        <f t="shared" si="75"/>
        <v xml:space="preserve"> </v>
      </c>
      <c r="AG226" s="442" t="str">
        <f t="shared" si="71"/>
        <v>-</v>
      </c>
      <c r="AH226" s="445"/>
      <c r="AI226" s="447" t="s">
        <v>532</v>
      </c>
      <c r="AJ226" s="444"/>
      <c r="AK226" s="445"/>
      <c r="AL226" s="440" t="str">
        <f t="shared" si="76"/>
        <v xml:space="preserve"> </v>
      </c>
      <c r="AM226" s="442" t="str">
        <f t="shared" si="72"/>
        <v>-</v>
      </c>
      <c r="AN226" s="445"/>
      <c r="AO226" s="447" t="s">
        <v>532</v>
      </c>
      <c r="AP226" s="444"/>
      <c r="AQ226" s="445"/>
      <c r="AR226" s="440" t="str">
        <f t="shared" si="77"/>
        <v xml:space="preserve"> </v>
      </c>
      <c r="AS226" s="447" t="s">
        <v>532</v>
      </c>
      <c r="AT226" s="463"/>
      <c r="AU226" s="447" t="s">
        <v>532</v>
      </c>
      <c r="AV226" s="444"/>
      <c r="AW226" s="445"/>
      <c r="AX226" s="440" t="str">
        <f t="shared" si="78"/>
        <v xml:space="preserve"> </v>
      </c>
      <c r="AY226" s="442" t="str">
        <f t="shared" si="73"/>
        <v>-</v>
      </c>
      <c r="AZ226" s="445"/>
      <c r="BA226" s="447" t="s">
        <v>532</v>
      </c>
      <c r="BB226" s="59"/>
      <c r="BC226" s="223"/>
      <c r="BD226" s="60" t="str">
        <f t="shared" si="79"/>
        <v xml:space="preserve"> </v>
      </c>
      <c r="BE226" s="213" t="str">
        <f t="shared" si="74"/>
        <v>-</v>
      </c>
      <c r="BF226" s="172"/>
      <c r="BG226" s="225" t="s">
        <v>215</v>
      </c>
      <c r="BH226" s="59"/>
      <c r="BI226" s="223"/>
      <c r="BJ226" s="60" t="str">
        <f t="shared" si="80"/>
        <v xml:space="preserve"> </v>
      </c>
      <c r="BK226" s="213" t="s">
        <v>215</v>
      </c>
      <c r="BL226" s="172"/>
      <c r="BM226" s="225" t="s">
        <v>215</v>
      </c>
    </row>
    <row r="227" spans="2:65" s="26" customFormat="1" ht="126.75" customHeight="1">
      <c r="B227" s="64">
        <f t="shared" si="81"/>
        <v>220</v>
      </c>
      <c r="C227" s="7"/>
      <c r="D227" s="7"/>
      <c r="E227" s="7"/>
      <c r="F227" s="110" t="s">
        <v>137</v>
      </c>
      <c r="G227" s="16"/>
      <c r="H227" s="13"/>
      <c r="I227" s="8"/>
      <c r="J227" s="8"/>
      <c r="K227" s="8"/>
      <c r="L227" s="8"/>
      <c r="M227" s="11" t="s">
        <v>479</v>
      </c>
      <c r="N227" s="1"/>
      <c r="O227" s="56"/>
      <c r="P227" s="93">
        <f t="shared" si="83"/>
        <v>197</v>
      </c>
      <c r="Q227" s="113">
        <v>1</v>
      </c>
      <c r="R227" s="21" t="str">
        <f t="shared" si="82"/>
        <v>X</v>
      </c>
      <c r="S227" s="96" t="s">
        <v>183</v>
      </c>
      <c r="T227" s="94"/>
      <c r="U227" s="21" t="s">
        <v>226</v>
      </c>
      <c r="V227" s="10"/>
      <c r="W227" s="25">
        <v>3</v>
      </c>
      <c r="X227" s="1" t="s">
        <v>254</v>
      </c>
      <c r="Y227" s="1">
        <v>1</v>
      </c>
      <c r="Z227" s="1">
        <v>1</v>
      </c>
      <c r="AA227" s="8" t="s">
        <v>229</v>
      </c>
      <c r="AB227" s="8" t="s">
        <v>226</v>
      </c>
      <c r="AC227" s="12"/>
      <c r="AD227" s="444"/>
      <c r="AE227" s="445"/>
      <c r="AF227" s="440" t="str">
        <f t="shared" si="75"/>
        <v xml:space="preserve"> </v>
      </c>
      <c r="AG227" s="442" t="str">
        <f t="shared" si="71"/>
        <v>-</v>
      </c>
      <c r="AH227" s="445"/>
      <c r="AI227" s="447" t="s">
        <v>532</v>
      </c>
      <c r="AJ227" s="444"/>
      <c r="AK227" s="445"/>
      <c r="AL227" s="440" t="str">
        <f t="shared" si="76"/>
        <v xml:space="preserve"> </v>
      </c>
      <c r="AM227" s="442" t="str">
        <f t="shared" si="72"/>
        <v>-</v>
      </c>
      <c r="AN227" s="445"/>
      <c r="AO227" s="447" t="s">
        <v>532</v>
      </c>
      <c r="AP227" s="444"/>
      <c r="AQ227" s="445"/>
      <c r="AR227" s="440" t="str">
        <f t="shared" si="77"/>
        <v xml:space="preserve"> </v>
      </c>
      <c r="AS227" s="447" t="s">
        <v>532</v>
      </c>
      <c r="AT227" s="463"/>
      <c r="AU227" s="447" t="s">
        <v>532</v>
      </c>
      <c r="AV227" s="444"/>
      <c r="AW227" s="445"/>
      <c r="AX227" s="440" t="str">
        <f t="shared" si="78"/>
        <v xml:space="preserve"> </v>
      </c>
      <c r="AY227" s="442" t="str">
        <f t="shared" si="73"/>
        <v>-</v>
      </c>
      <c r="AZ227" s="445"/>
      <c r="BA227" s="447" t="s">
        <v>532</v>
      </c>
      <c r="BB227" s="59"/>
      <c r="BC227" s="223"/>
      <c r="BD227" s="60" t="str">
        <f t="shared" si="79"/>
        <v xml:space="preserve"> </v>
      </c>
      <c r="BE227" s="213" t="str">
        <f t="shared" si="74"/>
        <v>-</v>
      </c>
      <c r="BF227" s="172"/>
      <c r="BG227" s="225" t="s">
        <v>215</v>
      </c>
      <c r="BH227" s="59"/>
      <c r="BI227" s="223"/>
      <c r="BJ227" s="60" t="str">
        <f t="shared" si="80"/>
        <v xml:space="preserve"> </v>
      </c>
      <c r="BK227" s="213" t="s">
        <v>215</v>
      </c>
      <c r="BL227" s="172"/>
      <c r="BM227" s="225" t="s">
        <v>215</v>
      </c>
    </row>
    <row r="228" spans="2:65" s="26" customFormat="1">
      <c r="B228" s="64">
        <f t="shared" si="81"/>
        <v>221</v>
      </c>
      <c r="C228" s="7"/>
      <c r="D228" s="7"/>
      <c r="E228" s="7"/>
      <c r="F228" s="22" t="s">
        <v>138</v>
      </c>
      <c r="G228" s="16"/>
      <c r="H228" s="13"/>
      <c r="I228" s="8"/>
      <c r="J228" s="8"/>
      <c r="K228" s="8"/>
      <c r="L228" s="8"/>
      <c r="M228" s="359" t="s">
        <v>139</v>
      </c>
      <c r="N228" s="1"/>
      <c r="O228" s="56"/>
      <c r="P228" s="93">
        <f t="shared" si="83"/>
        <v>198</v>
      </c>
      <c r="Q228" s="113">
        <v>400</v>
      </c>
      <c r="R228" s="21" t="str">
        <f t="shared" si="82"/>
        <v>NX</v>
      </c>
      <c r="S228" s="96" t="s">
        <v>140</v>
      </c>
      <c r="T228" s="94"/>
      <c r="U228" s="21" t="s">
        <v>226</v>
      </c>
      <c r="V228" s="10"/>
      <c r="W228" s="25">
        <v>3</v>
      </c>
      <c r="X228" s="1" t="s">
        <v>141</v>
      </c>
      <c r="Y228" s="1">
        <v>1</v>
      </c>
      <c r="Z228" s="1">
        <v>400</v>
      </c>
      <c r="AA228" s="8" t="s">
        <v>123</v>
      </c>
      <c r="AB228" s="8" t="s">
        <v>226</v>
      </c>
      <c r="AC228" s="12"/>
      <c r="AD228" s="444"/>
      <c r="AE228" s="445"/>
      <c r="AF228" s="449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28" s="442" t="str">
        <f t="shared" si="71"/>
        <v>-</v>
      </c>
      <c r="AH228" s="445"/>
      <c r="AI228" s="447" t="s">
        <v>532</v>
      </c>
      <c r="AJ228" s="444"/>
      <c r="AK228" s="445"/>
      <c r="AL228" s="449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28" s="442" t="str">
        <f t="shared" si="72"/>
        <v>-</v>
      </c>
      <c r="AN228" s="445"/>
      <c r="AO228" s="447" t="s">
        <v>532</v>
      </c>
      <c r="AP228" s="444"/>
      <c r="AQ228" s="445"/>
      <c r="AR228" s="449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28" s="447" t="s">
        <v>532</v>
      </c>
      <c r="AT228" s="463"/>
      <c r="AU228" s="447" t="s">
        <v>532</v>
      </c>
      <c r="AV228" s="444"/>
      <c r="AW228" s="445"/>
      <c r="AX228" s="449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28" s="442" t="str">
        <f t="shared" si="73"/>
        <v>-</v>
      </c>
      <c r="AZ228" s="445"/>
      <c r="BA228" s="447" t="s">
        <v>532</v>
      </c>
      <c r="BB228" s="59"/>
      <c r="BC228" s="223"/>
      <c r="BD228" s="252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28" s="213" t="str">
        <f t="shared" si="74"/>
        <v>-</v>
      </c>
      <c r="BF228" s="172"/>
      <c r="BG228" s="225" t="s">
        <v>215</v>
      </c>
      <c r="BH228" s="59"/>
      <c r="BI228" s="223"/>
      <c r="BJ228" s="252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28" s="213" t="s">
        <v>215</v>
      </c>
      <c r="BL228" s="172"/>
      <c r="BM228" s="225" t="s">
        <v>215</v>
      </c>
    </row>
    <row r="229" spans="2:65" s="26" customFormat="1" ht="63.75">
      <c r="B229" s="64">
        <f t="shared" si="81"/>
        <v>222</v>
      </c>
      <c r="C229" s="7"/>
      <c r="D229" s="7"/>
      <c r="E229" s="7"/>
      <c r="F229" s="22" t="s">
        <v>142</v>
      </c>
      <c r="G229" s="16"/>
      <c r="H229" s="13"/>
      <c r="I229" s="8"/>
      <c r="J229" s="8"/>
      <c r="K229" s="8"/>
      <c r="L229" s="8"/>
      <c r="M229" s="359" t="s">
        <v>314</v>
      </c>
      <c r="N229" s="1"/>
      <c r="O229" s="56"/>
      <c r="P229" s="93">
        <f t="shared" si="83"/>
        <v>199</v>
      </c>
      <c r="Q229" s="113">
        <v>400</v>
      </c>
      <c r="R229" s="21" t="str">
        <f t="shared" si="82"/>
        <v>NX</v>
      </c>
      <c r="S229" s="96" t="s">
        <v>143</v>
      </c>
      <c r="T229" s="94"/>
      <c r="U229" s="21" t="s">
        <v>226</v>
      </c>
      <c r="V229" s="10"/>
      <c r="W229" s="25">
        <v>3</v>
      </c>
      <c r="X229" s="1" t="s">
        <v>144</v>
      </c>
      <c r="Y229" s="1">
        <v>1</v>
      </c>
      <c r="Z229" s="1">
        <v>400</v>
      </c>
      <c r="AA229" s="8" t="s">
        <v>123</v>
      </c>
      <c r="AB229" s="8" t="s">
        <v>226</v>
      </c>
      <c r="AC229" s="12"/>
      <c r="AD229" s="444"/>
      <c r="AE229" s="445"/>
      <c r="AF229" s="450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29" s="442" t="str">
        <f t="shared" si="71"/>
        <v>-</v>
      </c>
      <c r="AH229" s="445"/>
      <c r="AI229" s="447" t="s">
        <v>532</v>
      </c>
      <c r="AJ229" s="444"/>
      <c r="AK229" s="445"/>
      <c r="AL229" s="450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29" s="442" t="str">
        <f t="shared" si="72"/>
        <v>-</v>
      </c>
      <c r="AN229" s="445"/>
      <c r="AO229" s="447" t="s">
        <v>532</v>
      </c>
      <c r="AP229" s="444"/>
      <c r="AQ229" s="445"/>
      <c r="AR229" s="450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29" s="447" t="s">
        <v>532</v>
      </c>
      <c r="AT229" s="463"/>
      <c r="AU229" s="447" t="s">
        <v>532</v>
      </c>
      <c r="AV229" s="444"/>
      <c r="AW229" s="445"/>
      <c r="AX229" s="450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29" s="442" t="str">
        <f t="shared" si="73"/>
        <v>-</v>
      </c>
      <c r="AZ229" s="445"/>
      <c r="BA229" s="447" t="s">
        <v>532</v>
      </c>
      <c r="BB229" s="59"/>
      <c r="BC229" s="223"/>
      <c r="BD229" s="90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29" s="213" t="str">
        <f t="shared" si="74"/>
        <v>-</v>
      </c>
      <c r="BF229" s="172"/>
      <c r="BG229" s="225" t="s">
        <v>215</v>
      </c>
      <c r="BH229" s="59"/>
      <c r="BI229" s="223"/>
      <c r="BJ229" s="90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29" s="213" t="s">
        <v>215</v>
      </c>
      <c r="BL229" s="172"/>
      <c r="BM229" s="225" t="s">
        <v>215</v>
      </c>
    </row>
    <row r="230" spans="2:65" s="26" customFormat="1">
      <c r="B230" s="64">
        <f t="shared" si="81"/>
        <v>223</v>
      </c>
      <c r="C230" s="7"/>
      <c r="D230" s="7"/>
      <c r="E230" s="7"/>
      <c r="F230" s="22" t="s">
        <v>145</v>
      </c>
      <c r="G230" s="16"/>
      <c r="H230" s="13"/>
      <c r="I230" s="8"/>
      <c r="J230" s="8"/>
      <c r="K230" s="8"/>
      <c r="L230" s="8"/>
      <c r="M230" s="11" t="s">
        <v>146</v>
      </c>
      <c r="N230" s="1"/>
      <c r="O230" s="56"/>
      <c r="P230" s="93">
        <f t="shared" si="83"/>
        <v>200</v>
      </c>
      <c r="Q230" s="113">
        <v>400</v>
      </c>
      <c r="R230" s="21" t="str">
        <f t="shared" si="82"/>
        <v>NX</v>
      </c>
      <c r="S230" s="96" t="s">
        <v>147</v>
      </c>
      <c r="T230" s="94"/>
      <c r="U230" s="21" t="s">
        <v>226</v>
      </c>
      <c r="V230" s="10"/>
      <c r="W230" s="25">
        <v>3</v>
      </c>
      <c r="X230" s="1" t="s">
        <v>148</v>
      </c>
      <c r="Y230" s="1">
        <v>1</v>
      </c>
      <c r="Z230" s="1">
        <v>400</v>
      </c>
      <c r="AA230" s="8" t="s">
        <v>123</v>
      </c>
      <c r="AB230" s="8" t="s">
        <v>226</v>
      </c>
      <c r="AC230" s="12"/>
      <c r="AD230" s="444"/>
      <c r="AE230" s="440"/>
      <c r="AF230" s="450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30" s="442" t="str">
        <f t="shared" si="71"/>
        <v>-</v>
      </c>
      <c r="AH230" s="440"/>
      <c r="AI230" s="447" t="s">
        <v>532</v>
      </c>
      <c r="AJ230" s="444"/>
      <c r="AK230" s="440"/>
      <c r="AL230" s="450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30" s="442" t="str">
        <f t="shared" si="72"/>
        <v>-</v>
      </c>
      <c r="AN230" s="440"/>
      <c r="AO230" s="447" t="s">
        <v>532</v>
      </c>
      <c r="AP230" s="444"/>
      <c r="AQ230" s="440"/>
      <c r="AR230" s="450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30" s="447" t="s">
        <v>532</v>
      </c>
      <c r="AT230" s="462"/>
      <c r="AU230" s="447" t="s">
        <v>532</v>
      </c>
      <c r="AV230" s="444"/>
      <c r="AW230" s="440"/>
      <c r="AX230" s="450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30" s="442" t="str">
        <f t="shared" si="73"/>
        <v>-</v>
      </c>
      <c r="AZ230" s="440"/>
      <c r="BA230" s="447" t="s">
        <v>532</v>
      </c>
      <c r="BB230" s="59"/>
      <c r="BC230" s="60"/>
      <c r="BD230" s="90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30" s="213" t="str">
        <f t="shared" si="74"/>
        <v>-</v>
      </c>
      <c r="BF230" s="167"/>
      <c r="BG230" s="225" t="s">
        <v>215</v>
      </c>
      <c r="BH230" s="59"/>
      <c r="BI230" s="60"/>
      <c r="BJ230" s="90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30" s="213" t="s">
        <v>215</v>
      </c>
      <c r="BL230" s="167"/>
      <c r="BM230" s="225" t="s">
        <v>215</v>
      </c>
    </row>
    <row r="231" spans="2:65" s="26" customFormat="1" ht="76.5">
      <c r="B231" s="64">
        <f t="shared" si="81"/>
        <v>224</v>
      </c>
      <c r="C231" s="7"/>
      <c r="D231" s="7"/>
      <c r="E231" s="7"/>
      <c r="F231" s="22" t="s">
        <v>149</v>
      </c>
      <c r="G231" s="16"/>
      <c r="H231" s="13"/>
      <c r="I231" s="8"/>
      <c r="J231" s="8"/>
      <c r="K231" s="8"/>
      <c r="L231" s="8"/>
      <c r="M231" s="11" t="s">
        <v>315</v>
      </c>
      <c r="N231" s="1"/>
      <c r="O231" s="56"/>
      <c r="P231" s="93">
        <f t="shared" si="83"/>
        <v>201</v>
      </c>
      <c r="Q231" s="113">
        <v>400</v>
      </c>
      <c r="R231" s="21" t="str">
        <f t="shared" si="82"/>
        <v>NX</v>
      </c>
      <c r="S231" s="96" t="s">
        <v>150</v>
      </c>
      <c r="T231" s="94"/>
      <c r="U231" s="21" t="s">
        <v>226</v>
      </c>
      <c r="V231" s="10"/>
      <c r="W231" s="25">
        <v>3</v>
      </c>
      <c r="X231" s="1" t="s">
        <v>151</v>
      </c>
      <c r="Y231" s="1">
        <v>1</v>
      </c>
      <c r="Z231" s="1">
        <v>400</v>
      </c>
      <c r="AA231" s="8" t="s">
        <v>123</v>
      </c>
      <c r="AB231" s="8" t="s">
        <v>226</v>
      </c>
      <c r="AC231" s="12"/>
      <c r="AD231" s="444"/>
      <c r="AE231" s="440"/>
      <c r="AF231" s="450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31" s="442" t="str">
        <f t="shared" si="71"/>
        <v>-</v>
      </c>
      <c r="AH231" s="440"/>
      <c r="AI231" s="447" t="s">
        <v>532</v>
      </c>
      <c r="AJ231" s="444"/>
      <c r="AK231" s="440"/>
      <c r="AL231" s="450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31" s="442" t="str">
        <f t="shared" si="72"/>
        <v>-</v>
      </c>
      <c r="AN231" s="440"/>
      <c r="AO231" s="447" t="s">
        <v>532</v>
      </c>
      <c r="AP231" s="444"/>
      <c r="AQ231" s="440"/>
      <c r="AR231" s="450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31" s="447" t="s">
        <v>532</v>
      </c>
      <c r="AT231" s="462"/>
      <c r="AU231" s="447" t="s">
        <v>532</v>
      </c>
      <c r="AV231" s="444"/>
      <c r="AW231" s="440"/>
      <c r="AX231" s="450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31" s="442" t="str">
        <f t="shared" si="73"/>
        <v>-</v>
      </c>
      <c r="AZ231" s="440"/>
      <c r="BA231" s="447" t="s">
        <v>532</v>
      </c>
      <c r="BB231" s="59"/>
      <c r="BC231" s="60"/>
      <c r="BD231" s="90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31" s="213" t="str">
        <f t="shared" si="74"/>
        <v>-</v>
      </c>
      <c r="BF231" s="167"/>
      <c r="BG231" s="225" t="s">
        <v>215</v>
      </c>
      <c r="BH231" s="59"/>
      <c r="BI231" s="60"/>
      <c r="BJ231" s="90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31" s="213" t="s">
        <v>215</v>
      </c>
      <c r="BL231" s="167"/>
      <c r="BM231" s="225" t="s">
        <v>215</v>
      </c>
    </row>
    <row r="232" spans="2:65" s="26" customFormat="1">
      <c r="B232" s="64">
        <f t="shared" si="81"/>
        <v>225</v>
      </c>
      <c r="C232" s="7"/>
      <c r="D232" s="7"/>
      <c r="E232" s="7"/>
      <c r="F232" s="22" t="s">
        <v>152</v>
      </c>
      <c r="G232" s="16"/>
      <c r="H232" s="13"/>
      <c r="I232" s="8"/>
      <c r="J232" s="8"/>
      <c r="K232" s="8"/>
      <c r="L232" s="8"/>
      <c r="M232" s="11" t="s">
        <v>146</v>
      </c>
      <c r="N232" s="1"/>
      <c r="O232" s="56"/>
      <c r="P232" s="93">
        <f t="shared" si="83"/>
        <v>202</v>
      </c>
      <c r="Q232" s="113">
        <v>400</v>
      </c>
      <c r="R232" s="21" t="str">
        <f t="shared" si="82"/>
        <v>NX</v>
      </c>
      <c r="S232" s="96" t="s">
        <v>153</v>
      </c>
      <c r="T232" s="94"/>
      <c r="U232" s="21" t="s">
        <v>226</v>
      </c>
      <c r="V232" s="10"/>
      <c r="W232" s="25">
        <v>3</v>
      </c>
      <c r="X232" s="1" t="s">
        <v>154</v>
      </c>
      <c r="Y232" s="1">
        <v>1</v>
      </c>
      <c r="Z232" s="1">
        <v>400</v>
      </c>
      <c r="AA232" s="8" t="s">
        <v>123</v>
      </c>
      <c r="AB232" s="8" t="s">
        <v>226</v>
      </c>
      <c r="AC232" s="12"/>
      <c r="AD232" s="444"/>
      <c r="AE232" s="440"/>
      <c r="AF232" s="450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32" s="442" t="str">
        <f t="shared" si="71"/>
        <v>-</v>
      </c>
      <c r="AH232" s="440"/>
      <c r="AI232" s="447" t="s">
        <v>532</v>
      </c>
      <c r="AJ232" s="444"/>
      <c r="AK232" s="440"/>
      <c r="AL232" s="450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32" s="442" t="str">
        <f t="shared" si="72"/>
        <v>-</v>
      </c>
      <c r="AN232" s="440"/>
      <c r="AO232" s="447" t="s">
        <v>532</v>
      </c>
      <c r="AP232" s="444"/>
      <c r="AQ232" s="440"/>
      <c r="AR232" s="450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32" s="447" t="s">
        <v>532</v>
      </c>
      <c r="AT232" s="462"/>
      <c r="AU232" s="447" t="s">
        <v>532</v>
      </c>
      <c r="AV232" s="444"/>
      <c r="AW232" s="440"/>
      <c r="AX232" s="450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32" s="442" t="str">
        <f t="shared" si="73"/>
        <v>-</v>
      </c>
      <c r="AZ232" s="440"/>
      <c r="BA232" s="447" t="s">
        <v>532</v>
      </c>
      <c r="BB232" s="59"/>
      <c r="BC232" s="60"/>
      <c r="BD232" s="90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32" s="213" t="str">
        <f t="shared" si="74"/>
        <v>-</v>
      </c>
      <c r="BF232" s="167"/>
      <c r="BG232" s="225" t="s">
        <v>215</v>
      </c>
      <c r="BH232" s="59"/>
      <c r="BI232" s="60"/>
      <c r="BJ232" s="90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32" s="213" t="s">
        <v>215</v>
      </c>
      <c r="BL232" s="167"/>
      <c r="BM232" s="225" t="s">
        <v>215</v>
      </c>
    </row>
    <row r="233" spans="2:65" s="26" customFormat="1">
      <c r="B233" s="64">
        <f t="shared" si="81"/>
        <v>226</v>
      </c>
      <c r="C233" s="7"/>
      <c r="D233" s="7"/>
      <c r="E233" s="7"/>
      <c r="F233" s="22" t="s">
        <v>155</v>
      </c>
      <c r="G233" s="16"/>
      <c r="H233" s="13"/>
      <c r="I233" s="8"/>
      <c r="J233" s="8"/>
      <c r="K233" s="8"/>
      <c r="L233" s="8"/>
      <c r="M233" s="11" t="s">
        <v>146</v>
      </c>
      <c r="N233" s="1"/>
      <c r="O233" s="56"/>
      <c r="P233" s="93">
        <f t="shared" si="83"/>
        <v>203</v>
      </c>
      <c r="Q233" s="113">
        <v>400</v>
      </c>
      <c r="R233" s="21" t="str">
        <f t="shared" si="82"/>
        <v>NX</v>
      </c>
      <c r="S233" s="96" t="s">
        <v>156</v>
      </c>
      <c r="T233" s="94"/>
      <c r="U233" s="21" t="s">
        <v>226</v>
      </c>
      <c r="V233" s="10"/>
      <c r="W233" s="25">
        <v>3</v>
      </c>
      <c r="X233" s="1" t="s">
        <v>157</v>
      </c>
      <c r="Y233" s="1">
        <v>1</v>
      </c>
      <c r="Z233" s="1">
        <v>400</v>
      </c>
      <c r="AA233" s="8" t="s">
        <v>123</v>
      </c>
      <c r="AB233" s="8" t="s">
        <v>226</v>
      </c>
      <c r="AC233" s="12"/>
      <c r="AD233" s="444"/>
      <c r="AE233" s="440"/>
      <c r="AF233" s="450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33" s="442" t="str">
        <f t="shared" si="71"/>
        <v>-</v>
      </c>
      <c r="AH233" s="440"/>
      <c r="AI233" s="447" t="s">
        <v>532</v>
      </c>
      <c r="AJ233" s="444"/>
      <c r="AK233" s="440"/>
      <c r="AL233" s="450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33" s="442" t="str">
        <f t="shared" si="72"/>
        <v>-</v>
      </c>
      <c r="AN233" s="440"/>
      <c r="AO233" s="447" t="s">
        <v>532</v>
      </c>
      <c r="AP233" s="444"/>
      <c r="AQ233" s="440"/>
      <c r="AR233" s="450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33" s="447" t="s">
        <v>532</v>
      </c>
      <c r="AT233" s="462"/>
      <c r="AU233" s="447" t="s">
        <v>532</v>
      </c>
      <c r="AV233" s="444"/>
      <c r="AW233" s="440"/>
      <c r="AX233" s="450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33" s="442" t="str">
        <f t="shared" si="73"/>
        <v>-</v>
      </c>
      <c r="AZ233" s="440"/>
      <c r="BA233" s="447" t="s">
        <v>532</v>
      </c>
      <c r="BB233" s="59"/>
      <c r="BC233" s="60"/>
      <c r="BD233" s="90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33" s="213" t="str">
        <f t="shared" si="74"/>
        <v>-</v>
      </c>
      <c r="BF233" s="167"/>
      <c r="BG233" s="225" t="s">
        <v>215</v>
      </c>
      <c r="BH233" s="59"/>
      <c r="BI233" s="60"/>
      <c r="BJ233" s="90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33" s="213" t="s">
        <v>215</v>
      </c>
      <c r="BL233" s="167"/>
      <c r="BM233" s="225" t="s">
        <v>215</v>
      </c>
    </row>
    <row r="234" spans="2:65" s="26" customFormat="1" ht="89.25">
      <c r="B234" s="64">
        <f t="shared" si="81"/>
        <v>227</v>
      </c>
      <c r="C234" s="7"/>
      <c r="D234" s="7"/>
      <c r="E234" s="7"/>
      <c r="F234" s="22" t="s">
        <v>158</v>
      </c>
      <c r="G234" s="16"/>
      <c r="H234" s="13"/>
      <c r="I234" s="8"/>
      <c r="J234" s="8"/>
      <c r="K234" s="8"/>
      <c r="L234" s="8"/>
      <c r="M234" s="11" t="s">
        <v>316</v>
      </c>
      <c r="N234" s="1"/>
      <c r="O234" s="56"/>
      <c r="P234" s="93">
        <f t="shared" si="83"/>
        <v>204</v>
      </c>
      <c r="Q234" s="113">
        <v>1</v>
      </c>
      <c r="R234" s="21" t="str">
        <f t="shared" si="82"/>
        <v>X</v>
      </c>
      <c r="S234" s="96" t="s">
        <v>159</v>
      </c>
      <c r="T234" s="94"/>
      <c r="U234" s="21" t="s">
        <v>226</v>
      </c>
      <c r="V234" s="10"/>
      <c r="W234" s="25">
        <v>3</v>
      </c>
      <c r="X234" s="1" t="s">
        <v>255</v>
      </c>
      <c r="Y234" s="1">
        <v>1</v>
      </c>
      <c r="Z234" s="1">
        <v>1</v>
      </c>
      <c r="AA234" s="8" t="s">
        <v>109</v>
      </c>
      <c r="AB234" s="8" t="s">
        <v>19</v>
      </c>
      <c r="AC234" s="102"/>
      <c r="AD234" s="444"/>
      <c r="AE234" s="445"/>
      <c r="AF234" s="440" t="str">
        <f t="shared" si="75"/>
        <v xml:space="preserve"> </v>
      </c>
      <c r="AG234" s="442" t="str">
        <f t="shared" si="71"/>
        <v>-</v>
      </c>
      <c r="AH234" s="445"/>
      <c r="AI234" s="447" t="s">
        <v>532</v>
      </c>
      <c r="AJ234" s="444"/>
      <c r="AK234" s="445"/>
      <c r="AL234" s="440" t="str">
        <f t="shared" si="76"/>
        <v xml:space="preserve"> </v>
      </c>
      <c r="AM234" s="442" t="str">
        <f t="shared" si="72"/>
        <v>-</v>
      </c>
      <c r="AN234" s="445"/>
      <c r="AO234" s="447" t="s">
        <v>532</v>
      </c>
      <c r="AP234" s="444"/>
      <c r="AQ234" s="445"/>
      <c r="AR234" s="440" t="str">
        <f t="shared" si="77"/>
        <v xml:space="preserve"> </v>
      </c>
      <c r="AS234" s="447" t="s">
        <v>532</v>
      </c>
      <c r="AT234" s="463"/>
      <c r="AU234" s="447" t="s">
        <v>532</v>
      </c>
      <c r="AV234" s="444"/>
      <c r="AW234" s="445"/>
      <c r="AX234" s="440" t="str">
        <f t="shared" si="78"/>
        <v xml:space="preserve"> </v>
      </c>
      <c r="AY234" s="442" t="str">
        <f t="shared" si="73"/>
        <v>-</v>
      </c>
      <c r="AZ234" s="445"/>
      <c r="BA234" s="447" t="s">
        <v>532</v>
      </c>
      <c r="BB234" s="59"/>
      <c r="BC234" s="223"/>
      <c r="BD234" s="60" t="str">
        <f t="shared" si="79"/>
        <v xml:space="preserve"> </v>
      </c>
      <c r="BE234" s="213" t="str">
        <f t="shared" si="74"/>
        <v>-</v>
      </c>
      <c r="BF234" s="172"/>
      <c r="BG234" s="225" t="s">
        <v>215</v>
      </c>
      <c r="BH234" s="59"/>
      <c r="BI234" s="223"/>
      <c r="BJ234" s="60" t="str">
        <f t="shared" si="80"/>
        <v xml:space="preserve"> </v>
      </c>
      <c r="BK234" s="213" t="s">
        <v>215</v>
      </c>
      <c r="BL234" s="172"/>
      <c r="BM234" s="225" t="s">
        <v>215</v>
      </c>
    </row>
    <row r="235" spans="2:65" s="26" customFormat="1">
      <c r="B235" s="64">
        <f t="shared" si="81"/>
        <v>228</v>
      </c>
      <c r="C235" s="7"/>
      <c r="D235" s="7"/>
      <c r="E235" s="7"/>
      <c r="F235" s="22" t="s">
        <v>160</v>
      </c>
      <c r="G235" s="16"/>
      <c r="H235" s="13"/>
      <c r="I235" s="8"/>
      <c r="J235" s="8"/>
      <c r="K235" s="8"/>
      <c r="L235" s="8"/>
      <c r="M235" s="11"/>
      <c r="N235" s="1"/>
      <c r="O235" s="56"/>
      <c r="P235" s="93">
        <f t="shared" si="83"/>
        <v>205</v>
      </c>
      <c r="Q235" s="113">
        <v>128</v>
      </c>
      <c r="R235" s="21" t="str">
        <f t="shared" si="82"/>
        <v>X</v>
      </c>
      <c r="S235" s="96" t="s">
        <v>161</v>
      </c>
      <c r="T235" s="94"/>
      <c r="U235" s="21" t="s">
        <v>226</v>
      </c>
      <c r="V235" s="10"/>
      <c r="W235" s="25">
        <v>3</v>
      </c>
      <c r="X235" s="1" t="s">
        <v>256</v>
      </c>
      <c r="Y235" s="1">
        <v>1</v>
      </c>
      <c r="Z235" s="1">
        <v>128</v>
      </c>
      <c r="AA235" s="8" t="s">
        <v>109</v>
      </c>
      <c r="AB235" s="8" t="s">
        <v>19</v>
      </c>
      <c r="AC235" s="12"/>
      <c r="AD235" s="444"/>
      <c r="AE235" s="440"/>
      <c r="AF235" s="440" t="str">
        <f t="shared" si="75"/>
        <v xml:space="preserve">                                                                                                                                </v>
      </c>
      <c r="AG235" s="442" t="str">
        <f t="shared" si="71"/>
        <v>-</v>
      </c>
      <c r="AH235" s="440"/>
      <c r="AI235" s="447" t="s">
        <v>532</v>
      </c>
      <c r="AJ235" s="444"/>
      <c r="AK235" s="440"/>
      <c r="AL235" s="440" t="str">
        <f t="shared" si="76"/>
        <v xml:space="preserve">                                                                                                                                </v>
      </c>
      <c r="AM235" s="442" t="str">
        <f t="shared" si="72"/>
        <v>-</v>
      </c>
      <c r="AN235" s="440"/>
      <c r="AO235" s="447" t="s">
        <v>532</v>
      </c>
      <c r="AP235" s="444"/>
      <c r="AQ235" s="440"/>
      <c r="AR235" s="440" t="str">
        <f t="shared" si="77"/>
        <v xml:space="preserve">                                                                                                                                </v>
      </c>
      <c r="AS235" s="447" t="s">
        <v>532</v>
      </c>
      <c r="AT235" s="462"/>
      <c r="AU235" s="447" t="s">
        <v>532</v>
      </c>
      <c r="AV235" s="444"/>
      <c r="AW235" s="440"/>
      <c r="AX235" s="440" t="str">
        <f t="shared" si="78"/>
        <v xml:space="preserve">                                                                                                                                </v>
      </c>
      <c r="AY235" s="442" t="str">
        <f t="shared" si="73"/>
        <v>-</v>
      </c>
      <c r="AZ235" s="440"/>
      <c r="BA235" s="447" t="s">
        <v>532</v>
      </c>
      <c r="BB235" s="59"/>
      <c r="BC235" s="60"/>
      <c r="BD235" s="60" t="str">
        <f t="shared" si="79"/>
        <v xml:space="preserve">                                                                                                                                </v>
      </c>
      <c r="BE235" s="213" t="str">
        <f t="shared" si="74"/>
        <v>-</v>
      </c>
      <c r="BF235" s="167"/>
      <c r="BG235" s="225" t="s">
        <v>215</v>
      </c>
      <c r="BH235" s="59"/>
      <c r="BI235" s="60"/>
      <c r="BJ235" s="60" t="str">
        <f t="shared" si="80"/>
        <v xml:space="preserve">                                                                                                                                </v>
      </c>
      <c r="BK235" s="213" t="s">
        <v>215</v>
      </c>
      <c r="BL235" s="167"/>
      <c r="BM235" s="225" t="s">
        <v>215</v>
      </c>
    </row>
    <row r="236" spans="2:65" s="26" customFormat="1" ht="114.75">
      <c r="B236" s="64">
        <f t="shared" si="81"/>
        <v>229</v>
      </c>
      <c r="C236" s="7"/>
      <c r="D236" s="7"/>
      <c r="E236" s="7"/>
      <c r="F236" s="22" t="s">
        <v>162</v>
      </c>
      <c r="G236" s="16"/>
      <c r="H236" s="13"/>
      <c r="I236" s="8"/>
      <c r="J236" s="8"/>
      <c r="K236" s="8"/>
      <c r="L236" s="8"/>
      <c r="M236" s="11" t="s">
        <v>294</v>
      </c>
      <c r="N236" s="1"/>
      <c r="O236" s="56"/>
      <c r="P236" s="93">
        <f t="shared" si="83"/>
        <v>206</v>
      </c>
      <c r="Q236" s="113">
        <v>1</v>
      </c>
      <c r="R236" s="21" t="str">
        <f t="shared" si="82"/>
        <v>X</v>
      </c>
      <c r="S236" s="96" t="s">
        <v>163</v>
      </c>
      <c r="T236" s="94"/>
      <c r="U236" s="21" t="s">
        <v>226</v>
      </c>
      <c r="V236" s="10"/>
      <c r="W236" s="25">
        <v>3</v>
      </c>
      <c r="X236" s="1" t="s">
        <v>257</v>
      </c>
      <c r="Y236" s="1">
        <v>1</v>
      </c>
      <c r="Z236" s="1">
        <v>1</v>
      </c>
      <c r="AA236" s="8" t="s">
        <v>109</v>
      </c>
      <c r="AB236" s="8" t="s">
        <v>19</v>
      </c>
      <c r="AC236" s="102"/>
      <c r="AD236" s="444"/>
      <c r="AE236" s="445"/>
      <c r="AF236" s="440" t="str">
        <f t="shared" si="75"/>
        <v xml:space="preserve"> </v>
      </c>
      <c r="AG236" s="442" t="str">
        <f t="shared" si="71"/>
        <v>-</v>
      </c>
      <c r="AH236" s="445"/>
      <c r="AI236" s="447" t="s">
        <v>532</v>
      </c>
      <c r="AJ236" s="444"/>
      <c r="AK236" s="445"/>
      <c r="AL236" s="440" t="str">
        <f t="shared" si="76"/>
        <v xml:space="preserve"> </v>
      </c>
      <c r="AM236" s="442" t="str">
        <f t="shared" si="72"/>
        <v>-</v>
      </c>
      <c r="AN236" s="445"/>
      <c r="AO236" s="447" t="s">
        <v>532</v>
      </c>
      <c r="AP236" s="444"/>
      <c r="AQ236" s="445"/>
      <c r="AR236" s="440" t="str">
        <f t="shared" si="77"/>
        <v xml:space="preserve"> </v>
      </c>
      <c r="AS236" s="447" t="s">
        <v>532</v>
      </c>
      <c r="AT236" s="463"/>
      <c r="AU236" s="447" t="s">
        <v>532</v>
      </c>
      <c r="AV236" s="444"/>
      <c r="AW236" s="445"/>
      <c r="AX236" s="440" t="str">
        <f t="shared" si="78"/>
        <v xml:space="preserve"> </v>
      </c>
      <c r="AY236" s="442" t="str">
        <f t="shared" si="73"/>
        <v>-</v>
      </c>
      <c r="AZ236" s="445"/>
      <c r="BA236" s="447" t="s">
        <v>532</v>
      </c>
      <c r="BB236" s="59"/>
      <c r="BC236" s="223"/>
      <c r="BD236" s="60" t="str">
        <f t="shared" si="79"/>
        <v xml:space="preserve"> </v>
      </c>
      <c r="BE236" s="213" t="str">
        <f t="shared" si="74"/>
        <v>-</v>
      </c>
      <c r="BF236" s="172"/>
      <c r="BG236" s="225" t="s">
        <v>215</v>
      </c>
      <c r="BH236" s="59"/>
      <c r="BI236" s="223"/>
      <c r="BJ236" s="60" t="str">
        <f t="shared" si="80"/>
        <v xml:space="preserve"> </v>
      </c>
      <c r="BK236" s="213" t="s">
        <v>215</v>
      </c>
      <c r="BL236" s="172"/>
      <c r="BM236" s="225" t="s">
        <v>215</v>
      </c>
    </row>
    <row r="237" spans="2:65" s="26" customFormat="1" ht="127.5">
      <c r="B237" s="64">
        <f t="shared" si="81"/>
        <v>230</v>
      </c>
      <c r="C237" s="7"/>
      <c r="D237" s="7"/>
      <c r="E237" s="7"/>
      <c r="F237" s="22" t="s">
        <v>164</v>
      </c>
      <c r="G237" s="16"/>
      <c r="H237" s="13"/>
      <c r="I237" s="8"/>
      <c r="J237" s="8" t="s">
        <v>231</v>
      </c>
      <c r="K237" s="8"/>
      <c r="L237" s="8"/>
      <c r="M237" s="359" t="s">
        <v>317</v>
      </c>
      <c r="N237" s="1"/>
      <c r="O237" s="56"/>
      <c r="P237" s="93">
        <f t="shared" si="83"/>
        <v>207</v>
      </c>
      <c r="Q237" s="113">
        <v>1</v>
      </c>
      <c r="R237" s="21" t="str">
        <f t="shared" si="82"/>
        <v>X</v>
      </c>
      <c r="S237" s="96" t="s">
        <v>165</v>
      </c>
      <c r="T237" s="94"/>
      <c r="U237" s="21" t="s">
        <v>226</v>
      </c>
      <c r="V237" s="10"/>
      <c r="W237" s="25">
        <v>3</v>
      </c>
      <c r="X237" s="1" t="s">
        <v>258</v>
      </c>
      <c r="Y237" s="1">
        <v>1</v>
      </c>
      <c r="Z237" s="1">
        <v>1</v>
      </c>
      <c r="AA237" s="8" t="s">
        <v>109</v>
      </c>
      <c r="AB237" s="8" t="s">
        <v>19</v>
      </c>
      <c r="AC237" s="102"/>
      <c r="AD237" s="444"/>
      <c r="AE237" s="445"/>
      <c r="AF237" s="440" t="str">
        <f t="shared" si="75"/>
        <v xml:space="preserve"> </v>
      </c>
      <c r="AG237" s="442" t="str">
        <f t="shared" si="71"/>
        <v>-</v>
      </c>
      <c r="AH237" s="445"/>
      <c r="AI237" s="447" t="s">
        <v>532</v>
      </c>
      <c r="AJ237" s="444"/>
      <c r="AK237" s="445"/>
      <c r="AL237" s="440" t="str">
        <f t="shared" si="76"/>
        <v xml:space="preserve"> </v>
      </c>
      <c r="AM237" s="442" t="str">
        <f t="shared" si="72"/>
        <v>-</v>
      </c>
      <c r="AN237" s="445"/>
      <c r="AO237" s="447" t="s">
        <v>532</v>
      </c>
      <c r="AP237" s="444"/>
      <c r="AQ237" s="445"/>
      <c r="AR237" s="440" t="str">
        <f t="shared" si="77"/>
        <v xml:space="preserve"> </v>
      </c>
      <c r="AS237" s="447" t="s">
        <v>532</v>
      </c>
      <c r="AT237" s="463"/>
      <c r="AU237" s="447" t="s">
        <v>532</v>
      </c>
      <c r="AV237" s="444"/>
      <c r="AW237" s="445"/>
      <c r="AX237" s="440" t="str">
        <f t="shared" si="78"/>
        <v xml:space="preserve"> </v>
      </c>
      <c r="AY237" s="442" t="str">
        <f t="shared" si="73"/>
        <v>-</v>
      </c>
      <c r="AZ237" s="445"/>
      <c r="BA237" s="447" t="s">
        <v>532</v>
      </c>
      <c r="BB237" s="59"/>
      <c r="BC237" s="223"/>
      <c r="BD237" s="60" t="str">
        <f t="shared" si="79"/>
        <v xml:space="preserve"> </v>
      </c>
      <c r="BE237" s="213" t="str">
        <f t="shared" si="74"/>
        <v>-</v>
      </c>
      <c r="BF237" s="172"/>
      <c r="BG237" s="225" t="s">
        <v>215</v>
      </c>
      <c r="BH237" s="59"/>
      <c r="BI237" s="223"/>
      <c r="BJ237" s="60" t="str">
        <f t="shared" si="80"/>
        <v xml:space="preserve"> </v>
      </c>
      <c r="BK237" s="213" t="s">
        <v>215</v>
      </c>
      <c r="BL237" s="172"/>
      <c r="BM237" s="225" t="s">
        <v>215</v>
      </c>
    </row>
    <row r="238" spans="2:65" s="26" customFormat="1" ht="319.5" customHeight="1">
      <c r="B238" s="64">
        <f t="shared" si="81"/>
        <v>231</v>
      </c>
      <c r="C238" s="7"/>
      <c r="D238" s="7"/>
      <c r="E238" s="53"/>
      <c r="F238" s="111" t="s">
        <v>367</v>
      </c>
      <c r="G238" s="66"/>
      <c r="H238" s="61"/>
      <c r="I238" s="8"/>
      <c r="J238" s="8" t="s">
        <v>231</v>
      </c>
      <c r="K238" s="8"/>
      <c r="L238" s="8"/>
      <c r="M238" s="356" t="s">
        <v>493</v>
      </c>
      <c r="N238" s="16"/>
      <c r="O238" s="56"/>
      <c r="P238" s="93">
        <f t="shared" si="83"/>
        <v>208</v>
      </c>
      <c r="Q238" s="113">
        <v>2</v>
      </c>
      <c r="R238" s="21" t="str">
        <f t="shared" si="82"/>
        <v>X</v>
      </c>
      <c r="S238" s="96" t="s">
        <v>166</v>
      </c>
      <c r="T238" s="94"/>
      <c r="U238" s="21" t="s">
        <v>226</v>
      </c>
      <c r="V238" s="10"/>
      <c r="W238" s="25">
        <v>3</v>
      </c>
      <c r="X238" s="1" t="s">
        <v>260</v>
      </c>
      <c r="Y238" s="1">
        <v>2</v>
      </c>
      <c r="Z238" s="1">
        <v>2</v>
      </c>
      <c r="AA238" s="8" t="s">
        <v>229</v>
      </c>
      <c r="AB238" s="8" t="s">
        <v>226</v>
      </c>
      <c r="AC238" s="67"/>
      <c r="AD238" s="444"/>
      <c r="AE238" s="445"/>
      <c r="AF238" s="446" t="str">
        <f t="shared" si="75"/>
        <v xml:space="preserve">  </v>
      </c>
      <c r="AG238" s="442" t="str">
        <f t="shared" si="71"/>
        <v>-</v>
      </c>
      <c r="AH238" s="445"/>
      <c r="AI238" s="448" t="s">
        <v>532</v>
      </c>
      <c r="AJ238" s="444"/>
      <c r="AK238" s="445"/>
      <c r="AL238" s="446" t="str">
        <f t="shared" si="76"/>
        <v xml:space="preserve">  </v>
      </c>
      <c r="AM238" s="442" t="str">
        <f t="shared" si="72"/>
        <v>-</v>
      </c>
      <c r="AN238" s="445"/>
      <c r="AO238" s="448" t="s">
        <v>532</v>
      </c>
      <c r="AP238" s="444"/>
      <c r="AQ238" s="445"/>
      <c r="AR238" s="446" t="str">
        <f t="shared" si="77"/>
        <v xml:space="preserve">  </v>
      </c>
      <c r="AS238" s="442" t="s">
        <v>532</v>
      </c>
      <c r="AT238" s="463"/>
      <c r="AU238" s="448" t="s">
        <v>532</v>
      </c>
      <c r="AV238" s="444"/>
      <c r="AW238" s="445"/>
      <c r="AX238" s="446" t="str">
        <f t="shared" si="78"/>
        <v xml:space="preserve">  </v>
      </c>
      <c r="AY238" s="442" t="str">
        <f t="shared" si="73"/>
        <v>-</v>
      </c>
      <c r="AZ238" s="445"/>
      <c r="BA238" s="448" t="s">
        <v>532</v>
      </c>
      <c r="BB238" s="59"/>
      <c r="BC238" s="223"/>
      <c r="BD238" s="254" t="str">
        <f t="shared" si="79"/>
        <v>E1</v>
      </c>
      <c r="BE238" s="213" t="str">
        <f t="shared" si="74"/>
        <v>-</v>
      </c>
      <c r="BF238" s="172" t="s">
        <v>219</v>
      </c>
      <c r="BG238" s="405" t="str">
        <f>IF(OR(BC$8="判定対象外",BF$8="判定対象外",BF238="-"),"-",IF(BC238=BF238,"OK","NG"))</f>
        <v>NG</v>
      </c>
      <c r="BH238" s="59"/>
      <c r="BI238" s="223"/>
      <c r="BJ238" s="254" t="str">
        <f t="shared" si="80"/>
        <v>F2</v>
      </c>
      <c r="BK238" s="213" t="str">
        <f>IF(OR(BI$8="判定対象外",BJ$8="判定対象外",BJ238="-"),"-",IF(BI238=BJ238,"OK","NG"))</f>
        <v>NG</v>
      </c>
      <c r="BL238" s="172" t="s">
        <v>577</v>
      </c>
      <c r="BM238" s="405" t="str">
        <f>IF(OR(BI$8="判定対象外",BL$8="判定対象外",BL238="-"),"-",IF(BI238=BL238,"OK","NG"))</f>
        <v>NG</v>
      </c>
    </row>
    <row r="239" spans="2:65" s="26" customFormat="1" ht="25.5">
      <c r="B239" s="64">
        <f t="shared" si="81"/>
        <v>232</v>
      </c>
      <c r="C239" s="7"/>
      <c r="D239" s="7"/>
      <c r="E239" s="53"/>
      <c r="F239" s="65" t="s">
        <v>167</v>
      </c>
      <c r="G239" s="66"/>
      <c r="H239" s="61"/>
      <c r="I239" s="8"/>
      <c r="J239" s="8"/>
      <c r="K239" s="8"/>
      <c r="L239" s="8"/>
      <c r="M239" s="11" t="s">
        <v>274</v>
      </c>
      <c r="N239" s="16"/>
      <c r="O239" s="56"/>
      <c r="P239" s="93">
        <f t="shared" si="83"/>
        <v>209</v>
      </c>
      <c r="Q239" s="113">
        <v>7</v>
      </c>
      <c r="R239" s="21" t="str">
        <f t="shared" si="82"/>
        <v>X</v>
      </c>
      <c r="S239" s="96" t="s">
        <v>168</v>
      </c>
      <c r="T239" s="94"/>
      <c r="U239" s="21" t="s">
        <v>226</v>
      </c>
      <c r="V239" s="10"/>
      <c r="W239" s="25">
        <v>3</v>
      </c>
      <c r="X239" s="1" t="s">
        <v>261</v>
      </c>
      <c r="Y239" s="1">
        <v>7</v>
      </c>
      <c r="Z239" s="1">
        <v>7</v>
      </c>
      <c r="AA239" s="8" t="s">
        <v>229</v>
      </c>
      <c r="AB239" s="8" t="s">
        <v>226</v>
      </c>
      <c r="AC239" s="103"/>
      <c r="AD239" s="444"/>
      <c r="AE239" s="440"/>
      <c r="AF239" s="440" t="str">
        <f t="shared" si="75"/>
        <v xml:space="preserve">       </v>
      </c>
      <c r="AG239" s="442" t="str">
        <f t="shared" si="71"/>
        <v>-</v>
      </c>
      <c r="AH239" s="440"/>
      <c r="AI239" s="447" t="s">
        <v>532</v>
      </c>
      <c r="AJ239" s="444"/>
      <c r="AK239" s="440"/>
      <c r="AL239" s="440" t="str">
        <f t="shared" si="76"/>
        <v xml:space="preserve">       </v>
      </c>
      <c r="AM239" s="442" t="str">
        <f t="shared" si="72"/>
        <v>-</v>
      </c>
      <c r="AN239" s="440"/>
      <c r="AO239" s="447" t="s">
        <v>532</v>
      </c>
      <c r="AP239" s="444"/>
      <c r="AQ239" s="440"/>
      <c r="AR239" s="440" t="str">
        <f t="shared" si="77"/>
        <v xml:space="preserve">       </v>
      </c>
      <c r="AS239" s="447" t="s">
        <v>532</v>
      </c>
      <c r="AT239" s="462"/>
      <c r="AU239" s="447" t="s">
        <v>532</v>
      </c>
      <c r="AV239" s="444"/>
      <c r="AW239" s="440"/>
      <c r="AX239" s="440" t="str">
        <f t="shared" si="78"/>
        <v xml:space="preserve">       </v>
      </c>
      <c r="AY239" s="442" t="str">
        <f t="shared" si="73"/>
        <v>-</v>
      </c>
      <c r="AZ239" s="440"/>
      <c r="BA239" s="447" t="s">
        <v>532</v>
      </c>
      <c r="BB239" s="59"/>
      <c r="BC239" s="60"/>
      <c r="BD239" s="60" t="str">
        <f t="shared" si="79"/>
        <v xml:space="preserve">       </v>
      </c>
      <c r="BE239" s="213" t="str">
        <f t="shared" si="74"/>
        <v>-</v>
      </c>
      <c r="BF239" s="167"/>
      <c r="BG239" s="225" t="s">
        <v>215</v>
      </c>
      <c r="BH239" s="59"/>
      <c r="BI239" s="60"/>
      <c r="BJ239" s="60" t="str">
        <f t="shared" si="80"/>
        <v xml:space="preserve">       </v>
      </c>
      <c r="BK239" s="213" t="s">
        <v>215</v>
      </c>
      <c r="BL239" s="167"/>
      <c r="BM239" s="225" t="s">
        <v>215</v>
      </c>
    </row>
    <row r="240" spans="2:65" s="80" customFormat="1" ht="25.5">
      <c r="B240" s="64">
        <f t="shared" si="81"/>
        <v>233</v>
      </c>
      <c r="C240" s="68"/>
      <c r="D240" s="68"/>
      <c r="E240" s="69"/>
      <c r="F240" s="70" t="s">
        <v>275</v>
      </c>
      <c r="G240" s="71"/>
      <c r="H240" s="72"/>
      <c r="I240" s="73"/>
      <c r="J240" s="73"/>
      <c r="K240" s="74"/>
      <c r="L240" s="74"/>
      <c r="M240" s="83" t="s">
        <v>274</v>
      </c>
      <c r="N240" s="75"/>
      <c r="O240" s="76"/>
      <c r="P240" s="93">
        <f t="shared" si="83"/>
        <v>210</v>
      </c>
      <c r="Q240" s="117">
        <v>10</v>
      </c>
      <c r="R240" s="21" t="str">
        <f t="shared" si="82"/>
        <v>X</v>
      </c>
      <c r="S240" s="96" t="s">
        <v>169</v>
      </c>
      <c r="T240" s="104"/>
      <c r="U240" s="21" t="s">
        <v>226</v>
      </c>
      <c r="V240" s="76"/>
      <c r="W240" s="77">
        <v>3</v>
      </c>
      <c r="X240" s="55" t="s">
        <v>170</v>
      </c>
      <c r="Y240" s="55">
        <v>10</v>
      </c>
      <c r="Z240" s="55">
        <v>10</v>
      </c>
      <c r="AA240" s="73" t="s">
        <v>109</v>
      </c>
      <c r="AB240" s="73" t="s">
        <v>19</v>
      </c>
      <c r="AC240" s="103"/>
      <c r="AD240" s="451"/>
      <c r="AE240" s="452"/>
      <c r="AF240" s="453" t="str">
        <f t="shared" si="75"/>
        <v xml:space="preserve">          </v>
      </c>
      <c r="AG240" s="442" t="str">
        <f t="shared" si="71"/>
        <v>-</v>
      </c>
      <c r="AH240" s="452"/>
      <c r="AI240" s="447" t="s">
        <v>532</v>
      </c>
      <c r="AJ240" s="451"/>
      <c r="AK240" s="452"/>
      <c r="AL240" s="453" t="str">
        <f t="shared" si="76"/>
        <v xml:space="preserve">          </v>
      </c>
      <c r="AM240" s="442" t="str">
        <f t="shared" si="72"/>
        <v>-</v>
      </c>
      <c r="AN240" s="452"/>
      <c r="AO240" s="447" t="s">
        <v>532</v>
      </c>
      <c r="AP240" s="451"/>
      <c r="AQ240" s="452"/>
      <c r="AR240" s="453" t="str">
        <f t="shared" si="77"/>
        <v xml:space="preserve">          </v>
      </c>
      <c r="AS240" s="447" t="s">
        <v>532</v>
      </c>
      <c r="AT240" s="464"/>
      <c r="AU240" s="447" t="s">
        <v>532</v>
      </c>
      <c r="AV240" s="451"/>
      <c r="AW240" s="452"/>
      <c r="AX240" s="453" t="str">
        <f t="shared" si="78"/>
        <v xml:space="preserve">          </v>
      </c>
      <c r="AY240" s="442" t="str">
        <f t="shared" si="73"/>
        <v>-</v>
      </c>
      <c r="AZ240" s="452"/>
      <c r="BA240" s="447" t="s">
        <v>532</v>
      </c>
      <c r="BB240" s="78"/>
      <c r="BC240" s="420"/>
      <c r="BD240" s="79" t="str">
        <f t="shared" si="79"/>
        <v xml:space="preserve">          </v>
      </c>
      <c r="BE240" s="213" t="str">
        <f t="shared" si="74"/>
        <v>-</v>
      </c>
      <c r="BF240" s="378"/>
      <c r="BG240" s="225" t="s">
        <v>215</v>
      </c>
      <c r="BH240" s="78"/>
      <c r="BI240" s="420"/>
      <c r="BJ240" s="79" t="str">
        <f t="shared" si="80"/>
        <v xml:space="preserve">          </v>
      </c>
      <c r="BK240" s="213" t="s">
        <v>215</v>
      </c>
      <c r="BL240" s="378"/>
      <c r="BM240" s="225" t="s">
        <v>215</v>
      </c>
    </row>
    <row r="241" spans="1:65" s="80" customFormat="1" ht="25.5">
      <c r="B241" s="64">
        <f t="shared" si="81"/>
        <v>234</v>
      </c>
      <c r="C241" s="68"/>
      <c r="D241" s="68"/>
      <c r="E241" s="68"/>
      <c r="F241" s="81" t="s">
        <v>171</v>
      </c>
      <c r="G241" s="14"/>
      <c r="H241" s="82"/>
      <c r="I241" s="73"/>
      <c r="J241" s="73"/>
      <c r="K241" s="74"/>
      <c r="L241" s="74"/>
      <c r="M241" s="83" t="s">
        <v>274</v>
      </c>
      <c r="N241" s="75"/>
      <c r="O241" s="76"/>
      <c r="P241" s="93">
        <f t="shared" si="83"/>
        <v>211</v>
      </c>
      <c r="Q241" s="117">
        <v>3</v>
      </c>
      <c r="R241" s="21" t="str">
        <f t="shared" si="82"/>
        <v>X</v>
      </c>
      <c r="S241" s="96" t="s">
        <v>172</v>
      </c>
      <c r="T241" s="104"/>
      <c r="U241" s="21" t="s">
        <v>226</v>
      </c>
      <c r="V241" s="76"/>
      <c r="W241" s="77">
        <v>3</v>
      </c>
      <c r="X241" s="55" t="s">
        <v>173</v>
      </c>
      <c r="Y241" s="55">
        <v>3</v>
      </c>
      <c r="Z241" s="55">
        <v>3</v>
      </c>
      <c r="AA241" s="73" t="s">
        <v>109</v>
      </c>
      <c r="AB241" s="73" t="s">
        <v>19</v>
      </c>
      <c r="AC241" s="103"/>
      <c r="AD241" s="451"/>
      <c r="AE241" s="452"/>
      <c r="AF241" s="453" t="str">
        <f t="shared" si="75"/>
        <v xml:space="preserve">   </v>
      </c>
      <c r="AG241" s="442" t="str">
        <f t="shared" si="71"/>
        <v>-</v>
      </c>
      <c r="AH241" s="452"/>
      <c r="AI241" s="447" t="s">
        <v>532</v>
      </c>
      <c r="AJ241" s="451"/>
      <c r="AK241" s="452"/>
      <c r="AL241" s="453" t="str">
        <f t="shared" si="76"/>
        <v xml:space="preserve">   </v>
      </c>
      <c r="AM241" s="442" t="str">
        <f t="shared" si="72"/>
        <v>-</v>
      </c>
      <c r="AN241" s="452"/>
      <c r="AO241" s="447" t="s">
        <v>532</v>
      </c>
      <c r="AP241" s="451"/>
      <c r="AQ241" s="452"/>
      <c r="AR241" s="453" t="str">
        <f t="shared" si="77"/>
        <v xml:space="preserve">   </v>
      </c>
      <c r="AS241" s="447" t="s">
        <v>532</v>
      </c>
      <c r="AT241" s="464"/>
      <c r="AU241" s="447" t="s">
        <v>532</v>
      </c>
      <c r="AV241" s="451"/>
      <c r="AW241" s="452"/>
      <c r="AX241" s="453" t="str">
        <f t="shared" si="78"/>
        <v xml:space="preserve">   </v>
      </c>
      <c r="AY241" s="442" t="str">
        <f t="shared" si="73"/>
        <v>-</v>
      </c>
      <c r="AZ241" s="452"/>
      <c r="BA241" s="447" t="s">
        <v>532</v>
      </c>
      <c r="BB241" s="78"/>
      <c r="BC241" s="420"/>
      <c r="BD241" s="79" t="str">
        <f t="shared" si="79"/>
        <v xml:space="preserve">   </v>
      </c>
      <c r="BE241" s="213" t="str">
        <f t="shared" si="74"/>
        <v>-</v>
      </c>
      <c r="BF241" s="378"/>
      <c r="BG241" s="225" t="s">
        <v>215</v>
      </c>
      <c r="BH241" s="78"/>
      <c r="BI241" s="420"/>
      <c r="BJ241" s="79" t="str">
        <f t="shared" si="80"/>
        <v xml:space="preserve">   </v>
      </c>
      <c r="BK241" s="213" t="s">
        <v>215</v>
      </c>
      <c r="BL241" s="378"/>
      <c r="BM241" s="225" t="s">
        <v>215</v>
      </c>
    </row>
    <row r="242" spans="1:65" s="80" customFormat="1" ht="25.5">
      <c r="B242" s="64">
        <f t="shared" si="81"/>
        <v>235</v>
      </c>
      <c r="C242" s="68"/>
      <c r="D242" s="68"/>
      <c r="E242" s="68"/>
      <c r="F242" s="81" t="s">
        <v>174</v>
      </c>
      <c r="G242" s="14"/>
      <c r="H242" s="82"/>
      <c r="I242" s="73"/>
      <c r="J242" s="73"/>
      <c r="K242" s="74"/>
      <c r="L242" s="74"/>
      <c r="M242" s="83" t="s">
        <v>274</v>
      </c>
      <c r="N242" s="75"/>
      <c r="O242" s="76"/>
      <c r="P242" s="93">
        <f>P241+1</f>
        <v>212</v>
      </c>
      <c r="Q242" s="117">
        <v>2</v>
      </c>
      <c r="R242" s="21" t="str">
        <f t="shared" si="82"/>
        <v>X</v>
      </c>
      <c r="S242" s="96" t="s">
        <v>175</v>
      </c>
      <c r="T242" s="104"/>
      <c r="U242" s="21" t="s">
        <v>226</v>
      </c>
      <c r="V242" s="76"/>
      <c r="W242" s="77">
        <v>3</v>
      </c>
      <c r="X242" s="55" t="s">
        <v>176</v>
      </c>
      <c r="Y242" s="55">
        <v>2</v>
      </c>
      <c r="Z242" s="55">
        <v>2</v>
      </c>
      <c r="AA242" s="73" t="s">
        <v>109</v>
      </c>
      <c r="AB242" s="73" t="s">
        <v>19</v>
      </c>
      <c r="AC242" s="103"/>
      <c r="AD242" s="451"/>
      <c r="AE242" s="452"/>
      <c r="AF242" s="453" t="str">
        <f t="shared" si="75"/>
        <v xml:space="preserve">  </v>
      </c>
      <c r="AG242" s="442" t="str">
        <f t="shared" si="71"/>
        <v>-</v>
      </c>
      <c r="AH242" s="452"/>
      <c r="AI242" s="447" t="s">
        <v>532</v>
      </c>
      <c r="AJ242" s="451"/>
      <c r="AK242" s="452"/>
      <c r="AL242" s="453" t="str">
        <f t="shared" si="76"/>
        <v xml:space="preserve">  </v>
      </c>
      <c r="AM242" s="442" t="str">
        <f t="shared" si="72"/>
        <v>-</v>
      </c>
      <c r="AN242" s="452"/>
      <c r="AO242" s="447" t="s">
        <v>532</v>
      </c>
      <c r="AP242" s="451"/>
      <c r="AQ242" s="452"/>
      <c r="AR242" s="453" t="str">
        <f t="shared" si="77"/>
        <v xml:space="preserve">  </v>
      </c>
      <c r="AS242" s="447" t="s">
        <v>532</v>
      </c>
      <c r="AT242" s="464"/>
      <c r="AU242" s="447" t="s">
        <v>532</v>
      </c>
      <c r="AV242" s="451"/>
      <c r="AW242" s="452"/>
      <c r="AX242" s="453" t="str">
        <f t="shared" si="78"/>
        <v xml:space="preserve">  </v>
      </c>
      <c r="AY242" s="442" t="str">
        <f t="shared" si="73"/>
        <v>-</v>
      </c>
      <c r="AZ242" s="452"/>
      <c r="BA242" s="447" t="s">
        <v>532</v>
      </c>
      <c r="BB242" s="78"/>
      <c r="BC242" s="420"/>
      <c r="BD242" s="79" t="str">
        <f t="shared" si="79"/>
        <v xml:space="preserve">  </v>
      </c>
      <c r="BE242" s="213" t="str">
        <f t="shared" si="74"/>
        <v>-</v>
      </c>
      <c r="BF242" s="378"/>
      <c r="BG242" s="225" t="s">
        <v>215</v>
      </c>
      <c r="BH242" s="78"/>
      <c r="BI242" s="420"/>
      <c r="BJ242" s="79" t="str">
        <f t="shared" si="80"/>
        <v xml:space="preserve">  </v>
      </c>
      <c r="BK242" s="213" t="s">
        <v>215</v>
      </c>
      <c r="BL242" s="378"/>
      <c r="BM242" s="225" t="s">
        <v>215</v>
      </c>
    </row>
    <row r="243" spans="1:65" s="80" customFormat="1" ht="51.75" customHeight="1">
      <c r="B243" s="64">
        <f t="shared" si="81"/>
        <v>236</v>
      </c>
      <c r="C243" s="68"/>
      <c r="D243" s="68"/>
      <c r="E243" s="68"/>
      <c r="F243" s="228" t="s">
        <v>177</v>
      </c>
      <c r="G243" s="229"/>
      <c r="H243" s="230"/>
      <c r="I243" s="73"/>
      <c r="J243" s="73"/>
      <c r="K243" s="74"/>
      <c r="L243" s="74"/>
      <c r="M243" s="83" t="s">
        <v>178</v>
      </c>
      <c r="N243" s="75"/>
      <c r="O243" s="76"/>
      <c r="P243" s="93">
        <f>P242+1</f>
        <v>213</v>
      </c>
      <c r="Q243" s="117">
        <v>5</v>
      </c>
      <c r="R243" s="21" t="str">
        <f t="shared" si="82"/>
        <v>X</v>
      </c>
      <c r="S243" s="96" t="s">
        <v>179</v>
      </c>
      <c r="T243" s="104"/>
      <c r="U243" s="21" t="s">
        <v>226</v>
      </c>
      <c r="V243" s="76"/>
      <c r="W243" s="77">
        <v>3</v>
      </c>
      <c r="X243" s="55" t="s">
        <v>262</v>
      </c>
      <c r="Y243" s="55">
        <v>5</v>
      </c>
      <c r="Z243" s="55">
        <v>5</v>
      </c>
      <c r="AA243" s="73" t="s">
        <v>109</v>
      </c>
      <c r="AB243" s="73" t="s">
        <v>19</v>
      </c>
      <c r="AC243" s="84"/>
      <c r="AD243" s="451"/>
      <c r="AE243" s="459"/>
      <c r="AF243" s="453" t="str">
        <f t="shared" si="75"/>
        <v xml:space="preserve">     </v>
      </c>
      <c r="AG243" s="442" t="str">
        <f t="shared" si="71"/>
        <v>-</v>
      </c>
      <c r="AH243" s="459"/>
      <c r="AI243" s="447" t="s">
        <v>532</v>
      </c>
      <c r="AJ243" s="451"/>
      <c r="AK243" s="459"/>
      <c r="AL243" s="453" t="str">
        <f t="shared" si="76"/>
        <v xml:space="preserve">     </v>
      </c>
      <c r="AM243" s="442" t="str">
        <f t="shared" si="72"/>
        <v>-</v>
      </c>
      <c r="AN243" s="459"/>
      <c r="AO243" s="447" t="s">
        <v>532</v>
      </c>
      <c r="AP243" s="451"/>
      <c r="AQ243" s="459"/>
      <c r="AR243" s="453" t="str">
        <f t="shared" si="77"/>
        <v xml:space="preserve">     </v>
      </c>
      <c r="AS243" s="447" t="s">
        <v>532</v>
      </c>
      <c r="AT243" s="466"/>
      <c r="AU243" s="447" t="s">
        <v>532</v>
      </c>
      <c r="AV243" s="451"/>
      <c r="AW243" s="459"/>
      <c r="AX243" s="453" t="str">
        <f t="shared" si="78"/>
        <v xml:space="preserve">     </v>
      </c>
      <c r="AY243" s="442" t="str">
        <f t="shared" si="73"/>
        <v>-</v>
      </c>
      <c r="AZ243" s="459"/>
      <c r="BA243" s="447" t="s">
        <v>532</v>
      </c>
      <c r="BB243" s="78"/>
      <c r="BC243" s="421"/>
      <c r="BD243" s="79" t="str">
        <f t="shared" si="79"/>
        <v xml:space="preserve">     </v>
      </c>
      <c r="BE243" s="213" t="str">
        <f t="shared" si="74"/>
        <v>-</v>
      </c>
      <c r="BF243" s="382"/>
      <c r="BG243" s="225" t="s">
        <v>215</v>
      </c>
      <c r="BH243" s="78"/>
      <c r="BI243" s="421"/>
      <c r="BJ243" s="79" t="str">
        <f t="shared" si="80"/>
        <v xml:space="preserve">     </v>
      </c>
      <c r="BK243" s="213" t="s">
        <v>215</v>
      </c>
      <c r="BL243" s="382"/>
      <c r="BM243" s="225" t="s">
        <v>215</v>
      </c>
    </row>
    <row r="244" spans="1:65" s="80" customFormat="1" ht="51.75" customHeight="1">
      <c r="B244" s="64">
        <f t="shared" si="81"/>
        <v>237</v>
      </c>
      <c r="C244" s="68"/>
      <c r="D244" s="68"/>
      <c r="E244" s="68"/>
      <c r="F244" s="228" t="s">
        <v>180</v>
      </c>
      <c r="G244" s="229"/>
      <c r="H244" s="230"/>
      <c r="I244" s="73"/>
      <c r="J244" s="73"/>
      <c r="K244" s="74"/>
      <c r="L244" s="74"/>
      <c r="M244" s="83" t="s">
        <v>181</v>
      </c>
      <c r="N244" s="75"/>
      <c r="O244" s="76"/>
      <c r="P244" s="93">
        <f>P243+1</f>
        <v>214</v>
      </c>
      <c r="Q244" s="117">
        <v>64</v>
      </c>
      <c r="R244" s="21" t="str">
        <f>IF(AA244="M","NX",AA244)</f>
        <v>NX</v>
      </c>
      <c r="S244" s="96" t="s">
        <v>182</v>
      </c>
      <c r="T244" s="104"/>
      <c r="U244" s="21" t="s">
        <v>226</v>
      </c>
      <c r="V244" s="76" t="s">
        <v>263</v>
      </c>
      <c r="W244" s="77">
        <v>3</v>
      </c>
      <c r="X244" s="55" t="s">
        <v>264</v>
      </c>
      <c r="Y244" s="55">
        <v>1</v>
      </c>
      <c r="Z244" s="55">
        <v>64</v>
      </c>
      <c r="AA244" s="73" t="s">
        <v>252</v>
      </c>
      <c r="AB244" s="73" t="s">
        <v>19</v>
      </c>
      <c r="AC244" s="84" t="s">
        <v>263</v>
      </c>
      <c r="AD244" s="451"/>
      <c r="AE244" s="459"/>
      <c r="AF244" s="453" t="str">
        <f t="shared" si="75"/>
        <v xml:space="preserve">                                                                </v>
      </c>
      <c r="AG244" s="442" t="str">
        <f t="shared" si="71"/>
        <v>-</v>
      </c>
      <c r="AH244" s="459"/>
      <c r="AI244" s="447" t="s">
        <v>532</v>
      </c>
      <c r="AJ244" s="451"/>
      <c r="AK244" s="459"/>
      <c r="AL244" s="453" t="str">
        <f t="shared" si="76"/>
        <v xml:space="preserve">                                                                </v>
      </c>
      <c r="AM244" s="442" t="str">
        <f t="shared" si="72"/>
        <v>-</v>
      </c>
      <c r="AN244" s="459"/>
      <c r="AO244" s="447" t="s">
        <v>532</v>
      </c>
      <c r="AP244" s="451"/>
      <c r="AQ244" s="459"/>
      <c r="AR244" s="453" t="str">
        <f t="shared" si="77"/>
        <v xml:space="preserve">                                                                </v>
      </c>
      <c r="AS244" s="447" t="s">
        <v>532</v>
      </c>
      <c r="AT244" s="466"/>
      <c r="AU244" s="447" t="s">
        <v>532</v>
      </c>
      <c r="AV244" s="451"/>
      <c r="AW244" s="459"/>
      <c r="AX244" s="453" t="str">
        <f t="shared" si="78"/>
        <v xml:space="preserve">                                                                </v>
      </c>
      <c r="AY244" s="442" t="str">
        <f t="shared" si="73"/>
        <v>-</v>
      </c>
      <c r="AZ244" s="459"/>
      <c r="BA244" s="447" t="s">
        <v>532</v>
      </c>
      <c r="BB244" s="78"/>
      <c r="BC244" s="421"/>
      <c r="BD244" s="79" t="str">
        <f t="shared" si="79"/>
        <v xml:space="preserve">                                                                </v>
      </c>
      <c r="BE244" s="213" t="str">
        <f t="shared" si="74"/>
        <v>-</v>
      </c>
      <c r="BF244" s="382"/>
      <c r="BG244" s="225" t="s">
        <v>215</v>
      </c>
      <c r="BH244" s="78"/>
      <c r="BI244" s="421"/>
      <c r="BJ244" s="79" t="str">
        <f t="shared" si="80"/>
        <v xml:space="preserve">                                                                </v>
      </c>
      <c r="BK244" s="213" t="s">
        <v>215</v>
      </c>
      <c r="BL244" s="382"/>
      <c r="BM244" s="225" t="s">
        <v>215</v>
      </c>
    </row>
    <row r="245" spans="1:65" s="80" customFormat="1" ht="92.25" customHeight="1">
      <c r="B245" s="64">
        <f t="shared" si="81"/>
        <v>238</v>
      </c>
      <c r="C245" s="68"/>
      <c r="D245" s="68"/>
      <c r="E245" s="68"/>
      <c r="F245" s="81" t="s">
        <v>276</v>
      </c>
      <c r="G245" s="14"/>
      <c r="H245" s="82"/>
      <c r="I245" s="73"/>
      <c r="J245" s="73"/>
      <c r="K245" s="74"/>
      <c r="L245" s="74"/>
      <c r="M245" s="415" t="s">
        <v>207</v>
      </c>
      <c r="N245" s="75"/>
      <c r="O245" s="76"/>
      <c r="P245" s="93">
        <f>P244+1</f>
        <v>215</v>
      </c>
      <c r="Q245" s="117">
        <v>7</v>
      </c>
      <c r="R245" s="21" t="s">
        <v>229</v>
      </c>
      <c r="S245" s="96" t="s">
        <v>265</v>
      </c>
      <c r="T245" s="104"/>
      <c r="U245" s="21" t="s">
        <v>226</v>
      </c>
      <c r="V245" s="76"/>
      <c r="W245" s="77">
        <v>3</v>
      </c>
      <c r="X245" s="55" t="s">
        <v>266</v>
      </c>
      <c r="Y245" s="55">
        <v>7</v>
      </c>
      <c r="Z245" s="55">
        <v>7</v>
      </c>
      <c r="AA245" s="73" t="s">
        <v>229</v>
      </c>
      <c r="AB245" s="73" t="s">
        <v>19</v>
      </c>
      <c r="AC245" s="84"/>
      <c r="AD245" s="451"/>
      <c r="AE245" s="452"/>
      <c r="AF245" s="453" t="str">
        <f t="shared" si="75"/>
        <v xml:space="preserve">       </v>
      </c>
      <c r="AG245" s="442" t="str">
        <f t="shared" si="71"/>
        <v>-</v>
      </c>
      <c r="AH245" s="452"/>
      <c r="AI245" s="447" t="s">
        <v>532</v>
      </c>
      <c r="AJ245" s="451"/>
      <c r="AK245" s="452"/>
      <c r="AL245" s="453" t="str">
        <f t="shared" si="76"/>
        <v xml:space="preserve">       </v>
      </c>
      <c r="AM245" s="442" t="str">
        <f t="shared" si="72"/>
        <v>-</v>
      </c>
      <c r="AN245" s="452"/>
      <c r="AO245" s="447" t="s">
        <v>532</v>
      </c>
      <c r="AP245" s="451"/>
      <c r="AQ245" s="452"/>
      <c r="AR245" s="453" t="str">
        <f t="shared" si="77"/>
        <v xml:space="preserve">       </v>
      </c>
      <c r="AS245" s="447" t="s">
        <v>532</v>
      </c>
      <c r="AT245" s="464"/>
      <c r="AU245" s="447" t="s">
        <v>532</v>
      </c>
      <c r="AV245" s="451"/>
      <c r="AW245" s="452"/>
      <c r="AX245" s="453" t="str">
        <f t="shared" si="78"/>
        <v xml:space="preserve">       </v>
      </c>
      <c r="AY245" s="442" t="str">
        <f t="shared" si="73"/>
        <v>-</v>
      </c>
      <c r="AZ245" s="452"/>
      <c r="BA245" s="447" t="s">
        <v>532</v>
      </c>
      <c r="BB245" s="78"/>
      <c r="BC245" s="420"/>
      <c r="BD245" s="79" t="str">
        <f t="shared" si="79"/>
        <v xml:space="preserve">       </v>
      </c>
      <c r="BE245" s="213" t="str">
        <f t="shared" si="74"/>
        <v>-</v>
      </c>
      <c r="BF245" s="378"/>
      <c r="BG245" s="225" t="s">
        <v>215</v>
      </c>
      <c r="BH245" s="78"/>
      <c r="BI245" s="420"/>
      <c r="BJ245" s="79" t="str">
        <f t="shared" si="80"/>
        <v xml:space="preserve">       </v>
      </c>
      <c r="BK245" s="213" t="s">
        <v>215</v>
      </c>
      <c r="BL245" s="378"/>
      <c r="BM245" s="225" t="s">
        <v>215</v>
      </c>
    </row>
    <row r="246" spans="1:65" s="80" customFormat="1" ht="127.9" thickBot="1">
      <c r="A246" s="216"/>
      <c r="B246" s="231">
        <f t="shared" si="81"/>
        <v>239</v>
      </c>
      <c r="C246" s="232"/>
      <c r="D246" s="232"/>
      <c r="E246" s="232"/>
      <c r="F246" s="234" t="s">
        <v>267</v>
      </c>
      <c r="G246" s="235"/>
      <c r="H246" s="236"/>
      <c r="I246" s="237"/>
      <c r="J246" s="237"/>
      <c r="K246" s="237"/>
      <c r="L246" s="237"/>
      <c r="M246" s="416" t="s">
        <v>277</v>
      </c>
      <c r="N246" s="417"/>
      <c r="O246" s="419"/>
      <c r="P246" s="429">
        <f>P245+1</f>
        <v>216</v>
      </c>
      <c r="Q246" s="430">
        <v>1</v>
      </c>
      <c r="R246" s="431">
        <v>9</v>
      </c>
      <c r="S246" s="430" t="s">
        <v>268</v>
      </c>
      <c r="T246" s="430"/>
      <c r="U246" s="431" t="s">
        <v>226</v>
      </c>
      <c r="V246" s="432"/>
      <c r="W246" s="433" t="str">
        <f>IF(C246&lt;&gt;"","0",IF(D246&lt;&gt;"","1",IF(E246&lt;&gt;"","2",IF(F246&lt;&gt;"","3",IF(G246&lt;&gt;"","4",IF(H246&lt;&gt;"","5"))))))</f>
        <v>3</v>
      </c>
      <c r="X246" s="434" t="s">
        <v>269</v>
      </c>
      <c r="Y246" s="434">
        <v>1</v>
      </c>
      <c r="Z246" s="434">
        <v>1</v>
      </c>
      <c r="AA246" s="435">
        <v>9</v>
      </c>
      <c r="AB246" s="237" t="s">
        <v>226</v>
      </c>
      <c r="AC246" s="436"/>
      <c r="AD246" s="454"/>
      <c r="AE246" s="455"/>
      <c r="AF246" s="456" t="str">
        <f t="shared" si="75"/>
        <v xml:space="preserve"> </v>
      </c>
      <c r="AG246" s="457" t="str">
        <f t="shared" si="71"/>
        <v>-</v>
      </c>
      <c r="AH246" s="455"/>
      <c r="AI246" s="458" t="s">
        <v>532</v>
      </c>
      <c r="AJ246" s="454"/>
      <c r="AK246" s="455"/>
      <c r="AL246" s="456" t="str">
        <f t="shared" si="76"/>
        <v xml:space="preserve"> </v>
      </c>
      <c r="AM246" s="457" t="str">
        <f t="shared" si="72"/>
        <v>-</v>
      </c>
      <c r="AN246" s="455"/>
      <c r="AO246" s="458" t="s">
        <v>532</v>
      </c>
      <c r="AP246" s="454"/>
      <c r="AQ246" s="455"/>
      <c r="AR246" s="456" t="str">
        <f t="shared" si="77"/>
        <v xml:space="preserve"> </v>
      </c>
      <c r="AS246" s="457" t="s">
        <v>532</v>
      </c>
      <c r="AT246" s="465"/>
      <c r="AU246" s="458" t="s">
        <v>532</v>
      </c>
      <c r="AV246" s="454"/>
      <c r="AW246" s="455"/>
      <c r="AX246" s="456" t="str">
        <f t="shared" si="78"/>
        <v xml:space="preserve"> </v>
      </c>
      <c r="AY246" s="457" t="str">
        <f t="shared" si="73"/>
        <v>-</v>
      </c>
      <c r="AZ246" s="455"/>
      <c r="BA246" s="458" t="s">
        <v>532</v>
      </c>
      <c r="BB246" s="211"/>
      <c r="BC246" s="422"/>
      <c r="BD246" s="212" t="str">
        <f t="shared" si="79"/>
        <v xml:space="preserve"> </v>
      </c>
      <c r="BE246" s="226" t="str">
        <f t="shared" si="74"/>
        <v>-</v>
      </c>
      <c r="BF246" s="352"/>
      <c r="BG246" s="403" t="s">
        <v>215</v>
      </c>
      <c r="BH246" s="211"/>
      <c r="BI246" s="422"/>
      <c r="BJ246" s="212" t="str">
        <f t="shared" si="80"/>
        <v xml:space="preserve"> </v>
      </c>
      <c r="BK246" s="226" t="s">
        <v>215</v>
      </c>
      <c r="BL246" s="352"/>
      <c r="BM246" s="403" t="s">
        <v>215</v>
      </c>
    </row>
    <row r="247" spans="1:65" s="26" customFormat="1" ht="18.75" customHeight="1" thickTop="1">
      <c r="B247" s="2">
        <f t="shared" si="81"/>
        <v>240</v>
      </c>
      <c r="C247" s="7"/>
      <c r="D247" s="7"/>
      <c r="E247" s="100" t="s">
        <v>482</v>
      </c>
      <c r="F247" s="410"/>
      <c r="G247" s="410"/>
      <c r="H247" s="61"/>
      <c r="I247" s="8" t="s">
        <v>29</v>
      </c>
      <c r="J247" s="8" t="s">
        <v>446</v>
      </c>
      <c r="K247" s="8"/>
      <c r="L247" s="8"/>
      <c r="M247" s="1" t="s">
        <v>272</v>
      </c>
      <c r="N247" s="9"/>
      <c r="O247" s="423"/>
      <c r="P247" s="93"/>
      <c r="Q247" s="113"/>
      <c r="R247" s="21"/>
      <c r="S247" s="424"/>
      <c r="T247" s="9"/>
      <c r="U247" s="21"/>
      <c r="V247" s="98"/>
      <c r="W247" s="25" t="str">
        <f>IF(C247&lt;&gt;"","0",IF(D247&lt;&gt;"","1",IF(E247&lt;&gt;"","2",IF(F247&lt;&gt;"","3",IF(G247&lt;&gt;"","4",IF(H247&lt;&gt;"","5"))))))</f>
        <v>2</v>
      </c>
      <c r="X247" s="1" t="s">
        <v>117</v>
      </c>
      <c r="Y247" s="1"/>
      <c r="Z247" s="1"/>
      <c r="AA247" s="8"/>
      <c r="AB247" s="8" t="s">
        <v>480</v>
      </c>
      <c r="AC247" s="62"/>
      <c r="AD247" s="444"/>
      <c r="AE247" s="440"/>
      <c r="AF247" s="440" t="str">
        <f t="shared" si="75"/>
        <v/>
      </c>
      <c r="AG247" s="442" t="str">
        <f t="shared" si="71"/>
        <v>-</v>
      </c>
      <c r="AH247" s="440"/>
      <c r="AI247" s="448" t="s">
        <v>532</v>
      </c>
      <c r="AJ247" s="444"/>
      <c r="AK247" s="440"/>
      <c r="AL247" s="440" t="str">
        <f t="shared" si="76"/>
        <v/>
      </c>
      <c r="AM247" s="442" t="str">
        <f t="shared" si="72"/>
        <v>-</v>
      </c>
      <c r="AN247" s="440"/>
      <c r="AO247" s="448" t="s">
        <v>532</v>
      </c>
      <c r="AP247" s="444"/>
      <c r="AQ247" s="440"/>
      <c r="AR247" s="440" t="str">
        <f t="shared" si="77"/>
        <v/>
      </c>
      <c r="AS247" s="442" t="s">
        <v>532</v>
      </c>
      <c r="AT247" s="462"/>
      <c r="AU247" s="448" t="s">
        <v>532</v>
      </c>
      <c r="AV247" s="444"/>
      <c r="AW247" s="440"/>
      <c r="AX247" s="440" t="str">
        <f t="shared" si="78"/>
        <v/>
      </c>
      <c r="AY247" s="442" t="str">
        <f t="shared" si="73"/>
        <v>-</v>
      </c>
      <c r="AZ247" s="440"/>
      <c r="BA247" s="448" t="s">
        <v>532</v>
      </c>
      <c r="BB247" s="59"/>
      <c r="BC247" s="60"/>
      <c r="BD247" s="60" t="str">
        <f t="shared" si="79"/>
        <v/>
      </c>
      <c r="BE247" s="213" t="str">
        <f t="shared" si="74"/>
        <v>-</v>
      </c>
      <c r="BF247" s="167"/>
      <c r="BG247" s="405" t="s">
        <v>215</v>
      </c>
      <c r="BH247" s="59"/>
      <c r="BI247" s="60"/>
      <c r="BJ247" s="60" t="str">
        <f t="shared" si="80"/>
        <v/>
      </c>
      <c r="BK247" s="260" t="s">
        <v>215</v>
      </c>
      <c r="BL247" s="167"/>
      <c r="BM247" s="405" t="s">
        <v>215</v>
      </c>
    </row>
    <row r="248" spans="1:65" s="26" customFormat="1" ht="63.75">
      <c r="B248" s="2">
        <f t="shared" si="81"/>
        <v>241</v>
      </c>
      <c r="C248" s="127"/>
      <c r="D248" s="7"/>
      <c r="E248" s="7"/>
      <c r="F248" s="110" t="s">
        <v>87</v>
      </c>
      <c r="G248" s="16"/>
      <c r="H248" s="13"/>
      <c r="I248" s="6"/>
      <c r="J248" s="6"/>
      <c r="K248" s="6"/>
      <c r="L248" s="8"/>
      <c r="M248" s="23" t="s">
        <v>248</v>
      </c>
      <c r="N248" s="1"/>
      <c r="O248" s="56"/>
      <c r="P248" s="93">
        <f>P246+1</f>
        <v>217</v>
      </c>
      <c r="Q248" s="115">
        <v>2</v>
      </c>
      <c r="R248" s="21" t="str">
        <f>IF(AA248="M","NX",AA248)</f>
        <v>X</v>
      </c>
      <c r="S248" s="96" t="s">
        <v>483</v>
      </c>
      <c r="T248" s="94"/>
      <c r="U248" s="21" t="s">
        <v>480</v>
      </c>
      <c r="V248" s="116" t="s">
        <v>189</v>
      </c>
      <c r="W248" s="25" t="str">
        <f>IF(C248&lt;&gt;"","0",IF(D248&lt;&gt;"","1",IF(E248&lt;&gt;"","2",IF(F248&lt;&gt;"","3",IF(G248&lt;&gt;"","4",IF(H248&lt;&gt;"","5"))))))</f>
        <v>3</v>
      </c>
      <c r="X248" s="5" t="s">
        <v>484</v>
      </c>
      <c r="Y248" s="57">
        <v>2</v>
      </c>
      <c r="Z248" s="57">
        <v>2</v>
      </c>
      <c r="AA248" s="58" t="s">
        <v>109</v>
      </c>
      <c r="AB248" s="58" t="s">
        <v>19</v>
      </c>
      <c r="AC248" s="12"/>
      <c r="AD248" s="444"/>
      <c r="AE248" s="445"/>
      <c r="AF248" s="446" t="str">
        <f t="shared" si="75"/>
        <v xml:space="preserve">  </v>
      </c>
      <c r="AG248" s="442" t="str">
        <f t="shared" si="71"/>
        <v>-</v>
      </c>
      <c r="AH248" s="445"/>
      <c r="AI248" s="447" t="s">
        <v>532</v>
      </c>
      <c r="AJ248" s="444"/>
      <c r="AK248" s="445"/>
      <c r="AL248" s="446" t="str">
        <f t="shared" si="76"/>
        <v xml:space="preserve">  </v>
      </c>
      <c r="AM248" s="442" t="str">
        <f t="shared" si="72"/>
        <v>-</v>
      </c>
      <c r="AN248" s="445"/>
      <c r="AO248" s="447" t="s">
        <v>532</v>
      </c>
      <c r="AP248" s="444"/>
      <c r="AQ248" s="445"/>
      <c r="AR248" s="446" t="str">
        <f t="shared" si="77"/>
        <v xml:space="preserve">  </v>
      </c>
      <c r="AS248" s="447" t="s">
        <v>532</v>
      </c>
      <c r="AT248" s="463"/>
      <c r="AU248" s="447" t="s">
        <v>532</v>
      </c>
      <c r="AV248" s="444"/>
      <c r="AW248" s="445"/>
      <c r="AX248" s="446" t="str">
        <f t="shared" si="78"/>
        <v xml:space="preserve">  </v>
      </c>
      <c r="AY248" s="442" t="str">
        <f t="shared" si="73"/>
        <v>-</v>
      </c>
      <c r="AZ248" s="445"/>
      <c r="BA248" s="447" t="s">
        <v>532</v>
      </c>
      <c r="BB248" s="59"/>
      <c r="BC248" s="223"/>
      <c r="BD248" s="254" t="str">
        <f t="shared" si="79"/>
        <v xml:space="preserve">  </v>
      </c>
      <c r="BE248" s="213" t="str">
        <f t="shared" si="74"/>
        <v>-</v>
      </c>
      <c r="BF248" s="172"/>
      <c r="BG248" s="225" t="s">
        <v>215</v>
      </c>
      <c r="BH248" s="59"/>
      <c r="BI248" s="223"/>
      <c r="BJ248" s="254" t="str">
        <f t="shared" si="80"/>
        <v xml:space="preserve">  </v>
      </c>
      <c r="BK248" s="213" t="s">
        <v>215</v>
      </c>
      <c r="BL248" s="172"/>
      <c r="BM248" s="225" t="s">
        <v>215</v>
      </c>
    </row>
    <row r="249" spans="1:65" s="26" customFormat="1" ht="344.25">
      <c r="B249" s="2">
        <f t="shared" si="81"/>
        <v>242</v>
      </c>
      <c r="C249" s="7"/>
      <c r="D249" s="7"/>
      <c r="E249" s="7"/>
      <c r="F249" s="110" t="s">
        <v>304</v>
      </c>
      <c r="G249" s="16"/>
      <c r="H249" s="13"/>
      <c r="I249" s="8"/>
      <c r="J249" s="8" t="s">
        <v>231</v>
      </c>
      <c r="K249" s="8"/>
      <c r="L249" s="8"/>
      <c r="M249" s="355" t="s">
        <v>478</v>
      </c>
      <c r="N249" s="11"/>
      <c r="O249" s="56"/>
      <c r="P249" s="93">
        <f>P248+1</f>
        <v>218</v>
      </c>
      <c r="Q249" s="113">
        <v>2</v>
      </c>
      <c r="R249" s="21" t="str">
        <f t="shared" ref="R249:R273" si="84">IF(AA249="M","NX",AA249)</f>
        <v>X</v>
      </c>
      <c r="S249" s="96" t="s">
        <v>310</v>
      </c>
      <c r="T249" s="94"/>
      <c r="U249" s="21" t="s">
        <v>226</v>
      </c>
      <c r="V249" s="10"/>
      <c r="W249" s="25">
        <v>3</v>
      </c>
      <c r="X249" s="1" t="s">
        <v>243</v>
      </c>
      <c r="Y249" s="1">
        <v>2</v>
      </c>
      <c r="Z249" s="1">
        <v>2</v>
      </c>
      <c r="AA249" s="8" t="s">
        <v>109</v>
      </c>
      <c r="AB249" s="8" t="s">
        <v>19</v>
      </c>
      <c r="AC249" s="12"/>
      <c r="AD249" s="444"/>
      <c r="AE249" s="445"/>
      <c r="AF249" s="446" t="str">
        <f t="shared" si="75"/>
        <v xml:space="preserve">  </v>
      </c>
      <c r="AG249" s="442" t="str">
        <f t="shared" si="71"/>
        <v>-</v>
      </c>
      <c r="AH249" s="445"/>
      <c r="AI249" s="448" t="s">
        <v>532</v>
      </c>
      <c r="AJ249" s="444"/>
      <c r="AK249" s="445"/>
      <c r="AL249" s="446" t="str">
        <f t="shared" si="76"/>
        <v xml:space="preserve">  </v>
      </c>
      <c r="AM249" s="442" t="str">
        <f t="shared" si="72"/>
        <v>-</v>
      </c>
      <c r="AN249" s="445"/>
      <c r="AO249" s="448" t="s">
        <v>532</v>
      </c>
      <c r="AP249" s="444"/>
      <c r="AQ249" s="445"/>
      <c r="AR249" s="446" t="str">
        <f t="shared" si="77"/>
        <v xml:space="preserve">  </v>
      </c>
      <c r="AS249" s="442" t="s">
        <v>532</v>
      </c>
      <c r="AT249" s="463"/>
      <c r="AU249" s="448" t="s">
        <v>532</v>
      </c>
      <c r="AV249" s="444"/>
      <c r="AW249" s="445"/>
      <c r="AX249" s="446" t="str">
        <f t="shared" si="78"/>
        <v xml:space="preserve">  </v>
      </c>
      <c r="AY249" s="442" t="str">
        <f t="shared" si="73"/>
        <v>-</v>
      </c>
      <c r="AZ249" s="445"/>
      <c r="BA249" s="448" t="s">
        <v>532</v>
      </c>
      <c r="BB249" s="59"/>
      <c r="BC249" s="223"/>
      <c r="BD249" s="254" t="str">
        <f t="shared" si="79"/>
        <v>A3</v>
      </c>
      <c r="BE249" s="213" t="str">
        <f t="shared" si="74"/>
        <v>-</v>
      </c>
      <c r="BF249" s="172" t="s">
        <v>288</v>
      </c>
      <c r="BG249" s="405" t="str">
        <f>IF(OR(BC$8="判定対象外",BF$8="判定対象外",BF249="-"),"-",IF(BC249=BF249,"OK","NG"))</f>
        <v>NG</v>
      </c>
      <c r="BH249" s="59"/>
      <c r="BI249" s="223"/>
      <c r="BJ249" s="254" t="str">
        <f t="shared" si="80"/>
        <v>B4</v>
      </c>
      <c r="BK249" s="213" t="str">
        <f>IF(OR(BI$8="判定対象外",BJ$8="判定対象外",BJ249="-"),"-",IF(BI249=BJ249,"OK","NG"))</f>
        <v>NG</v>
      </c>
      <c r="BL249" s="172" t="s">
        <v>578</v>
      </c>
      <c r="BM249" s="405" t="str">
        <f>IF(OR(BI$8="判定対象外",BL$8="判定対象外",BL249="-"),"-",IF(BI249=BL249,"OK","NG"))</f>
        <v>NG</v>
      </c>
    </row>
    <row r="250" spans="1:65" s="26" customFormat="1">
      <c r="B250" s="2">
        <f t="shared" si="81"/>
        <v>243</v>
      </c>
      <c r="C250" s="7"/>
      <c r="D250" s="7"/>
      <c r="E250" s="7"/>
      <c r="F250" s="22" t="s">
        <v>273</v>
      </c>
      <c r="G250" s="16"/>
      <c r="H250" s="13"/>
      <c r="I250" s="8"/>
      <c r="J250" s="8"/>
      <c r="K250" s="8"/>
      <c r="L250" s="8"/>
      <c r="M250" s="358" t="s">
        <v>205</v>
      </c>
      <c r="N250" s="11"/>
      <c r="O250" s="56"/>
      <c r="P250" s="93">
        <f t="shared" ref="P250:P271" si="85">P249+1</f>
        <v>219</v>
      </c>
      <c r="Q250" s="113">
        <v>2</v>
      </c>
      <c r="R250" s="21" t="str">
        <f t="shared" si="84"/>
        <v>X</v>
      </c>
      <c r="S250" s="96" t="s">
        <v>118</v>
      </c>
      <c r="T250" s="94"/>
      <c r="U250" s="21" t="s">
        <v>226</v>
      </c>
      <c r="V250" s="10"/>
      <c r="W250" s="25">
        <v>3</v>
      </c>
      <c r="X250" s="1" t="s">
        <v>119</v>
      </c>
      <c r="Y250" s="1">
        <v>2</v>
      </c>
      <c r="Z250" s="1">
        <v>2</v>
      </c>
      <c r="AA250" s="8" t="s">
        <v>109</v>
      </c>
      <c r="AB250" s="8" t="s">
        <v>19</v>
      </c>
      <c r="AC250" s="12"/>
      <c r="AD250" s="444"/>
      <c r="AE250" s="440"/>
      <c r="AF250" s="440" t="str">
        <f t="shared" si="75"/>
        <v xml:space="preserve">  </v>
      </c>
      <c r="AG250" s="442" t="str">
        <f t="shared" si="71"/>
        <v>-</v>
      </c>
      <c r="AH250" s="440"/>
      <c r="AI250" s="447" t="s">
        <v>532</v>
      </c>
      <c r="AJ250" s="444"/>
      <c r="AK250" s="440"/>
      <c r="AL250" s="440" t="str">
        <f t="shared" si="76"/>
        <v xml:space="preserve">  </v>
      </c>
      <c r="AM250" s="442" t="str">
        <f t="shared" si="72"/>
        <v>-</v>
      </c>
      <c r="AN250" s="440"/>
      <c r="AO250" s="447" t="s">
        <v>532</v>
      </c>
      <c r="AP250" s="444"/>
      <c r="AQ250" s="440"/>
      <c r="AR250" s="440" t="str">
        <f t="shared" si="77"/>
        <v xml:space="preserve">  </v>
      </c>
      <c r="AS250" s="447" t="s">
        <v>532</v>
      </c>
      <c r="AT250" s="462"/>
      <c r="AU250" s="447" t="s">
        <v>532</v>
      </c>
      <c r="AV250" s="444"/>
      <c r="AW250" s="440"/>
      <c r="AX250" s="440" t="str">
        <f t="shared" si="78"/>
        <v xml:space="preserve">  </v>
      </c>
      <c r="AY250" s="442" t="str">
        <f t="shared" si="73"/>
        <v>-</v>
      </c>
      <c r="AZ250" s="440"/>
      <c r="BA250" s="447" t="s">
        <v>532</v>
      </c>
      <c r="BB250" s="59"/>
      <c r="BC250" s="60"/>
      <c r="BD250" s="60" t="str">
        <f t="shared" si="79"/>
        <v xml:space="preserve">  </v>
      </c>
      <c r="BE250" s="213" t="str">
        <f t="shared" si="74"/>
        <v>-</v>
      </c>
      <c r="BF250" s="167"/>
      <c r="BG250" s="225" t="s">
        <v>215</v>
      </c>
      <c r="BH250" s="59"/>
      <c r="BI250" s="60"/>
      <c r="BJ250" s="60" t="str">
        <f t="shared" si="80"/>
        <v xml:space="preserve">  </v>
      </c>
      <c r="BK250" s="213" t="s">
        <v>215</v>
      </c>
      <c r="BL250" s="167"/>
      <c r="BM250" s="225" t="s">
        <v>215</v>
      </c>
    </row>
    <row r="251" spans="1:65" s="26" customFormat="1">
      <c r="B251" s="2">
        <f t="shared" si="81"/>
        <v>244</v>
      </c>
      <c r="C251" s="7"/>
      <c r="D251" s="7"/>
      <c r="E251" s="7"/>
      <c r="F251" s="22" t="s">
        <v>120</v>
      </c>
      <c r="G251" s="16"/>
      <c r="H251" s="13"/>
      <c r="I251" s="8"/>
      <c r="J251" s="8" t="s">
        <v>231</v>
      </c>
      <c r="K251" s="8"/>
      <c r="L251" s="8"/>
      <c r="M251" s="1" t="s">
        <v>121</v>
      </c>
      <c r="N251" s="1"/>
      <c r="O251" s="56"/>
      <c r="P251" s="93">
        <f t="shared" si="85"/>
        <v>220</v>
      </c>
      <c r="Q251" s="113">
        <v>255</v>
      </c>
      <c r="R251" s="21" t="str">
        <f t="shared" si="84"/>
        <v>NX</v>
      </c>
      <c r="S251" s="96" t="s">
        <v>122</v>
      </c>
      <c r="T251" s="94"/>
      <c r="U251" s="21" t="s">
        <v>226</v>
      </c>
      <c r="V251" s="10"/>
      <c r="W251" s="25">
        <v>3</v>
      </c>
      <c r="X251" s="1" t="s">
        <v>250</v>
      </c>
      <c r="Y251" s="1">
        <v>1</v>
      </c>
      <c r="Z251" s="1">
        <v>255</v>
      </c>
      <c r="AA251" s="8" t="s">
        <v>123</v>
      </c>
      <c r="AB251" s="8" t="s">
        <v>19</v>
      </c>
      <c r="AC251" s="12"/>
      <c r="AD251" s="444"/>
      <c r="AE251" s="445"/>
      <c r="AF251" s="445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51" s="442" t="str">
        <f t="shared" si="71"/>
        <v>-</v>
      </c>
      <c r="AH251" s="445"/>
      <c r="AI251" s="447" t="s">
        <v>532</v>
      </c>
      <c r="AJ251" s="444"/>
      <c r="AK251" s="445"/>
      <c r="AL251" s="445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51" s="442" t="str">
        <f t="shared" si="72"/>
        <v>-</v>
      </c>
      <c r="AN251" s="445"/>
      <c r="AO251" s="447" t="s">
        <v>532</v>
      </c>
      <c r="AP251" s="444"/>
      <c r="AQ251" s="445"/>
      <c r="AR251" s="445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51" s="447" t="s">
        <v>532</v>
      </c>
      <c r="AT251" s="463"/>
      <c r="AU251" s="447" t="s">
        <v>532</v>
      </c>
      <c r="AV251" s="444"/>
      <c r="AW251" s="445"/>
      <c r="AX251" s="445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51" s="442" t="str">
        <f t="shared" si="73"/>
        <v>-</v>
      </c>
      <c r="AZ251" s="445"/>
      <c r="BA251" s="447" t="s">
        <v>532</v>
      </c>
      <c r="BB251" s="59"/>
      <c r="BC251" s="223"/>
      <c r="BD251" s="223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51" s="213" t="str">
        <f t="shared" si="74"/>
        <v>-</v>
      </c>
      <c r="BF251" s="172"/>
      <c r="BG251" s="225" t="s">
        <v>215</v>
      </c>
      <c r="BH251" s="59"/>
      <c r="BI251" s="223"/>
      <c r="BJ251" s="223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51" s="213" t="s">
        <v>215</v>
      </c>
      <c r="BL251" s="172"/>
      <c r="BM251" s="225" t="s">
        <v>215</v>
      </c>
    </row>
    <row r="252" spans="1:65" s="26" customFormat="1">
      <c r="B252" s="19">
        <f t="shared" si="81"/>
        <v>245</v>
      </c>
      <c r="C252" s="7"/>
      <c r="D252" s="7"/>
      <c r="E252" s="7"/>
      <c r="F252" s="3" t="s">
        <v>124</v>
      </c>
      <c r="G252" s="3"/>
      <c r="H252" s="4"/>
      <c r="I252" s="6"/>
      <c r="J252" s="6"/>
      <c r="K252" s="6"/>
      <c r="L252" s="6"/>
      <c r="M252" s="23" t="s">
        <v>125</v>
      </c>
      <c r="N252" s="5"/>
      <c r="O252" s="54"/>
      <c r="P252" s="93">
        <f t="shared" si="85"/>
        <v>221</v>
      </c>
      <c r="Q252" s="114">
        <v>256</v>
      </c>
      <c r="R252" s="21" t="str">
        <f t="shared" si="84"/>
        <v>NX</v>
      </c>
      <c r="S252" s="96" t="s">
        <v>126</v>
      </c>
      <c r="T252" s="94"/>
      <c r="U252" s="21" t="s">
        <v>226</v>
      </c>
      <c r="V252" s="10"/>
      <c r="W252" s="28">
        <v>3</v>
      </c>
      <c r="X252" s="5" t="s">
        <v>251</v>
      </c>
      <c r="Y252" s="5">
        <v>1</v>
      </c>
      <c r="Z252" s="5">
        <v>256</v>
      </c>
      <c r="AA252" s="6" t="s">
        <v>252</v>
      </c>
      <c r="AB252" s="6" t="s">
        <v>226</v>
      </c>
      <c r="AC252" s="63"/>
      <c r="AD252" s="444"/>
      <c r="AE252" s="440"/>
      <c r="AF252" s="440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52" s="442" t="str">
        <f t="shared" si="71"/>
        <v>-</v>
      </c>
      <c r="AH252" s="440"/>
      <c r="AI252" s="447" t="s">
        <v>532</v>
      </c>
      <c r="AJ252" s="444"/>
      <c r="AK252" s="440"/>
      <c r="AL252" s="440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52" s="442" t="str">
        <f t="shared" si="72"/>
        <v>-</v>
      </c>
      <c r="AN252" s="440"/>
      <c r="AO252" s="447" t="s">
        <v>532</v>
      </c>
      <c r="AP252" s="444"/>
      <c r="AQ252" s="440"/>
      <c r="AR252" s="440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52" s="447" t="s">
        <v>532</v>
      </c>
      <c r="AT252" s="462"/>
      <c r="AU252" s="447" t="s">
        <v>532</v>
      </c>
      <c r="AV252" s="444"/>
      <c r="AW252" s="440"/>
      <c r="AX252" s="440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52" s="442" t="str">
        <f t="shared" si="73"/>
        <v>-</v>
      </c>
      <c r="AZ252" s="440"/>
      <c r="BA252" s="447" t="s">
        <v>532</v>
      </c>
      <c r="BB252" s="59"/>
      <c r="BC252" s="60"/>
      <c r="BD252" s="60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52" s="213" t="str">
        <f t="shared" si="74"/>
        <v>-</v>
      </c>
      <c r="BF252" s="167"/>
      <c r="BG252" s="225" t="s">
        <v>215</v>
      </c>
      <c r="BH252" s="59"/>
      <c r="BI252" s="60"/>
      <c r="BJ252" s="60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52" s="213" t="s">
        <v>215</v>
      </c>
      <c r="BL252" s="167"/>
      <c r="BM252" s="225" t="s">
        <v>215</v>
      </c>
    </row>
    <row r="253" spans="1:65" s="26" customFormat="1" ht="63.75">
      <c r="B253" s="2">
        <f t="shared" si="81"/>
        <v>246</v>
      </c>
      <c r="C253" s="7"/>
      <c r="D253" s="7"/>
      <c r="E253" s="7"/>
      <c r="F253" s="22" t="s">
        <v>127</v>
      </c>
      <c r="G253" s="16"/>
      <c r="H253" s="13"/>
      <c r="I253" s="8"/>
      <c r="J253" s="8"/>
      <c r="K253" s="8"/>
      <c r="L253" s="8"/>
      <c r="M253" s="11" t="s">
        <v>311</v>
      </c>
      <c r="N253" s="1"/>
      <c r="O253" s="56"/>
      <c r="P253" s="93">
        <f t="shared" si="85"/>
        <v>222</v>
      </c>
      <c r="Q253" s="113">
        <v>256</v>
      </c>
      <c r="R253" s="21" t="str">
        <f t="shared" si="84"/>
        <v>NX</v>
      </c>
      <c r="S253" s="96" t="s">
        <v>128</v>
      </c>
      <c r="T253" s="94"/>
      <c r="U253" s="21" t="s">
        <v>226</v>
      </c>
      <c r="V253" s="10"/>
      <c r="W253" s="25">
        <v>3</v>
      </c>
      <c r="X253" s="1" t="s">
        <v>129</v>
      </c>
      <c r="Y253" s="1">
        <v>1</v>
      </c>
      <c r="Z253" s="1">
        <v>256</v>
      </c>
      <c r="AA253" s="8" t="s">
        <v>123</v>
      </c>
      <c r="AB253" s="8" t="s">
        <v>226</v>
      </c>
      <c r="AC253" s="12"/>
      <c r="AD253" s="444"/>
      <c r="AE253" s="445"/>
      <c r="AF253" s="446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53" s="442" t="str">
        <f t="shared" si="71"/>
        <v>-</v>
      </c>
      <c r="AH253" s="445"/>
      <c r="AI253" s="447" t="s">
        <v>532</v>
      </c>
      <c r="AJ253" s="444"/>
      <c r="AK253" s="445"/>
      <c r="AL253" s="446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53" s="442" t="str">
        <f t="shared" si="72"/>
        <v>-</v>
      </c>
      <c r="AN253" s="445"/>
      <c r="AO253" s="447" t="s">
        <v>532</v>
      </c>
      <c r="AP253" s="444"/>
      <c r="AQ253" s="445"/>
      <c r="AR253" s="446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53" s="447" t="s">
        <v>532</v>
      </c>
      <c r="AT253" s="463"/>
      <c r="AU253" s="447" t="s">
        <v>532</v>
      </c>
      <c r="AV253" s="444"/>
      <c r="AW253" s="445"/>
      <c r="AX253" s="446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53" s="442" t="str">
        <f t="shared" si="73"/>
        <v>-</v>
      </c>
      <c r="AZ253" s="445"/>
      <c r="BA253" s="447" t="s">
        <v>532</v>
      </c>
      <c r="BB253" s="59"/>
      <c r="BC253" s="223"/>
      <c r="BD253" s="254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53" s="213" t="str">
        <f t="shared" si="74"/>
        <v>-</v>
      </c>
      <c r="BF253" s="172"/>
      <c r="BG253" s="225" t="s">
        <v>215</v>
      </c>
      <c r="BH253" s="59"/>
      <c r="BI253" s="223"/>
      <c r="BJ253" s="254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53" s="213" t="s">
        <v>215</v>
      </c>
      <c r="BL253" s="172"/>
      <c r="BM253" s="225" t="s">
        <v>215</v>
      </c>
    </row>
    <row r="254" spans="1:65" s="26" customFormat="1" ht="63.75">
      <c r="B254" s="2">
        <f t="shared" si="81"/>
        <v>247</v>
      </c>
      <c r="C254" s="7"/>
      <c r="D254" s="7"/>
      <c r="E254" s="7"/>
      <c r="F254" s="22" t="s">
        <v>130</v>
      </c>
      <c r="G254" s="16"/>
      <c r="H254" s="13"/>
      <c r="I254" s="8"/>
      <c r="J254" s="8"/>
      <c r="K254" s="8"/>
      <c r="L254" s="8"/>
      <c r="M254" s="11" t="s">
        <v>312</v>
      </c>
      <c r="N254" s="1"/>
      <c r="O254" s="56"/>
      <c r="P254" s="93">
        <f t="shared" si="85"/>
        <v>223</v>
      </c>
      <c r="Q254" s="113">
        <v>256</v>
      </c>
      <c r="R254" s="21" t="str">
        <f t="shared" si="84"/>
        <v>NX</v>
      </c>
      <c r="S254" s="96" t="s">
        <v>131</v>
      </c>
      <c r="T254" s="94"/>
      <c r="U254" s="21" t="s">
        <v>226</v>
      </c>
      <c r="V254" s="10"/>
      <c r="W254" s="25">
        <v>3</v>
      </c>
      <c r="X254" s="1" t="s">
        <v>132</v>
      </c>
      <c r="Y254" s="1">
        <v>1</v>
      </c>
      <c r="Z254" s="1">
        <v>256</v>
      </c>
      <c r="AA254" s="8" t="s">
        <v>123</v>
      </c>
      <c r="AB254" s="8" t="s">
        <v>226</v>
      </c>
      <c r="AC254" s="12"/>
      <c r="AD254" s="444"/>
      <c r="AE254" s="445"/>
      <c r="AF254" s="446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54" s="442" t="str">
        <f t="shared" si="71"/>
        <v>-</v>
      </c>
      <c r="AH254" s="445"/>
      <c r="AI254" s="447" t="s">
        <v>532</v>
      </c>
      <c r="AJ254" s="444"/>
      <c r="AK254" s="445"/>
      <c r="AL254" s="446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54" s="442" t="str">
        <f t="shared" si="72"/>
        <v>-</v>
      </c>
      <c r="AN254" s="445"/>
      <c r="AO254" s="447" t="s">
        <v>532</v>
      </c>
      <c r="AP254" s="444"/>
      <c r="AQ254" s="445"/>
      <c r="AR254" s="446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54" s="447" t="s">
        <v>532</v>
      </c>
      <c r="AT254" s="463"/>
      <c r="AU254" s="447" t="s">
        <v>532</v>
      </c>
      <c r="AV254" s="444"/>
      <c r="AW254" s="445"/>
      <c r="AX254" s="446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54" s="442" t="str">
        <f t="shared" si="73"/>
        <v>-</v>
      </c>
      <c r="AZ254" s="445"/>
      <c r="BA254" s="447" t="s">
        <v>532</v>
      </c>
      <c r="BB254" s="59"/>
      <c r="BC254" s="223"/>
      <c r="BD254" s="254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54" s="213" t="str">
        <f t="shared" si="74"/>
        <v>-</v>
      </c>
      <c r="BF254" s="172"/>
      <c r="BG254" s="225" t="s">
        <v>215</v>
      </c>
      <c r="BH254" s="59"/>
      <c r="BI254" s="223"/>
      <c r="BJ254" s="254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54" s="213" t="s">
        <v>215</v>
      </c>
      <c r="BL254" s="172"/>
      <c r="BM254" s="225" t="s">
        <v>215</v>
      </c>
    </row>
    <row r="255" spans="1:65" s="26" customFormat="1" ht="69" customHeight="1">
      <c r="B255" s="19">
        <f t="shared" si="81"/>
        <v>248</v>
      </c>
      <c r="C255" s="7"/>
      <c r="D255" s="7"/>
      <c r="E255" s="7"/>
      <c r="F255" s="110" t="s">
        <v>313</v>
      </c>
      <c r="G255" s="16"/>
      <c r="H255" s="13"/>
      <c r="I255" s="8"/>
      <c r="J255" s="8" t="s">
        <v>231</v>
      </c>
      <c r="K255" s="8"/>
      <c r="L255" s="8"/>
      <c r="M255" s="11" t="s">
        <v>253</v>
      </c>
      <c r="N255" s="1"/>
      <c r="O255" s="56"/>
      <c r="P255" s="93">
        <f t="shared" si="85"/>
        <v>224</v>
      </c>
      <c r="Q255" s="113">
        <v>1</v>
      </c>
      <c r="R255" s="21" t="s">
        <v>229</v>
      </c>
      <c r="S255" s="96" t="s">
        <v>133</v>
      </c>
      <c r="T255" s="94"/>
      <c r="U255" s="21" t="s">
        <v>226</v>
      </c>
      <c r="V255" s="10"/>
      <c r="W255" s="25">
        <v>3</v>
      </c>
      <c r="X255" s="1" t="s">
        <v>134</v>
      </c>
      <c r="Y255" s="1">
        <v>1</v>
      </c>
      <c r="Z255" s="1">
        <v>1</v>
      </c>
      <c r="AA255" s="8">
        <v>9</v>
      </c>
      <c r="AB255" s="8" t="s">
        <v>19</v>
      </c>
      <c r="AC255" s="12"/>
      <c r="AD255" s="444"/>
      <c r="AE255" s="445"/>
      <c r="AF255" s="440" t="str">
        <f t="shared" si="75"/>
        <v xml:space="preserve"> </v>
      </c>
      <c r="AG255" s="442" t="str">
        <f t="shared" si="71"/>
        <v>-</v>
      </c>
      <c r="AH255" s="445"/>
      <c r="AI255" s="447" t="s">
        <v>532</v>
      </c>
      <c r="AJ255" s="444"/>
      <c r="AK255" s="445"/>
      <c r="AL255" s="440" t="str">
        <f t="shared" si="76"/>
        <v xml:space="preserve"> </v>
      </c>
      <c r="AM255" s="442" t="str">
        <f t="shared" si="72"/>
        <v>-</v>
      </c>
      <c r="AN255" s="445"/>
      <c r="AO255" s="447" t="s">
        <v>532</v>
      </c>
      <c r="AP255" s="444"/>
      <c r="AQ255" s="445"/>
      <c r="AR255" s="440" t="str">
        <f t="shared" si="77"/>
        <v xml:space="preserve"> </v>
      </c>
      <c r="AS255" s="447" t="s">
        <v>532</v>
      </c>
      <c r="AT255" s="463"/>
      <c r="AU255" s="447" t="s">
        <v>532</v>
      </c>
      <c r="AV255" s="444"/>
      <c r="AW255" s="445"/>
      <c r="AX255" s="440" t="str">
        <f t="shared" si="78"/>
        <v xml:space="preserve"> </v>
      </c>
      <c r="AY255" s="442" t="str">
        <f t="shared" si="73"/>
        <v>-</v>
      </c>
      <c r="AZ255" s="445"/>
      <c r="BA255" s="447" t="s">
        <v>532</v>
      </c>
      <c r="BB255" s="59"/>
      <c r="BC255" s="223"/>
      <c r="BD255" s="60" t="str">
        <f t="shared" si="79"/>
        <v xml:space="preserve"> </v>
      </c>
      <c r="BE255" s="213" t="str">
        <f t="shared" si="74"/>
        <v>-</v>
      </c>
      <c r="BF255" s="172"/>
      <c r="BG255" s="225" t="s">
        <v>215</v>
      </c>
      <c r="BH255" s="59"/>
      <c r="BI255" s="223"/>
      <c r="BJ255" s="60" t="str">
        <f t="shared" si="80"/>
        <v xml:space="preserve"> </v>
      </c>
      <c r="BK255" s="213" t="s">
        <v>215</v>
      </c>
      <c r="BL255" s="172"/>
      <c r="BM255" s="225" t="s">
        <v>215</v>
      </c>
    </row>
    <row r="256" spans="1:65" s="26" customFormat="1" ht="114.75">
      <c r="B256" s="2">
        <f t="shared" si="81"/>
        <v>249</v>
      </c>
      <c r="C256" s="7"/>
      <c r="D256" s="7"/>
      <c r="E256" s="7"/>
      <c r="F256" s="22" t="s">
        <v>135</v>
      </c>
      <c r="G256" s="16"/>
      <c r="H256" s="13"/>
      <c r="I256" s="8"/>
      <c r="J256" s="8"/>
      <c r="K256" s="8"/>
      <c r="L256" s="8"/>
      <c r="M256" s="359" t="s">
        <v>206</v>
      </c>
      <c r="N256" s="1"/>
      <c r="O256" s="56"/>
      <c r="P256" s="93">
        <f t="shared" si="85"/>
        <v>225</v>
      </c>
      <c r="Q256" s="113">
        <v>1</v>
      </c>
      <c r="R256" s="21" t="s">
        <v>229</v>
      </c>
      <c r="S256" s="96" t="s">
        <v>136</v>
      </c>
      <c r="T256" s="94"/>
      <c r="U256" s="21" t="s">
        <v>226</v>
      </c>
      <c r="V256" s="10"/>
      <c r="W256" s="25">
        <v>3</v>
      </c>
      <c r="X256" s="1" t="s">
        <v>18</v>
      </c>
      <c r="Y256" s="1">
        <v>1</v>
      </c>
      <c r="Z256" s="1">
        <v>1</v>
      </c>
      <c r="AA256" s="8">
        <v>9</v>
      </c>
      <c r="AB256" s="8" t="s">
        <v>19</v>
      </c>
      <c r="AC256" s="101"/>
      <c r="AD256" s="444"/>
      <c r="AE256" s="445"/>
      <c r="AF256" s="440" t="str">
        <f t="shared" si="75"/>
        <v xml:space="preserve"> </v>
      </c>
      <c r="AG256" s="442" t="str">
        <f t="shared" si="71"/>
        <v>-</v>
      </c>
      <c r="AH256" s="445"/>
      <c r="AI256" s="447" t="s">
        <v>532</v>
      </c>
      <c r="AJ256" s="444"/>
      <c r="AK256" s="445"/>
      <c r="AL256" s="440" t="str">
        <f t="shared" si="76"/>
        <v xml:space="preserve"> </v>
      </c>
      <c r="AM256" s="442" t="str">
        <f t="shared" si="72"/>
        <v>-</v>
      </c>
      <c r="AN256" s="445"/>
      <c r="AO256" s="447" t="s">
        <v>532</v>
      </c>
      <c r="AP256" s="444"/>
      <c r="AQ256" s="445"/>
      <c r="AR256" s="440" t="str">
        <f t="shared" si="77"/>
        <v xml:space="preserve"> </v>
      </c>
      <c r="AS256" s="447" t="s">
        <v>532</v>
      </c>
      <c r="AT256" s="463"/>
      <c r="AU256" s="447" t="s">
        <v>532</v>
      </c>
      <c r="AV256" s="444"/>
      <c r="AW256" s="445"/>
      <c r="AX256" s="440" t="str">
        <f t="shared" si="78"/>
        <v xml:space="preserve"> </v>
      </c>
      <c r="AY256" s="442" t="str">
        <f t="shared" si="73"/>
        <v>-</v>
      </c>
      <c r="AZ256" s="445"/>
      <c r="BA256" s="447" t="s">
        <v>532</v>
      </c>
      <c r="BB256" s="59"/>
      <c r="BC256" s="223"/>
      <c r="BD256" s="60" t="str">
        <f t="shared" si="79"/>
        <v xml:space="preserve"> </v>
      </c>
      <c r="BE256" s="213" t="str">
        <f t="shared" si="74"/>
        <v>-</v>
      </c>
      <c r="BF256" s="172"/>
      <c r="BG256" s="225" t="s">
        <v>215</v>
      </c>
      <c r="BH256" s="59"/>
      <c r="BI256" s="223"/>
      <c r="BJ256" s="60" t="str">
        <f t="shared" si="80"/>
        <v xml:space="preserve"> </v>
      </c>
      <c r="BK256" s="213" t="s">
        <v>215</v>
      </c>
      <c r="BL256" s="172"/>
      <c r="BM256" s="225" t="s">
        <v>215</v>
      </c>
    </row>
    <row r="257" spans="2:65" s="26" customFormat="1" ht="126.75" customHeight="1">
      <c r="B257" s="64">
        <f t="shared" si="81"/>
        <v>250</v>
      </c>
      <c r="C257" s="7"/>
      <c r="D257" s="7"/>
      <c r="E257" s="7"/>
      <c r="F257" s="110" t="s">
        <v>137</v>
      </c>
      <c r="G257" s="16"/>
      <c r="H257" s="13"/>
      <c r="I257" s="8"/>
      <c r="J257" s="8"/>
      <c r="K257" s="8"/>
      <c r="L257" s="8"/>
      <c r="M257" s="11" t="s">
        <v>479</v>
      </c>
      <c r="N257" s="1"/>
      <c r="O257" s="56"/>
      <c r="P257" s="93">
        <f t="shared" si="85"/>
        <v>226</v>
      </c>
      <c r="Q257" s="113">
        <v>1</v>
      </c>
      <c r="R257" s="21" t="str">
        <f t="shared" si="84"/>
        <v>X</v>
      </c>
      <c r="S257" s="96" t="s">
        <v>183</v>
      </c>
      <c r="T257" s="94"/>
      <c r="U257" s="21" t="s">
        <v>226</v>
      </c>
      <c r="V257" s="10"/>
      <c r="W257" s="25">
        <v>3</v>
      </c>
      <c r="X257" s="1" t="s">
        <v>254</v>
      </c>
      <c r="Y257" s="1">
        <v>1</v>
      </c>
      <c r="Z257" s="1">
        <v>1</v>
      </c>
      <c r="AA257" s="8" t="s">
        <v>229</v>
      </c>
      <c r="AB257" s="8" t="s">
        <v>226</v>
      </c>
      <c r="AC257" s="12"/>
      <c r="AD257" s="444"/>
      <c r="AE257" s="445"/>
      <c r="AF257" s="440" t="str">
        <f t="shared" si="75"/>
        <v xml:space="preserve"> </v>
      </c>
      <c r="AG257" s="442" t="str">
        <f t="shared" si="71"/>
        <v>-</v>
      </c>
      <c r="AH257" s="445"/>
      <c r="AI257" s="447" t="s">
        <v>532</v>
      </c>
      <c r="AJ257" s="444"/>
      <c r="AK257" s="445"/>
      <c r="AL257" s="440" t="str">
        <f t="shared" si="76"/>
        <v xml:space="preserve"> </v>
      </c>
      <c r="AM257" s="442" t="str">
        <f t="shared" si="72"/>
        <v>-</v>
      </c>
      <c r="AN257" s="445"/>
      <c r="AO257" s="447" t="s">
        <v>532</v>
      </c>
      <c r="AP257" s="444"/>
      <c r="AQ257" s="445"/>
      <c r="AR257" s="440" t="str">
        <f t="shared" si="77"/>
        <v xml:space="preserve"> </v>
      </c>
      <c r="AS257" s="447" t="s">
        <v>532</v>
      </c>
      <c r="AT257" s="463"/>
      <c r="AU257" s="447" t="s">
        <v>532</v>
      </c>
      <c r="AV257" s="444"/>
      <c r="AW257" s="445"/>
      <c r="AX257" s="440" t="str">
        <f t="shared" si="78"/>
        <v xml:space="preserve"> </v>
      </c>
      <c r="AY257" s="442" t="str">
        <f t="shared" si="73"/>
        <v>-</v>
      </c>
      <c r="AZ257" s="445"/>
      <c r="BA257" s="447" t="s">
        <v>532</v>
      </c>
      <c r="BB257" s="59"/>
      <c r="BC257" s="223"/>
      <c r="BD257" s="60" t="str">
        <f t="shared" si="79"/>
        <v xml:space="preserve"> </v>
      </c>
      <c r="BE257" s="213" t="str">
        <f t="shared" si="74"/>
        <v>-</v>
      </c>
      <c r="BF257" s="172"/>
      <c r="BG257" s="225" t="s">
        <v>215</v>
      </c>
      <c r="BH257" s="59"/>
      <c r="BI257" s="223"/>
      <c r="BJ257" s="60" t="str">
        <f t="shared" si="80"/>
        <v xml:space="preserve"> </v>
      </c>
      <c r="BK257" s="213" t="s">
        <v>215</v>
      </c>
      <c r="BL257" s="172"/>
      <c r="BM257" s="225" t="s">
        <v>215</v>
      </c>
    </row>
    <row r="258" spans="2:65" s="26" customFormat="1">
      <c r="B258" s="64">
        <f t="shared" si="81"/>
        <v>251</v>
      </c>
      <c r="C258" s="7"/>
      <c r="D258" s="7"/>
      <c r="E258" s="7"/>
      <c r="F258" s="22" t="s">
        <v>138</v>
      </c>
      <c r="G258" s="16"/>
      <c r="H258" s="13"/>
      <c r="I258" s="8"/>
      <c r="J258" s="8"/>
      <c r="K258" s="8"/>
      <c r="L258" s="8"/>
      <c r="M258" s="359" t="s">
        <v>139</v>
      </c>
      <c r="N258" s="1"/>
      <c r="O258" s="56"/>
      <c r="P258" s="93">
        <f t="shared" si="85"/>
        <v>227</v>
      </c>
      <c r="Q258" s="113">
        <v>400</v>
      </c>
      <c r="R258" s="21" t="str">
        <f t="shared" si="84"/>
        <v>NX</v>
      </c>
      <c r="S258" s="96" t="s">
        <v>140</v>
      </c>
      <c r="T258" s="94"/>
      <c r="U258" s="21" t="s">
        <v>226</v>
      </c>
      <c r="V258" s="10"/>
      <c r="W258" s="25">
        <v>3</v>
      </c>
      <c r="X258" s="1" t="s">
        <v>141</v>
      </c>
      <c r="Y258" s="1">
        <v>1</v>
      </c>
      <c r="Z258" s="1">
        <v>400</v>
      </c>
      <c r="AA258" s="8" t="s">
        <v>123</v>
      </c>
      <c r="AB258" s="8" t="s">
        <v>226</v>
      </c>
      <c r="AC258" s="12"/>
      <c r="AD258" s="444"/>
      <c r="AE258" s="445"/>
      <c r="AF258" s="449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58" s="442" t="str">
        <f t="shared" si="71"/>
        <v>-</v>
      </c>
      <c r="AH258" s="445"/>
      <c r="AI258" s="447" t="s">
        <v>532</v>
      </c>
      <c r="AJ258" s="444"/>
      <c r="AK258" s="445"/>
      <c r="AL258" s="449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58" s="442" t="str">
        <f t="shared" si="72"/>
        <v>-</v>
      </c>
      <c r="AN258" s="445"/>
      <c r="AO258" s="447" t="s">
        <v>532</v>
      </c>
      <c r="AP258" s="444"/>
      <c r="AQ258" s="445"/>
      <c r="AR258" s="449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58" s="447" t="s">
        <v>532</v>
      </c>
      <c r="AT258" s="463"/>
      <c r="AU258" s="447" t="s">
        <v>532</v>
      </c>
      <c r="AV258" s="444"/>
      <c r="AW258" s="445"/>
      <c r="AX258" s="449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58" s="442" t="str">
        <f t="shared" si="73"/>
        <v>-</v>
      </c>
      <c r="AZ258" s="445"/>
      <c r="BA258" s="447" t="s">
        <v>532</v>
      </c>
      <c r="BB258" s="59"/>
      <c r="BC258" s="223"/>
      <c r="BD258" s="252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58" s="213" t="str">
        <f t="shared" si="74"/>
        <v>-</v>
      </c>
      <c r="BF258" s="172"/>
      <c r="BG258" s="225" t="s">
        <v>215</v>
      </c>
      <c r="BH258" s="59"/>
      <c r="BI258" s="223"/>
      <c r="BJ258" s="252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58" s="213" t="s">
        <v>215</v>
      </c>
      <c r="BL258" s="172"/>
      <c r="BM258" s="225" t="s">
        <v>215</v>
      </c>
    </row>
    <row r="259" spans="2:65" s="26" customFormat="1" ht="63.75">
      <c r="B259" s="64">
        <f t="shared" si="81"/>
        <v>252</v>
      </c>
      <c r="C259" s="7"/>
      <c r="D259" s="7"/>
      <c r="E259" s="7"/>
      <c r="F259" s="22" t="s">
        <v>142</v>
      </c>
      <c r="G259" s="16"/>
      <c r="H259" s="13"/>
      <c r="I259" s="8"/>
      <c r="J259" s="8"/>
      <c r="K259" s="8"/>
      <c r="L259" s="8"/>
      <c r="M259" s="359" t="s">
        <v>314</v>
      </c>
      <c r="N259" s="1"/>
      <c r="O259" s="56"/>
      <c r="P259" s="93">
        <f t="shared" si="85"/>
        <v>228</v>
      </c>
      <c r="Q259" s="113">
        <v>400</v>
      </c>
      <c r="R259" s="21" t="str">
        <f t="shared" si="84"/>
        <v>NX</v>
      </c>
      <c r="S259" s="96" t="s">
        <v>143</v>
      </c>
      <c r="T259" s="94"/>
      <c r="U259" s="21" t="s">
        <v>226</v>
      </c>
      <c r="V259" s="10"/>
      <c r="W259" s="25">
        <v>3</v>
      </c>
      <c r="X259" s="1" t="s">
        <v>144</v>
      </c>
      <c r="Y259" s="1">
        <v>1</v>
      </c>
      <c r="Z259" s="1">
        <v>400</v>
      </c>
      <c r="AA259" s="8" t="s">
        <v>123</v>
      </c>
      <c r="AB259" s="8" t="s">
        <v>226</v>
      </c>
      <c r="AC259" s="12"/>
      <c r="AD259" s="444"/>
      <c r="AE259" s="445"/>
      <c r="AF259" s="450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59" s="442" t="str">
        <f t="shared" si="71"/>
        <v>-</v>
      </c>
      <c r="AH259" s="445"/>
      <c r="AI259" s="447" t="s">
        <v>532</v>
      </c>
      <c r="AJ259" s="444"/>
      <c r="AK259" s="445"/>
      <c r="AL259" s="450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59" s="442" t="str">
        <f t="shared" si="72"/>
        <v>-</v>
      </c>
      <c r="AN259" s="445"/>
      <c r="AO259" s="447" t="s">
        <v>532</v>
      </c>
      <c r="AP259" s="444"/>
      <c r="AQ259" s="445"/>
      <c r="AR259" s="450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59" s="447" t="s">
        <v>532</v>
      </c>
      <c r="AT259" s="463"/>
      <c r="AU259" s="447" t="s">
        <v>532</v>
      </c>
      <c r="AV259" s="444"/>
      <c r="AW259" s="445"/>
      <c r="AX259" s="450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59" s="442" t="str">
        <f t="shared" si="73"/>
        <v>-</v>
      </c>
      <c r="AZ259" s="445"/>
      <c r="BA259" s="447" t="s">
        <v>532</v>
      </c>
      <c r="BB259" s="59"/>
      <c r="BC259" s="223"/>
      <c r="BD259" s="90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59" s="213" t="str">
        <f t="shared" si="74"/>
        <v>-</v>
      </c>
      <c r="BF259" s="172"/>
      <c r="BG259" s="225" t="s">
        <v>215</v>
      </c>
      <c r="BH259" s="59"/>
      <c r="BI259" s="223"/>
      <c r="BJ259" s="90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59" s="213" t="s">
        <v>215</v>
      </c>
      <c r="BL259" s="172"/>
      <c r="BM259" s="225" t="s">
        <v>215</v>
      </c>
    </row>
    <row r="260" spans="2:65" s="26" customFormat="1">
      <c r="B260" s="64">
        <f t="shared" si="81"/>
        <v>253</v>
      </c>
      <c r="C260" s="7"/>
      <c r="D260" s="7"/>
      <c r="E260" s="7"/>
      <c r="F260" s="22" t="s">
        <v>145</v>
      </c>
      <c r="G260" s="16"/>
      <c r="H260" s="13"/>
      <c r="I260" s="8"/>
      <c r="J260" s="8"/>
      <c r="K260" s="8"/>
      <c r="L260" s="8"/>
      <c r="M260" s="11" t="s">
        <v>146</v>
      </c>
      <c r="N260" s="1"/>
      <c r="O260" s="56"/>
      <c r="P260" s="93">
        <f t="shared" si="85"/>
        <v>229</v>
      </c>
      <c r="Q260" s="113">
        <v>400</v>
      </c>
      <c r="R260" s="21" t="str">
        <f t="shared" si="84"/>
        <v>NX</v>
      </c>
      <c r="S260" s="96" t="s">
        <v>147</v>
      </c>
      <c r="T260" s="94"/>
      <c r="U260" s="21" t="s">
        <v>226</v>
      </c>
      <c r="V260" s="10"/>
      <c r="W260" s="25">
        <v>3</v>
      </c>
      <c r="X260" s="1" t="s">
        <v>148</v>
      </c>
      <c r="Y260" s="1">
        <v>1</v>
      </c>
      <c r="Z260" s="1">
        <v>400</v>
      </c>
      <c r="AA260" s="8" t="s">
        <v>123</v>
      </c>
      <c r="AB260" s="8" t="s">
        <v>226</v>
      </c>
      <c r="AC260" s="12"/>
      <c r="AD260" s="444"/>
      <c r="AE260" s="440"/>
      <c r="AF260" s="450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60" s="442" t="str">
        <f t="shared" si="71"/>
        <v>-</v>
      </c>
      <c r="AH260" s="440"/>
      <c r="AI260" s="447" t="s">
        <v>532</v>
      </c>
      <c r="AJ260" s="444"/>
      <c r="AK260" s="440"/>
      <c r="AL260" s="450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60" s="442" t="str">
        <f t="shared" si="72"/>
        <v>-</v>
      </c>
      <c r="AN260" s="440"/>
      <c r="AO260" s="447" t="s">
        <v>532</v>
      </c>
      <c r="AP260" s="444"/>
      <c r="AQ260" s="440"/>
      <c r="AR260" s="450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60" s="447" t="s">
        <v>532</v>
      </c>
      <c r="AT260" s="462"/>
      <c r="AU260" s="447" t="s">
        <v>532</v>
      </c>
      <c r="AV260" s="444"/>
      <c r="AW260" s="440"/>
      <c r="AX260" s="450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60" s="442" t="str">
        <f t="shared" si="73"/>
        <v>-</v>
      </c>
      <c r="AZ260" s="440"/>
      <c r="BA260" s="447" t="s">
        <v>532</v>
      </c>
      <c r="BB260" s="59"/>
      <c r="BC260" s="60"/>
      <c r="BD260" s="90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60" s="213" t="str">
        <f t="shared" si="74"/>
        <v>-</v>
      </c>
      <c r="BF260" s="167"/>
      <c r="BG260" s="225" t="s">
        <v>215</v>
      </c>
      <c r="BH260" s="59"/>
      <c r="BI260" s="60"/>
      <c r="BJ260" s="90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60" s="213" t="s">
        <v>215</v>
      </c>
      <c r="BL260" s="167"/>
      <c r="BM260" s="225" t="s">
        <v>215</v>
      </c>
    </row>
    <row r="261" spans="2:65" s="26" customFormat="1" ht="76.5">
      <c r="B261" s="64">
        <f t="shared" si="81"/>
        <v>254</v>
      </c>
      <c r="C261" s="7"/>
      <c r="D261" s="7"/>
      <c r="E261" s="7"/>
      <c r="F261" s="22" t="s">
        <v>149</v>
      </c>
      <c r="G261" s="16"/>
      <c r="H261" s="13"/>
      <c r="I261" s="8"/>
      <c r="J261" s="8"/>
      <c r="K261" s="8"/>
      <c r="L261" s="8"/>
      <c r="M261" s="11" t="s">
        <v>315</v>
      </c>
      <c r="N261" s="1"/>
      <c r="O261" s="56"/>
      <c r="P261" s="93">
        <f t="shared" si="85"/>
        <v>230</v>
      </c>
      <c r="Q261" s="113">
        <v>400</v>
      </c>
      <c r="R261" s="21" t="str">
        <f t="shared" si="84"/>
        <v>NX</v>
      </c>
      <c r="S261" s="96" t="s">
        <v>150</v>
      </c>
      <c r="T261" s="94"/>
      <c r="U261" s="21" t="s">
        <v>226</v>
      </c>
      <c r="V261" s="10"/>
      <c r="W261" s="25">
        <v>3</v>
      </c>
      <c r="X261" s="1" t="s">
        <v>151</v>
      </c>
      <c r="Y261" s="1">
        <v>1</v>
      </c>
      <c r="Z261" s="1">
        <v>400</v>
      </c>
      <c r="AA261" s="8" t="s">
        <v>123</v>
      </c>
      <c r="AB261" s="8" t="s">
        <v>226</v>
      </c>
      <c r="AC261" s="12"/>
      <c r="AD261" s="444"/>
      <c r="AE261" s="440"/>
      <c r="AF261" s="450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61" s="442" t="str">
        <f t="shared" si="71"/>
        <v>-</v>
      </c>
      <c r="AH261" s="440"/>
      <c r="AI261" s="447" t="s">
        <v>532</v>
      </c>
      <c r="AJ261" s="444"/>
      <c r="AK261" s="440"/>
      <c r="AL261" s="450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61" s="442" t="str">
        <f t="shared" si="72"/>
        <v>-</v>
      </c>
      <c r="AN261" s="440"/>
      <c r="AO261" s="447" t="s">
        <v>532</v>
      </c>
      <c r="AP261" s="444"/>
      <c r="AQ261" s="440"/>
      <c r="AR261" s="450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61" s="447" t="s">
        <v>532</v>
      </c>
      <c r="AT261" s="462"/>
      <c r="AU261" s="447" t="s">
        <v>532</v>
      </c>
      <c r="AV261" s="444"/>
      <c r="AW261" s="440"/>
      <c r="AX261" s="450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61" s="442" t="str">
        <f t="shared" si="73"/>
        <v>-</v>
      </c>
      <c r="AZ261" s="440"/>
      <c r="BA261" s="447" t="s">
        <v>532</v>
      </c>
      <c r="BB261" s="59"/>
      <c r="BC261" s="60"/>
      <c r="BD261" s="90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61" s="213" t="str">
        <f t="shared" si="74"/>
        <v>-</v>
      </c>
      <c r="BF261" s="167"/>
      <c r="BG261" s="225" t="s">
        <v>215</v>
      </c>
      <c r="BH261" s="59"/>
      <c r="BI261" s="60"/>
      <c r="BJ261" s="90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61" s="213" t="s">
        <v>215</v>
      </c>
      <c r="BL261" s="167"/>
      <c r="BM261" s="225" t="s">
        <v>215</v>
      </c>
    </row>
    <row r="262" spans="2:65" s="26" customFormat="1">
      <c r="B262" s="64">
        <f t="shared" si="81"/>
        <v>255</v>
      </c>
      <c r="C262" s="7"/>
      <c r="D262" s="7"/>
      <c r="E262" s="7"/>
      <c r="F262" s="22" t="s">
        <v>152</v>
      </c>
      <c r="G262" s="16"/>
      <c r="H262" s="13"/>
      <c r="I262" s="8"/>
      <c r="J262" s="8"/>
      <c r="K262" s="8"/>
      <c r="L262" s="8"/>
      <c r="M262" s="11" t="s">
        <v>146</v>
      </c>
      <c r="N262" s="1"/>
      <c r="O262" s="56"/>
      <c r="P262" s="93">
        <f t="shared" si="85"/>
        <v>231</v>
      </c>
      <c r="Q262" s="113">
        <v>400</v>
      </c>
      <c r="R262" s="21" t="str">
        <f t="shared" si="84"/>
        <v>NX</v>
      </c>
      <c r="S262" s="96" t="s">
        <v>153</v>
      </c>
      <c r="T262" s="94"/>
      <c r="U262" s="21" t="s">
        <v>226</v>
      </c>
      <c r="V262" s="10"/>
      <c r="W262" s="25">
        <v>3</v>
      </c>
      <c r="X262" s="1" t="s">
        <v>154</v>
      </c>
      <c r="Y262" s="1">
        <v>1</v>
      </c>
      <c r="Z262" s="1">
        <v>400</v>
      </c>
      <c r="AA262" s="8" t="s">
        <v>123</v>
      </c>
      <c r="AB262" s="8" t="s">
        <v>226</v>
      </c>
      <c r="AC262" s="12"/>
      <c r="AD262" s="444"/>
      <c r="AE262" s="440"/>
      <c r="AF262" s="450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62" s="442" t="str">
        <f t="shared" si="71"/>
        <v>-</v>
      </c>
      <c r="AH262" s="440"/>
      <c r="AI262" s="447" t="s">
        <v>532</v>
      </c>
      <c r="AJ262" s="444"/>
      <c r="AK262" s="440"/>
      <c r="AL262" s="450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62" s="442" t="str">
        <f t="shared" si="72"/>
        <v>-</v>
      </c>
      <c r="AN262" s="440"/>
      <c r="AO262" s="447" t="s">
        <v>532</v>
      </c>
      <c r="AP262" s="444"/>
      <c r="AQ262" s="440"/>
      <c r="AR262" s="450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62" s="447" t="s">
        <v>532</v>
      </c>
      <c r="AT262" s="462"/>
      <c r="AU262" s="447" t="s">
        <v>532</v>
      </c>
      <c r="AV262" s="444"/>
      <c r="AW262" s="440"/>
      <c r="AX262" s="450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62" s="442" t="str">
        <f t="shared" si="73"/>
        <v>-</v>
      </c>
      <c r="AZ262" s="440"/>
      <c r="BA262" s="447" t="s">
        <v>532</v>
      </c>
      <c r="BB262" s="59"/>
      <c r="BC262" s="60"/>
      <c r="BD262" s="90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62" s="213" t="str">
        <f t="shared" si="74"/>
        <v>-</v>
      </c>
      <c r="BF262" s="167"/>
      <c r="BG262" s="225" t="s">
        <v>215</v>
      </c>
      <c r="BH262" s="59"/>
      <c r="BI262" s="60"/>
      <c r="BJ262" s="90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62" s="213" t="s">
        <v>215</v>
      </c>
      <c r="BL262" s="167"/>
      <c r="BM262" s="225" t="s">
        <v>215</v>
      </c>
    </row>
    <row r="263" spans="2:65" s="26" customFormat="1">
      <c r="B263" s="64">
        <f t="shared" si="81"/>
        <v>256</v>
      </c>
      <c r="C263" s="7"/>
      <c r="D263" s="7"/>
      <c r="E263" s="7"/>
      <c r="F263" s="22" t="s">
        <v>155</v>
      </c>
      <c r="G263" s="16"/>
      <c r="H263" s="13"/>
      <c r="I263" s="8"/>
      <c r="J263" s="8"/>
      <c r="K263" s="8"/>
      <c r="L263" s="8"/>
      <c r="M263" s="11" t="s">
        <v>146</v>
      </c>
      <c r="N263" s="1"/>
      <c r="O263" s="56"/>
      <c r="P263" s="93">
        <f t="shared" si="85"/>
        <v>232</v>
      </c>
      <c r="Q263" s="113">
        <v>400</v>
      </c>
      <c r="R263" s="21" t="str">
        <f t="shared" si="84"/>
        <v>NX</v>
      </c>
      <c r="S263" s="96" t="s">
        <v>156</v>
      </c>
      <c r="T263" s="94"/>
      <c r="U263" s="21" t="s">
        <v>226</v>
      </c>
      <c r="V263" s="10"/>
      <c r="W263" s="25">
        <v>3</v>
      </c>
      <c r="X263" s="1" t="s">
        <v>157</v>
      </c>
      <c r="Y263" s="1">
        <v>1</v>
      </c>
      <c r="Z263" s="1">
        <v>400</v>
      </c>
      <c r="AA263" s="8" t="s">
        <v>123</v>
      </c>
      <c r="AB263" s="8" t="s">
        <v>226</v>
      </c>
      <c r="AC263" s="12"/>
      <c r="AD263" s="444"/>
      <c r="AE263" s="440"/>
      <c r="AF263" s="450" t="str">
        <f t="shared" si="7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63" s="442" t="str">
        <f t="shared" si="71"/>
        <v>-</v>
      </c>
      <c r="AH263" s="440"/>
      <c r="AI263" s="447" t="s">
        <v>532</v>
      </c>
      <c r="AJ263" s="444"/>
      <c r="AK263" s="440"/>
      <c r="AL263" s="450" t="str">
        <f t="shared" si="7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63" s="442" t="str">
        <f t="shared" si="72"/>
        <v>-</v>
      </c>
      <c r="AN263" s="440"/>
      <c r="AO263" s="447" t="s">
        <v>532</v>
      </c>
      <c r="AP263" s="444"/>
      <c r="AQ263" s="440"/>
      <c r="AR263" s="450" t="str">
        <f t="shared" si="7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63" s="447" t="s">
        <v>532</v>
      </c>
      <c r="AT263" s="462"/>
      <c r="AU263" s="447" t="s">
        <v>532</v>
      </c>
      <c r="AV263" s="444"/>
      <c r="AW263" s="440"/>
      <c r="AX263" s="450" t="str">
        <f t="shared" si="7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63" s="442" t="str">
        <f t="shared" si="73"/>
        <v>-</v>
      </c>
      <c r="AZ263" s="440"/>
      <c r="BA263" s="447" t="s">
        <v>532</v>
      </c>
      <c r="BB263" s="59"/>
      <c r="BC263" s="60"/>
      <c r="BD263" s="90" t="str">
        <f t="shared" si="7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63" s="213" t="str">
        <f t="shared" si="74"/>
        <v>-</v>
      </c>
      <c r="BF263" s="167"/>
      <c r="BG263" s="225" t="s">
        <v>215</v>
      </c>
      <c r="BH263" s="59"/>
      <c r="BI263" s="60"/>
      <c r="BJ263" s="90" t="str">
        <f t="shared" si="8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63" s="213" t="s">
        <v>215</v>
      </c>
      <c r="BL263" s="167"/>
      <c r="BM263" s="225" t="s">
        <v>215</v>
      </c>
    </row>
    <row r="264" spans="2:65" s="26" customFormat="1" ht="89.25">
      <c r="B264" s="64">
        <f t="shared" si="81"/>
        <v>257</v>
      </c>
      <c r="C264" s="7"/>
      <c r="D264" s="7"/>
      <c r="E264" s="7"/>
      <c r="F264" s="22" t="s">
        <v>158</v>
      </c>
      <c r="G264" s="16"/>
      <c r="H264" s="13"/>
      <c r="I264" s="8"/>
      <c r="J264" s="8"/>
      <c r="K264" s="8"/>
      <c r="L264" s="8"/>
      <c r="M264" s="11" t="s">
        <v>316</v>
      </c>
      <c r="N264" s="1"/>
      <c r="O264" s="56"/>
      <c r="P264" s="93">
        <f t="shared" si="85"/>
        <v>233</v>
      </c>
      <c r="Q264" s="113">
        <v>1</v>
      </c>
      <c r="R264" s="21" t="str">
        <f t="shared" si="84"/>
        <v>X</v>
      </c>
      <c r="S264" s="96" t="s">
        <v>159</v>
      </c>
      <c r="T264" s="94"/>
      <c r="U264" s="21" t="s">
        <v>226</v>
      </c>
      <c r="V264" s="10"/>
      <c r="W264" s="25">
        <v>3</v>
      </c>
      <c r="X264" s="1" t="s">
        <v>255</v>
      </c>
      <c r="Y264" s="1">
        <v>1</v>
      </c>
      <c r="Z264" s="1">
        <v>1</v>
      </c>
      <c r="AA264" s="8" t="s">
        <v>109</v>
      </c>
      <c r="AB264" s="8" t="s">
        <v>19</v>
      </c>
      <c r="AC264" s="102"/>
      <c r="AD264" s="444"/>
      <c r="AE264" s="445"/>
      <c r="AF264" s="440" t="str">
        <f t="shared" si="75"/>
        <v xml:space="preserve"> </v>
      </c>
      <c r="AG264" s="442" t="str">
        <f t="shared" ref="AG264:AG327" si="86">IF(OR(AE$8="判定対象外",AF$8="判定対象外",AF264="-"),"-",IF(AE264=AF264,"OK","NG"))</f>
        <v>-</v>
      </c>
      <c r="AH264" s="445"/>
      <c r="AI264" s="447" t="s">
        <v>532</v>
      </c>
      <c r="AJ264" s="444"/>
      <c r="AK264" s="445"/>
      <c r="AL264" s="440" t="str">
        <f t="shared" si="76"/>
        <v xml:space="preserve"> </v>
      </c>
      <c r="AM264" s="442" t="str">
        <f t="shared" ref="AM264:AM327" si="87">IF(OR(AK$8="判定対象外",AL$8="判定対象外",AL264="-"),"-",IF(AK264=AL264,"OK","NG"))</f>
        <v>-</v>
      </c>
      <c r="AN264" s="445"/>
      <c r="AO264" s="447" t="s">
        <v>532</v>
      </c>
      <c r="AP264" s="444"/>
      <c r="AQ264" s="445"/>
      <c r="AR264" s="440" t="str">
        <f t="shared" si="77"/>
        <v xml:space="preserve"> </v>
      </c>
      <c r="AS264" s="447" t="s">
        <v>532</v>
      </c>
      <c r="AT264" s="463"/>
      <c r="AU264" s="447" t="s">
        <v>532</v>
      </c>
      <c r="AV264" s="444"/>
      <c r="AW264" s="445"/>
      <c r="AX264" s="440" t="str">
        <f t="shared" si="78"/>
        <v xml:space="preserve"> </v>
      </c>
      <c r="AY264" s="442" t="str">
        <f t="shared" ref="AY264:AY327" si="88">IF(OR(AW$8="判定対象外",AX$8="判定対象外",AX264="-"),"-",IF(AW264=AX264,"OK","NG"))</f>
        <v>-</v>
      </c>
      <c r="AZ264" s="445"/>
      <c r="BA264" s="447" t="s">
        <v>532</v>
      </c>
      <c r="BB264" s="59"/>
      <c r="BC264" s="223"/>
      <c r="BD264" s="60" t="str">
        <f t="shared" si="79"/>
        <v xml:space="preserve"> </v>
      </c>
      <c r="BE264" s="213" t="str">
        <f t="shared" ref="BE264:BE327" si="89">IF(OR(BC$8="判定対象外",BD$8="判定対象外",BD264="-"),"-",IF(BC264=BD264,"OK","NG"))</f>
        <v>-</v>
      </c>
      <c r="BF264" s="172"/>
      <c r="BG264" s="225" t="s">
        <v>215</v>
      </c>
      <c r="BH264" s="59"/>
      <c r="BI264" s="223"/>
      <c r="BJ264" s="60" t="str">
        <f t="shared" si="80"/>
        <v xml:space="preserve"> </v>
      </c>
      <c r="BK264" s="213" t="s">
        <v>215</v>
      </c>
      <c r="BL264" s="172"/>
      <c r="BM264" s="225" t="s">
        <v>215</v>
      </c>
    </row>
    <row r="265" spans="2:65" s="26" customFormat="1">
      <c r="B265" s="64">
        <f t="shared" si="81"/>
        <v>258</v>
      </c>
      <c r="C265" s="7"/>
      <c r="D265" s="7"/>
      <c r="E265" s="7"/>
      <c r="F265" s="22" t="s">
        <v>160</v>
      </c>
      <c r="G265" s="16"/>
      <c r="H265" s="13"/>
      <c r="I265" s="8"/>
      <c r="J265" s="8"/>
      <c r="K265" s="8"/>
      <c r="L265" s="8"/>
      <c r="M265" s="11"/>
      <c r="N265" s="1"/>
      <c r="O265" s="56"/>
      <c r="P265" s="93">
        <f t="shared" si="85"/>
        <v>234</v>
      </c>
      <c r="Q265" s="113">
        <v>128</v>
      </c>
      <c r="R265" s="21" t="str">
        <f t="shared" si="84"/>
        <v>X</v>
      </c>
      <c r="S265" s="96" t="s">
        <v>161</v>
      </c>
      <c r="T265" s="94"/>
      <c r="U265" s="21" t="s">
        <v>226</v>
      </c>
      <c r="V265" s="10"/>
      <c r="W265" s="25">
        <v>3</v>
      </c>
      <c r="X265" s="1" t="s">
        <v>256</v>
      </c>
      <c r="Y265" s="1">
        <v>1</v>
      </c>
      <c r="Z265" s="1">
        <v>128</v>
      </c>
      <c r="AA265" s="8" t="s">
        <v>109</v>
      </c>
      <c r="AB265" s="8" t="s">
        <v>19</v>
      </c>
      <c r="AC265" s="12"/>
      <c r="AD265" s="444"/>
      <c r="AE265" s="440"/>
      <c r="AF265" s="440" t="str">
        <f t="shared" si="75"/>
        <v xml:space="preserve">                                                                                                                                </v>
      </c>
      <c r="AG265" s="442" t="str">
        <f t="shared" si="86"/>
        <v>-</v>
      </c>
      <c r="AH265" s="440"/>
      <c r="AI265" s="447" t="s">
        <v>532</v>
      </c>
      <c r="AJ265" s="444"/>
      <c r="AK265" s="440"/>
      <c r="AL265" s="440" t="str">
        <f t="shared" si="76"/>
        <v xml:space="preserve">                                                                                                                                </v>
      </c>
      <c r="AM265" s="442" t="str">
        <f t="shared" si="87"/>
        <v>-</v>
      </c>
      <c r="AN265" s="440"/>
      <c r="AO265" s="447" t="s">
        <v>532</v>
      </c>
      <c r="AP265" s="444"/>
      <c r="AQ265" s="440"/>
      <c r="AR265" s="440" t="str">
        <f t="shared" si="77"/>
        <v xml:space="preserve">                                                                                                                                </v>
      </c>
      <c r="AS265" s="447" t="s">
        <v>532</v>
      </c>
      <c r="AT265" s="462"/>
      <c r="AU265" s="447" t="s">
        <v>532</v>
      </c>
      <c r="AV265" s="444"/>
      <c r="AW265" s="440"/>
      <c r="AX265" s="440" t="str">
        <f t="shared" si="78"/>
        <v xml:space="preserve">                                                                                                                                </v>
      </c>
      <c r="AY265" s="442" t="str">
        <f t="shared" si="88"/>
        <v>-</v>
      </c>
      <c r="AZ265" s="440"/>
      <c r="BA265" s="447" t="s">
        <v>532</v>
      </c>
      <c r="BB265" s="59"/>
      <c r="BC265" s="60"/>
      <c r="BD265" s="60" t="str">
        <f t="shared" si="79"/>
        <v xml:space="preserve">                                                                                                                                </v>
      </c>
      <c r="BE265" s="213" t="str">
        <f t="shared" si="89"/>
        <v>-</v>
      </c>
      <c r="BF265" s="167"/>
      <c r="BG265" s="225" t="s">
        <v>215</v>
      </c>
      <c r="BH265" s="59"/>
      <c r="BI265" s="60"/>
      <c r="BJ265" s="60" t="str">
        <f t="shared" si="80"/>
        <v xml:space="preserve">                                                                                                                                </v>
      </c>
      <c r="BK265" s="213" t="s">
        <v>215</v>
      </c>
      <c r="BL265" s="167"/>
      <c r="BM265" s="225" t="s">
        <v>215</v>
      </c>
    </row>
    <row r="266" spans="2:65" s="26" customFormat="1" ht="114.75">
      <c r="B266" s="64">
        <f t="shared" si="81"/>
        <v>259</v>
      </c>
      <c r="C266" s="7"/>
      <c r="D266" s="7"/>
      <c r="E266" s="7"/>
      <c r="F266" s="22" t="s">
        <v>162</v>
      </c>
      <c r="G266" s="16"/>
      <c r="H266" s="13"/>
      <c r="I266" s="8"/>
      <c r="J266" s="8"/>
      <c r="K266" s="8"/>
      <c r="L266" s="8"/>
      <c r="M266" s="11" t="s">
        <v>294</v>
      </c>
      <c r="N266" s="1"/>
      <c r="O266" s="56"/>
      <c r="P266" s="93">
        <f t="shared" si="85"/>
        <v>235</v>
      </c>
      <c r="Q266" s="113">
        <v>1</v>
      </c>
      <c r="R266" s="21" t="str">
        <f t="shared" si="84"/>
        <v>X</v>
      </c>
      <c r="S266" s="96" t="s">
        <v>163</v>
      </c>
      <c r="T266" s="94"/>
      <c r="U266" s="21" t="s">
        <v>226</v>
      </c>
      <c r="V266" s="10"/>
      <c r="W266" s="25">
        <v>3</v>
      </c>
      <c r="X266" s="1" t="s">
        <v>257</v>
      </c>
      <c r="Y266" s="1">
        <v>1</v>
      </c>
      <c r="Z266" s="1">
        <v>1</v>
      </c>
      <c r="AA266" s="8" t="s">
        <v>109</v>
      </c>
      <c r="AB266" s="8" t="s">
        <v>19</v>
      </c>
      <c r="AC266" s="102"/>
      <c r="AD266" s="444"/>
      <c r="AE266" s="445"/>
      <c r="AF266" s="440" t="str">
        <f t="shared" si="75"/>
        <v xml:space="preserve"> </v>
      </c>
      <c r="AG266" s="442" t="str">
        <f t="shared" si="86"/>
        <v>-</v>
      </c>
      <c r="AH266" s="445"/>
      <c r="AI266" s="447" t="s">
        <v>532</v>
      </c>
      <c r="AJ266" s="444"/>
      <c r="AK266" s="445"/>
      <c r="AL266" s="440" t="str">
        <f t="shared" si="76"/>
        <v xml:space="preserve"> </v>
      </c>
      <c r="AM266" s="442" t="str">
        <f t="shared" si="87"/>
        <v>-</v>
      </c>
      <c r="AN266" s="445"/>
      <c r="AO266" s="447" t="s">
        <v>532</v>
      </c>
      <c r="AP266" s="444"/>
      <c r="AQ266" s="445"/>
      <c r="AR266" s="440" t="str">
        <f t="shared" si="77"/>
        <v xml:space="preserve"> </v>
      </c>
      <c r="AS266" s="447" t="s">
        <v>532</v>
      </c>
      <c r="AT266" s="463"/>
      <c r="AU266" s="447" t="s">
        <v>532</v>
      </c>
      <c r="AV266" s="444"/>
      <c r="AW266" s="445"/>
      <c r="AX266" s="440" t="str">
        <f t="shared" si="78"/>
        <v xml:space="preserve"> </v>
      </c>
      <c r="AY266" s="442" t="str">
        <f t="shared" si="88"/>
        <v>-</v>
      </c>
      <c r="AZ266" s="445"/>
      <c r="BA266" s="447" t="s">
        <v>532</v>
      </c>
      <c r="BB266" s="59"/>
      <c r="BC266" s="223"/>
      <c r="BD266" s="60" t="str">
        <f t="shared" si="79"/>
        <v xml:space="preserve"> </v>
      </c>
      <c r="BE266" s="213" t="str">
        <f t="shared" si="89"/>
        <v>-</v>
      </c>
      <c r="BF266" s="172"/>
      <c r="BG266" s="225" t="s">
        <v>215</v>
      </c>
      <c r="BH266" s="59"/>
      <c r="BI266" s="223"/>
      <c r="BJ266" s="60" t="str">
        <f t="shared" si="80"/>
        <v xml:space="preserve"> </v>
      </c>
      <c r="BK266" s="213" t="s">
        <v>215</v>
      </c>
      <c r="BL266" s="172"/>
      <c r="BM266" s="225" t="s">
        <v>215</v>
      </c>
    </row>
    <row r="267" spans="2:65" s="26" customFormat="1" ht="127.5">
      <c r="B267" s="64">
        <f t="shared" si="81"/>
        <v>260</v>
      </c>
      <c r="C267" s="7"/>
      <c r="D267" s="7"/>
      <c r="E267" s="7"/>
      <c r="F267" s="22" t="s">
        <v>164</v>
      </c>
      <c r="G267" s="16"/>
      <c r="H267" s="13"/>
      <c r="I267" s="8"/>
      <c r="J267" s="8" t="s">
        <v>231</v>
      </c>
      <c r="K267" s="8"/>
      <c r="L267" s="8"/>
      <c r="M267" s="359" t="s">
        <v>317</v>
      </c>
      <c r="N267" s="1"/>
      <c r="O267" s="56"/>
      <c r="P267" s="93">
        <f t="shared" si="85"/>
        <v>236</v>
      </c>
      <c r="Q267" s="113">
        <v>1</v>
      </c>
      <c r="R267" s="21" t="str">
        <f t="shared" si="84"/>
        <v>X</v>
      </c>
      <c r="S267" s="96" t="s">
        <v>165</v>
      </c>
      <c r="T267" s="94"/>
      <c r="U267" s="21" t="s">
        <v>226</v>
      </c>
      <c r="V267" s="10"/>
      <c r="W267" s="25">
        <v>3</v>
      </c>
      <c r="X267" s="1" t="s">
        <v>258</v>
      </c>
      <c r="Y267" s="1">
        <v>1</v>
      </c>
      <c r="Z267" s="1">
        <v>1</v>
      </c>
      <c r="AA267" s="8" t="s">
        <v>109</v>
      </c>
      <c r="AB267" s="8" t="s">
        <v>19</v>
      </c>
      <c r="AC267" s="102"/>
      <c r="AD267" s="444"/>
      <c r="AE267" s="445"/>
      <c r="AF267" s="440" t="str">
        <f t="shared" si="75"/>
        <v xml:space="preserve"> </v>
      </c>
      <c r="AG267" s="442" t="str">
        <f t="shared" si="86"/>
        <v>-</v>
      </c>
      <c r="AH267" s="445"/>
      <c r="AI267" s="447" t="s">
        <v>532</v>
      </c>
      <c r="AJ267" s="444"/>
      <c r="AK267" s="445"/>
      <c r="AL267" s="440" t="str">
        <f t="shared" si="76"/>
        <v xml:space="preserve"> </v>
      </c>
      <c r="AM267" s="442" t="str">
        <f t="shared" si="87"/>
        <v>-</v>
      </c>
      <c r="AN267" s="445"/>
      <c r="AO267" s="447" t="s">
        <v>532</v>
      </c>
      <c r="AP267" s="444"/>
      <c r="AQ267" s="445"/>
      <c r="AR267" s="440" t="str">
        <f t="shared" si="77"/>
        <v xml:space="preserve"> </v>
      </c>
      <c r="AS267" s="447" t="s">
        <v>532</v>
      </c>
      <c r="AT267" s="463"/>
      <c r="AU267" s="447" t="s">
        <v>532</v>
      </c>
      <c r="AV267" s="444"/>
      <c r="AW267" s="445"/>
      <c r="AX267" s="440" t="str">
        <f t="shared" si="78"/>
        <v xml:space="preserve"> </v>
      </c>
      <c r="AY267" s="442" t="str">
        <f t="shared" si="88"/>
        <v>-</v>
      </c>
      <c r="AZ267" s="445"/>
      <c r="BA267" s="447" t="s">
        <v>532</v>
      </c>
      <c r="BB267" s="59"/>
      <c r="BC267" s="223"/>
      <c r="BD267" s="60" t="str">
        <f t="shared" si="79"/>
        <v xml:space="preserve"> </v>
      </c>
      <c r="BE267" s="213" t="str">
        <f t="shared" si="89"/>
        <v>-</v>
      </c>
      <c r="BF267" s="172"/>
      <c r="BG267" s="225" t="s">
        <v>215</v>
      </c>
      <c r="BH267" s="59"/>
      <c r="BI267" s="223"/>
      <c r="BJ267" s="60" t="str">
        <f t="shared" si="80"/>
        <v xml:space="preserve"> </v>
      </c>
      <c r="BK267" s="213" t="s">
        <v>215</v>
      </c>
      <c r="BL267" s="172"/>
      <c r="BM267" s="225" t="s">
        <v>215</v>
      </c>
    </row>
    <row r="268" spans="2:65" s="26" customFormat="1" ht="319.5" customHeight="1">
      <c r="B268" s="64">
        <f t="shared" si="81"/>
        <v>261</v>
      </c>
      <c r="C268" s="7"/>
      <c r="D268" s="7"/>
      <c r="E268" s="53"/>
      <c r="F268" s="111" t="s">
        <v>367</v>
      </c>
      <c r="G268" s="66"/>
      <c r="H268" s="61"/>
      <c r="I268" s="8"/>
      <c r="J268" s="8" t="s">
        <v>231</v>
      </c>
      <c r="K268" s="8"/>
      <c r="L268" s="8"/>
      <c r="M268" s="356" t="s">
        <v>493</v>
      </c>
      <c r="N268" s="16"/>
      <c r="O268" s="56"/>
      <c r="P268" s="93">
        <f t="shared" si="85"/>
        <v>237</v>
      </c>
      <c r="Q268" s="113">
        <v>2</v>
      </c>
      <c r="R268" s="21" t="str">
        <f t="shared" si="84"/>
        <v>X</v>
      </c>
      <c r="S268" s="96" t="s">
        <v>166</v>
      </c>
      <c r="T268" s="94"/>
      <c r="U268" s="21" t="s">
        <v>226</v>
      </c>
      <c r="V268" s="10"/>
      <c r="W268" s="25">
        <v>3</v>
      </c>
      <c r="X268" s="1" t="s">
        <v>260</v>
      </c>
      <c r="Y268" s="1">
        <v>2</v>
      </c>
      <c r="Z268" s="1">
        <v>2</v>
      </c>
      <c r="AA268" s="8" t="s">
        <v>229</v>
      </c>
      <c r="AB268" s="8" t="s">
        <v>226</v>
      </c>
      <c r="AC268" s="67"/>
      <c r="AD268" s="444"/>
      <c r="AE268" s="445"/>
      <c r="AF268" s="446" t="str">
        <f t="shared" si="75"/>
        <v xml:space="preserve">  </v>
      </c>
      <c r="AG268" s="442" t="str">
        <f t="shared" si="86"/>
        <v>-</v>
      </c>
      <c r="AH268" s="445"/>
      <c r="AI268" s="448" t="s">
        <v>532</v>
      </c>
      <c r="AJ268" s="444"/>
      <c r="AK268" s="445"/>
      <c r="AL268" s="446" t="str">
        <f t="shared" si="76"/>
        <v xml:space="preserve">  </v>
      </c>
      <c r="AM268" s="442" t="str">
        <f t="shared" si="87"/>
        <v>-</v>
      </c>
      <c r="AN268" s="445"/>
      <c r="AO268" s="448" t="s">
        <v>532</v>
      </c>
      <c r="AP268" s="444"/>
      <c r="AQ268" s="445"/>
      <c r="AR268" s="446" t="str">
        <f t="shared" si="77"/>
        <v xml:space="preserve">  </v>
      </c>
      <c r="AS268" s="442" t="s">
        <v>532</v>
      </c>
      <c r="AT268" s="463"/>
      <c r="AU268" s="448" t="s">
        <v>532</v>
      </c>
      <c r="AV268" s="444"/>
      <c r="AW268" s="445"/>
      <c r="AX268" s="446" t="str">
        <f t="shared" si="78"/>
        <v xml:space="preserve">  </v>
      </c>
      <c r="AY268" s="442" t="str">
        <f t="shared" si="88"/>
        <v>-</v>
      </c>
      <c r="AZ268" s="445"/>
      <c r="BA268" s="448" t="s">
        <v>532</v>
      </c>
      <c r="BB268" s="59"/>
      <c r="BC268" s="223"/>
      <c r="BD268" s="254" t="str">
        <f t="shared" si="79"/>
        <v>F1</v>
      </c>
      <c r="BE268" s="213" t="str">
        <f t="shared" si="89"/>
        <v>-</v>
      </c>
      <c r="BF268" s="172" t="s">
        <v>289</v>
      </c>
      <c r="BG268" s="405" t="str">
        <f>IF(OR(BC$8="判定対象外",BF$8="判定対象外",BF268="-"),"-",IF(BC268=BF268,"OK","NG"))</f>
        <v>NG</v>
      </c>
      <c r="BH268" s="59"/>
      <c r="BI268" s="223"/>
      <c r="BJ268" s="254" t="str">
        <f t="shared" si="80"/>
        <v>G2</v>
      </c>
      <c r="BK268" s="213" t="str">
        <f>IF(OR(BI$8="判定対象外",BJ$8="判定対象外",BJ268="-"),"-",IF(BI268=BJ268,"OK","NG"))</f>
        <v>NG</v>
      </c>
      <c r="BL268" s="172" t="s">
        <v>579</v>
      </c>
      <c r="BM268" s="405" t="str">
        <f>IF(OR(BI$8="判定対象外",BL$8="判定対象外",BL268="-"),"-",IF(BI268=BL268,"OK","NG"))</f>
        <v>NG</v>
      </c>
    </row>
    <row r="269" spans="2:65" s="26" customFormat="1" ht="25.5">
      <c r="B269" s="64">
        <f t="shared" si="81"/>
        <v>262</v>
      </c>
      <c r="C269" s="7"/>
      <c r="D269" s="7"/>
      <c r="E269" s="53"/>
      <c r="F269" s="65" t="s">
        <v>167</v>
      </c>
      <c r="G269" s="66"/>
      <c r="H269" s="61"/>
      <c r="I269" s="8"/>
      <c r="J269" s="8"/>
      <c r="K269" s="8"/>
      <c r="L269" s="8"/>
      <c r="M269" s="11" t="s">
        <v>274</v>
      </c>
      <c r="N269" s="16"/>
      <c r="O269" s="56"/>
      <c r="P269" s="93">
        <f t="shared" si="85"/>
        <v>238</v>
      </c>
      <c r="Q269" s="113">
        <v>7</v>
      </c>
      <c r="R269" s="21" t="str">
        <f t="shared" si="84"/>
        <v>X</v>
      </c>
      <c r="S269" s="96" t="s">
        <v>168</v>
      </c>
      <c r="T269" s="94"/>
      <c r="U269" s="21" t="s">
        <v>226</v>
      </c>
      <c r="V269" s="10"/>
      <c r="W269" s="25">
        <v>3</v>
      </c>
      <c r="X269" s="1" t="s">
        <v>261</v>
      </c>
      <c r="Y269" s="1">
        <v>7</v>
      </c>
      <c r="Z269" s="1">
        <v>7</v>
      </c>
      <c r="AA269" s="8" t="s">
        <v>229</v>
      </c>
      <c r="AB269" s="8" t="s">
        <v>226</v>
      </c>
      <c r="AC269" s="103"/>
      <c r="AD269" s="444"/>
      <c r="AE269" s="440"/>
      <c r="AF269" s="440" t="str">
        <f t="shared" si="75"/>
        <v xml:space="preserve">       </v>
      </c>
      <c r="AG269" s="442" t="str">
        <f t="shared" si="86"/>
        <v>-</v>
      </c>
      <c r="AH269" s="440"/>
      <c r="AI269" s="447" t="s">
        <v>532</v>
      </c>
      <c r="AJ269" s="444"/>
      <c r="AK269" s="440"/>
      <c r="AL269" s="440" t="str">
        <f t="shared" si="76"/>
        <v xml:space="preserve">       </v>
      </c>
      <c r="AM269" s="442" t="str">
        <f t="shared" si="87"/>
        <v>-</v>
      </c>
      <c r="AN269" s="440"/>
      <c r="AO269" s="447" t="s">
        <v>532</v>
      </c>
      <c r="AP269" s="444"/>
      <c r="AQ269" s="440"/>
      <c r="AR269" s="440" t="str">
        <f t="shared" si="77"/>
        <v xml:space="preserve">       </v>
      </c>
      <c r="AS269" s="447" t="s">
        <v>532</v>
      </c>
      <c r="AT269" s="462"/>
      <c r="AU269" s="447" t="s">
        <v>532</v>
      </c>
      <c r="AV269" s="444"/>
      <c r="AW269" s="440"/>
      <c r="AX269" s="440" t="str">
        <f t="shared" si="78"/>
        <v xml:space="preserve">       </v>
      </c>
      <c r="AY269" s="442" t="str">
        <f t="shared" si="88"/>
        <v>-</v>
      </c>
      <c r="AZ269" s="440"/>
      <c r="BA269" s="447" t="s">
        <v>532</v>
      </c>
      <c r="BB269" s="59"/>
      <c r="BC269" s="60"/>
      <c r="BD269" s="60" t="str">
        <f t="shared" si="79"/>
        <v xml:space="preserve">       </v>
      </c>
      <c r="BE269" s="213" t="str">
        <f t="shared" si="89"/>
        <v>-</v>
      </c>
      <c r="BF269" s="167"/>
      <c r="BG269" s="225" t="s">
        <v>215</v>
      </c>
      <c r="BH269" s="59"/>
      <c r="BI269" s="60"/>
      <c r="BJ269" s="60" t="str">
        <f t="shared" si="80"/>
        <v xml:space="preserve">       </v>
      </c>
      <c r="BK269" s="213" t="s">
        <v>215</v>
      </c>
      <c r="BL269" s="167"/>
      <c r="BM269" s="225" t="s">
        <v>215</v>
      </c>
    </row>
    <row r="270" spans="2:65" s="80" customFormat="1" ht="25.5">
      <c r="B270" s="64">
        <f t="shared" si="81"/>
        <v>263</v>
      </c>
      <c r="C270" s="68"/>
      <c r="D270" s="68"/>
      <c r="E270" s="69"/>
      <c r="F270" s="70" t="s">
        <v>275</v>
      </c>
      <c r="G270" s="71"/>
      <c r="H270" s="72"/>
      <c r="I270" s="73"/>
      <c r="J270" s="73"/>
      <c r="K270" s="74"/>
      <c r="L270" s="74"/>
      <c r="M270" s="83" t="s">
        <v>274</v>
      </c>
      <c r="N270" s="75"/>
      <c r="O270" s="76"/>
      <c r="P270" s="93">
        <f t="shared" si="85"/>
        <v>239</v>
      </c>
      <c r="Q270" s="117">
        <v>10</v>
      </c>
      <c r="R270" s="21" t="str">
        <f t="shared" si="84"/>
        <v>X</v>
      </c>
      <c r="S270" s="96" t="s">
        <v>169</v>
      </c>
      <c r="T270" s="104"/>
      <c r="U270" s="21" t="s">
        <v>226</v>
      </c>
      <c r="V270" s="76"/>
      <c r="W270" s="77">
        <v>3</v>
      </c>
      <c r="X270" s="55" t="s">
        <v>170</v>
      </c>
      <c r="Y270" s="55">
        <v>10</v>
      </c>
      <c r="Z270" s="55">
        <v>10</v>
      </c>
      <c r="AA270" s="73" t="s">
        <v>109</v>
      </c>
      <c r="AB270" s="73" t="s">
        <v>19</v>
      </c>
      <c r="AC270" s="103"/>
      <c r="AD270" s="451"/>
      <c r="AE270" s="452"/>
      <c r="AF270" s="453" t="str">
        <f t="shared" ref="AF270:AF333" si="90">IF(AH270="-","-",AH270&amp;REPT(IF($R270="N","　",IF($R270="9","0"," ")),$Z270-LENB(AH270)))</f>
        <v xml:space="preserve">          </v>
      </c>
      <c r="AG270" s="442" t="str">
        <f t="shared" si="86"/>
        <v>-</v>
      </c>
      <c r="AH270" s="452"/>
      <c r="AI270" s="447" t="s">
        <v>532</v>
      </c>
      <c r="AJ270" s="451"/>
      <c r="AK270" s="452"/>
      <c r="AL270" s="453" t="str">
        <f t="shared" ref="AL270:AL333" si="91">IF(AN270="-","-",AN270&amp;REPT(IF($R270="N","　",IF($R270="9","0"," ")),$Z270-LENB(AN270)))</f>
        <v xml:space="preserve">          </v>
      </c>
      <c r="AM270" s="442" t="str">
        <f t="shared" si="87"/>
        <v>-</v>
      </c>
      <c r="AN270" s="452"/>
      <c r="AO270" s="447" t="s">
        <v>532</v>
      </c>
      <c r="AP270" s="451"/>
      <c r="AQ270" s="452"/>
      <c r="AR270" s="453" t="str">
        <f t="shared" ref="AR270:AR333" si="92">IF(AT270="-","-",AT270&amp;REPT(IF($R270="N","　",IF($R270="9","0"," ")),$Z270-LENB(AT270)))</f>
        <v xml:space="preserve">          </v>
      </c>
      <c r="AS270" s="447" t="s">
        <v>532</v>
      </c>
      <c r="AT270" s="464"/>
      <c r="AU270" s="447" t="s">
        <v>532</v>
      </c>
      <c r="AV270" s="451"/>
      <c r="AW270" s="452"/>
      <c r="AX270" s="453" t="str">
        <f t="shared" ref="AX270:AX333" si="93">IF(AZ270="-","-",AZ270&amp;REPT(IF($R270="N","　",IF($R270="9","0"," ")),$Z270-LENB(AZ270)))</f>
        <v xml:space="preserve">          </v>
      </c>
      <c r="AY270" s="442" t="str">
        <f t="shared" si="88"/>
        <v>-</v>
      </c>
      <c r="AZ270" s="452"/>
      <c r="BA270" s="447" t="s">
        <v>532</v>
      </c>
      <c r="BB270" s="78"/>
      <c r="BC270" s="420"/>
      <c r="BD270" s="79" t="str">
        <f t="shared" ref="BD270:BD333" si="94">IF(BF270="-","-",BF270&amp;REPT(IF($R270="N","　",IF($R270="9","0"," ")),$Z270-LENB(BF270)))</f>
        <v xml:space="preserve">          </v>
      </c>
      <c r="BE270" s="213" t="str">
        <f t="shared" si="89"/>
        <v>-</v>
      </c>
      <c r="BF270" s="378"/>
      <c r="BG270" s="225" t="s">
        <v>215</v>
      </c>
      <c r="BH270" s="78"/>
      <c r="BI270" s="420"/>
      <c r="BJ270" s="79" t="str">
        <f t="shared" ref="BJ270:BJ333" si="95">IF(BL270="-","-",BL270&amp;REPT(IF($R270="N","　",IF($R270="9","0"," ")),$Z270-LENB(BL270)))</f>
        <v xml:space="preserve">          </v>
      </c>
      <c r="BK270" s="213" t="s">
        <v>215</v>
      </c>
      <c r="BL270" s="378"/>
      <c r="BM270" s="225" t="s">
        <v>215</v>
      </c>
    </row>
    <row r="271" spans="2:65" s="80" customFormat="1" ht="25.5">
      <c r="B271" s="64">
        <f t="shared" si="81"/>
        <v>264</v>
      </c>
      <c r="C271" s="68"/>
      <c r="D271" s="68"/>
      <c r="E271" s="68"/>
      <c r="F271" s="81" t="s">
        <v>171</v>
      </c>
      <c r="G271" s="14"/>
      <c r="H271" s="82"/>
      <c r="I271" s="73"/>
      <c r="J271" s="73"/>
      <c r="K271" s="74"/>
      <c r="L271" s="74"/>
      <c r="M271" s="83" t="s">
        <v>274</v>
      </c>
      <c r="N271" s="75"/>
      <c r="O271" s="76"/>
      <c r="P271" s="93">
        <f t="shared" si="85"/>
        <v>240</v>
      </c>
      <c r="Q271" s="117">
        <v>3</v>
      </c>
      <c r="R271" s="21" t="str">
        <f t="shared" si="84"/>
        <v>X</v>
      </c>
      <c r="S271" s="96" t="s">
        <v>172</v>
      </c>
      <c r="T271" s="104"/>
      <c r="U271" s="21" t="s">
        <v>226</v>
      </c>
      <c r="V271" s="76"/>
      <c r="W271" s="77">
        <v>3</v>
      </c>
      <c r="X271" s="55" t="s">
        <v>173</v>
      </c>
      <c r="Y271" s="55">
        <v>3</v>
      </c>
      <c r="Z271" s="55">
        <v>3</v>
      </c>
      <c r="AA271" s="73" t="s">
        <v>109</v>
      </c>
      <c r="AB271" s="73" t="s">
        <v>19</v>
      </c>
      <c r="AC271" s="103"/>
      <c r="AD271" s="451"/>
      <c r="AE271" s="452"/>
      <c r="AF271" s="453" t="str">
        <f t="shared" si="90"/>
        <v xml:space="preserve">   </v>
      </c>
      <c r="AG271" s="442" t="str">
        <f t="shared" si="86"/>
        <v>-</v>
      </c>
      <c r="AH271" s="452"/>
      <c r="AI271" s="447" t="s">
        <v>532</v>
      </c>
      <c r="AJ271" s="451"/>
      <c r="AK271" s="452"/>
      <c r="AL271" s="453" t="str">
        <f t="shared" si="91"/>
        <v xml:space="preserve">   </v>
      </c>
      <c r="AM271" s="442" t="str">
        <f t="shared" si="87"/>
        <v>-</v>
      </c>
      <c r="AN271" s="452"/>
      <c r="AO271" s="447" t="s">
        <v>532</v>
      </c>
      <c r="AP271" s="451"/>
      <c r="AQ271" s="452"/>
      <c r="AR271" s="453" t="str">
        <f t="shared" si="92"/>
        <v xml:space="preserve">   </v>
      </c>
      <c r="AS271" s="447" t="s">
        <v>532</v>
      </c>
      <c r="AT271" s="464"/>
      <c r="AU271" s="447" t="s">
        <v>532</v>
      </c>
      <c r="AV271" s="451"/>
      <c r="AW271" s="452"/>
      <c r="AX271" s="453" t="str">
        <f t="shared" si="93"/>
        <v xml:space="preserve">   </v>
      </c>
      <c r="AY271" s="442" t="str">
        <f t="shared" si="88"/>
        <v>-</v>
      </c>
      <c r="AZ271" s="452"/>
      <c r="BA271" s="447" t="s">
        <v>532</v>
      </c>
      <c r="BB271" s="78"/>
      <c r="BC271" s="420"/>
      <c r="BD271" s="79" t="str">
        <f t="shared" si="94"/>
        <v xml:space="preserve">   </v>
      </c>
      <c r="BE271" s="213" t="str">
        <f t="shared" si="89"/>
        <v>-</v>
      </c>
      <c r="BF271" s="378"/>
      <c r="BG271" s="225" t="s">
        <v>215</v>
      </c>
      <c r="BH271" s="78"/>
      <c r="BI271" s="420"/>
      <c r="BJ271" s="79" t="str">
        <f t="shared" si="95"/>
        <v xml:space="preserve">   </v>
      </c>
      <c r="BK271" s="213" t="s">
        <v>215</v>
      </c>
      <c r="BL271" s="378"/>
      <c r="BM271" s="225" t="s">
        <v>215</v>
      </c>
    </row>
    <row r="272" spans="2:65" s="80" customFormat="1" ht="25.5">
      <c r="B272" s="64">
        <f t="shared" si="81"/>
        <v>265</v>
      </c>
      <c r="C272" s="68"/>
      <c r="D272" s="68"/>
      <c r="E272" s="68"/>
      <c r="F272" s="81" t="s">
        <v>174</v>
      </c>
      <c r="G272" s="14"/>
      <c r="H272" s="82"/>
      <c r="I272" s="73"/>
      <c r="J272" s="73"/>
      <c r="K272" s="74"/>
      <c r="L272" s="74"/>
      <c r="M272" s="83" t="s">
        <v>274</v>
      </c>
      <c r="N272" s="75"/>
      <c r="O272" s="76"/>
      <c r="P272" s="93">
        <f>P271+1</f>
        <v>241</v>
      </c>
      <c r="Q272" s="117">
        <v>2</v>
      </c>
      <c r="R272" s="21" t="str">
        <f t="shared" si="84"/>
        <v>X</v>
      </c>
      <c r="S272" s="96" t="s">
        <v>175</v>
      </c>
      <c r="T272" s="104"/>
      <c r="U272" s="21" t="s">
        <v>226</v>
      </c>
      <c r="V272" s="76"/>
      <c r="W272" s="77">
        <v>3</v>
      </c>
      <c r="X272" s="55" t="s">
        <v>176</v>
      </c>
      <c r="Y272" s="55">
        <v>2</v>
      </c>
      <c r="Z272" s="55">
        <v>2</v>
      </c>
      <c r="AA272" s="73" t="s">
        <v>109</v>
      </c>
      <c r="AB272" s="73" t="s">
        <v>19</v>
      </c>
      <c r="AC272" s="103"/>
      <c r="AD272" s="451"/>
      <c r="AE272" s="452"/>
      <c r="AF272" s="453" t="str">
        <f t="shared" si="90"/>
        <v xml:space="preserve">  </v>
      </c>
      <c r="AG272" s="442" t="str">
        <f t="shared" si="86"/>
        <v>-</v>
      </c>
      <c r="AH272" s="452"/>
      <c r="AI272" s="447" t="s">
        <v>532</v>
      </c>
      <c r="AJ272" s="451"/>
      <c r="AK272" s="452"/>
      <c r="AL272" s="453" t="str">
        <f t="shared" si="91"/>
        <v xml:space="preserve">  </v>
      </c>
      <c r="AM272" s="442" t="str">
        <f t="shared" si="87"/>
        <v>-</v>
      </c>
      <c r="AN272" s="452"/>
      <c r="AO272" s="447" t="s">
        <v>532</v>
      </c>
      <c r="AP272" s="451"/>
      <c r="AQ272" s="452"/>
      <c r="AR272" s="453" t="str">
        <f t="shared" si="92"/>
        <v xml:space="preserve">  </v>
      </c>
      <c r="AS272" s="447" t="s">
        <v>532</v>
      </c>
      <c r="AT272" s="464"/>
      <c r="AU272" s="447" t="s">
        <v>532</v>
      </c>
      <c r="AV272" s="451"/>
      <c r="AW272" s="452"/>
      <c r="AX272" s="453" t="str">
        <f t="shared" si="93"/>
        <v xml:space="preserve">  </v>
      </c>
      <c r="AY272" s="442" t="str">
        <f t="shared" si="88"/>
        <v>-</v>
      </c>
      <c r="AZ272" s="452"/>
      <c r="BA272" s="447" t="s">
        <v>532</v>
      </c>
      <c r="BB272" s="78"/>
      <c r="BC272" s="420"/>
      <c r="BD272" s="79" t="str">
        <f t="shared" si="94"/>
        <v xml:space="preserve">  </v>
      </c>
      <c r="BE272" s="213" t="str">
        <f t="shared" si="89"/>
        <v>-</v>
      </c>
      <c r="BF272" s="378"/>
      <c r="BG272" s="225" t="s">
        <v>215</v>
      </c>
      <c r="BH272" s="78"/>
      <c r="BI272" s="420"/>
      <c r="BJ272" s="79" t="str">
        <f t="shared" si="95"/>
        <v xml:space="preserve">  </v>
      </c>
      <c r="BK272" s="213" t="s">
        <v>215</v>
      </c>
      <c r="BL272" s="378"/>
      <c r="BM272" s="225" t="s">
        <v>215</v>
      </c>
    </row>
    <row r="273" spans="1:65" s="80" customFormat="1" ht="51.75" customHeight="1">
      <c r="B273" s="64">
        <f t="shared" si="81"/>
        <v>266</v>
      </c>
      <c r="C273" s="68"/>
      <c r="D273" s="68"/>
      <c r="E273" s="68"/>
      <c r="F273" s="228" t="s">
        <v>177</v>
      </c>
      <c r="G273" s="229"/>
      <c r="H273" s="230"/>
      <c r="I273" s="73"/>
      <c r="J273" s="73"/>
      <c r="K273" s="74"/>
      <c r="L273" s="74"/>
      <c r="M273" s="83" t="s">
        <v>178</v>
      </c>
      <c r="N273" s="75"/>
      <c r="O273" s="76"/>
      <c r="P273" s="93">
        <f>P272+1</f>
        <v>242</v>
      </c>
      <c r="Q273" s="117">
        <v>5</v>
      </c>
      <c r="R273" s="21" t="str">
        <f t="shared" si="84"/>
        <v>X</v>
      </c>
      <c r="S273" s="96" t="s">
        <v>179</v>
      </c>
      <c r="T273" s="104"/>
      <c r="U273" s="21" t="s">
        <v>226</v>
      </c>
      <c r="V273" s="76"/>
      <c r="W273" s="77">
        <v>3</v>
      </c>
      <c r="X273" s="55" t="s">
        <v>262</v>
      </c>
      <c r="Y273" s="55">
        <v>5</v>
      </c>
      <c r="Z273" s="55">
        <v>5</v>
      </c>
      <c r="AA273" s="73" t="s">
        <v>109</v>
      </c>
      <c r="AB273" s="73" t="s">
        <v>19</v>
      </c>
      <c r="AC273" s="84"/>
      <c r="AD273" s="451"/>
      <c r="AE273" s="459"/>
      <c r="AF273" s="453" t="str">
        <f t="shared" si="90"/>
        <v xml:space="preserve">     </v>
      </c>
      <c r="AG273" s="442" t="str">
        <f t="shared" si="86"/>
        <v>-</v>
      </c>
      <c r="AH273" s="459"/>
      <c r="AI273" s="447" t="s">
        <v>532</v>
      </c>
      <c r="AJ273" s="451"/>
      <c r="AK273" s="459"/>
      <c r="AL273" s="453" t="str">
        <f t="shared" si="91"/>
        <v xml:space="preserve">     </v>
      </c>
      <c r="AM273" s="442" t="str">
        <f t="shared" si="87"/>
        <v>-</v>
      </c>
      <c r="AN273" s="459"/>
      <c r="AO273" s="447" t="s">
        <v>532</v>
      </c>
      <c r="AP273" s="451"/>
      <c r="AQ273" s="459"/>
      <c r="AR273" s="453" t="str">
        <f t="shared" si="92"/>
        <v xml:space="preserve">     </v>
      </c>
      <c r="AS273" s="447" t="s">
        <v>532</v>
      </c>
      <c r="AT273" s="466"/>
      <c r="AU273" s="447" t="s">
        <v>532</v>
      </c>
      <c r="AV273" s="451"/>
      <c r="AW273" s="459"/>
      <c r="AX273" s="453" t="str">
        <f t="shared" si="93"/>
        <v xml:space="preserve">     </v>
      </c>
      <c r="AY273" s="442" t="str">
        <f t="shared" si="88"/>
        <v>-</v>
      </c>
      <c r="AZ273" s="459"/>
      <c r="BA273" s="447" t="s">
        <v>532</v>
      </c>
      <c r="BB273" s="78"/>
      <c r="BC273" s="421"/>
      <c r="BD273" s="79" t="str">
        <f t="shared" si="94"/>
        <v xml:space="preserve">     </v>
      </c>
      <c r="BE273" s="213" t="str">
        <f t="shared" si="89"/>
        <v>-</v>
      </c>
      <c r="BF273" s="382"/>
      <c r="BG273" s="225" t="s">
        <v>215</v>
      </c>
      <c r="BH273" s="78"/>
      <c r="BI273" s="421"/>
      <c r="BJ273" s="79" t="str">
        <f t="shared" si="95"/>
        <v xml:space="preserve">     </v>
      </c>
      <c r="BK273" s="213" t="s">
        <v>215</v>
      </c>
      <c r="BL273" s="382"/>
      <c r="BM273" s="225" t="s">
        <v>215</v>
      </c>
    </row>
    <row r="274" spans="1:65" s="80" customFormat="1" ht="51.75" customHeight="1">
      <c r="B274" s="64">
        <f t="shared" si="81"/>
        <v>267</v>
      </c>
      <c r="C274" s="68"/>
      <c r="D274" s="68"/>
      <c r="E274" s="68"/>
      <c r="F274" s="228" t="s">
        <v>180</v>
      </c>
      <c r="G274" s="229"/>
      <c r="H274" s="230"/>
      <c r="I274" s="73"/>
      <c r="J274" s="73"/>
      <c r="K274" s="74"/>
      <c r="L274" s="74"/>
      <c r="M274" s="83" t="s">
        <v>181</v>
      </c>
      <c r="N274" s="75"/>
      <c r="O274" s="76"/>
      <c r="P274" s="93">
        <f>P273+1</f>
        <v>243</v>
      </c>
      <c r="Q274" s="117">
        <v>64</v>
      </c>
      <c r="R274" s="21" t="str">
        <f>IF(AA274="M","NX",AA274)</f>
        <v>NX</v>
      </c>
      <c r="S274" s="96" t="s">
        <v>182</v>
      </c>
      <c r="T274" s="104"/>
      <c r="U274" s="21" t="s">
        <v>226</v>
      </c>
      <c r="V274" s="76" t="s">
        <v>263</v>
      </c>
      <c r="W274" s="77">
        <v>3</v>
      </c>
      <c r="X274" s="55" t="s">
        <v>264</v>
      </c>
      <c r="Y274" s="55">
        <v>1</v>
      </c>
      <c r="Z274" s="55">
        <v>64</v>
      </c>
      <c r="AA274" s="73" t="s">
        <v>252</v>
      </c>
      <c r="AB274" s="73" t="s">
        <v>19</v>
      </c>
      <c r="AC274" s="84" t="s">
        <v>263</v>
      </c>
      <c r="AD274" s="451"/>
      <c r="AE274" s="459"/>
      <c r="AF274" s="453" t="str">
        <f t="shared" si="90"/>
        <v xml:space="preserve">                                                                </v>
      </c>
      <c r="AG274" s="442" t="str">
        <f t="shared" si="86"/>
        <v>-</v>
      </c>
      <c r="AH274" s="459"/>
      <c r="AI274" s="447" t="s">
        <v>532</v>
      </c>
      <c r="AJ274" s="451"/>
      <c r="AK274" s="459"/>
      <c r="AL274" s="453" t="str">
        <f t="shared" si="91"/>
        <v xml:space="preserve">                                                                </v>
      </c>
      <c r="AM274" s="442" t="str">
        <f t="shared" si="87"/>
        <v>-</v>
      </c>
      <c r="AN274" s="459"/>
      <c r="AO274" s="447" t="s">
        <v>532</v>
      </c>
      <c r="AP274" s="451"/>
      <c r="AQ274" s="459"/>
      <c r="AR274" s="453" t="str">
        <f t="shared" si="92"/>
        <v xml:space="preserve">                                                                </v>
      </c>
      <c r="AS274" s="447" t="s">
        <v>532</v>
      </c>
      <c r="AT274" s="466"/>
      <c r="AU274" s="447" t="s">
        <v>532</v>
      </c>
      <c r="AV274" s="451"/>
      <c r="AW274" s="459"/>
      <c r="AX274" s="453" t="str">
        <f t="shared" si="93"/>
        <v xml:space="preserve">                                                                </v>
      </c>
      <c r="AY274" s="442" t="str">
        <f t="shared" si="88"/>
        <v>-</v>
      </c>
      <c r="AZ274" s="459"/>
      <c r="BA274" s="447" t="s">
        <v>532</v>
      </c>
      <c r="BB274" s="78"/>
      <c r="BC274" s="421"/>
      <c r="BD274" s="79" t="str">
        <f t="shared" si="94"/>
        <v xml:space="preserve">                                                                </v>
      </c>
      <c r="BE274" s="213" t="str">
        <f t="shared" si="89"/>
        <v>-</v>
      </c>
      <c r="BF274" s="382"/>
      <c r="BG274" s="225" t="s">
        <v>215</v>
      </c>
      <c r="BH274" s="78"/>
      <c r="BI274" s="421"/>
      <c r="BJ274" s="79" t="str">
        <f t="shared" si="95"/>
        <v xml:space="preserve">                                                                </v>
      </c>
      <c r="BK274" s="213" t="s">
        <v>215</v>
      </c>
      <c r="BL274" s="382"/>
      <c r="BM274" s="225" t="s">
        <v>215</v>
      </c>
    </row>
    <row r="275" spans="1:65" s="80" customFormat="1" ht="92.25" customHeight="1">
      <c r="B275" s="64">
        <f t="shared" si="81"/>
        <v>268</v>
      </c>
      <c r="C275" s="68"/>
      <c r="D275" s="68"/>
      <c r="E275" s="68"/>
      <c r="F275" s="81" t="s">
        <v>276</v>
      </c>
      <c r="G275" s="14"/>
      <c r="H275" s="82"/>
      <c r="I275" s="73"/>
      <c r="J275" s="73"/>
      <c r="K275" s="74"/>
      <c r="L275" s="74"/>
      <c r="M275" s="415" t="s">
        <v>207</v>
      </c>
      <c r="N275" s="75"/>
      <c r="O275" s="76"/>
      <c r="P275" s="93">
        <f>P274+1</f>
        <v>244</v>
      </c>
      <c r="Q275" s="117">
        <v>7</v>
      </c>
      <c r="R275" s="21" t="s">
        <v>229</v>
      </c>
      <c r="S275" s="96" t="s">
        <v>265</v>
      </c>
      <c r="T275" s="104"/>
      <c r="U275" s="21" t="s">
        <v>226</v>
      </c>
      <c r="V275" s="76"/>
      <c r="W275" s="77">
        <v>3</v>
      </c>
      <c r="X275" s="55" t="s">
        <v>266</v>
      </c>
      <c r="Y275" s="55">
        <v>7</v>
      </c>
      <c r="Z275" s="55">
        <v>7</v>
      </c>
      <c r="AA275" s="73" t="s">
        <v>229</v>
      </c>
      <c r="AB275" s="73" t="s">
        <v>19</v>
      </c>
      <c r="AC275" s="84"/>
      <c r="AD275" s="451"/>
      <c r="AE275" s="452"/>
      <c r="AF275" s="453" t="str">
        <f t="shared" si="90"/>
        <v xml:space="preserve">       </v>
      </c>
      <c r="AG275" s="442" t="str">
        <f t="shared" si="86"/>
        <v>-</v>
      </c>
      <c r="AH275" s="452"/>
      <c r="AI275" s="447" t="s">
        <v>532</v>
      </c>
      <c r="AJ275" s="451"/>
      <c r="AK275" s="452"/>
      <c r="AL275" s="453" t="str">
        <f t="shared" si="91"/>
        <v xml:space="preserve">       </v>
      </c>
      <c r="AM275" s="442" t="str">
        <f t="shared" si="87"/>
        <v>-</v>
      </c>
      <c r="AN275" s="452"/>
      <c r="AO275" s="447" t="s">
        <v>532</v>
      </c>
      <c r="AP275" s="451"/>
      <c r="AQ275" s="452"/>
      <c r="AR275" s="453" t="str">
        <f t="shared" si="92"/>
        <v xml:space="preserve">       </v>
      </c>
      <c r="AS275" s="447" t="s">
        <v>532</v>
      </c>
      <c r="AT275" s="464"/>
      <c r="AU275" s="447" t="s">
        <v>532</v>
      </c>
      <c r="AV275" s="451"/>
      <c r="AW275" s="452"/>
      <c r="AX275" s="453" t="str">
        <f t="shared" si="93"/>
        <v xml:space="preserve">       </v>
      </c>
      <c r="AY275" s="442" t="str">
        <f t="shared" si="88"/>
        <v>-</v>
      </c>
      <c r="AZ275" s="452"/>
      <c r="BA275" s="447" t="s">
        <v>532</v>
      </c>
      <c r="BB275" s="78"/>
      <c r="BC275" s="420"/>
      <c r="BD275" s="79" t="str">
        <f t="shared" si="94"/>
        <v xml:space="preserve">       </v>
      </c>
      <c r="BE275" s="213" t="str">
        <f t="shared" si="89"/>
        <v>-</v>
      </c>
      <c r="BF275" s="378"/>
      <c r="BG275" s="225" t="s">
        <v>215</v>
      </c>
      <c r="BH275" s="78"/>
      <c r="BI275" s="420"/>
      <c r="BJ275" s="79" t="str">
        <f t="shared" si="95"/>
        <v xml:space="preserve">       </v>
      </c>
      <c r="BK275" s="213" t="s">
        <v>215</v>
      </c>
      <c r="BL275" s="378"/>
      <c r="BM275" s="225" t="s">
        <v>215</v>
      </c>
    </row>
    <row r="276" spans="1:65" s="80" customFormat="1" ht="127.9" thickBot="1">
      <c r="A276" s="216"/>
      <c r="B276" s="231">
        <f t="shared" si="81"/>
        <v>269</v>
      </c>
      <c r="C276" s="232"/>
      <c r="D276" s="232"/>
      <c r="E276" s="232"/>
      <c r="F276" s="234" t="s">
        <v>267</v>
      </c>
      <c r="G276" s="235"/>
      <c r="H276" s="236"/>
      <c r="I276" s="237"/>
      <c r="J276" s="237"/>
      <c r="K276" s="237"/>
      <c r="L276" s="237"/>
      <c r="M276" s="416" t="s">
        <v>277</v>
      </c>
      <c r="N276" s="417"/>
      <c r="O276" s="419"/>
      <c r="P276" s="429">
        <f>P275+1</f>
        <v>245</v>
      </c>
      <c r="Q276" s="430">
        <v>1</v>
      </c>
      <c r="R276" s="431">
        <v>9</v>
      </c>
      <c r="S276" s="430" t="s">
        <v>268</v>
      </c>
      <c r="T276" s="430"/>
      <c r="U276" s="431" t="s">
        <v>226</v>
      </c>
      <c r="V276" s="432"/>
      <c r="W276" s="433" t="str">
        <f>IF(C276&lt;&gt;"","0",IF(D276&lt;&gt;"","1",IF(E276&lt;&gt;"","2",IF(F276&lt;&gt;"","3",IF(G276&lt;&gt;"","4",IF(H276&lt;&gt;"","5"))))))</f>
        <v>3</v>
      </c>
      <c r="X276" s="434" t="s">
        <v>269</v>
      </c>
      <c r="Y276" s="434">
        <v>1</v>
      </c>
      <c r="Z276" s="434">
        <v>1</v>
      </c>
      <c r="AA276" s="435">
        <v>9</v>
      </c>
      <c r="AB276" s="237" t="s">
        <v>226</v>
      </c>
      <c r="AC276" s="436"/>
      <c r="AD276" s="454"/>
      <c r="AE276" s="455"/>
      <c r="AF276" s="456" t="str">
        <f t="shared" si="90"/>
        <v xml:space="preserve"> </v>
      </c>
      <c r="AG276" s="457" t="str">
        <f t="shared" si="86"/>
        <v>-</v>
      </c>
      <c r="AH276" s="455"/>
      <c r="AI276" s="458" t="s">
        <v>532</v>
      </c>
      <c r="AJ276" s="454"/>
      <c r="AK276" s="455"/>
      <c r="AL276" s="456" t="str">
        <f t="shared" si="91"/>
        <v xml:space="preserve"> </v>
      </c>
      <c r="AM276" s="457" t="str">
        <f t="shared" si="87"/>
        <v>-</v>
      </c>
      <c r="AN276" s="455"/>
      <c r="AO276" s="458" t="s">
        <v>532</v>
      </c>
      <c r="AP276" s="454"/>
      <c r="AQ276" s="455"/>
      <c r="AR276" s="456" t="str">
        <f t="shared" si="92"/>
        <v xml:space="preserve"> </v>
      </c>
      <c r="AS276" s="457" t="s">
        <v>532</v>
      </c>
      <c r="AT276" s="465"/>
      <c r="AU276" s="458" t="s">
        <v>532</v>
      </c>
      <c r="AV276" s="454"/>
      <c r="AW276" s="455"/>
      <c r="AX276" s="456" t="str">
        <f t="shared" si="93"/>
        <v xml:space="preserve"> </v>
      </c>
      <c r="AY276" s="457" t="str">
        <f t="shared" si="88"/>
        <v>-</v>
      </c>
      <c r="AZ276" s="455"/>
      <c r="BA276" s="458" t="s">
        <v>532</v>
      </c>
      <c r="BB276" s="211"/>
      <c r="BC276" s="422"/>
      <c r="BD276" s="212" t="str">
        <f t="shared" si="94"/>
        <v xml:space="preserve"> </v>
      </c>
      <c r="BE276" s="226" t="str">
        <f t="shared" si="89"/>
        <v>-</v>
      </c>
      <c r="BF276" s="352"/>
      <c r="BG276" s="403" t="s">
        <v>215</v>
      </c>
      <c r="BH276" s="211"/>
      <c r="BI276" s="422"/>
      <c r="BJ276" s="212" t="str">
        <f t="shared" si="95"/>
        <v xml:space="preserve"> </v>
      </c>
      <c r="BK276" s="226" t="s">
        <v>215</v>
      </c>
      <c r="BL276" s="352"/>
      <c r="BM276" s="403" t="s">
        <v>215</v>
      </c>
    </row>
    <row r="277" spans="1:65" s="26" customFormat="1" ht="18.75" customHeight="1" thickTop="1">
      <c r="B277" s="2">
        <f t="shared" si="81"/>
        <v>270</v>
      </c>
      <c r="C277" s="7"/>
      <c r="D277" s="7"/>
      <c r="E277" s="100" t="s">
        <v>308</v>
      </c>
      <c r="F277" s="410"/>
      <c r="G277" s="410"/>
      <c r="H277" s="61"/>
      <c r="I277" s="8" t="s">
        <v>29</v>
      </c>
      <c r="J277" s="8" t="s">
        <v>231</v>
      </c>
      <c r="K277" s="8"/>
      <c r="L277" s="8"/>
      <c r="M277" s="1" t="s">
        <v>272</v>
      </c>
      <c r="N277" s="9"/>
      <c r="O277" s="423"/>
      <c r="P277" s="93"/>
      <c r="Q277" s="113"/>
      <c r="R277" s="21"/>
      <c r="S277" s="424"/>
      <c r="T277" s="9"/>
      <c r="U277" s="21"/>
      <c r="V277" s="98"/>
      <c r="W277" s="25" t="str">
        <f>IF(C277&lt;&gt;"","0",IF(D277&lt;&gt;"","1",IF(E277&lt;&gt;"","2",IF(F277&lt;&gt;"","3",IF(G277&lt;&gt;"","4",IF(H277&lt;&gt;"","5"))))))</f>
        <v>2</v>
      </c>
      <c r="X277" s="1" t="s">
        <v>117</v>
      </c>
      <c r="Y277" s="1"/>
      <c r="Z277" s="1"/>
      <c r="AA277" s="8"/>
      <c r="AB277" s="8" t="s">
        <v>226</v>
      </c>
      <c r="AC277" s="62"/>
      <c r="AD277" s="444"/>
      <c r="AE277" s="440"/>
      <c r="AF277" s="440" t="str">
        <f t="shared" si="90"/>
        <v/>
      </c>
      <c r="AG277" s="442" t="str">
        <f t="shared" si="86"/>
        <v>-</v>
      </c>
      <c r="AH277" s="440"/>
      <c r="AI277" s="448" t="s">
        <v>532</v>
      </c>
      <c r="AJ277" s="444"/>
      <c r="AK277" s="440"/>
      <c r="AL277" s="440" t="str">
        <f t="shared" si="91"/>
        <v/>
      </c>
      <c r="AM277" s="442" t="str">
        <f t="shared" si="87"/>
        <v>-</v>
      </c>
      <c r="AN277" s="440"/>
      <c r="AO277" s="448" t="s">
        <v>532</v>
      </c>
      <c r="AP277" s="444"/>
      <c r="AQ277" s="440"/>
      <c r="AR277" s="440" t="str">
        <f t="shared" si="92"/>
        <v/>
      </c>
      <c r="AS277" s="442" t="s">
        <v>532</v>
      </c>
      <c r="AT277" s="462"/>
      <c r="AU277" s="448" t="s">
        <v>532</v>
      </c>
      <c r="AV277" s="444"/>
      <c r="AW277" s="440"/>
      <c r="AX277" s="440" t="str">
        <f t="shared" si="93"/>
        <v/>
      </c>
      <c r="AY277" s="442" t="str">
        <f t="shared" si="88"/>
        <v>-</v>
      </c>
      <c r="AZ277" s="440"/>
      <c r="BA277" s="448" t="s">
        <v>532</v>
      </c>
      <c r="BB277" s="59"/>
      <c r="BC277" s="60"/>
      <c r="BD277" s="60" t="str">
        <f t="shared" si="94"/>
        <v/>
      </c>
      <c r="BE277" s="213" t="str">
        <f t="shared" si="89"/>
        <v>-</v>
      </c>
      <c r="BF277" s="167"/>
      <c r="BG277" s="405" t="s">
        <v>215</v>
      </c>
      <c r="BH277" s="59"/>
      <c r="BI277" s="60"/>
      <c r="BJ277" s="60" t="str">
        <f t="shared" si="95"/>
        <v/>
      </c>
      <c r="BK277" s="260" t="s">
        <v>215</v>
      </c>
      <c r="BL277" s="167"/>
      <c r="BM277" s="405" t="s">
        <v>215</v>
      </c>
    </row>
    <row r="278" spans="1:65" s="26" customFormat="1" ht="63.75">
      <c r="B278" s="2">
        <f t="shared" si="81"/>
        <v>271</v>
      </c>
      <c r="C278" s="127"/>
      <c r="D278" s="7"/>
      <c r="E278" s="7"/>
      <c r="F278" s="110" t="s">
        <v>87</v>
      </c>
      <c r="G278" s="16"/>
      <c r="H278" s="13"/>
      <c r="I278" s="6"/>
      <c r="J278" s="6"/>
      <c r="K278" s="6"/>
      <c r="L278" s="8"/>
      <c r="M278" s="23" t="s">
        <v>248</v>
      </c>
      <c r="N278" s="1"/>
      <c r="O278" s="56"/>
      <c r="P278" s="93">
        <f>P276+1</f>
        <v>246</v>
      </c>
      <c r="Q278" s="115">
        <v>2</v>
      </c>
      <c r="R278" s="21" t="str">
        <f>IF(AA278="M","NX",AA278)</f>
        <v>X</v>
      </c>
      <c r="S278" s="96" t="s">
        <v>309</v>
      </c>
      <c r="T278" s="94"/>
      <c r="U278" s="21" t="s">
        <v>226</v>
      </c>
      <c r="V278" s="116" t="s">
        <v>189</v>
      </c>
      <c r="W278" s="25" t="str">
        <f>IF(C278&lt;&gt;"","0",IF(D278&lt;&gt;"","1",IF(E278&lt;&gt;"","2",IF(F278&lt;&gt;"","3",IF(G278&lt;&gt;"","4",IF(H278&lt;&gt;"","5"))))))</f>
        <v>3</v>
      </c>
      <c r="X278" s="5" t="s">
        <v>249</v>
      </c>
      <c r="Y278" s="57">
        <v>2</v>
      </c>
      <c r="Z278" s="57">
        <v>2</v>
      </c>
      <c r="AA278" s="58" t="s">
        <v>109</v>
      </c>
      <c r="AB278" s="58" t="s">
        <v>19</v>
      </c>
      <c r="AC278" s="12"/>
      <c r="AD278" s="444"/>
      <c r="AE278" s="445"/>
      <c r="AF278" s="446" t="str">
        <f t="shared" si="90"/>
        <v xml:space="preserve">  </v>
      </c>
      <c r="AG278" s="442" t="str">
        <f t="shared" si="86"/>
        <v>-</v>
      </c>
      <c r="AH278" s="445"/>
      <c r="AI278" s="447" t="s">
        <v>532</v>
      </c>
      <c r="AJ278" s="444"/>
      <c r="AK278" s="445"/>
      <c r="AL278" s="446" t="str">
        <f t="shared" si="91"/>
        <v xml:space="preserve">  </v>
      </c>
      <c r="AM278" s="442" t="str">
        <f t="shared" si="87"/>
        <v>-</v>
      </c>
      <c r="AN278" s="445"/>
      <c r="AO278" s="447" t="s">
        <v>532</v>
      </c>
      <c r="AP278" s="444"/>
      <c r="AQ278" s="445"/>
      <c r="AR278" s="446" t="str">
        <f t="shared" si="92"/>
        <v xml:space="preserve">  </v>
      </c>
      <c r="AS278" s="447" t="s">
        <v>532</v>
      </c>
      <c r="AT278" s="463"/>
      <c r="AU278" s="447" t="s">
        <v>532</v>
      </c>
      <c r="AV278" s="444"/>
      <c r="AW278" s="445"/>
      <c r="AX278" s="446" t="str">
        <f t="shared" si="93"/>
        <v xml:space="preserve">  </v>
      </c>
      <c r="AY278" s="442" t="str">
        <f t="shared" si="88"/>
        <v>-</v>
      </c>
      <c r="AZ278" s="445"/>
      <c r="BA278" s="447" t="s">
        <v>532</v>
      </c>
      <c r="BB278" s="59"/>
      <c r="BC278" s="223"/>
      <c r="BD278" s="254" t="str">
        <f t="shared" si="94"/>
        <v xml:space="preserve">  </v>
      </c>
      <c r="BE278" s="213" t="str">
        <f t="shared" si="89"/>
        <v>-</v>
      </c>
      <c r="BF278" s="172"/>
      <c r="BG278" s="225" t="s">
        <v>215</v>
      </c>
      <c r="BH278" s="59"/>
      <c r="BI278" s="223"/>
      <c r="BJ278" s="254" t="str">
        <f t="shared" si="95"/>
        <v xml:space="preserve">  </v>
      </c>
      <c r="BK278" s="213" t="s">
        <v>215</v>
      </c>
      <c r="BL278" s="172"/>
      <c r="BM278" s="225" t="s">
        <v>215</v>
      </c>
    </row>
    <row r="279" spans="1:65" s="26" customFormat="1" ht="344.25">
      <c r="B279" s="2">
        <f t="shared" ref="B279:B342" si="96">ROW()-7</f>
        <v>272</v>
      </c>
      <c r="C279" s="7"/>
      <c r="D279" s="7"/>
      <c r="E279" s="7"/>
      <c r="F279" s="110" t="s">
        <v>304</v>
      </c>
      <c r="G279" s="16"/>
      <c r="H279" s="13"/>
      <c r="I279" s="8"/>
      <c r="J279" s="8" t="s">
        <v>231</v>
      </c>
      <c r="K279" s="8"/>
      <c r="L279" s="8"/>
      <c r="M279" s="355" t="s">
        <v>478</v>
      </c>
      <c r="N279" s="11"/>
      <c r="O279" s="56"/>
      <c r="P279" s="93">
        <f>P278+1</f>
        <v>247</v>
      </c>
      <c r="Q279" s="113">
        <v>2</v>
      </c>
      <c r="R279" s="21" t="str">
        <f t="shared" ref="R279:R303" si="97">IF(AA279="M","NX",AA279)</f>
        <v>X</v>
      </c>
      <c r="S279" s="96" t="s">
        <v>310</v>
      </c>
      <c r="T279" s="94"/>
      <c r="U279" s="21" t="s">
        <v>226</v>
      </c>
      <c r="V279" s="10"/>
      <c r="W279" s="25">
        <v>3</v>
      </c>
      <c r="X279" s="1" t="s">
        <v>243</v>
      </c>
      <c r="Y279" s="1">
        <v>2</v>
      </c>
      <c r="Z279" s="1">
        <v>2</v>
      </c>
      <c r="AA279" s="8" t="s">
        <v>109</v>
      </c>
      <c r="AB279" s="8" t="s">
        <v>19</v>
      </c>
      <c r="AC279" s="12"/>
      <c r="AD279" s="444"/>
      <c r="AE279" s="445"/>
      <c r="AF279" s="446" t="str">
        <f t="shared" si="90"/>
        <v xml:space="preserve">  </v>
      </c>
      <c r="AG279" s="442" t="str">
        <f t="shared" si="86"/>
        <v>-</v>
      </c>
      <c r="AH279" s="445"/>
      <c r="AI279" s="448" t="s">
        <v>532</v>
      </c>
      <c r="AJ279" s="444"/>
      <c r="AK279" s="445"/>
      <c r="AL279" s="446" t="str">
        <f t="shared" si="91"/>
        <v xml:space="preserve">  </v>
      </c>
      <c r="AM279" s="442" t="str">
        <f t="shared" si="87"/>
        <v>-</v>
      </c>
      <c r="AN279" s="445"/>
      <c r="AO279" s="448" t="s">
        <v>532</v>
      </c>
      <c r="AP279" s="444"/>
      <c r="AQ279" s="445"/>
      <c r="AR279" s="446" t="str">
        <f t="shared" si="92"/>
        <v xml:space="preserve">  </v>
      </c>
      <c r="AS279" s="442" t="s">
        <v>532</v>
      </c>
      <c r="AT279" s="463"/>
      <c r="AU279" s="448" t="s">
        <v>532</v>
      </c>
      <c r="AV279" s="444"/>
      <c r="AW279" s="445"/>
      <c r="AX279" s="446" t="str">
        <f t="shared" si="93"/>
        <v xml:space="preserve">  </v>
      </c>
      <c r="AY279" s="442" t="str">
        <f t="shared" si="88"/>
        <v>-</v>
      </c>
      <c r="AZ279" s="445"/>
      <c r="BA279" s="448" t="s">
        <v>532</v>
      </c>
      <c r="BB279" s="59"/>
      <c r="BC279" s="223"/>
      <c r="BD279" s="254" t="str">
        <f t="shared" si="94"/>
        <v>A4</v>
      </c>
      <c r="BE279" s="213" t="str">
        <f t="shared" si="89"/>
        <v>-</v>
      </c>
      <c r="BF279" s="172" t="s">
        <v>195</v>
      </c>
      <c r="BG279" s="405" t="str">
        <f>IF(OR(BC$8="判定対象外",BF$8="判定対象外",BF279="-"),"-",IF(BC279=BF279,"OK","NG"))</f>
        <v>NG</v>
      </c>
      <c r="BH279" s="59"/>
      <c r="BI279" s="223"/>
      <c r="BJ279" s="254" t="str">
        <f t="shared" si="95"/>
        <v>B5</v>
      </c>
      <c r="BK279" s="213" t="str">
        <f>IF(OR(BI$8="判定対象外",BJ$8="判定対象外",BJ279="-"),"-",IF(BI279=BJ279,"OK","NG"))</f>
        <v>NG</v>
      </c>
      <c r="BL279" s="172" t="s">
        <v>580</v>
      </c>
      <c r="BM279" s="405" t="str">
        <f>IF(OR(BI$8="判定対象外",BL$8="判定対象外",BL279="-"),"-",IF(BI279=BL279,"OK","NG"))</f>
        <v>NG</v>
      </c>
    </row>
    <row r="280" spans="1:65" s="26" customFormat="1">
      <c r="B280" s="2">
        <f t="shared" si="96"/>
        <v>273</v>
      </c>
      <c r="C280" s="7"/>
      <c r="D280" s="7"/>
      <c r="E280" s="7"/>
      <c r="F280" s="22" t="s">
        <v>273</v>
      </c>
      <c r="G280" s="16"/>
      <c r="H280" s="13"/>
      <c r="I280" s="8"/>
      <c r="J280" s="8"/>
      <c r="K280" s="8"/>
      <c r="L280" s="8"/>
      <c r="M280" s="358" t="s">
        <v>205</v>
      </c>
      <c r="N280" s="11"/>
      <c r="O280" s="56"/>
      <c r="P280" s="93">
        <f t="shared" ref="P280:P301" si="98">P279+1</f>
        <v>248</v>
      </c>
      <c r="Q280" s="113">
        <v>2</v>
      </c>
      <c r="R280" s="21" t="str">
        <f t="shared" si="97"/>
        <v>X</v>
      </c>
      <c r="S280" s="96" t="s">
        <v>118</v>
      </c>
      <c r="T280" s="94"/>
      <c r="U280" s="21" t="s">
        <v>226</v>
      </c>
      <c r="V280" s="10"/>
      <c r="W280" s="25">
        <v>3</v>
      </c>
      <c r="X280" s="1" t="s">
        <v>119</v>
      </c>
      <c r="Y280" s="1">
        <v>2</v>
      </c>
      <c r="Z280" s="1">
        <v>2</v>
      </c>
      <c r="AA280" s="8" t="s">
        <v>109</v>
      </c>
      <c r="AB280" s="8" t="s">
        <v>19</v>
      </c>
      <c r="AC280" s="12"/>
      <c r="AD280" s="444"/>
      <c r="AE280" s="440"/>
      <c r="AF280" s="440" t="str">
        <f t="shared" si="90"/>
        <v xml:space="preserve">  </v>
      </c>
      <c r="AG280" s="442" t="str">
        <f t="shared" si="86"/>
        <v>-</v>
      </c>
      <c r="AH280" s="440"/>
      <c r="AI280" s="447" t="s">
        <v>532</v>
      </c>
      <c r="AJ280" s="444"/>
      <c r="AK280" s="440"/>
      <c r="AL280" s="440" t="str">
        <f t="shared" si="91"/>
        <v xml:space="preserve">  </v>
      </c>
      <c r="AM280" s="442" t="str">
        <f t="shared" si="87"/>
        <v>-</v>
      </c>
      <c r="AN280" s="440"/>
      <c r="AO280" s="447" t="s">
        <v>532</v>
      </c>
      <c r="AP280" s="444"/>
      <c r="AQ280" s="440"/>
      <c r="AR280" s="440" t="str">
        <f t="shared" si="92"/>
        <v xml:space="preserve">  </v>
      </c>
      <c r="AS280" s="447" t="s">
        <v>532</v>
      </c>
      <c r="AT280" s="462"/>
      <c r="AU280" s="447" t="s">
        <v>532</v>
      </c>
      <c r="AV280" s="444"/>
      <c r="AW280" s="440"/>
      <c r="AX280" s="440" t="str">
        <f t="shared" si="93"/>
        <v xml:space="preserve">  </v>
      </c>
      <c r="AY280" s="442" t="str">
        <f t="shared" si="88"/>
        <v>-</v>
      </c>
      <c r="AZ280" s="440"/>
      <c r="BA280" s="447" t="s">
        <v>532</v>
      </c>
      <c r="BB280" s="59"/>
      <c r="BC280" s="60"/>
      <c r="BD280" s="60" t="str">
        <f t="shared" si="94"/>
        <v xml:space="preserve">  </v>
      </c>
      <c r="BE280" s="213" t="str">
        <f t="shared" si="89"/>
        <v>-</v>
      </c>
      <c r="BF280" s="167"/>
      <c r="BG280" s="225" t="s">
        <v>215</v>
      </c>
      <c r="BH280" s="59"/>
      <c r="BI280" s="60"/>
      <c r="BJ280" s="60" t="str">
        <f t="shared" si="95"/>
        <v xml:space="preserve">  </v>
      </c>
      <c r="BK280" s="213" t="s">
        <v>215</v>
      </c>
      <c r="BL280" s="167"/>
      <c r="BM280" s="225" t="s">
        <v>215</v>
      </c>
    </row>
    <row r="281" spans="1:65" s="26" customFormat="1">
      <c r="B281" s="2">
        <f t="shared" si="96"/>
        <v>274</v>
      </c>
      <c r="C281" s="7"/>
      <c r="D281" s="7"/>
      <c r="E281" s="7"/>
      <c r="F281" s="22" t="s">
        <v>120</v>
      </c>
      <c r="G281" s="16"/>
      <c r="H281" s="13"/>
      <c r="I281" s="8"/>
      <c r="J281" s="8" t="s">
        <v>231</v>
      </c>
      <c r="K281" s="8"/>
      <c r="L281" s="8"/>
      <c r="M281" s="1" t="s">
        <v>121</v>
      </c>
      <c r="N281" s="1"/>
      <c r="O281" s="56"/>
      <c r="P281" s="93">
        <f t="shared" si="98"/>
        <v>249</v>
      </c>
      <c r="Q281" s="113">
        <v>255</v>
      </c>
      <c r="R281" s="21" t="str">
        <f t="shared" si="97"/>
        <v>NX</v>
      </c>
      <c r="S281" s="96" t="s">
        <v>122</v>
      </c>
      <c r="T281" s="94"/>
      <c r="U281" s="21" t="s">
        <v>226</v>
      </c>
      <c r="V281" s="10"/>
      <c r="W281" s="25">
        <v>3</v>
      </c>
      <c r="X281" s="1" t="s">
        <v>250</v>
      </c>
      <c r="Y281" s="1">
        <v>1</v>
      </c>
      <c r="Z281" s="1">
        <v>255</v>
      </c>
      <c r="AA281" s="8" t="s">
        <v>123</v>
      </c>
      <c r="AB281" s="8" t="s">
        <v>19</v>
      </c>
      <c r="AC281" s="12"/>
      <c r="AD281" s="444"/>
      <c r="AE281" s="445"/>
      <c r="AF281" s="445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81" s="442" t="str">
        <f t="shared" si="86"/>
        <v>-</v>
      </c>
      <c r="AH281" s="445"/>
      <c r="AI281" s="447" t="s">
        <v>532</v>
      </c>
      <c r="AJ281" s="444"/>
      <c r="AK281" s="445"/>
      <c r="AL281" s="445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81" s="442" t="str">
        <f t="shared" si="87"/>
        <v>-</v>
      </c>
      <c r="AN281" s="445"/>
      <c r="AO281" s="447" t="s">
        <v>532</v>
      </c>
      <c r="AP281" s="444"/>
      <c r="AQ281" s="445"/>
      <c r="AR281" s="445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81" s="447" t="s">
        <v>532</v>
      </c>
      <c r="AT281" s="463"/>
      <c r="AU281" s="447" t="s">
        <v>532</v>
      </c>
      <c r="AV281" s="444"/>
      <c r="AW281" s="445"/>
      <c r="AX281" s="445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81" s="442" t="str">
        <f t="shared" si="88"/>
        <v>-</v>
      </c>
      <c r="AZ281" s="445"/>
      <c r="BA281" s="447" t="s">
        <v>532</v>
      </c>
      <c r="BB281" s="59"/>
      <c r="BC281" s="223"/>
      <c r="BD281" s="223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81" s="213" t="str">
        <f t="shared" si="89"/>
        <v>-</v>
      </c>
      <c r="BF281" s="172"/>
      <c r="BG281" s="225" t="s">
        <v>215</v>
      </c>
      <c r="BH281" s="59"/>
      <c r="BI281" s="223"/>
      <c r="BJ281" s="223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81" s="213" t="s">
        <v>215</v>
      </c>
      <c r="BL281" s="172"/>
      <c r="BM281" s="225" t="s">
        <v>215</v>
      </c>
    </row>
    <row r="282" spans="1:65" s="26" customFormat="1">
      <c r="B282" s="19">
        <f t="shared" si="96"/>
        <v>275</v>
      </c>
      <c r="C282" s="7"/>
      <c r="D282" s="7"/>
      <c r="E282" s="7"/>
      <c r="F282" s="3" t="s">
        <v>124</v>
      </c>
      <c r="G282" s="3"/>
      <c r="H282" s="4"/>
      <c r="I282" s="6"/>
      <c r="J282" s="6"/>
      <c r="K282" s="6"/>
      <c r="L282" s="6"/>
      <c r="M282" s="23" t="s">
        <v>125</v>
      </c>
      <c r="N282" s="5"/>
      <c r="O282" s="54"/>
      <c r="P282" s="93">
        <f t="shared" si="98"/>
        <v>250</v>
      </c>
      <c r="Q282" s="114">
        <v>256</v>
      </c>
      <c r="R282" s="21" t="str">
        <f t="shared" si="97"/>
        <v>NX</v>
      </c>
      <c r="S282" s="96" t="s">
        <v>126</v>
      </c>
      <c r="T282" s="94"/>
      <c r="U282" s="21" t="s">
        <v>226</v>
      </c>
      <c r="V282" s="10"/>
      <c r="W282" s="28">
        <v>3</v>
      </c>
      <c r="X282" s="5" t="s">
        <v>251</v>
      </c>
      <c r="Y282" s="5">
        <v>1</v>
      </c>
      <c r="Z282" s="5">
        <v>256</v>
      </c>
      <c r="AA282" s="6" t="s">
        <v>252</v>
      </c>
      <c r="AB282" s="6" t="s">
        <v>226</v>
      </c>
      <c r="AC282" s="63"/>
      <c r="AD282" s="444"/>
      <c r="AE282" s="440"/>
      <c r="AF282" s="440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82" s="442" t="str">
        <f t="shared" si="86"/>
        <v>-</v>
      </c>
      <c r="AH282" s="440"/>
      <c r="AI282" s="447" t="s">
        <v>532</v>
      </c>
      <c r="AJ282" s="444"/>
      <c r="AK282" s="440"/>
      <c r="AL282" s="440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82" s="442" t="str">
        <f t="shared" si="87"/>
        <v>-</v>
      </c>
      <c r="AN282" s="440"/>
      <c r="AO282" s="447" t="s">
        <v>532</v>
      </c>
      <c r="AP282" s="444"/>
      <c r="AQ282" s="440"/>
      <c r="AR282" s="440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82" s="447" t="s">
        <v>532</v>
      </c>
      <c r="AT282" s="462"/>
      <c r="AU282" s="447" t="s">
        <v>532</v>
      </c>
      <c r="AV282" s="444"/>
      <c r="AW282" s="440"/>
      <c r="AX282" s="440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82" s="442" t="str">
        <f t="shared" si="88"/>
        <v>-</v>
      </c>
      <c r="AZ282" s="440"/>
      <c r="BA282" s="447" t="s">
        <v>532</v>
      </c>
      <c r="BB282" s="59"/>
      <c r="BC282" s="60"/>
      <c r="BD282" s="60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82" s="213" t="str">
        <f t="shared" si="89"/>
        <v>-</v>
      </c>
      <c r="BF282" s="167"/>
      <c r="BG282" s="225" t="s">
        <v>215</v>
      </c>
      <c r="BH282" s="59"/>
      <c r="BI282" s="60"/>
      <c r="BJ282" s="60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82" s="213" t="s">
        <v>215</v>
      </c>
      <c r="BL282" s="167"/>
      <c r="BM282" s="225" t="s">
        <v>215</v>
      </c>
    </row>
    <row r="283" spans="1:65" s="26" customFormat="1" ht="63.75">
      <c r="B283" s="2">
        <f t="shared" si="96"/>
        <v>276</v>
      </c>
      <c r="C283" s="7"/>
      <c r="D283" s="7"/>
      <c r="E283" s="7"/>
      <c r="F283" s="22" t="s">
        <v>127</v>
      </c>
      <c r="G283" s="16"/>
      <c r="H283" s="13"/>
      <c r="I283" s="8"/>
      <c r="J283" s="8"/>
      <c r="K283" s="8"/>
      <c r="L283" s="8"/>
      <c r="M283" s="11" t="s">
        <v>311</v>
      </c>
      <c r="N283" s="1"/>
      <c r="O283" s="56"/>
      <c r="P283" s="93">
        <f t="shared" si="98"/>
        <v>251</v>
      </c>
      <c r="Q283" s="113">
        <v>256</v>
      </c>
      <c r="R283" s="21" t="str">
        <f t="shared" si="97"/>
        <v>NX</v>
      </c>
      <c r="S283" s="96" t="s">
        <v>128</v>
      </c>
      <c r="T283" s="94"/>
      <c r="U283" s="21" t="s">
        <v>226</v>
      </c>
      <c r="V283" s="10"/>
      <c r="W283" s="25">
        <v>3</v>
      </c>
      <c r="X283" s="1" t="s">
        <v>129</v>
      </c>
      <c r="Y283" s="1">
        <v>1</v>
      </c>
      <c r="Z283" s="1">
        <v>256</v>
      </c>
      <c r="AA283" s="8" t="s">
        <v>123</v>
      </c>
      <c r="AB283" s="8" t="s">
        <v>226</v>
      </c>
      <c r="AC283" s="12"/>
      <c r="AD283" s="444"/>
      <c r="AE283" s="445"/>
      <c r="AF283" s="446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83" s="442" t="str">
        <f t="shared" si="86"/>
        <v>-</v>
      </c>
      <c r="AH283" s="445"/>
      <c r="AI283" s="447" t="s">
        <v>532</v>
      </c>
      <c r="AJ283" s="444"/>
      <c r="AK283" s="445"/>
      <c r="AL283" s="446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83" s="442" t="str">
        <f t="shared" si="87"/>
        <v>-</v>
      </c>
      <c r="AN283" s="445"/>
      <c r="AO283" s="447" t="s">
        <v>532</v>
      </c>
      <c r="AP283" s="444"/>
      <c r="AQ283" s="445"/>
      <c r="AR283" s="446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83" s="447" t="s">
        <v>532</v>
      </c>
      <c r="AT283" s="463"/>
      <c r="AU283" s="447" t="s">
        <v>532</v>
      </c>
      <c r="AV283" s="444"/>
      <c r="AW283" s="445"/>
      <c r="AX283" s="446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83" s="442" t="str">
        <f t="shared" si="88"/>
        <v>-</v>
      </c>
      <c r="AZ283" s="445"/>
      <c r="BA283" s="447" t="s">
        <v>532</v>
      </c>
      <c r="BB283" s="59"/>
      <c r="BC283" s="223"/>
      <c r="BD283" s="254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83" s="213" t="str">
        <f t="shared" si="89"/>
        <v>-</v>
      </c>
      <c r="BF283" s="172"/>
      <c r="BG283" s="225" t="s">
        <v>215</v>
      </c>
      <c r="BH283" s="59"/>
      <c r="BI283" s="223"/>
      <c r="BJ283" s="254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83" s="213" t="s">
        <v>215</v>
      </c>
      <c r="BL283" s="172"/>
      <c r="BM283" s="225" t="s">
        <v>215</v>
      </c>
    </row>
    <row r="284" spans="1:65" s="26" customFormat="1" ht="63.75">
      <c r="B284" s="2">
        <f t="shared" si="96"/>
        <v>277</v>
      </c>
      <c r="C284" s="7"/>
      <c r="D284" s="7"/>
      <c r="E284" s="7"/>
      <c r="F284" s="22" t="s">
        <v>130</v>
      </c>
      <c r="G284" s="16"/>
      <c r="H284" s="13"/>
      <c r="I284" s="8"/>
      <c r="J284" s="8"/>
      <c r="K284" s="8"/>
      <c r="L284" s="8"/>
      <c r="M284" s="11" t="s">
        <v>312</v>
      </c>
      <c r="N284" s="1"/>
      <c r="O284" s="56"/>
      <c r="P284" s="93">
        <f t="shared" si="98"/>
        <v>252</v>
      </c>
      <c r="Q284" s="113">
        <v>256</v>
      </c>
      <c r="R284" s="21" t="str">
        <f t="shared" si="97"/>
        <v>NX</v>
      </c>
      <c r="S284" s="96" t="s">
        <v>131</v>
      </c>
      <c r="T284" s="94"/>
      <c r="U284" s="21" t="s">
        <v>226</v>
      </c>
      <c r="V284" s="10"/>
      <c r="W284" s="25">
        <v>3</v>
      </c>
      <c r="X284" s="1" t="s">
        <v>132</v>
      </c>
      <c r="Y284" s="1">
        <v>1</v>
      </c>
      <c r="Z284" s="1">
        <v>256</v>
      </c>
      <c r="AA284" s="8" t="s">
        <v>123</v>
      </c>
      <c r="AB284" s="8" t="s">
        <v>226</v>
      </c>
      <c r="AC284" s="12"/>
      <c r="AD284" s="444"/>
      <c r="AE284" s="445"/>
      <c r="AF284" s="446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84" s="442" t="str">
        <f t="shared" si="86"/>
        <v>-</v>
      </c>
      <c r="AH284" s="445"/>
      <c r="AI284" s="447" t="s">
        <v>532</v>
      </c>
      <c r="AJ284" s="444"/>
      <c r="AK284" s="445"/>
      <c r="AL284" s="446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84" s="442" t="str">
        <f t="shared" si="87"/>
        <v>-</v>
      </c>
      <c r="AN284" s="445"/>
      <c r="AO284" s="447" t="s">
        <v>532</v>
      </c>
      <c r="AP284" s="444"/>
      <c r="AQ284" s="445"/>
      <c r="AR284" s="446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84" s="447" t="s">
        <v>532</v>
      </c>
      <c r="AT284" s="463"/>
      <c r="AU284" s="447" t="s">
        <v>532</v>
      </c>
      <c r="AV284" s="444"/>
      <c r="AW284" s="445"/>
      <c r="AX284" s="446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84" s="442" t="str">
        <f t="shared" si="88"/>
        <v>-</v>
      </c>
      <c r="AZ284" s="445"/>
      <c r="BA284" s="447" t="s">
        <v>532</v>
      </c>
      <c r="BB284" s="59"/>
      <c r="BC284" s="223"/>
      <c r="BD284" s="254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84" s="213" t="str">
        <f t="shared" si="89"/>
        <v>-</v>
      </c>
      <c r="BF284" s="172"/>
      <c r="BG284" s="225" t="s">
        <v>215</v>
      </c>
      <c r="BH284" s="59"/>
      <c r="BI284" s="223"/>
      <c r="BJ284" s="254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84" s="213" t="s">
        <v>215</v>
      </c>
      <c r="BL284" s="172"/>
      <c r="BM284" s="225" t="s">
        <v>215</v>
      </c>
    </row>
    <row r="285" spans="1:65" s="26" customFormat="1" ht="69" customHeight="1">
      <c r="B285" s="19">
        <f t="shared" si="96"/>
        <v>278</v>
      </c>
      <c r="C285" s="7"/>
      <c r="D285" s="7"/>
      <c r="E285" s="7"/>
      <c r="F285" s="110" t="s">
        <v>313</v>
      </c>
      <c r="G285" s="16"/>
      <c r="H285" s="13"/>
      <c r="I285" s="8"/>
      <c r="J285" s="8" t="s">
        <v>231</v>
      </c>
      <c r="K285" s="8"/>
      <c r="L285" s="8"/>
      <c r="M285" s="11" t="s">
        <v>253</v>
      </c>
      <c r="N285" s="1"/>
      <c r="O285" s="56"/>
      <c r="P285" s="93">
        <f t="shared" si="98"/>
        <v>253</v>
      </c>
      <c r="Q285" s="113">
        <v>1</v>
      </c>
      <c r="R285" s="21" t="s">
        <v>229</v>
      </c>
      <c r="S285" s="96" t="s">
        <v>133</v>
      </c>
      <c r="T285" s="94"/>
      <c r="U285" s="21" t="s">
        <v>226</v>
      </c>
      <c r="V285" s="10"/>
      <c r="W285" s="25">
        <v>3</v>
      </c>
      <c r="X285" s="1" t="s">
        <v>134</v>
      </c>
      <c r="Y285" s="1">
        <v>1</v>
      </c>
      <c r="Z285" s="1">
        <v>1</v>
      </c>
      <c r="AA285" s="8">
        <v>9</v>
      </c>
      <c r="AB285" s="8" t="s">
        <v>19</v>
      </c>
      <c r="AC285" s="12"/>
      <c r="AD285" s="444"/>
      <c r="AE285" s="445"/>
      <c r="AF285" s="440" t="str">
        <f t="shared" si="90"/>
        <v xml:space="preserve"> </v>
      </c>
      <c r="AG285" s="442" t="str">
        <f t="shared" si="86"/>
        <v>-</v>
      </c>
      <c r="AH285" s="445"/>
      <c r="AI285" s="447" t="s">
        <v>532</v>
      </c>
      <c r="AJ285" s="444"/>
      <c r="AK285" s="445"/>
      <c r="AL285" s="440" t="str">
        <f t="shared" si="91"/>
        <v xml:space="preserve"> </v>
      </c>
      <c r="AM285" s="442" t="str">
        <f t="shared" si="87"/>
        <v>-</v>
      </c>
      <c r="AN285" s="445"/>
      <c r="AO285" s="447" t="s">
        <v>532</v>
      </c>
      <c r="AP285" s="444"/>
      <c r="AQ285" s="445"/>
      <c r="AR285" s="440" t="str">
        <f t="shared" si="92"/>
        <v xml:space="preserve"> </v>
      </c>
      <c r="AS285" s="447" t="s">
        <v>532</v>
      </c>
      <c r="AT285" s="463"/>
      <c r="AU285" s="447" t="s">
        <v>532</v>
      </c>
      <c r="AV285" s="444"/>
      <c r="AW285" s="445"/>
      <c r="AX285" s="440" t="str">
        <f t="shared" si="93"/>
        <v xml:space="preserve"> </v>
      </c>
      <c r="AY285" s="442" t="str">
        <f t="shared" si="88"/>
        <v>-</v>
      </c>
      <c r="AZ285" s="445"/>
      <c r="BA285" s="447" t="s">
        <v>532</v>
      </c>
      <c r="BB285" s="59"/>
      <c r="BC285" s="223"/>
      <c r="BD285" s="60" t="str">
        <f t="shared" si="94"/>
        <v xml:space="preserve"> </v>
      </c>
      <c r="BE285" s="213" t="str">
        <f t="shared" si="89"/>
        <v>-</v>
      </c>
      <c r="BF285" s="172"/>
      <c r="BG285" s="225" t="s">
        <v>215</v>
      </c>
      <c r="BH285" s="59"/>
      <c r="BI285" s="223"/>
      <c r="BJ285" s="60" t="str">
        <f t="shared" si="95"/>
        <v xml:space="preserve"> </v>
      </c>
      <c r="BK285" s="213" t="s">
        <v>215</v>
      </c>
      <c r="BL285" s="172"/>
      <c r="BM285" s="225" t="s">
        <v>215</v>
      </c>
    </row>
    <row r="286" spans="1:65" s="26" customFormat="1" ht="114.75">
      <c r="B286" s="2">
        <f t="shared" si="96"/>
        <v>279</v>
      </c>
      <c r="C286" s="7"/>
      <c r="D286" s="7"/>
      <c r="E286" s="7"/>
      <c r="F286" s="22" t="s">
        <v>135</v>
      </c>
      <c r="G286" s="16"/>
      <c r="H286" s="13"/>
      <c r="I286" s="8"/>
      <c r="J286" s="8"/>
      <c r="K286" s="8"/>
      <c r="L286" s="8"/>
      <c r="M286" s="359" t="s">
        <v>206</v>
      </c>
      <c r="N286" s="1"/>
      <c r="O286" s="56"/>
      <c r="P286" s="93">
        <f t="shared" si="98"/>
        <v>254</v>
      </c>
      <c r="Q286" s="113">
        <v>1</v>
      </c>
      <c r="R286" s="21" t="s">
        <v>229</v>
      </c>
      <c r="S286" s="96" t="s">
        <v>136</v>
      </c>
      <c r="T286" s="94"/>
      <c r="U286" s="21" t="s">
        <v>226</v>
      </c>
      <c r="V286" s="10"/>
      <c r="W286" s="25">
        <v>3</v>
      </c>
      <c r="X286" s="1" t="s">
        <v>18</v>
      </c>
      <c r="Y286" s="1">
        <v>1</v>
      </c>
      <c r="Z286" s="1">
        <v>1</v>
      </c>
      <c r="AA286" s="8">
        <v>9</v>
      </c>
      <c r="AB286" s="8" t="s">
        <v>19</v>
      </c>
      <c r="AC286" s="101"/>
      <c r="AD286" s="444"/>
      <c r="AE286" s="445"/>
      <c r="AF286" s="440" t="str">
        <f t="shared" si="90"/>
        <v xml:space="preserve"> </v>
      </c>
      <c r="AG286" s="442" t="str">
        <f t="shared" si="86"/>
        <v>-</v>
      </c>
      <c r="AH286" s="445"/>
      <c r="AI286" s="447" t="s">
        <v>532</v>
      </c>
      <c r="AJ286" s="444"/>
      <c r="AK286" s="445"/>
      <c r="AL286" s="440" t="str">
        <f t="shared" si="91"/>
        <v xml:space="preserve"> </v>
      </c>
      <c r="AM286" s="442" t="str">
        <f t="shared" si="87"/>
        <v>-</v>
      </c>
      <c r="AN286" s="445"/>
      <c r="AO286" s="447" t="s">
        <v>532</v>
      </c>
      <c r="AP286" s="444"/>
      <c r="AQ286" s="445"/>
      <c r="AR286" s="440" t="str">
        <f t="shared" si="92"/>
        <v xml:space="preserve"> </v>
      </c>
      <c r="AS286" s="447" t="s">
        <v>532</v>
      </c>
      <c r="AT286" s="463"/>
      <c r="AU286" s="447" t="s">
        <v>532</v>
      </c>
      <c r="AV286" s="444"/>
      <c r="AW286" s="445"/>
      <c r="AX286" s="440" t="str">
        <f t="shared" si="93"/>
        <v xml:space="preserve"> </v>
      </c>
      <c r="AY286" s="442" t="str">
        <f t="shared" si="88"/>
        <v>-</v>
      </c>
      <c r="AZ286" s="445"/>
      <c r="BA286" s="447" t="s">
        <v>532</v>
      </c>
      <c r="BB286" s="59"/>
      <c r="BC286" s="223"/>
      <c r="BD286" s="60" t="str">
        <f t="shared" si="94"/>
        <v xml:space="preserve"> </v>
      </c>
      <c r="BE286" s="213" t="str">
        <f t="shared" si="89"/>
        <v>-</v>
      </c>
      <c r="BF286" s="172"/>
      <c r="BG286" s="225" t="s">
        <v>215</v>
      </c>
      <c r="BH286" s="59"/>
      <c r="BI286" s="223"/>
      <c r="BJ286" s="60" t="str">
        <f t="shared" si="95"/>
        <v xml:space="preserve"> </v>
      </c>
      <c r="BK286" s="213" t="s">
        <v>215</v>
      </c>
      <c r="BL286" s="172"/>
      <c r="BM286" s="225" t="s">
        <v>215</v>
      </c>
    </row>
    <row r="287" spans="1:65" s="26" customFormat="1" ht="126.75" customHeight="1">
      <c r="B287" s="64">
        <f t="shared" si="96"/>
        <v>280</v>
      </c>
      <c r="C287" s="7"/>
      <c r="D287" s="7"/>
      <c r="E287" s="7"/>
      <c r="F287" s="110" t="s">
        <v>137</v>
      </c>
      <c r="G287" s="16"/>
      <c r="H287" s="13"/>
      <c r="I287" s="8"/>
      <c r="J287" s="8"/>
      <c r="K287" s="8"/>
      <c r="L287" s="8"/>
      <c r="M287" s="11" t="s">
        <v>479</v>
      </c>
      <c r="N287" s="1"/>
      <c r="O287" s="56"/>
      <c r="P287" s="93">
        <f t="shared" si="98"/>
        <v>255</v>
      </c>
      <c r="Q287" s="113">
        <v>1</v>
      </c>
      <c r="R287" s="21" t="str">
        <f t="shared" si="97"/>
        <v>X</v>
      </c>
      <c r="S287" s="96" t="s">
        <v>183</v>
      </c>
      <c r="T287" s="94"/>
      <c r="U287" s="21" t="s">
        <v>226</v>
      </c>
      <c r="V287" s="10"/>
      <c r="W287" s="25">
        <v>3</v>
      </c>
      <c r="X287" s="1" t="s">
        <v>254</v>
      </c>
      <c r="Y287" s="1">
        <v>1</v>
      </c>
      <c r="Z287" s="1">
        <v>1</v>
      </c>
      <c r="AA287" s="8" t="s">
        <v>229</v>
      </c>
      <c r="AB287" s="8" t="s">
        <v>226</v>
      </c>
      <c r="AC287" s="12"/>
      <c r="AD287" s="444"/>
      <c r="AE287" s="445"/>
      <c r="AF287" s="440" t="str">
        <f t="shared" si="90"/>
        <v xml:space="preserve"> </v>
      </c>
      <c r="AG287" s="442" t="str">
        <f t="shared" si="86"/>
        <v>-</v>
      </c>
      <c r="AH287" s="445"/>
      <c r="AI287" s="447" t="s">
        <v>532</v>
      </c>
      <c r="AJ287" s="444"/>
      <c r="AK287" s="445"/>
      <c r="AL287" s="440" t="str">
        <f t="shared" si="91"/>
        <v xml:space="preserve"> </v>
      </c>
      <c r="AM287" s="442" t="str">
        <f t="shared" si="87"/>
        <v>-</v>
      </c>
      <c r="AN287" s="445"/>
      <c r="AO287" s="447" t="s">
        <v>532</v>
      </c>
      <c r="AP287" s="444"/>
      <c r="AQ287" s="445"/>
      <c r="AR287" s="440" t="str">
        <f t="shared" si="92"/>
        <v xml:space="preserve"> </v>
      </c>
      <c r="AS287" s="447" t="s">
        <v>532</v>
      </c>
      <c r="AT287" s="463"/>
      <c r="AU287" s="447" t="s">
        <v>532</v>
      </c>
      <c r="AV287" s="444"/>
      <c r="AW287" s="445"/>
      <c r="AX287" s="440" t="str">
        <f t="shared" si="93"/>
        <v xml:space="preserve"> </v>
      </c>
      <c r="AY287" s="442" t="str">
        <f t="shared" si="88"/>
        <v>-</v>
      </c>
      <c r="AZ287" s="445"/>
      <c r="BA287" s="447" t="s">
        <v>532</v>
      </c>
      <c r="BB287" s="59"/>
      <c r="BC287" s="223"/>
      <c r="BD287" s="60" t="str">
        <f t="shared" si="94"/>
        <v xml:space="preserve"> </v>
      </c>
      <c r="BE287" s="213" t="str">
        <f t="shared" si="89"/>
        <v>-</v>
      </c>
      <c r="BF287" s="172"/>
      <c r="BG287" s="225" t="s">
        <v>215</v>
      </c>
      <c r="BH287" s="59"/>
      <c r="BI287" s="223"/>
      <c r="BJ287" s="60" t="str">
        <f t="shared" si="95"/>
        <v xml:space="preserve"> </v>
      </c>
      <c r="BK287" s="213" t="s">
        <v>215</v>
      </c>
      <c r="BL287" s="172"/>
      <c r="BM287" s="225" t="s">
        <v>215</v>
      </c>
    </row>
    <row r="288" spans="1:65" s="26" customFormat="1">
      <c r="B288" s="64">
        <f t="shared" si="96"/>
        <v>281</v>
      </c>
      <c r="C288" s="7"/>
      <c r="D288" s="7"/>
      <c r="E288" s="7"/>
      <c r="F288" s="22" t="s">
        <v>138</v>
      </c>
      <c r="G288" s="16"/>
      <c r="H288" s="13"/>
      <c r="I288" s="8"/>
      <c r="J288" s="8"/>
      <c r="K288" s="8"/>
      <c r="L288" s="8"/>
      <c r="M288" s="359" t="s">
        <v>139</v>
      </c>
      <c r="N288" s="1"/>
      <c r="O288" s="56"/>
      <c r="P288" s="93">
        <f t="shared" si="98"/>
        <v>256</v>
      </c>
      <c r="Q288" s="113">
        <v>400</v>
      </c>
      <c r="R288" s="21" t="str">
        <f t="shared" si="97"/>
        <v>NX</v>
      </c>
      <c r="S288" s="96" t="s">
        <v>140</v>
      </c>
      <c r="T288" s="94"/>
      <c r="U288" s="21" t="s">
        <v>226</v>
      </c>
      <c r="V288" s="10"/>
      <c r="W288" s="25">
        <v>3</v>
      </c>
      <c r="X288" s="1" t="s">
        <v>141</v>
      </c>
      <c r="Y288" s="1">
        <v>1</v>
      </c>
      <c r="Z288" s="1">
        <v>400</v>
      </c>
      <c r="AA288" s="8" t="s">
        <v>123</v>
      </c>
      <c r="AB288" s="8" t="s">
        <v>226</v>
      </c>
      <c r="AC288" s="12"/>
      <c r="AD288" s="444"/>
      <c r="AE288" s="445"/>
      <c r="AF288" s="449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88" s="442" t="str">
        <f t="shared" si="86"/>
        <v>-</v>
      </c>
      <c r="AH288" s="445"/>
      <c r="AI288" s="447" t="s">
        <v>532</v>
      </c>
      <c r="AJ288" s="444"/>
      <c r="AK288" s="445"/>
      <c r="AL288" s="449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88" s="442" t="str">
        <f t="shared" si="87"/>
        <v>-</v>
      </c>
      <c r="AN288" s="445"/>
      <c r="AO288" s="447" t="s">
        <v>532</v>
      </c>
      <c r="AP288" s="444"/>
      <c r="AQ288" s="445"/>
      <c r="AR288" s="449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88" s="447" t="s">
        <v>532</v>
      </c>
      <c r="AT288" s="463"/>
      <c r="AU288" s="447" t="s">
        <v>532</v>
      </c>
      <c r="AV288" s="444"/>
      <c r="AW288" s="445"/>
      <c r="AX288" s="449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88" s="442" t="str">
        <f t="shared" si="88"/>
        <v>-</v>
      </c>
      <c r="AZ288" s="445"/>
      <c r="BA288" s="447" t="s">
        <v>532</v>
      </c>
      <c r="BB288" s="59"/>
      <c r="BC288" s="223"/>
      <c r="BD288" s="252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88" s="213" t="str">
        <f t="shared" si="89"/>
        <v>-</v>
      </c>
      <c r="BF288" s="172"/>
      <c r="BG288" s="225" t="s">
        <v>215</v>
      </c>
      <c r="BH288" s="59"/>
      <c r="BI288" s="223"/>
      <c r="BJ288" s="252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88" s="213" t="s">
        <v>215</v>
      </c>
      <c r="BL288" s="172"/>
      <c r="BM288" s="225" t="s">
        <v>215</v>
      </c>
    </row>
    <row r="289" spans="2:65" s="26" customFormat="1" ht="63.75">
      <c r="B289" s="64">
        <f t="shared" si="96"/>
        <v>282</v>
      </c>
      <c r="C289" s="7"/>
      <c r="D289" s="7"/>
      <c r="E289" s="7"/>
      <c r="F289" s="22" t="s">
        <v>142</v>
      </c>
      <c r="G289" s="16"/>
      <c r="H289" s="13"/>
      <c r="I289" s="8"/>
      <c r="J289" s="8"/>
      <c r="K289" s="8"/>
      <c r="L289" s="8"/>
      <c r="M289" s="359" t="s">
        <v>314</v>
      </c>
      <c r="N289" s="1"/>
      <c r="O289" s="56"/>
      <c r="P289" s="93">
        <f t="shared" si="98"/>
        <v>257</v>
      </c>
      <c r="Q289" s="113">
        <v>400</v>
      </c>
      <c r="R289" s="21" t="str">
        <f t="shared" si="97"/>
        <v>NX</v>
      </c>
      <c r="S289" s="96" t="s">
        <v>143</v>
      </c>
      <c r="T289" s="94"/>
      <c r="U289" s="21" t="s">
        <v>226</v>
      </c>
      <c r="V289" s="10"/>
      <c r="W289" s="25">
        <v>3</v>
      </c>
      <c r="X289" s="1" t="s">
        <v>144</v>
      </c>
      <c r="Y289" s="1">
        <v>1</v>
      </c>
      <c r="Z289" s="1">
        <v>400</v>
      </c>
      <c r="AA289" s="8" t="s">
        <v>123</v>
      </c>
      <c r="AB289" s="8" t="s">
        <v>226</v>
      </c>
      <c r="AC289" s="12"/>
      <c r="AD289" s="444"/>
      <c r="AE289" s="445"/>
      <c r="AF289" s="450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89" s="442" t="str">
        <f t="shared" si="86"/>
        <v>-</v>
      </c>
      <c r="AH289" s="445"/>
      <c r="AI289" s="447" t="s">
        <v>532</v>
      </c>
      <c r="AJ289" s="444"/>
      <c r="AK289" s="445"/>
      <c r="AL289" s="450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89" s="442" t="str">
        <f t="shared" si="87"/>
        <v>-</v>
      </c>
      <c r="AN289" s="445"/>
      <c r="AO289" s="447" t="s">
        <v>532</v>
      </c>
      <c r="AP289" s="444"/>
      <c r="AQ289" s="445"/>
      <c r="AR289" s="450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89" s="447" t="s">
        <v>532</v>
      </c>
      <c r="AT289" s="463"/>
      <c r="AU289" s="447" t="s">
        <v>532</v>
      </c>
      <c r="AV289" s="444"/>
      <c r="AW289" s="445"/>
      <c r="AX289" s="450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89" s="442" t="str">
        <f t="shared" si="88"/>
        <v>-</v>
      </c>
      <c r="AZ289" s="445"/>
      <c r="BA289" s="447" t="s">
        <v>532</v>
      </c>
      <c r="BB289" s="59"/>
      <c r="BC289" s="223"/>
      <c r="BD289" s="90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89" s="213" t="str">
        <f t="shared" si="89"/>
        <v>-</v>
      </c>
      <c r="BF289" s="172"/>
      <c r="BG289" s="225" t="s">
        <v>215</v>
      </c>
      <c r="BH289" s="59"/>
      <c r="BI289" s="223"/>
      <c r="BJ289" s="90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89" s="213" t="s">
        <v>215</v>
      </c>
      <c r="BL289" s="172"/>
      <c r="BM289" s="225" t="s">
        <v>215</v>
      </c>
    </row>
    <row r="290" spans="2:65" s="26" customFormat="1">
      <c r="B290" s="64">
        <f t="shared" si="96"/>
        <v>283</v>
      </c>
      <c r="C290" s="7"/>
      <c r="D290" s="7"/>
      <c r="E290" s="7"/>
      <c r="F290" s="22" t="s">
        <v>145</v>
      </c>
      <c r="G290" s="16"/>
      <c r="H290" s="13"/>
      <c r="I290" s="8"/>
      <c r="J290" s="8"/>
      <c r="K290" s="8"/>
      <c r="L290" s="8"/>
      <c r="M290" s="11" t="s">
        <v>146</v>
      </c>
      <c r="N290" s="1"/>
      <c r="O290" s="56"/>
      <c r="P290" s="93">
        <f t="shared" si="98"/>
        <v>258</v>
      </c>
      <c r="Q290" s="113">
        <v>400</v>
      </c>
      <c r="R290" s="21" t="str">
        <f t="shared" si="97"/>
        <v>NX</v>
      </c>
      <c r="S290" s="96" t="s">
        <v>147</v>
      </c>
      <c r="T290" s="94"/>
      <c r="U290" s="21" t="s">
        <v>226</v>
      </c>
      <c r="V290" s="10"/>
      <c r="W290" s="25">
        <v>3</v>
      </c>
      <c r="X290" s="1" t="s">
        <v>148</v>
      </c>
      <c r="Y290" s="1">
        <v>1</v>
      </c>
      <c r="Z290" s="1">
        <v>400</v>
      </c>
      <c r="AA290" s="8" t="s">
        <v>123</v>
      </c>
      <c r="AB290" s="8" t="s">
        <v>226</v>
      </c>
      <c r="AC290" s="12"/>
      <c r="AD290" s="444"/>
      <c r="AE290" s="440"/>
      <c r="AF290" s="450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90" s="442" t="str">
        <f t="shared" si="86"/>
        <v>-</v>
      </c>
      <c r="AH290" s="440"/>
      <c r="AI290" s="447" t="s">
        <v>532</v>
      </c>
      <c r="AJ290" s="444"/>
      <c r="AK290" s="440"/>
      <c r="AL290" s="450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90" s="442" t="str">
        <f t="shared" si="87"/>
        <v>-</v>
      </c>
      <c r="AN290" s="440"/>
      <c r="AO290" s="447" t="s">
        <v>532</v>
      </c>
      <c r="AP290" s="444"/>
      <c r="AQ290" s="440"/>
      <c r="AR290" s="450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90" s="447" t="s">
        <v>532</v>
      </c>
      <c r="AT290" s="462"/>
      <c r="AU290" s="447" t="s">
        <v>532</v>
      </c>
      <c r="AV290" s="444"/>
      <c r="AW290" s="440"/>
      <c r="AX290" s="450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90" s="442" t="str">
        <f t="shared" si="88"/>
        <v>-</v>
      </c>
      <c r="AZ290" s="440"/>
      <c r="BA290" s="447" t="s">
        <v>532</v>
      </c>
      <c r="BB290" s="59"/>
      <c r="BC290" s="60"/>
      <c r="BD290" s="90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90" s="213" t="str">
        <f t="shared" si="89"/>
        <v>-</v>
      </c>
      <c r="BF290" s="167"/>
      <c r="BG290" s="225" t="s">
        <v>215</v>
      </c>
      <c r="BH290" s="59"/>
      <c r="BI290" s="60"/>
      <c r="BJ290" s="90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90" s="213" t="s">
        <v>215</v>
      </c>
      <c r="BL290" s="167"/>
      <c r="BM290" s="225" t="s">
        <v>215</v>
      </c>
    </row>
    <row r="291" spans="2:65" s="26" customFormat="1" ht="76.5">
      <c r="B291" s="64">
        <f t="shared" si="96"/>
        <v>284</v>
      </c>
      <c r="C291" s="7"/>
      <c r="D291" s="7"/>
      <c r="E291" s="7"/>
      <c r="F291" s="22" t="s">
        <v>149</v>
      </c>
      <c r="G291" s="16"/>
      <c r="H291" s="13"/>
      <c r="I291" s="8"/>
      <c r="J291" s="8"/>
      <c r="K291" s="8"/>
      <c r="L291" s="8"/>
      <c r="M291" s="11" t="s">
        <v>315</v>
      </c>
      <c r="N291" s="1"/>
      <c r="O291" s="56"/>
      <c r="P291" s="93">
        <f t="shared" si="98"/>
        <v>259</v>
      </c>
      <c r="Q291" s="113">
        <v>400</v>
      </c>
      <c r="R291" s="21" t="str">
        <f t="shared" si="97"/>
        <v>NX</v>
      </c>
      <c r="S291" s="96" t="s">
        <v>150</v>
      </c>
      <c r="T291" s="94"/>
      <c r="U291" s="21" t="s">
        <v>226</v>
      </c>
      <c r="V291" s="10"/>
      <c r="W291" s="25">
        <v>3</v>
      </c>
      <c r="X291" s="1" t="s">
        <v>151</v>
      </c>
      <c r="Y291" s="1">
        <v>1</v>
      </c>
      <c r="Z291" s="1">
        <v>400</v>
      </c>
      <c r="AA291" s="8" t="s">
        <v>123</v>
      </c>
      <c r="AB291" s="8" t="s">
        <v>226</v>
      </c>
      <c r="AC291" s="12"/>
      <c r="AD291" s="444"/>
      <c r="AE291" s="440"/>
      <c r="AF291" s="450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91" s="442" t="str">
        <f t="shared" si="86"/>
        <v>-</v>
      </c>
      <c r="AH291" s="440"/>
      <c r="AI291" s="447" t="s">
        <v>532</v>
      </c>
      <c r="AJ291" s="444"/>
      <c r="AK291" s="440"/>
      <c r="AL291" s="450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91" s="442" t="str">
        <f t="shared" si="87"/>
        <v>-</v>
      </c>
      <c r="AN291" s="440"/>
      <c r="AO291" s="447" t="s">
        <v>532</v>
      </c>
      <c r="AP291" s="444"/>
      <c r="AQ291" s="440"/>
      <c r="AR291" s="450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91" s="447" t="s">
        <v>532</v>
      </c>
      <c r="AT291" s="462"/>
      <c r="AU291" s="447" t="s">
        <v>532</v>
      </c>
      <c r="AV291" s="444"/>
      <c r="AW291" s="440"/>
      <c r="AX291" s="450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91" s="442" t="str">
        <f t="shared" si="88"/>
        <v>-</v>
      </c>
      <c r="AZ291" s="440"/>
      <c r="BA291" s="447" t="s">
        <v>532</v>
      </c>
      <c r="BB291" s="59"/>
      <c r="BC291" s="60"/>
      <c r="BD291" s="90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91" s="213" t="str">
        <f t="shared" si="89"/>
        <v>-</v>
      </c>
      <c r="BF291" s="167"/>
      <c r="BG291" s="225" t="s">
        <v>215</v>
      </c>
      <c r="BH291" s="59"/>
      <c r="BI291" s="60"/>
      <c r="BJ291" s="90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91" s="213" t="s">
        <v>215</v>
      </c>
      <c r="BL291" s="167"/>
      <c r="BM291" s="225" t="s">
        <v>215</v>
      </c>
    </row>
    <row r="292" spans="2:65" s="26" customFormat="1">
      <c r="B292" s="64">
        <f t="shared" si="96"/>
        <v>285</v>
      </c>
      <c r="C292" s="7"/>
      <c r="D292" s="7"/>
      <c r="E292" s="7"/>
      <c r="F292" s="22" t="s">
        <v>152</v>
      </c>
      <c r="G292" s="16"/>
      <c r="H292" s="13"/>
      <c r="I292" s="8"/>
      <c r="J292" s="8"/>
      <c r="K292" s="8"/>
      <c r="L292" s="8"/>
      <c r="M292" s="11" t="s">
        <v>146</v>
      </c>
      <c r="N292" s="1"/>
      <c r="O292" s="56"/>
      <c r="P292" s="93">
        <f t="shared" si="98"/>
        <v>260</v>
      </c>
      <c r="Q292" s="113">
        <v>400</v>
      </c>
      <c r="R292" s="21" t="str">
        <f t="shared" si="97"/>
        <v>NX</v>
      </c>
      <c r="S292" s="96" t="s">
        <v>153</v>
      </c>
      <c r="T292" s="94"/>
      <c r="U292" s="21" t="s">
        <v>226</v>
      </c>
      <c r="V292" s="10"/>
      <c r="W292" s="25">
        <v>3</v>
      </c>
      <c r="X292" s="1" t="s">
        <v>154</v>
      </c>
      <c r="Y292" s="1">
        <v>1</v>
      </c>
      <c r="Z292" s="1">
        <v>400</v>
      </c>
      <c r="AA292" s="8" t="s">
        <v>123</v>
      </c>
      <c r="AB292" s="8" t="s">
        <v>226</v>
      </c>
      <c r="AC292" s="12"/>
      <c r="AD292" s="444"/>
      <c r="AE292" s="440"/>
      <c r="AF292" s="450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92" s="442" t="str">
        <f t="shared" si="86"/>
        <v>-</v>
      </c>
      <c r="AH292" s="440"/>
      <c r="AI292" s="447" t="s">
        <v>532</v>
      </c>
      <c r="AJ292" s="444"/>
      <c r="AK292" s="440"/>
      <c r="AL292" s="450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92" s="442" t="str">
        <f t="shared" si="87"/>
        <v>-</v>
      </c>
      <c r="AN292" s="440"/>
      <c r="AO292" s="447" t="s">
        <v>532</v>
      </c>
      <c r="AP292" s="444"/>
      <c r="AQ292" s="440"/>
      <c r="AR292" s="450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92" s="447" t="s">
        <v>532</v>
      </c>
      <c r="AT292" s="462"/>
      <c r="AU292" s="447" t="s">
        <v>532</v>
      </c>
      <c r="AV292" s="444"/>
      <c r="AW292" s="440"/>
      <c r="AX292" s="450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92" s="442" t="str">
        <f t="shared" si="88"/>
        <v>-</v>
      </c>
      <c r="AZ292" s="440"/>
      <c r="BA292" s="447" t="s">
        <v>532</v>
      </c>
      <c r="BB292" s="59"/>
      <c r="BC292" s="60"/>
      <c r="BD292" s="90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92" s="213" t="str">
        <f t="shared" si="89"/>
        <v>-</v>
      </c>
      <c r="BF292" s="167"/>
      <c r="BG292" s="225" t="s">
        <v>215</v>
      </c>
      <c r="BH292" s="59"/>
      <c r="BI292" s="60"/>
      <c r="BJ292" s="90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92" s="213" t="s">
        <v>215</v>
      </c>
      <c r="BL292" s="167"/>
      <c r="BM292" s="225" t="s">
        <v>215</v>
      </c>
    </row>
    <row r="293" spans="2:65" s="26" customFormat="1">
      <c r="B293" s="64">
        <f t="shared" si="96"/>
        <v>286</v>
      </c>
      <c r="C293" s="7"/>
      <c r="D293" s="7"/>
      <c r="E293" s="7"/>
      <c r="F293" s="22" t="s">
        <v>155</v>
      </c>
      <c r="G293" s="16"/>
      <c r="H293" s="13"/>
      <c r="I293" s="8"/>
      <c r="J293" s="8"/>
      <c r="K293" s="8"/>
      <c r="L293" s="8"/>
      <c r="M293" s="11" t="s">
        <v>146</v>
      </c>
      <c r="N293" s="1"/>
      <c r="O293" s="56"/>
      <c r="P293" s="93">
        <f t="shared" si="98"/>
        <v>261</v>
      </c>
      <c r="Q293" s="113">
        <v>400</v>
      </c>
      <c r="R293" s="21" t="str">
        <f t="shared" si="97"/>
        <v>NX</v>
      </c>
      <c r="S293" s="96" t="s">
        <v>156</v>
      </c>
      <c r="T293" s="94"/>
      <c r="U293" s="21" t="s">
        <v>226</v>
      </c>
      <c r="V293" s="10"/>
      <c r="W293" s="25">
        <v>3</v>
      </c>
      <c r="X293" s="1" t="s">
        <v>157</v>
      </c>
      <c r="Y293" s="1">
        <v>1</v>
      </c>
      <c r="Z293" s="1">
        <v>400</v>
      </c>
      <c r="AA293" s="8" t="s">
        <v>123</v>
      </c>
      <c r="AB293" s="8" t="s">
        <v>226</v>
      </c>
      <c r="AC293" s="12"/>
      <c r="AD293" s="444"/>
      <c r="AE293" s="440"/>
      <c r="AF293" s="450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293" s="442" t="str">
        <f t="shared" si="86"/>
        <v>-</v>
      </c>
      <c r="AH293" s="440"/>
      <c r="AI293" s="447" t="s">
        <v>532</v>
      </c>
      <c r="AJ293" s="444"/>
      <c r="AK293" s="440"/>
      <c r="AL293" s="450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293" s="442" t="str">
        <f t="shared" si="87"/>
        <v>-</v>
      </c>
      <c r="AN293" s="440"/>
      <c r="AO293" s="447" t="s">
        <v>532</v>
      </c>
      <c r="AP293" s="444"/>
      <c r="AQ293" s="440"/>
      <c r="AR293" s="450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293" s="447" t="s">
        <v>532</v>
      </c>
      <c r="AT293" s="462"/>
      <c r="AU293" s="447" t="s">
        <v>532</v>
      </c>
      <c r="AV293" s="444"/>
      <c r="AW293" s="440"/>
      <c r="AX293" s="450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293" s="442" t="str">
        <f t="shared" si="88"/>
        <v>-</v>
      </c>
      <c r="AZ293" s="440"/>
      <c r="BA293" s="447" t="s">
        <v>532</v>
      </c>
      <c r="BB293" s="59"/>
      <c r="BC293" s="60"/>
      <c r="BD293" s="90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293" s="213" t="str">
        <f t="shared" si="89"/>
        <v>-</v>
      </c>
      <c r="BF293" s="167"/>
      <c r="BG293" s="225" t="s">
        <v>215</v>
      </c>
      <c r="BH293" s="59"/>
      <c r="BI293" s="60"/>
      <c r="BJ293" s="90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293" s="213" t="s">
        <v>215</v>
      </c>
      <c r="BL293" s="167"/>
      <c r="BM293" s="225" t="s">
        <v>215</v>
      </c>
    </row>
    <row r="294" spans="2:65" s="26" customFormat="1" ht="89.25">
      <c r="B294" s="64">
        <f t="shared" si="96"/>
        <v>287</v>
      </c>
      <c r="C294" s="7"/>
      <c r="D294" s="7"/>
      <c r="E294" s="7"/>
      <c r="F294" s="22" t="s">
        <v>158</v>
      </c>
      <c r="G294" s="16"/>
      <c r="H294" s="13"/>
      <c r="I294" s="8"/>
      <c r="J294" s="8"/>
      <c r="K294" s="8"/>
      <c r="L294" s="8"/>
      <c r="M294" s="11" t="s">
        <v>316</v>
      </c>
      <c r="N294" s="1"/>
      <c r="O294" s="56"/>
      <c r="P294" s="93">
        <f t="shared" si="98"/>
        <v>262</v>
      </c>
      <c r="Q294" s="113">
        <v>1</v>
      </c>
      <c r="R294" s="21" t="str">
        <f t="shared" si="97"/>
        <v>X</v>
      </c>
      <c r="S294" s="96" t="s">
        <v>159</v>
      </c>
      <c r="T294" s="94"/>
      <c r="U294" s="21" t="s">
        <v>226</v>
      </c>
      <c r="V294" s="10"/>
      <c r="W294" s="25">
        <v>3</v>
      </c>
      <c r="X294" s="1" t="s">
        <v>255</v>
      </c>
      <c r="Y294" s="1">
        <v>1</v>
      </c>
      <c r="Z294" s="1">
        <v>1</v>
      </c>
      <c r="AA294" s="8" t="s">
        <v>109</v>
      </c>
      <c r="AB294" s="8" t="s">
        <v>19</v>
      </c>
      <c r="AC294" s="102"/>
      <c r="AD294" s="444"/>
      <c r="AE294" s="445"/>
      <c r="AF294" s="440" t="str">
        <f t="shared" si="90"/>
        <v xml:space="preserve"> </v>
      </c>
      <c r="AG294" s="442" t="str">
        <f t="shared" si="86"/>
        <v>-</v>
      </c>
      <c r="AH294" s="445"/>
      <c r="AI294" s="447" t="s">
        <v>532</v>
      </c>
      <c r="AJ294" s="444"/>
      <c r="AK294" s="445"/>
      <c r="AL294" s="440" t="str">
        <f t="shared" si="91"/>
        <v xml:space="preserve"> </v>
      </c>
      <c r="AM294" s="442" t="str">
        <f t="shared" si="87"/>
        <v>-</v>
      </c>
      <c r="AN294" s="445"/>
      <c r="AO294" s="447" t="s">
        <v>532</v>
      </c>
      <c r="AP294" s="444"/>
      <c r="AQ294" s="445"/>
      <c r="AR294" s="440" t="str">
        <f t="shared" si="92"/>
        <v xml:space="preserve"> </v>
      </c>
      <c r="AS294" s="447" t="s">
        <v>532</v>
      </c>
      <c r="AT294" s="463"/>
      <c r="AU294" s="447" t="s">
        <v>532</v>
      </c>
      <c r="AV294" s="444"/>
      <c r="AW294" s="445"/>
      <c r="AX294" s="440" t="str">
        <f t="shared" si="93"/>
        <v xml:space="preserve"> </v>
      </c>
      <c r="AY294" s="442" t="str">
        <f t="shared" si="88"/>
        <v>-</v>
      </c>
      <c r="AZ294" s="445"/>
      <c r="BA294" s="447" t="s">
        <v>532</v>
      </c>
      <c r="BB294" s="59"/>
      <c r="BC294" s="223"/>
      <c r="BD294" s="60" t="str">
        <f t="shared" si="94"/>
        <v xml:space="preserve"> </v>
      </c>
      <c r="BE294" s="213" t="str">
        <f t="shared" si="89"/>
        <v>-</v>
      </c>
      <c r="BF294" s="172"/>
      <c r="BG294" s="225" t="s">
        <v>215</v>
      </c>
      <c r="BH294" s="59"/>
      <c r="BI294" s="223"/>
      <c r="BJ294" s="60" t="str">
        <f t="shared" si="95"/>
        <v xml:space="preserve"> </v>
      </c>
      <c r="BK294" s="213" t="s">
        <v>215</v>
      </c>
      <c r="BL294" s="172"/>
      <c r="BM294" s="225" t="s">
        <v>215</v>
      </c>
    </row>
    <row r="295" spans="2:65" s="26" customFormat="1">
      <c r="B295" s="64">
        <f t="shared" si="96"/>
        <v>288</v>
      </c>
      <c r="C295" s="7"/>
      <c r="D295" s="7"/>
      <c r="E295" s="7"/>
      <c r="F295" s="22" t="s">
        <v>160</v>
      </c>
      <c r="G295" s="16"/>
      <c r="H295" s="13"/>
      <c r="I295" s="8"/>
      <c r="J295" s="8"/>
      <c r="K295" s="8"/>
      <c r="L295" s="8"/>
      <c r="M295" s="11"/>
      <c r="N295" s="1"/>
      <c r="O295" s="56"/>
      <c r="P295" s="93">
        <f t="shared" si="98"/>
        <v>263</v>
      </c>
      <c r="Q295" s="113">
        <v>128</v>
      </c>
      <c r="R295" s="21" t="str">
        <f t="shared" si="97"/>
        <v>X</v>
      </c>
      <c r="S295" s="96" t="s">
        <v>161</v>
      </c>
      <c r="T295" s="94"/>
      <c r="U295" s="21" t="s">
        <v>226</v>
      </c>
      <c r="V295" s="10"/>
      <c r="W295" s="25">
        <v>3</v>
      </c>
      <c r="X295" s="1" t="s">
        <v>256</v>
      </c>
      <c r="Y295" s="1">
        <v>1</v>
      </c>
      <c r="Z295" s="1">
        <v>128</v>
      </c>
      <c r="AA295" s="8" t="s">
        <v>109</v>
      </c>
      <c r="AB295" s="8" t="s">
        <v>19</v>
      </c>
      <c r="AC295" s="12"/>
      <c r="AD295" s="444"/>
      <c r="AE295" s="440"/>
      <c r="AF295" s="440" t="str">
        <f t="shared" si="90"/>
        <v xml:space="preserve">                                                                                                                                </v>
      </c>
      <c r="AG295" s="442" t="str">
        <f t="shared" si="86"/>
        <v>-</v>
      </c>
      <c r="AH295" s="440"/>
      <c r="AI295" s="447" t="s">
        <v>532</v>
      </c>
      <c r="AJ295" s="444"/>
      <c r="AK295" s="440"/>
      <c r="AL295" s="440" t="str">
        <f t="shared" si="91"/>
        <v xml:space="preserve">                                                                                                                                </v>
      </c>
      <c r="AM295" s="442" t="str">
        <f t="shared" si="87"/>
        <v>-</v>
      </c>
      <c r="AN295" s="440"/>
      <c r="AO295" s="447" t="s">
        <v>532</v>
      </c>
      <c r="AP295" s="444"/>
      <c r="AQ295" s="440"/>
      <c r="AR295" s="440" t="str">
        <f t="shared" si="92"/>
        <v xml:space="preserve">                                                                                                                                </v>
      </c>
      <c r="AS295" s="447" t="s">
        <v>532</v>
      </c>
      <c r="AT295" s="462"/>
      <c r="AU295" s="447" t="s">
        <v>532</v>
      </c>
      <c r="AV295" s="444"/>
      <c r="AW295" s="440"/>
      <c r="AX295" s="440" t="str">
        <f t="shared" si="93"/>
        <v xml:space="preserve">                                                                                                                                </v>
      </c>
      <c r="AY295" s="442" t="str">
        <f t="shared" si="88"/>
        <v>-</v>
      </c>
      <c r="AZ295" s="440"/>
      <c r="BA295" s="447" t="s">
        <v>532</v>
      </c>
      <c r="BB295" s="59"/>
      <c r="BC295" s="60"/>
      <c r="BD295" s="60" t="str">
        <f t="shared" si="94"/>
        <v xml:space="preserve">                                                                                                                                </v>
      </c>
      <c r="BE295" s="213" t="str">
        <f t="shared" si="89"/>
        <v>-</v>
      </c>
      <c r="BF295" s="167"/>
      <c r="BG295" s="225" t="s">
        <v>215</v>
      </c>
      <c r="BH295" s="59"/>
      <c r="BI295" s="60"/>
      <c r="BJ295" s="60" t="str">
        <f t="shared" si="95"/>
        <v xml:space="preserve">                                                                                                                                </v>
      </c>
      <c r="BK295" s="213" t="s">
        <v>215</v>
      </c>
      <c r="BL295" s="167"/>
      <c r="BM295" s="225" t="s">
        <v>215</v>
      </c>
    </row>
    <row r="296" spans="2:65" s="26" customFormat="1" ht="114.75">
      <c r="B296" s="64">
        <f t="shared" si="96"/>
        <v>289</v>
      </c>
      <c r="C296" s="7"/>
      <c r="D296" s="7"/>
      <c r="E296" s="7"/>
      <c r="F296" s="22" t="s">
        <v>162</v>
      </c>
      <c r="G296" s="16"/>
      <c r="H296" s="13"/>
      <c r="I296" s="8"/>
      <c r="J296" s="8"/>
      <c r="K296" s="8"/>
      <c r="L296" s="8"/>
      <c r="M296" s="11" t="s">
        <v>294</v>
      </c>
      <c r="N296" s="1"/>
      <c r="O296" s="56"/>
      <c r="P296" s="93">
        <f t="shared" si="98"/>
        <v>264</v>
      </c>
      <c r="Q296" s="113">
        <v>1</v>
      </c>
      <c r="R296" s="21" t="str">
        <f t="shared" si="97"/>
        <v>X</v>
      </c>
      <c r="S296" s="96" t="s">
        <v>163</v>
      </c>
      <c r="T296" s="94"/>
      <c r="U296" s="21" t="s">
        <v>226</v>
      </c>
      <c r="V296" s="10"/>
      <c r="W296" s="25">
        <v>3</v>
      </c>
      <c r="X296" s="1" t="s">
        <v>257</v>
      </c>
      <c r="Y296" s="1">
        <v>1</v>
      </c>
      <c r="Z296" s="1">
        <v>1</v>
      </c>
      <c r="AA296" s="8" t="s">
        <v>109</v>
      </c>
      <c r="AB296" s="8" t="s">
        <v>19</v>
      </c>
      <c r="AC296" s="102"/>
      <c r="AD296" s="444"/>
      <c r="AE296" s="445"/>
      <c r="AF296" s="440" t="str">
        <f t="shared" si="90"/>
        <v xml:space="preserve"> </v>
      </c>
      <c r="AG296" s="442" t="str">
        <f t="shared" si="86"/>
        <v>-</v>
      </c>
      <c r="AH296" s="445"/>
      <c r="AI296" s="447" t="s">
        <v>532</v>
      </c>
      <c r="AJ296" s="444"/>
      <c r="AK296" s="445"/>
      <c r="AL296" s="440" t="str">
        <f t="shared" si="91"/>
        <v xml:space="preserve"> </v>
      </c>
      <c r="AM296" s="442" t="str">
        <f t="shared" si="87"/>
        <v>-</v>
      </c>
      <c r="AN296" s="445"/>
      <c r="AO296" s="447" t="s">
        <v>532</v>
      </c>
      <c r="AP296" s="444"/>
      <c r="AQ296" s="445"/>
      <c r="AR296" s="440" t="str">
        <f t="shared" si="92"/>
        <v xml:space="preserve"> </v>
      </c>
      <c r="AS296" s="447" t="s">
        <v>532</v>
      </c>
      <c r="AT296" s="463"/>
      <c r="AU296" s="447" t="s">
        <v>532</v>
      </c>
      <c r="AV296" s="444"/>
      <c r="AW296" s="445"/>
      <c r="AX296" s="440" t="str">
        <f t="shared" si="93"/>
        <v xml:space="preserve"> </v>
      </c>
      <c r="AY296" s="442" t="str">
        <f t="shared" si="88"/>
        <v>-</v>
      </c>
      <c r="AZ296" s="445"/>
      <c r="BA296" s="447" t="s">
        <v>532</v>
      </c>
      <c r="BB296" s="59"/>
      <c r="BC296" s="223"/>
      <c r="BD296" s="60" t="str">
        <f t="shared" si="94"/>
        <v xml:space="preserve"> </v>
      </c>
      <c r="BE296" s="213" t="str">
        <f t="shared" si="89"/>
        <v>-</v>
      </c>
      <c r="BF296" s="172"/>
      <c r="BG296" s="225" t="s">
        <v>215</v>
      </c>
      <c r="BH296" s="59"/>
      <c r="BI296" s="223"/>
      <c r="BJ296" s="60" t="str">
        <f t="shared" si="95"/>
        <v xml:space="preserve"> </v>
      </c>
      <c r="BK296" s="213" t="s">
        <v>215</v>
      </c>
      <c r="BL296" s="172"/>
      <c r="BM296" s="225" t="s">
        <v>215</v>
      </c>
    </row>
    <row r="297" spans="2:65" s="26" customFormat="1" ht="127.5">
      <c r="B297" s="64">
        <f t="shared" si="96"/>
        <v>290</v>
      </c>
      <c r="C297" s="7"/>
      <c r="D297" s="7"/>
      <c r="E297" s="7"/>
      <c r="F297" s="22" t="s">
        <v>164</v>
      </c>
      <c r="G297" s="16"/>
      <c r="H297" s="13"/>
      <c r="I297" s="8"/>
      <c r="J297" s="8" t="s">
        <v>231</v>
      </c>
      <c r="K297" s="8"/>
      <c r="L297" s="8"/>
      <c r="M297" s="359" t="s">
        <v>317</v>
      </c>
      <c r="N297" s="1"/>
      <c r="O297" s="56"/>
      <c r="P297" s="93">
        <f t="shared" si="98"/>
        <v>265</v>
      </c>
      <c r="Q297" s="113">
        <v>1</v>
      </c>
      <c r="R297" s="21" t="str">
        <f t="shared" si="97"/>
        <v>X</v>
      </c>
      <c r="S297" s="96" t="s">
        <v>165</v>
      </c>
      <c r="T297" s="94"/>
      <c r="U297" s="21" t="s">
        <v>226</v>
      </c>
      <c r="V297" s="10"/>
      <c r="W297" s="25">
        <v>3</v>
      </c>
      <c r="X297" s="1" t="s">
        <v>258</v>
      </c>
      <c r="Y297" s="1">
        <v>1</v>
      </c>
      <c r="Z297" s="1">
        <v>1</v>
      </c>
      <c r="AA297" s="8" t="s">
        <v>109</v>
      </c>
      <c r="AB297" s="8" t="s">
        <v>19</v>
      </c>
      <c r="AC297" s="102"/>
      <c r="AD297" s="444"/>
      <c r="AE297" s="445"/>
      <c r="AF297" s="440" t="str">
        <f t="shared" si="90"/>
        <v xml:space="preserve"> </v>
      </c>
      <c r="AG297" s="442" t="str">
        <f t="shared" si="86"/>
        <v>-</v>
      </c>
      <c r="AH297" s="445"/>
      <c r="AI297" s="447" t="s">
        <v>532</v>
      </c>
      <c r="AJ297" s="444"/>
      <c r="AK297" s="445"/>
      <c r="AL297" s="440" t="str">
        <f t="shared" si="91"/>
        <v xml:space="preserve"> </v>
      </c>
      <c r="AM297" s="442" t="str">
        <f t="shared" si="87"/>
        <v>-</v>
      </c>
      <c r="AN297" s="445"/>
      <c r="AO297" s="447" t="s">
        <v>532</v>
      </c>
      <c r="AP297" s="444"/>
      <c r="AQ297" s="445"/>
      <c r="AR297" s="440" t="str">
        <f t="shared" si="92"/>
        <v xml:space="preserve"> </v>
      </c>
      <c r="AS297" s="447" t="s">
        <v>532</v>
      </c>
      <c r="AT297" s="463"/>
      <c r="AU297" s="447" t="s">
        <v>532</v>
      </c>
      <c r="AV297" s="444"/>
      <c r="AW297" s="445"/>
      <c r="AX297" s="440" t="str">
        <f t="shared" si="93"/>
        <v xml:space="preserve"> </v>
      </c>
      <c r="AY297" s="442" t="str">
        <f t="shared" si="88"/>
        <v>-</v>
      </c>
      <c r="AZ297" s="445"/>
      <c r="BA297" s="447" t="s">
        <v>532</v>
      </c>
      <c r="BB297" s="59"/>
      <c r="BC297" s="223"/>
      <c r="BD297" s="60" t="str">
        <f t="shared" si="94"/>
        <v xml:space="preserve"> </v>
      </c>
      <c r="BE297" s="213" t="str">
        <f t="shared" si="89"/>
        <v>-</v>
      </c>
      <c r="BF297" s="172"/>
      <c r="BG297" s="225" t="s">
        <v>215</v>
      </c>
      <c r="BH297" s="59"/>
      <c r="BI297" s="223"/>
      <c r="BJ297" s="60" t="str">
        <f t="shared" si="95"/>
        <v xml:space="preserve"> </v>
      </c>
      <c r="BK297" s="213" t="s">
        <v>215</v>
      </c>
      <c r="BL297" s="172"/>
      <c r="BM297" s="225" t="s">
        <v>215</v>
      </c>
    </row>
    <row r="298" spans="2:65" s="26" customFormat="1" ht="319.5" customHeight="1">
      <c r="B298" s="64">
        <f t="shared" si="96"/>
        <v>291</v>
      </c>
      <c r="C298" s="7"/>
      <c r="D298" s="7"/>
      <c r="E298" s="53"/>
      <c r="F298" s="111" t="s">
        <v>367</v>
      </c>
      <c r="G298" s="66"/>
      <c r="H298" s="61"/>
      <c r="I298" s="8"/>
      <c r="J298" s="8" t="s">
        <v>231</v>
      </c>
      <c r="K298" s="8"/>
      <c r="L298" s="8"/>
      <c r="M298" s="356" t="s">
        <v>493</v>
      </c>
      <c r="N298" s="16"/>
      <c r="O298" s="56"/>
      <c r="P298" s="93">
        <f t="shared" si="98"/>
        <v>266</v>
      </c>
      <c r="Q298" s="113">
        <v>2</v>
      </c>
      <c r="R298" s="21" t="str">
        <f t="shared" si="97"/>
        <v>X</v>
      </c>
      <c r="S298" s="96" t="s">
        <v>166</v>
      </c>
      <c r="T298" s="94"/>
      <c r="U298" s="21" t="s">
        <v>226</v>
      </c>
      <c r="V298" s="10"/>
      <c r="W298" s="25">
        <v>3</v>
      </c>
      <c r="X298" s="1" t="s">
        <v>260</v>
      </c>
      <c r="Y298" s="1">
        <v>2</v>
      </c>
      <c r="Z298" s="1">
        <v>2</v>
      </c>
      <c r="AA298" s="8" t="s">
        <v>229</v>
      </c>
      <c r="AB298" s="8" t="s">
        <v>226</v>
      </c>
      <c r="AC298" s="67"/>
      <c r="AD298" s="444"/>
      <c r="AE298" s="445"/>
      <c r="AF298" s="446" t="str">
        <f t="shared" si="90"/>
        <v xml:space="preserve">  </v>
      </c>
      <c r="AG298" s="442" t="str">
        <f t="shared" si="86"/>
        <v>-</v>
      </c>
      <c r="AH298" s="445"/>
      <c r="AI298" s="448" t="s">
        <v>532</v>
      </c>
      <c r="AJ298" s="444"/>
      <c r="AK298" s="445"/>
      <c r="AL298" s="446" t="str">
        <f t="shared" si="91"/>
        <v xml:space="preserve">  </v>
      </c>
      <c r="AM298" s="442" t="str">
        <f t="shared" si="87"/>
        <v>-</v>
      </c>
      <c r="AN298" s="445"/>
      <c r="AO298" s="448" t="s">
        <v>532</v>
      </c>
      <c r="AP298" s="444"/>
      <c r="AQ298" s="445"/>
      <c r="AR298" s="446" t="str">
        <f t="shared" si="92"/>
        <v xml:space="preserve">  </v>
      </c>
      <c r="AS298" s="442" t="s">
        <v>532</v>
      </c>
      <c r="AT298" s="463"/>
      <c r="AU298" s="448" t="s">
        <v>532</v>
      </c>
      <c r="AV298" s="444"/>
      <c r="AW298" s="445"/>
      <c r="AX298" s="446" t="str">
        <f t="shared" si="93"/>
        <v xml:space="preserve">  </v>
      </c>
      <c r="AY298" s="442" t="str">
        <f t="shared" si="88"/>
        <v>-</v>
      </c>
      <c r="AZ298" s="445"/>
      <c r="BA298" s="448" t="s">
        <v>532</v>
      </c>
      <c r="BB298" s="59"/>
      <c r="BC298" s="223"/>
      <c r="BD298" s="254" t="str">
        <f t="shared" si="94"/>
        <v>G1</v>
      </c>
      <c r="BE298" s="213" t="str">
        <f t="shared" si="89"/>
        <v>-</v>
      </c>
      <c r="BF298" s="172" t="s">
        <v>194</v>
      </c>
      <c r="BG298" s="405" t="str">
        <f>IF(OR(BC$8="判定対象外",BF$8="判定対象外",BF298="-"),"-",IF(BC298=BF298,"OK","NG"))</f>
        <v>NG</v>
      </c>
      <c r="BH298" s="59"/>
      <c r="BI298" s="223"/>
      <c r="BJ298" s="254" t="str">
        <f t="shared" si="95"/>
        <v>H2</v>
      </c>
      <c r="BK298" s="213" t="str">
        <f>IF(OR(BI$8="判定対象外",BJ$8="判定対象外",BJ298="-"),"-",IF(BI298=BJ298,"OK","NG"))</f>
        <v>NG</v>
      </c>
      <c r="BL298" s="172" t="s">
        <v>581</v>
      </c>
      <c r="BM298" s="405" t="str">
        <f>IF(OR(BI$8="判定対象外",BL$8="判定対象外",BL298="-"),"-",IF(BI298=BL298,"OK","NG"))</f>
        <v>NG</v>
      </c>
    </row>
    <row r="299" spans="2:65" s="26" customFormat="1" ht="25.5">
      <c r="B299" s="64">
        <f t="shared" si="96"/>
        <v>292</v>
      </c>
      <c r="C299" s="7"/>
      <c r="D299" s="7"/>
      <c r="E299" s="53"/>
      <c r="F299" s="65" t="s">
        <v>167</v>
      </c>
      <c r="G299" s="66"/>
      <c r="H299" s="61"/>
      <c r="I299" s="8"/>
      <c r="J299" s="8"/>
      <c r="K299" s="8"/>
      <c r="L299" s="8"/>
      <c r="M299" s="11" t="s">
        <v>274</v>
      </c>
      <c r="N299" s="16"/>
      <c r="O299" s="56"/>
      <c r="P299" s="93">
        <f t="shared" si="98"/>
        <v>267</v>
      </c>
      <c r="Q299" s="113">
        <v>7</v>
      </c>
      <c r="R299" s="21" t="str">
        <f t="shared" si="97"/>
        <v>X</v>
      </c>
      <c r="S299" s="96" t="s">
        <v>168</v>
      </c>
      <c r="T299" s="94"/>
      <c r="U299" s="21" t="s">
        <v>226</v>
      </c>
      <c r="V299" s="10"/>
      <c r="W299" s="25">
        <v>3</v>
      </c>
      <c r="X299" s="1" t="s">
        <v>261</v>
      </c>
      <c r="Y299" s="1">
        <v>7</v>
      </c>
      <c r="Z299" s="1">
        <v>7</v>
      </c>
      <c r="AA299" s="8" t="s">
        <v>229</v>
      </c>
      <c r="AB299" s="8" t="s">
        <v>226</v>
      </c>
      <c r="AC299" s="103"/>
      <c r="AD299" s="444"/>
      <c r="AE299" s="440"/>
      <c r="AF299" s="440" t="str">
        <f t="shared" si="90"/>
        <v xml:space="preserve">       </v>
      </c>
      <c r="AG299" s="442" t="str">
        <f t="shared" si="86"/>
        <v>-</v>
      </c>
      <c r="AH299" s="440"/>
      <c r="AI299" s="447" t="s">
        <v>532</v>
      </c>
      <c r="AJ299" s="444"/>
      <c r="AK299" s="440"/>
      <c r="AL299" s="440" t="str">
        <f t="shared" si="91"/>
        <v xml:space="preserve">       </v>
      </c>
      <c r="AM299" s="442" t="str">
        <f t="shared" si="87"/>
        <v>-</v>
      </c>
      <c r="AN299" s="440"/>
      <c r="AO299" s="447" t="s">
        <v>532</v>
      </c>
      <c r="AP299" s="444"/>
      <c r="AQ299" s="440"/>
      <c r="AR299" s="440" t="str">
        <f t="shared" si="92"/>
        <v xml:space="preserve">       </v>
      </c>
      <c r="AS299" s="447" t="s">
        <v>532</v>
      </c>
      <c r="AT299" s="462"/>
      <c r="AU299" s="447" t="s">
        <v>532</v>
      </c>
      <c r="AV299" s="444"/>
      <c r="AW299" s="440"/>
      <c r="AX299" s="440" t="str">
        <f t="shared" si="93"/>
        <v xml:space="preserve">       </v>
      </c>
      <c r="AY299" s="442" t="str">
        <f t="shared" si="88"/>
        <v>-</v>
      </c>
      <c r="AZ299" s="440"/>
      <c r="BA299" s="447" t="s">
        <v>532</v>
      </c>
      <c r="BB299" s="59"/>
      <c r="BC299" s="60"/>
      <c r="BD299" s="60" t="str">
        <f t="shared" si="94"/>
        <v xml:space="preserve">       </v>
      </c>
      <c r="BE299" s="213" t="str">
        <f t="shared" si="89"/>
        <v>-</v>
      </c>
      <c r="BF299" s="167"/>
      <c r="BG299" s="225" t="s">
        <v>215</v>
      </c>
      <c r="BH299" s="59"/>
      <c r="BI299" s="60"/>
      <c r="BJ299" s="60" t="str">
        <f t="shared" si="95"/>
        <v xml:space="preserve">       </v>
      </c>
      <c r="BK299" s="213" t="s">
        <v>215</v>
      </c>
      <c r="BL299" s="167"/>
      <c r="BM299" s="225" t="s">
        <v>215</v>
      </c>
    </row>
    <row r="300" spans="2:65" s="80" customFormat="1" ht="25.5">
      <c r="B300" s="64">
        <f t="shared" si="96"/>
        <v>293</v>
      </c>
      <c r="C300" s="68"/>
      <c r="D300" s="68"/>
      <c r="E300" s="69"/>
      <c r="F300" s="70" t="s">
        <v>275</v>
      </c>
      <c r="G300" s="71"/>
      <c r="H300" s="72"/>
      <c r="I300" s="73"/>
      <c r="J300" s="73"/>
      <c r="K300" s="74"/>
      <c r="L300" s="74"/>
      <c r="M300" s="83" t="s">
        <v>274</v>
      </c>
      <c r="N300" s="75"/>
      <c r="O300" s="76"/>
      <c r="P300" s="93">
        <f t="shared" si="98"/>
        <v>268</v>
      </c>
      <c r="Q300" s="117">
        <v>10</v>
      </c>
      <c r="R300" s="21" t="str">
        <f t="shared" si="97"/>
        <v>X</v>
      </c>
      <c r="S300" s="96" t="s">
        <v>169</v>
      </c>
      <c r="T300" s="104"/>
      <c r="U300" s="21" t="s">
        <v>226</v>
      </c>
      <c r="V300" s="76"/>
      <c r="W300" s="77">
        <v>3</v>
      </c>
      <c r="X300" s="55" t="s">
        <v>170</v>
      </c>
      <c r="Y300" s="55">
        <v>10</v>
      </c>
      <c r="Z300" s="55">
        <v>10</v>
      </c>
      <c r="AA300" s="73" t="s">
        <v>109</v>
      </c>
      <c r="AB300" s="73" t="s">
        <v>19</v>
      </c>
      <c r="AC300" s="103"/>
      <c r="AD300" s="451"/>
      <c r="AE300" s="452"/>
      <c r="AF300" s="453" t="str">
        <f t="shared" si="90"/>
        <v xml:space="preserve">          </v>
      </c>
      <c r="AG300" s="442" t="str">
        <f t="shared" si="86"/>
        <v>-</v>
      </c>
      <c r="AH300" s="452"/>
      <c r="AI300" s="447" t="s">
        <v>532</v>
      </c>
      <c r="AJ300" s="451"/>
      <c r="AK300" s="452"/>
      <c r="AL300" s="453" t="str">
        <f t="shared" si="91"/>
        <v xml:space="preserve">          </v>
      </c>
      <c r="AM300" s="442" t="str">
        <f t="shared" si="87"/>
        <v>-</v>
      </c>
      <c r="AN300" s="452"/>
      <c r="AO300" s="447" t="s">
        <v>532</v>
      </c>
      <c r="AP300" s="451"/>
      <c r="AQ300" s="452"/>
      <c r="AR300" s="453" t="str">
        <f t="shared" si="92"/>
        <v xml:space="preserve">          </v>
      </c>
      <c r="AS300" s="447" t="s">
        <v>532</v>
      </c>
      <c r="AT300" s="464"/>
      <c r="AU300" s="447" t="s">
        <v>532</v>
      </c>
      <c r="AV300" s="451"/>
      <c r="AW300" s="452"/>
      <c r="AX300" s="453" t="str">
        <f t="shared" si="93"/>
        <v xml:space="preserve">          </v>
      </c>
      <c r="AY300" s="442" t="str">
        <f t="shared" si="88"/>
        <v>-</v>
      </c>
      <c r="AZ300" s="452"/>
      <c r="BA300" s="447" t="s">
        <v>532</v>
      </c>
      <c r="BB300" s="78"/>
      <c r="BC300" s="420"/>
      <c r="BD300" s="79" t="str">
        <f t="shared" si="94"/>
        <v xml:space="preserve">          </v>
      </c>
      <c r="BE300" s="213" t="str">
        <f t="shared" si="89"/>
        <v>-</v>
      </c>
      <c r="BF300" s="378"/>
      <c r="BG300" s="225" t="s">
        <v>215</v>
      </c>
      <c r="BH300" s="78"/>
      <c r="BI300" s="420"/>
      <c r="BJ300" s="79" t="str">
        <f t="shared" si="95"/>
        <v xml:space="preserve">          </v>
      </c>
      <c r="BK300" s="213" t="s">
        <v>215</v>
      </c>
      <c r="BL300" s="378"/>
      <c r="BM300" s="225" t="s">
        <v>215</v>
      </c>
    </row>
    <row r="301" spans="2:65" s="80" customFormat="1" ht="25.5">
      <c r="B301" s="64">
        <f t="shared" si="96"/>
        <v>294</v>
      </c>
      <c r="C301" s="68"/>
      <c r="D301" s="68"/>
      <c r="E301" s="68"/>
      <c r="F301" s="81" t="s">
        <v>171</v>
      </c>
      <c r="G301" s="14"/>
      <c r="H301" s="82"/>
      <c r="I301" s="73"/>
      <c r="J301" s="73"/>
      <c r="K301" s="74"/>
      <c r="L301" s="74"/>
      <c r="M301" s="83" t="s">
        <v>274</v>
      </c>
      <c r="N301" s="75"/>
      <c r="O301" s="76"/>
      <c r="P301" s="93">
        <f t="shared" si="98"/>
        <v>269</v>
      </c>
      <c r="Q301" s="117">
        <v>3</v>
      </c>
      <c r="R301" s="21" t="str">
        <f t="shared" si="97"/>
        <v>X</v>
      </c>
      <c r="S301" s="96" t="s">
        <v>172</v>
      </c>
      <c r="T301" s="104"/>
      <c r="U301" s="21" t="s">
        <v>226</v>
      </c>
      <c r="V301" s="76"/>
      <c r="W301" s="77">
        <v>3</v>
      </c>
      <c r="X301" s="55" t="s">
        <v>173</v>
      </c>
      <c r="Y301" s="55">
        <v>3</v>
      </c>
      <c r="Z301" s="55">
        <v>3</v>
      </c>
      <c r="AA301" s="73" t="s">
        <v>109</v>
      </c>
      <c r="AB301" s="73" t="s">
        <v>19</v>
      </c>
      <c r="AC301" s="103"/>
      <c r="AD301" s="451"/>
      <c r="AE301" s="452"/>
      <c r="AF301" s="453" t="str">
        <f t="shared" si="90"/>
        <v xml:space="preserve">   </v>
      </c>
      <c r="AG301" s="442" t="str">
        <f t="shared" si="86"/>
        <v>-</v>
      </c>
      <c r="AH301" s="452"/>
      <c r="AI301" s="447" t="s">
        <v>532</v>
      </c>
      <c r="AJ301" s="451"/>
      <c r="AK301" s="452"/>
      <c r="AL301" s="453" t="str">
        <f t="shared" si="91"/>
        <v xml:space="preserve">   </v>
      </c>
      <c r="AM301" s="442" t="str">
        <f t="shared" si="87"/>
        <v>-</v>
      </c>
      <c r="AN301" s="452"/>
      <c r="AO301" s="447" t="s">
        <v>532</v>
      </c>
      <c r="AP301" s="451"/>
      <c r="AQ301" s="452"/>
      <c r="AR301" s="453" t="str">
        <f t="shared" si="92"/>
        <v xml:space="preserve">   </v>
      </c>
      <c r="AS301" s="447" t="s">
        <v>532</v>
      </c>
      <c r="AT301" s="464"/>
      <c r="AU301" s="447" t="s">
        <v>532</v>
      </c>
      <c r="AV301" s="451"/>
      <c r="AW301" s="452"/>
      <c r="AX301" s="453" t="str">
        <f t="shared" si="93"/>
        <v xml:space="preserve">   </v>
      </c>
      <c r="AY301" s="442" t="str">
        <f t="shared" si="88"/>
        <v>-</v>
      </c>
      <c r="AZ301" s="452"/>
      <c r="BA301" s="447" t="s">
        <v>532</v>
      </c>
      <c r="BB301" s="78"/>
      <c r="BC301" s="420"/>
      <c r="BD301" s="79" t="str">
        <f t="shared" si="94"/>
        <v xml:space="preserve">   </v>
      </c>
      <c r="BE301" s="213" t="str">
        <f t="shared" si="89"/>
        <v>-</v>
      </c>
      <c r="BF301" s="378"/>
      <c r="BG301" s="225" t="s">
        <v>215</v>
      </c>
      <c r="BH301" s="78"/>
      <c r="BI301" s="420"/>
      <c r="BJ301" s="79" t="str">
        <f t="shared" si="95"/>
        <v xml:space="preserve">   </v>
      </c>
      <c r="BK301" s="213" t="s">
        <v>215</v>
      </c>
      <c r="BL301" s="378"/>
      <c r="BM301" s="225" t="s">
        <v>215</v>
      </c>
    </row>
    <row r="302" spans="2:65" s="80" customFormat="1" ht="25.5">
      <c r="B302" s="64">
        <f t="shared" si="96"/>
        <v>295</v>
      </c>
      <c r="C302" s="68"/>
      <c r="D302" s="68"/>
      <c r="E302" s="68"/>
      <c r="F302" s="81" t="s">
        <v>174</v>
      </c>
      <c r="G302" s="14"/>
      <c r="H302" s="82"/>
      <c r="I302" s="73"/>
      <c r="J302" s="73"/>
      <c r="K302" s="74"/>
      <c r="L302" s="74"/>
      <c r="M302" s="83" t="s">
        <v>274</v>
      </c>
      <c r="N302" s="75"/>
      <c r="O302" s="76"/>
      <c r="P302" s="93">
        <f>P301+1</f>
        <v>270</v>
      </c>
      <c r="Q302" s="117">
        <v>2</v>
      </c>
      <c r="R302" s="21" t="str">
        <f t="shared" si="97"/>
        <v>X</v>
      </c>
      <c r="S302" s="96" t="s">
        <v>175</v>
      </c>
      <c r="T302" s="104"/>
      <c r="U302" s="21" t="s">
        <v>226</v>
      </c>
      <c r="V302" s="76"/>
      <c r="W302" s="77">
        <v>3</v>
      </c>
      <c r="X302" s="55" t="s">
        <v>176</v>
      </c>
      <c r="Y302" s="55">
        <v>2</v>
      </c>
      <c r="Z302" s="55">
        <v>2</v>
      </c>
      <c r="AA302" s="73" t="s">
        <v>109</v>
      </c>
      <c r="AB302" s="73" t="s">
        <v>19</v>
      </c>
      <c r="AC302" s="103"/>
      <c r="AD302" s="451"/>
      <c r="AE302" s="452"/>
      <c r="AF302" s="453" t="str">
        <f t="shared" si="90"/>
        <v xml:space="preserve">  </v>
      </c>
      <c r="AG302" s="442" t="str">
        <f t="shared" si="86"/>
        <v>-</v>
      </c>
      <c r="AH302" s="452"/>
      <c r="AI302" s="447" t="s">
        <v>532</v>
      </c>
      <c r="AJ302" s="451"/>
      <c r="AK302" s="452"/>
      <c r="AL302" s="453" t="str">
        <f t="shared" si="91"/>
        <v xml:space="preserve">  </v>
      </c>
      <c r="AM302" s="442" t="str">
        <f t="shared" si="87"/>
        <v>-</v>
      </c>
      <c r="AN302" s="452"/>
      <c r="AO302" s="447" t="s">
        <v>532</v>
      </c>
      <c r="AP302" s="451"/>
      <c r="AQ302" s="452"/>
      <c r="AR302" s="453" t="str">
        <f t="shared" si="92"/>
        <v xml:space="preserve">  </v>
      </c>
      <c r="AS302" s="447" t="s">
        <v>532</v>
      </c>
      <c r="AT302" s="464"/>
      <c r="AU302" s="447" t="s">
        <v>532</v>
      </c>
      <c r="AV302" s="451"/>
      <c r="AW302" s="452"/>
      <c r="AX302" s="453" t="str">
        <f t="shared" si="93"/>
        <v xml:space="preserve">  </v>
      </c>
      <c r="AY302" s="442" t="str">
        <f t="shared" si="88"/>
        <v>-</v>
      </c>
      <c r="AZ302" s="452"/>
      <c r="BA302" s="447" t="s">
        <v>532</v>
      </c>
      <c r="BB302" s="78"/>
      <c r="BC302" s="420"/>
      <c r="BD302" s="79" t="str">
        <f t="shared" si="94"/>
        <v xml:space="preserve">  </v>
      </c>
      <c r="BE302" s="213" t="str">
        <f t="shared" si="89"/>
        <v>-</v>
      </c>
      <c r="BF302" s="378"/>
      <c r="BG302" s="225" t="s">
        <v>215</v>
      </c>
      <c r="BH302" s="78"/>
      <c r="BI302" s="420"/>
      <c r="BJ302" s="79" t="str">
        <f t="shared" si="95"/>
        <v xml:space="preserve">  </v>
      </c>
      <c r="BK302" s="213" t="s">
        <v>215</v>
      </c>
      <c r="BL302" s="378"/>
      <c r="BM302" s="225" t="s">
        <v>215</v>
      </c>
    </row>
    <row r="303" spans="2:65" s="80" customFormat="1" ht="51.75" customHeight="1">
      <c r="B303" s="64">
        <f t="shared" si="96"/>
        <v>296</v>
      </c>
      <c r="C303" s="68"/>
      <c r="D303" s="68"/>
      <c r="E303" s="68"/>
      <c r="F303" s="228" t="s">
        <v>177</v>
      </c>
      <c r="G303" s="229"/>
      <c r="H303" s="230"/>
      <c r="I303" s="73"/>
      <c r="J303" s="73"/>
      <c r="K303" s="74"/>
      <c r="L303" s="74"/>
      <c r="M303" s="83" t="s">
        <v>178</v>
      </c>
      <c r="N303" s="75"/>
      <c r="O303" s="76"/>
      <c r="P303" s="93">
        <f>P302+1</f>
        <v>271</v>
      </c>
      <c r="Q303" s="117">
        <v>5</v>
      </c>
      <c r="R303" s="21" t="str">
        <f t="shared" si="97"/>
        <v>X</v>
      </c>
      <c r="S303" s="96" t="s">
        <v>179</v>
      </c>
      <c r="T303" s="104"/>
      <c r="U303" s="21" t="s">
        <v>226</v>
      </c>
      <c r="V303" s="76"/>
      <c r="W303" s="77">
        <v>3</v>
      </c>
      <c r="X303" s="55" t="s">
        <v>262</v>
      </c>
      <c r="Y303" s="55">
        <v>5</v>
      </c>
      <c r="Z303" s="55">
        <v>5</v>
      </c>
      <c r="AA303" s="73" t="s">
        <v>109</v>
      </c>
      <c r="AB303" s="73" t="s">
        <v>19</v>
      </c>
      <c r="AC303" s="84"/>
      <c r="AD303" s="451"/>
      <c r="AE303" s="459"/>
      <c r="AF303" s="453" t="str">
        <f t="shared" si="90"/>
        <v xml:space="preserve">     </v>
      </c>
      <c r="AG303" s="442" t="str">
        <f t="shared" si="86"/>
        <v>-</v>
      </c>
      <c r="AH303" s="459"/>
      <c r="AI303" s="447" t="s">
        <v>532</v>
      </c>
      <c r="AJ303" s="451"/>
      <c r="AK303" s="459"/>
      <c r="AL303" s="453" t="str">
        <f t="shared" si="91"/>
        <v xml:space="preserve">     </v>
      </c>
      <c r="AM303" s="442" t="str">
        <f t="shared" si="87"/>
        <v>-</v>
      </c>
      <c r="AN303" s="459"/>
      <c r="AO303" s="447" t="s">
        <v>532</v>
      </c>
      <c r="AP303" s="451"/>
      <c r="AQ303" s="459"/>
      <c r="AR303" s="453" t="str">
        <f t="shared" si="92"/>
        <v xml:space="preserve">     </v>
      </c>
      <c r="AS303" s="447" t="s">
        <v>532</v>
      </c>
      <c r="AT303" s="466"/>
      <c r="AU303" s="447" t="s">
        <v>532</v>
      </c>
      <c r="AV303" s="451"/>
      <c r="AW303" s="459"/>
      <c r="AX303" s="453" t="str">
        <f t="shared" si="93"/>
        <v xml:space="preserve">     </v>
      </c>
      <c r="AY303" s="442" t="str">
        <f t="shared" si="88"/>
        <v>-</v>
      </c>
      <c r="AZ303" s="459"/>
      <c r="BA303" s="447" t="s">
        <v>532</v>
      </c>
      <c r="BB303" s="78"/>
      <c r="BC303" s="421"/>
      <c r="BD303" s="79" t="str">
        <f t="shared" si="94"/>
        <v xml:space="preserve">     </v>
      </c>
      <c r="BE303" s="213" t="str">
        <f t="shared" si="89"/>
        <v>-</v>
      </c>
      <c r="BF303" s="382"/>
      <c r="BG303" s="225" t="s">
        <v>215</v>
      </c>
      <c r="BH303" s="78"/>
      <c r="BI303" s="421"/>
      <c r="BJ303" s="79" t="str">
        <f t="shared" si="95"/>
        <v xml:space="preserve">     </v>
      </c>
      <c r="BK303" s="213" t="s">
        <v>215</v>
      </c>
      <c r="BL303" s="382"/>
      <c r="BM303" s="225" t="s">
        <v>215</v>
      </c>
    </row>
    <row r="304" spans="2:65" s="80" customFormat="1" ht="51.75" customHeight="1">
      <c r="B304" s="64">
        <f t="shared" si="96"/>
        <v>297</v>
      </c>
      <c r="C304" s="68"/>
      <c r="D304" s="68"/>
      <c r="E304" s="68"/>
      <c r="F304" s="228" t="s">
        <v>180</v>
      </c>
      <c r="G304" s="229"/>
      <c r="H304" s="230"/>
      <c r="I304" s="73"/>
      <c r="J304" s="73"/>
      <c r="K304" s="74"/>
      <c r="L304" s="74"/>
      <c r="M304" s="83" t="s">
        <v>181</v>
      </c>
      <c r="N304" s="75"/>
      <c r="O304" s="76"/>
      <c r="P304" s="93">
        <f>P303+1</f>
        <v>272</v>
      </c>
      <c r="Q304" s="117">
        <v>64</v>
      </c>
      <c r="R304" s="21" t="str">
        <f>IF(AA304="M","NX",AA304)</f>
        <v>NX</v>
      </c>
      <c r="S304" s="96" t="s">
        <v>182</v>
      </c>
      <c r="T304" s="104"/>
      <c r="U304" s="21" t="s">
        <v>226</v>
      </c>
      <c r="V304" s="76" t="s">
        <v>263</v>
      </c>
      <c r="W304" s="77">
        <v>3</v>
      </c>
      <c r="X304" s="55" t="s">
        <v>264</v>
      </c>
      <c r="Y304" s="55">
        <v>1</v>
      </c>
      <c r="Z304" s="55">
        <v>64</v>
      </c>
      <c r="AA304" s="73" t="s">
        <v>252</v>
      </c>
      <c r="AB304" s="73" t="s">
        <v>19</v>
      </c>
      <c r="AC304" s="84" t="s">
        <v>263</v>
      </c>
      <c r="AD304" s="451"/>
      <c r="AE304" s="459"/>
      <c r="AF304" s="453" t="str">
        <f t="shared" si="90"/>
        <v xml:space="preserve">                                                                </v>
      </c>
      <c r="AG304" s="442" t="str">
        <f t="shared" si="86"/>
        <v>-</v>
      </c>
      <c r="AH304" s="459"/>
      <c r="AI304" s="447" t="s">
        <v>532</v>
      </c>
      <c r="AJ304" s="451"/>
      <c r="AK304" s="459"/>
      <c r="AL304" s="453" t="str">
        <f t="shared" si="91"/>
        <v xml:space="preserve">                                                                </v>
      </c>
      <c r="AM304" s="442" t="str">
        <f t="shared" si="87"/>
        <v>-</v>
      </c>
      <c r="AN304" s="459"/>
      <c r="AO304" s="447" t="s">
        <v>532</v>
      </c>
      <c r="AP304" s="451"/>
      <c r="AQ304" s="459"/>
      <c r="AR304" s="453" t="str">
        <f t="shared" si="92"/>
        <v xml:space="preserve">                                                                </v>
      </c>
      <c r="AS304" s="447" t="s">
        <v>532</v>
      </c>
      <c r="AT304" s="466"/>
      <c r="AU304" s="447" t="s">
        <v>532</v>
      </c>
      <c r="AV304" s="451"/>
      <c r="AW304" s="459"/>
      <c r="AX304" s="453" t="str">
        <f t="shared" si="93"/>
        <v xml:space="preserve">                                                                </v>
      </c>
      <c r="AY304" s="442" t="str">
        <f t="shared" si="88"/>
        <v>-</v>
      </c>
      <c r="AZ304" s="459"/>
      <c r="BA304" s="447" t="s">
        <v>532</v>
      </c>
      <c r="BB304" s="78"/>
      <c r="BC304" s="421"/>
      <c r="BD304" s="79" t="str">
        <f t="shared" si="94"/>
        <v xml:space="preserve">                                                                </v>
      </c>
      <c r="BE304" s="213" t="str">
        <f t="shared" si="89"/>
        <v>-</v>
      </c>
      <c r="BF304" s="382"/>
      <c r="BG304" s="225" t="s">
        <v>215</v>
      </c>
      <c r="BH304" s="78"/>
      <c r="BI304" s="421"/>
      <c r="BJ304" s="79" t="str">
        <f t="shared" si="95"/>
        <v xml:space="preserve">                                                                </v>
      </c>
      <c r="BK304" s="213" t="s">
        <v>215</v>
      </c>
      <c r="BL304" s="382"/>
      <c r="BM304" s="225" t="s">
        <v>215</v>
      </c>
    </row>
    <row r="305" spans="1:65" s="80" customFormat="1" ht="92.25" customHeight="1">
      <c r="B305" s="64">
        <f t="shared" si="96"/>
        <v>298</v>
      </c>
      <c r="C305" s="68"/>
      <c r="D305" s="68"/>
      <c r="E305" s="68"/>
      <c r="F305" s="81" t="s">
        <v>276</v>
      </c>
      <c r="G305" s="14"/>
      <c r="H305" s="82"/>
      <c r="I305" s="73"/>
      <c r="J305" s="73"/>
      <c r="K305" s="74"/>
      <c r="L305" s="74"/>
      <c r="M305" s="415" t="s">
        <v>207</v>
      </c>
      <c r="N305" s="75"/>
      <c r="O305" s="76"/>
      <c r="P305" s="93">
        <f>P304+1</f>
        <v>273</v>
      </c>
      <c r="Q305" s="117">
        <v>7</v>
      </c>
      <c r="R305" s="21" t="s">
        <v>229</v>
      </c>
      <c r="S305" s="96" t="s">
        <v>265</v>
      </c>
      <c r="T305" s="104"/>
      <c r="U305" s="21" t="s">
        <v>226</v>
      </c>
      <c r="V305" s="76"/>
      <c r="W305" s="77">
        <v>3</v>
      </c>
      <c r="X305" s="55" t="s">
        <v>266</v>
      </c>
      <c r="Y305" s="55">
        <v>7</v>
      </c>
      <c r="Z305" s="55">
        <v>7</v>
      </c>
      <c r="AA305" s="73" t="s">
        <v>229</v>
      </c>
      <c r="AB305" s="73" t="s">
        <v>19</v>
      </c>
      <c r="AC305" s="84"/>
      <c r="AD305" s="451"/>
      <c r="AE305" s="452"/>
      <c r="AF305" s="453" t="str">
        <f t="shared" si="90"/>
        <v xml:space="preserve">       </v>
      </c>
      <c r="AG305" s="442" t="str">
        <f t="shared" si="86"/>
        <v>-</v>
      </c>
      <c r="AH305" s="452"/>
      <c r="AI305" s="447" t="s">
        <v>532</v>
      </c>
      <c r="AJ305" s="451"/>
      <c r="AK305" s="452"/>
      <c r="AL305" s="453" t="str">
        <f t="shared" si="91"/>
        <v xml:space="preserve">       </v>
      </c>
      <c r="AM305" s="442" t="str">
        <f t="shared" si="87"/>
        <v>-</v>
      </c>
      <c r="AN305" s="452"/>
      <c r="AO305" s="447" t="s">
        <v>532</v>
      </c>
      <c r="AP305" s="451"/>
      <c r="AQ305" s="452"/>
      <c r="AR305" s="453" t="str">
        <f t="shared" si="92"/>
        <v xml:space="preserve">       </v>
      </c>
      <c r="AS305" s="447" t="s">
        <v>532</v>
      </c>
      <c r="AT305" s="464"/>
      <c r="AU305" s="447" t="s">
        <v>532</v>
      </c>
      <c r="AV305" s="451"/>
      <c r="AW305" s="452"/>
      <c r="AX305" s="453" t="str">
        <f t="shared" si="93"/>
        <v xml:space="preserve">       </v>
      </c>
      <c r="AY305" s="442" t="str">
        <f t="shared" si="88"/>
        <v>-</v>
      </c>
      <c r="AZ305" s="452"/>
      <c r="BA305" s="447" t="s">
        <v>532</v>
      </c>
      <c r="BB305" s="78"/>
      <c r="BC305" s="420"/>
      <c r="BD305" s="79" t="str">
        <f t="shared" si="94"/>
        <v xml:space="preserve">       </v>
      </c>
      <c r="BE305" s="213" t="str">
        <f t="shared" si="89"/>
        <v>-</v>
      </c>
      <c r="BF305" s="378"/>
      <c r="BG305" s="225" t="s">
        <v>215</v>
      </c>
      <c r="BH305" s="78"/>
      <c r="BI305" s="420"/>
      <c r="BJ305" s="79" t="str">
        <f t="shared" si="95"/>
        <v xml:space="preserve">       </v>
      </c>
      <c r="BK305" s="213" t="s">
        <v>215</v>
      </c>
      <c r="BL305" s="378"/>
      <c r="BM305" s="225" t="s">
        <v>215</v>
      </c>
    </row>
    <row r="306" spans="1:65" s="80" customFormat="1" ht="127.9" thickBot="1">
      <c r="A306" s="216"/>
      <c r="B306" s="231">
        <f t="shared" si="96"/>
        <v>299</v>
      </c>
      <c r="C306" s="232"/>
      <c r="D306" s="232"/>
      <c r="E306" s="232"/>
      <c r="F306" s="234" t="s">
        <v>267</v>
      </c>
      <c r="G306" s="235"/>
      <c r="H306" s="236"/>
      <c r="I306" s="237"/>
      <c r="J306" s="237"/>
      <c r="K306" s="237"/>
      <c r="L306" s="237"/>
      <c r="M306" s="416" t="s">
        <v>277</v>
      </c>
      <c r="N306" s="417"/>
      <c r="O306" s="419"/>
      <c r="P306" s="429">
        <f>P305+1</f>
        <v>274</v>
      </c>
      <c r="Q306" s="430">
        <v>1</v>
      </c>
      <c r="R306" s="431">
        <v>9</v>
      </c>
      <c r="S306" s="430" t="s">
        <v>268</v>
      </c>
      <c r="T306" s="430"/>
      <c r="U306" s="431" t="s">
        <v>226</v>
      </c>
      <c r="V306" s="432"/>
      <c r="W306" s="433" t="str">
        <f>IF(C306&lt;&gt;"","0",IF(D306&lt;&gt;"","1",IF(E306&lt;&gt;"","2",IF(F306&lt;&gt;"","3",IF(G306&lt;&gt;"","4",IF(H306&lt;&gt;"","5"))))))</f>
        <v>3</v>
      </c>
      <c r="X306" s="434" t="s">
        <v>269</v>
      </c>
      <c r="Y306" s="434">
        <v>1</v>
      </c>
      <c r="Z306" s="434">
        <v>1</v>
      </c>
      <c r="AA306" s="435">
        <v>9</v>
      </c>
      <c r="AB306" s="237" t="s">
        <v>226</v>
      </c>
      <c r="AC306" s="436"/>
      <c r="AD306" s="454"/>
      <c r="AE306" s="455"/>
      <c r="AF306" s="456" t="str">
        <f t="shared" si="90"/>
        <v xml:space="preserve"> </v>
      </c>
      <c r="AG306" s="457" t="str">
        <f t="shared" si="86"/>
        <v>-</v>
      </c>
      <c r="AH306" s="455"/>
      <c r="AI306" s="458" t="s">
        <v>532</v>
      </c>
      <c r="AJ306" s="454"/>
      <c r="AK306" s="455"/>
      <c r="AL306" s="456" t="str">
        <f t="shared" si="91"/>
        <v xml:space="preserve"> </v>
      </c>
      <c r="AM306" s="457" t="str">
        <f t="shared" si="87"/>
        <v>-</v>
      </c>
      <c r="AN306" s="455"/>
      <c r="AO306" s="458" t="s">
        <v>532</v>
      </c>
      <c r="AP306" s="454"/>
      <c r="AQ306" s="455"/>
      <c r="AR306" s="456" t="str">
        <f t="shared" si="92"/>
        <v xml:space="preserve"> </v>
      </c>
      <c r="AS306" s="457" t="s">
        <v>532</v>
      </c>
      <c r="AT306" s="465"/>
      <c r="AU306" s="458" t="s">
        <v>532</v>
      </c>
      <c r="AV306" s="454"/>
      <c r="AW306" s="455"/>
      <c r="AX306" s="456" t="str">
        <f t="shared" si="93"/>
        <v xml:space="preserve"> </v>
      </c>
      <c r="AY306" s="457" t="str">
        <f t="shared" si="88"/>
        <v>-</v>
      </c>
      <c r="AZ306" s="455"/>
      <c r="BA306" s="458" t="s">
        <v>532</v>
      </c>
      <c r="BB306" s="211"/>
      <c r="BC306" s="422"/>
      <c r="BD306" s="212" t="str">
        <f t="shared" si="94"/>
        <v xml:space="preserve"> </v>
      </c>
      <c r="BE306" s="226" t="str">
        <f t="shared" si="89"/>
        <v>-</v>
      </c>
      <c r="BF306" s="352"/>
      <c r="BG306" s="403" t="s">
        <v>215</v>
      </c>
      <c r="BH306" s="211"/>
      <c r="BI306" s="422"/>
      <c r="BJ306" s="212" t="str">
        <f t="shared" si="95"/>
        <v xml:space="preserve"> </v>
      </c>
      <c r="BK306" s="226" t="s">
        <v>215</v>
      </c>
      <c r="BL306" s="352"/>
      <c r="BM306" s="403" t="s">
        <v>215</v>
      </c>
    </row>
    <row r="307" spans="1:65" s="26" customFormat="1" ht="18.75" customHeight="1" thickTop="1">
      <c r="B307" s="2">
        <f t="shared" si="96"/>
        <v>300</v>
      </c>
      <c r="C307" s="7"/>
      <c r="D307" s="7"/>
      <c r="E307" s="100" t="s">
        <v>482</v>
      </c>
      <c r="F307" s="410"/>
      <c r="G307" s="410"/>
      <c r="H307" s="61"/>
      <c r="I307" s="8" t="s">
        <v>29</v>
      </c>
      <c r="J307" s="8" t="s">
        <v>446</v>
      </c>
      <c r="K307" s="8"/>
      <c r="L307" s="8"/>
      <c r="M307" s="1" t="s">
        <v>272</v>
      </c>
      <c r="N307" s="9"/>
      <c r="O307" s="423"/>
      <c r="P307" s="93"/>
      <c r="Q307" s="113"/>
      <c r="R307" s="21"/>
      <c r="S307" s="424"/>
      <c r="T307" s="9"/>
      <c r="U307" s="21"/>
      <c r="V307" s="98"/>
      <c r="W307" s="25" t="str">
        <f>IF(C307&lt;&gt;"","0",IF(D307&lt;&gt;"","1",IF(E307&lt;&gt;"","2",IF(F307&lt;&gt;"","3",IF(G307&lt;&gt;"","4",IF(H307&lt;&gt;"","5"))))))</f>
        <v>2</v>
      </c>
      <c r="X307" s="1" t="s">
        <v>117</v>
      </c>
      <c r="Y307" s="1"/>
      <c r="Z307" s="1"/>
      <c r="AA307" s="8"/>
      <c r="AB307" s="8" t="s">
        <v>480</v>
      </c>
      <c r="AC307" s="62"/>
      <c r="AD307" s="444"/>
      <c r="AE307" s="440"/>
      <c r="AF307" s="440" t="str">
        <f t="shared" si="90"/>
        <v/>
      </c>
      <c r="AG307" s="442" t="str">
        <f t="shared" si="86"/>
        <v>-</v>
      </c>
      <c r="AH307" s="440"/>
      <c r="AI307" s="448" t="s">
        <v>532</v>
      </c>
      <c r="AJ307" s="444"/>
      <c r="AK307" s="440"/>
      <c r="AL307" s="440" t="str">
        <f t="shared" si="91"/>
        <v/>
      </c>
      <c r="AM307" s="442" t="str">
        <f t="shared" si="87"/>
        <v>-</v>
      </c>
      <c r="AN307" s="440"/>
      <c r="AO307" s="448" t="s">
        <v>532</v>
      </c>
      <c r="AP307" s="444"/>
      <c r="AQ307" s="440"/>
      <c r="AR307" s="440" t="str">
        <f t="shared" si="92"/>
        <v/>
      </c>
      <c r="AS307" s="442" t="s">
        <v>532</v>
      </c>
      <c r="AT307" s="462"/>
      <c r="AU307" s="448" t="s">
        <v>532</v>
      </c>
      <c r="AV307" s="444"/>
      <c r="AW307" s="440"/>
      <c r="AX307" s="440" t="str">
        <f t="shared" si="93"/>
        <v/>
      </c>
      <c r="AY307" s="442" t="str">
        <f t="shared" si="88"/>
        <v>-</v>
      </c>
      <c r="AZ307" s="440"/>
      <c r="BA307" s="448" t="s">
        <v>532</v>
      </c>
      <c r="BB307" s="59"/>
      <c r="BC307" s="60"/>
      <c r="BD307" s="60" t="str">
        <f t="shared" si="94"/>
        <v/>
      </c>
      <c r="BE307" s="213" t="str">
        <f t="shared" si="89"/>
        <v>-</v>
      </c>
      <c r="BF307" s="167"/>
      <c r="BG307" s="405" t="s">
        <v>215</v>
      </c>
      <c r="BH307" s="59"/>
      <c r="BI307" s="60"/>
      <c r="BJ307" s="60" t="str">
        <f t="shared" si="95"/>
        <v/>
      </c>
      <c r="BK307" s="260" t="s">
        <v>215</v>
      </c>
      <c r="BL307" s="167"/>
      <c r="BM307" s="405" t="s">
        <v>215</v>
      </c>
    </row>
    <row r="308" spans="1:65" s="26" customFormat="1" ht="63.75">
      <c r="B308" s="2">
        <f t="shared" si="96"/>
        <v>301</v>
      </c>
      <c r="C308" s="127"/>
      <c r="D308" s="7"/>
      <c r="E308" s="7"/>
      <c r="F308" s="110" t="s">
        <v>87</v>
      </c>
      <c r="G308" s="16"/>
      <c r="H308" s="13"/>
      <c r="I308" s="6"/>
      <c r="J308" s="6"/>
      <c r="K308" s="6"/>
      <c r="L308" s="8"/>
      <c r="M308" s="23" t="s">
        <v>248</v>
      </c>
      <c r="N308" s="1"/>
      <c r="O308" s="56"/>
      <c r="P308" s="93">
        <f>P306+1</f>
        <v>275</v>
      </c>
      <c r="Q308" s="115">
        <v>2</v>
      </c>
      <c r="R308" s="21" t="str">
        <f>IF(AA308="M","NX",AA308)</f>
        <v>X</v>
      </c>
      <c r="S308" s="96" t="s">
        <v>483</v>
      </c>
      <c r="T308" s="94"/>
      <c r="U308" s="21" t="s">
        <v>480</v>
      </c>
      <c r="V308" s="116" t="s">
        <v>189</v>
      </c>
      <c r="W308" s="25" t="str">
        <f>IF(C308&lt;&gt;"","0",IF(D308&lt;&gt;"","1",IF(E308&lt;&gt;"","2",IF(F308&lt;&gt;"","3",IF(G308&lt;&gt;"","4",IF(H308&lt;&gt;"","5"))))))</f>
        <v>3</v>
      </c>
      <c r="X308" s="5" t="s">
        <v>484</v>
      </c>
      <c r="Y308" s="57">
        <v>2</v>
      </c>
      <c r="Z308" s="57">
        <v>2</v>
      </c>
      <c r="AA308" s="58" t="s">
        <v>109</v>
      </c>
      <c r="AB308" s="58" t="s">
        <v>19</v>
      </c>
      <c r="AC308" s="12"/>
      <c r="AD308" s="444"/>
      <c r="AE308" s="445"/>
      <c r="AF308" s="446" t="str">
        <f t="shared" si="90"/>
        <v xml:space="preserve">  </v>
      </c>
      <c r="AG308" s="442" t="str">
        <f t="shared" si="86"/>
        <v>-</v>
      </c>
      <c r="AH308" s="445"/>
      <c r="AI308" s="447" t="s">
        <v>532</v>
      </c>
      <c r="AJ308" s="444"/>
      <c r="AK308" s="445"/>
      <c r="AL308" s="446" t="str">
        <f t="shared" si="91"/>
        <v xml:space="preserve">  </v>
      </c>
      <c r="AM308" s="442" t="str">
        <f t="shared" si="87"/>
        <v>-</v>
      </c>
      <c r="AN308" s="445"/>
      <c r="AO308" s="447" t="s">
        <v>532</v>
      </c>
      <c r="AP308" s="444"/>
      <c r="AQ308" s="445"/>
      <c r="AR308" s="446" t="str">
        <f t="shared" si="92"/>
        <v xml:space="preserve">  </v>
      </c>
      <c r="AS308" s="447" t="s">
        <v>532</v>
      </c>
      <c r="AT308" s="463"/>
      <c r="AU308" s="447" t="s">
        <v>532</v>
      </c>
      <c r="AV308" s="444"/>
      <c r="AW308" s="445"/>
      <c r="AX308" s="446" t="str">
        <f t="shared" si="93"/>
        <v xml:space="preserve">  </v>
      </c>
      <c r="AY308" s="442" t="str">
        <f t="shared" si="88"/>
        <v>-</v>
      </c>
      <c r="AZ308" s="445"/>
      <c r="BA308" s="447" t="s">
        <v>532</v>
      </c>
      <c r="BB308" s="59"/>
      <c r="BC308" s="223"/>
      <c r="BD308" s="254" t="str">
        <f t="shared" si="94"/>
        <v xml:space="preserve">  </v>
      </c>
      <c r="BE308" s="213" t="str">
        <f t="shared" si="89"/>
        <v>-</v>
      </c>
      <c r="BF308" s="172"/>
      <c r="BG308" s="225" t="s">
        <v>215</v>
      </c>
      <c r="BH308" s="59"/>
      <c r="BI308" s="223"/>
      <c r="BJ308" s="254" t="str">
        <f t="shared" si="95"/>
        <v xml:space="preserve">  </v>
      </c>
      <c r="BK308" s="213" t="s">
        <v>215</v>
      </c>
      <c r="BL308" s="172"/>
      <c r="BM308" s="225" t="s">
        <v>215</v>
      </c>
    </row>
    <row r="309" spans="1:65" s="26" customFormat="1" ht="344.25">
      <c r="B309" s="2">
        <f t="shared" si="96"/>
        <v>302</v>
      </c>
      <c r="C309" s="7"/>
      <c r="D309" s="7"/>
      <c r="E309" s="7"/>
      <c r="F309" s="110" t="s">
        <v>304</v>
      </c>
      <c r="G309" s="16"/>
      <c r="H309" s="13"/>
      <c r="I309" s="8"/>
      <c r="J309" s="8" t="s">
        <v>231</v>
      </c>
      <c r="K309" s="8"/>
      <c r="L309" s="8"/>
      <c r="M309" s="355" t="s">
        <v>478</v>
      </c>
      <c r="N309" s="11"/>
      <c r="O309" s="56"/>
      <c r="P309" s="93">
        <f>P308+1</f>
        <v>276</v>
      </c>
      <c r="Q309" s="113">
        <v>2</v>
      </c>
      <c r="R309" s="21" t="str">
        <f t="shared" ref="R309:R333" si="99">IF(AA309="M","NX",AA309)</f>
        <v>X</v>
      </c>
      <c r="S309" s="96" t="s">
        <v>310</v>
      </c>
      <c r="T309" s="94"/>
      <c r="U309" s="21" t="s">
        <v>226</v>
      </c>
      <c r="V309" s="10"/>
      <c r="W309" s="25">
        <v>3</v>
      </c>
      <c r="X309" s="1" t="s">
        <v>243</v>
      </c>
      <c r="Y309" s="1">
        <v>2</v>
      </c>
      <c r="Z309" s="1">
        <v>2</v>
      </c>
      <c r="AA309" s="8" t="s">
        <v>109</v>
      </c>
      <c r="AB309" s="8" t="s">
        <v>19</v>
      </c>
      <c r="AC309" s="12"/>
      <c r="AD309" s="444"/>
      <c r="AE309" s="445"/>
      <c r="AF309" s="446" t="str">
        <f t="shared" si="90"/>
        <v xml:space="preserve">  </v>
      </c>
      <c r="AG309" s="442" t="str">
        <f t="shared" si="86"/>
        <v>-</v>
      </c>
      <c r="AH309" s="445"/>
      <c r="AI309" s="448" t="s">
        <v>532</v>
      </c>
      <c r="AJ309" s="444"/>
      <c r="AK309" s="445"/>
      <c r="AL309" s="446" t="str">
        <f t="shared" si="91"/>
        <v xml:space="preserve">  </v>
      </c>
      <c r="AM309" s="442" t="str">
        <f t="shared" si="87"/>
        <v>-</v>
      </c>
      <c r="AN309" s="445"/>
      <c r="AO309" s="448" t="s">
        <v>532</v>
      </c>
      <c r="AP309" s="444"/>
      <c r="AQ309" s="445"/>
      <c r="AR309" s="446" t="str">
        <f t="shared" si="92"/>
        <v xml:space="preserve">  </v>
      </c>
      <c r="AS309" s="442" t="s">
        <v>532</v>
      </c>
      <c r="AT309" s="463"/>
      <c r="AU309" s="448" t="s">
        <v>532</v>
      </c>
      <c r="AV309" s="444"/>
      <c r="AW309" s="445"/>
      <c r="AX309" s="446" t="str">
        <f t="shared" si="93"/>
        <v xml:space="preserve">  </v>
      </c>
      <c r="AY309" s="442" t="str">
        <f t="shared" si="88"/>
        <v>-</v>
      </c>
      <c r="AZ309" s="445"/>
      <c r="BA309" s="448" t="s">
        <v>532</v>
      </c>
      <c r="BB309" s="59"/>
      <c r="BC309" s="223"/>
      <c r="BD309" s="254" t="str">
        <f t="shared" si="94"/>
        <v>A5</v>
      </c>
      <c r="BE309" s="213" t="str">
        <f t="shared" si="89"/>
        <v>-</v>
      </c>
      <c r="BF309" s="172" t="s">
        <v>208</v>
      </c>
      <c r="BG309" s="405" t="str">
        <f>IF(OR(BC$8="判定対象外",BF$8="判定対象外",BF309="-"),"-",IF(BC309=BF309,"OK","NG"))</f>
        <v>NG</v>
      </c>
      <c r="BH309" s="59"/>
      <c r="BI309" s="223"/>
      <c r="BJ309" s="254" t="str">
        <f t="shared" si="95"/>
        <v>C1</v>
      </c>
      <c r="BK309" s="213" t="str">
        <f>IF(OR(BI$8="判定対象外",BJ$8="判定対象外",BJ309="-"),"-",IF(BI309=BJ309,"OK","NG"))</f>
        <v>NG</v>
      </c>
      <c r="BL309" s="172" t="s">
        <v>217</v>
      </c>
      <c r="BM309" s="405" t="str">
        <f>IF(OR(BI$8="判定対象外",BL$8="判定対象外",BL309="-"),"-",IF(BI309=BL309,"OK","NG"))</f>
        <v>NG</v>
      </c>
    </row>
    <row r="310" spans="1:65" s="26" customFormat="1">
      <c r="B310" s="2">
        <f t="shared" si="96"/>
        <v>303</v>
      </c>
      <c r="C310" s="7"/>
      <c r="D310" s="7"/>
      <c r="E310" s="7"/>
      <c r="F310" s="22" t="s">
        <v>273</v>
      </c>
      <c r="G310" s="16"/>
      <c r="H310" s="13"/>
      <c r="I310" s="8"/>
      <c r="J310" s="8"/>
      <c r="K310" s="8"/>
      <c r="L310" s="8"/>
      <c r="M310" s="358" t="s">
        <v>205</v>
      </c>
      <c r="N310" s="11"/>
      <c r="O310" s="56"/>
      <c r="P310" s="93">
        <f t="shared" ref="P310:P331" si="100">P309+1</f>
        <v>277</v>
      </c>
      <c r="Q310" s="113">
        <v>2</v>
      </c>
      <c r="R310" s="21" t="str">
        <f t="shared" si="99"/>
        <v>X</v>
      </c>
      <c r="S310" s="96" t="s">
        <v>118</v>
      </c>
      <c r="T310" s="94"/>
      <c r="U310" s="21" t="s">
        <v>226</v>
      </c>
      <c r="V310" s="10"/>
      <c r="W310" s="25">
        <v>3</v>
      </c>
      <c r="X310" s="1" t="s">
        <v>119</v>
      </c>
      <c r="Y310" s="1">
        <v>2</v>
      </c>
      <c r="Z310" s="1">
        <v>2</v>
      </c>
      <c r="AA310" s="8" t="s">
        <v>109</v>
      </c>
      <c r="AB310" s="8" t="s">
        <v>19</v>
      </c>
      <c r="AC310" s="12"/>
      <c r="AD310" s="444"/>
      <c r="AE310" s="440"/>
      <c r="AF310" s="440" t="str">
        <f t="shared" si="90"/>
        <v xml:space="preserve">  </v>
      </c>
      <c r="AG310" s="442" t="str">
        <f t="shared" si="86"/>
        <v>-</v>
      </c>
      <c r="AH310" s="440"/>
      <c r="AI310" s="447" t="s">
        <v>532</v>
      </c>
      <c r="AJ310" s="444"/>
      <c r="AK310" s="440"/>
      <c r="AL310" s="440" t="str">
        <f t="shared" si="91"/>
        <v xml:space="preserve">  </v>
      </c>
      <c r="AM310" s="442" t="str">
        <f t="shared" si="87"/>
        <v>-</v>
      </c>
      <c r="AN310" s="440"/>
      <c r="AO310" s="447" t="s">
        <v>532</v>
      </c>
      <c r="AP310" s="444"/>
      <c r="AQ310" s="440"/>
      <c r="AR310" s="440" t="str">
        <f t="shared" si="92"/>
        <v xml:space="preserve">  </v>
      </c>
      <c r="AS310" s="447" t="s">
        <v>532</v>
      </c>
      <c r="AT310" s="462"/>
      <c r="AU310" s="447" t="s">
        <v>532</v>
      </c>
      <c r="AV310" s="444"/>
      <c r="AW310" s="440"/>
      <c r="AX310" s="440" t="str">
        <f t="shared" si="93"/>
        <v xml:space="preserve">  </v>
      </c>
      <c r="AY310" s="442" t="str">
        <f t="shared" si="88"/>
        <v>-</v>
      </c>
      <c r="AZ310" s="440"/>
      <c r="BA310" s="447" t="s">
        <v>532</v>
      </c>
      <c r="BB310" s="59"/>
      <c r="BC310" s="60"/>
      <c r="BD310" s="60" t="str">
        <f t="shared" si="94"/>
        <v xml:space="preserve">  </v>
      </c>
      <c r="BE310" s="213" t="str">
        <f t="shared" si="89"/>
        <v>-</v>
      </c>
      <c r="BF310" s="167"/>
      <c r="BG310" s="225" t="s">
        <v>215</v>
      </c>
      <c r="BH310" s="59"/>
      <c r="BI310" s="60"/>
      <c r="BJ310" s="60" t="str">
        <f t="shared" si="95"/>
        <v xml:space="preserve">  </v>
      </c>
      <c r="BK310" s="213" t="s">
        <v>215</v>
      </c>
      <c r="BL310" s="167"/>
      <c r="BM310" s="225" t="s">
        <v>215</v>
      </c>
    </row>
    <row r="311" spans="1:65" s="26" customFormat="1">
      <c r="B311" s="2">
        <f t="shared" si="96"/>
        <v>304</v>
      </c>
      <c r="C311" s="7"/>
      <c r="D311" s="7"/>
      <c r="E311" s="7"/>
      <c r="F311" s="22" t="s">
        <v>120</v>
      </c>
      <c r="G311" s="16"/>
      <c r="H311" s="13"/>
      <c r="I311" s="8"/>
      <c r="J311" s="8" t="s">
        <v>231</v>
      </c>
      <c r="K311" s="8"/>
      <c r="L311" s="8"/>
      <c r="M311" s="1" t="s">
        <v>121</v>
      </c>
      <c r="N311" s="1"/>
      <c r="O311" s="56"/>
      <c r="P311" s="93">
        <f t="shared" si="100"/>
        <v>278</v>
      </c>
      <c r="Q311" s="113">
        <v>255</v>
      </c>
      <c r="R311" s="21" t="str">
        <f t="shared" si="99"/>
        <v>NX</v>
      </c>
      <c r="S311" s="96" t="s">
        <v>122</v>
      </c>
      <c r="T311" s="94"/>
      <c r="U311" s="21" t="s">
        <v>226</v>
      </c>
      <c r="V311" s="10"/>
      <c r="W311" s="25">
        <v>3</v>
      </c>
      <c r="X311" s="1" t="s">
        <v>250</v>
      </c>
      <c r="Y311" s="1">
        <v>1</v>
      </c>
      <c r="Z311" s="1">
        <v>255</v>
      </c>
      <c r="AA311" s="8" t="s">
        <v>123</v>
      </c>
      <c r="AB311" s="8" t="s">
        <v>19</v>
      </c>
      <c r="AC311" s="12"/>
      <c r="AD311" s="444"/>
      <c r="AE311" s="445"/>
      <c r="AF311" s="445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11" s="442" t="str">
        <f t="shared" si="86"/>
        <v>-</v>
      </c>
      <c r="AH311" s="445"/>
      <c r="AI311" s="447" t="s">
        <v>532</v>
      </c>
      <c r="AJ311" s="444"/>
      <c r="AK311" s="445"/>
      <c r="AL311" s="445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11" s="442" t="str">
        <f t="shared" si="87"/>
        <v>-</v>
      </c>
      <c r="AN311" s="445"/>
      <c r="AO311" s="447" t="s">
        <v>532</v>
      </c>
      <c r="AP311" s="444"/>
      <c r="AQ311" s="445"/>
      <c r="AR311" s="445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11" s="447" t="s">
        <v>532</v>
      </c>
      <c r="AT311" s="463"/>
      <c r="AU311" s="447" t="s">
        <v>532</v>
      </c>
      <c r="AV311" s="444"/>
      <c r="AW311" s="445"/>
      <c r="AX311" s="445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11" s="442" t="str">
        <f t="shared" si="88"/>
        <v>-</v>
      </c>
      <c r="AZ311" s="445"/>
      <c r="BA311" s="447" t="s">
        <v>532</v>
      </c>
      <c r="BB311" s="59"/>
      <c r="BC311" s="223"/>
      <c r="BD311" s="223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11" s="213" t="str">
        <f t="shared" si="89"/>
        <v>-</v>
      </c>
      <c r="BF311" s="172"/>
      <c r="BG311" s="225" t="s">
        <v>215</v>
      </c>
      <c r="BH311" s="59"/>
      <c r="BI311" s="223"/>
      <c r="BJ311" s="223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11" s="213" t="s">
        <v>215</v>
      </c>
      <c r="BL311" s="172"/>
      <c r="BM311" s="225" t="s">
        <v>215</v>
      </c>
    </row>
    <row r="312" spans="1:65" s="26" customFormat="1">
      <c r="B312" s="19">
        <f t="shared" si="96"/>
        <v>305</v>
      </c>
      <c r="C312" s="7"/>
      <c r="D312" s="7"/>
      <c r="E312" s="7"/>
      <c r="F312" s="3" t="s">
        <v>124</v>
      </c>
      <c r="G312" s="3"/>
      <c r="H312" s="4"/>
      <c r="I312" s="6"/>
      <c r="J312" s="6"/>
      <c r="K312" s="6"/>
      <c r="L312" s="6"/>
      <c r="M312" s="23" t="s">
        <v>125</v>
      </c>
      <c r="N312" s="5"/>
      <c r="O312" s="54"/>
      <c r="P312" s="93">
        <f t="shared" si="100"/>
        <v>279</v>
      </c>
      <c r="Q312" s="114">
        <v>256</v>
      </c>
      <c r="R312" s="21" t="str">
        <f t="shared" si="99"/>
        <v>NX</v>
      </c>
      <c r="S312" s="96" t="s">
        <v>126</v>
      </c>
      <c r="T312" s="94"/>
      <c r="U312" s="21" t="s">
        <v>226</v>
      </c>
      <c r="V312" s="10"/>
      <c r="W312" s="28">
        <v>3</v>
      </c>
      <c r="X312" s="5" t="s">
        <v>251</v>
      </c>
      <c r="Y312" s="5">
        <v>1</v>
      </c>
      <c r="Z312" s="5">
        <v>256</v>
      </c>
      <c r="AA312" s="6" t="s">
        <v>252</v>
      </c>
      <c r="AB312" s="6" t="s">
        <v>226</v>
      </c>
      <c r="AC312" s="63"/>
      <c r="AD312" s="444"/>
      <c r="AE312" s="440"/>
      <c r="AF312" s="440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12" s="442" t="str">
        <f t="shared" si="86"/>
        <v>-</v>
      </c>
      <c r="AH312" s="440"/>
      <c r="AI312" s="447" t="s">
        <v>532</v>
      </c>
      <c r="AJ312" s="444"/>
      <c r="AK312" s="440"/>
      <c r="AL312" s="440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12" s="442" t="str">
        <f t="shared" si="87"/>
        <v>-</v>
      </c>
      <c r="AN312" s="440"/>
      <c r="AO312" s="447" t="s">
        <v>532</v>
      </c>
      <c r="AP312" s="444"/>
      <c r="AQ312" s="440"/>
      <c r="AR312" s="440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12" s="447" t="s">
        <v>532</v>
      </c>
      <c r="AT312" s="462"/>
      <c r="AU312" s="447" t="s">
        <v>532</v>
      </c>
      <c r="AV312" s="444"/>
      <c r="AW312" s="440"/>
      <c r="AX312" s="440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12" s="442" t="str">
        <f t="shared" si="88"/>
        <v>-</v>
      </c>
      <c r="AZ312" s="440"/>
      <c r="BA312" s="447" t="s">
        <v>532</v>
      </c>
      <c r="BB312" s="59"/>
      <c r="BC312" s="60"/>
      <c r="BD312" s="60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12" s="213" t="str">
        <f t="shared" si="89"/>
        <v>-</v>
      </c>
      <c r="BF312" s="167"/>
      <c r="BG312" s="225" t="s">
        <v>215</v>
      </c>
      <c r="BH312" s="59"/>
      <c r="BI312" s="60"/>
      <c r="BJ312" s="60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12" s="213" t="s">
        <v>215</v>
      </c>
      <c r="BL312" s="167"/>
      <c r="BM312" s="225" t="s">
        <v>215</v>
      </c>
    </row>
    <row r="313" spans="1:65" s="26" customFormat="1" ht="63.75">
      <c r="B313" s="2">
        <f t="shared" si="96"/>
        <v>306</v>
      </c>
      <c r="C313" s="7"/>
      <c r="D313" s="7"/>
      <c r="E313" s="7"/>
      <c r="F313" s="22" t="s">
        <v>127</v>
      </c>
      <c r="G313" s="16"/>
      <c r="H313" s="13"/>
      <c r="I313" s="8"/>
      <c r="J313" s="8"/>
      <c r="K313" s="8"/>
      <c r="L313" s="8"/>
      <c r="M313" s="11" t="s">
        <v>311</v>
      </c>
      <c r="N313" s="1"/>
      <c r="O313" s="56"/>
      <c r="P313" s="93">
        <f t="shared" si="100"/>
        <v>280</v>
      </c>
      <c r="Q313" s="113">
        <v>256</v>
      </c>
      <c r="R313" s="21" t="str">
        <f t="shared" si="99"/>
        <v>NX</v>
      </c>
      <c r="S313" s="96" t="s">
        <v>128</v>
      </c>
      <c r="T313" s="94"/>
      <c r="U313" s="21" t="s">
        <v>226</v>
      </c>
      <c r="V313" s="10"/>
      <c r="W313" s="25">
        <v>3</v>
      </c>
      <c r="X313" s="1" t="s">
        <v>129</v>
      </c>
      <c r="Y313" s="1">
        <v>1</v>
      </c>
      <c r="Z313" s="1">
        <v>256</v>
      </c>
      <c r="AA313" s="8" t="s">
        <v>123</v>
      </c>
      <c r="AB313" s="8" t="s">
        <v>226</v>
      </c>
      <c r="AC313" s="12"/>
      <c r="AD313" s="444"/>
      <c r="AE313" s="445"/>
      <c r="AF313" s="446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13" s="442" t="str">
        <f t="shared" si="86"/>
        <v>-</v>
      </c>
      <c r="AH313" s="445"/>
      <c r="AI313" s="447" t="s">
        <v>532</v>
      </c>
      <c r="AJ313" s="444"/>
      <c r="AK313" s="445"/>
      <c r="AL313" s="446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13" s="442" t="str">
        <f t="shared" si="87"/>
        <v>-</v>
      </c>
      <c r="AN313" s="445"/>
      <c r="AO313" s="447" t="s">
        <v>532</v>
      </c>
      <c r="AP313" s="444"/>
      <c r="AQ313" s="445"/>
      <c r="AR313" s="446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13" s="447" t="s">
        <v>532</v>
      </c>
      <c r="AT313" s="463"/>
      <c r="AU313" s="447" t="s">
        <v>532</v>
      </c>
      <c r="AV313" s="444"/>
      <c r="AW313" s="445"/>
      <c r="AX313" s="446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13" s="442" t="str">
        <f t="shared" si="88"/>
        <v>-</v>
      </c>
      <c r="AZ313" s="445"/>
      <c r="BA313" s="447" t="s">
        <v>532</v>
      </c>
      <c r="BB313" s="59"/>
      <c r="BC313" s="223"/>
      <c r="BD313" s="254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13" s="213" t="str">
        <f t="shared" si="89"/>
        <v>-</v>
      </c>
      <c r="BF313" s="172"/>
      <c r="BG313" s="225" t="s">
        <v>215</v>
      </c>
      <c r="BH313" s="59"/>
      <c r="BI313" s="223"/>
      <c r="BJ313" s="254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13" s="213" t="s">
        <v>215</v>
      </c>
      <c r="BL313" s="172"/>
      <c r="BM313" s="225" t="s">
        <v>215</v>
      </c>
    </row>
    <row r="314" spans="1:65" s="26" customFormat="1" ht="63.75">
      <c r="B314" s="2">
        <f t="shared" si="96"/>
        <v>307</v>
      </c>
      <c r="C314" s="7"/>
      <c r="D314" s="7"/>
      <c r="E314" s="7"/>
      <c r="F314" s="22" t="s">
        <v>130</v>
      </c>
      <c r="G314" s="16"/>
      <c r="H314" s="13"/>
      <c r="I314" s="8"/>
      <c r="J314" s="8"/>
      <c r="K314" s="8"/>
      <c r="L314" s="8"/>
      <c r="M314" s="11" t="s">
        <v>312</v>
      </c>
      <c r="N314" s="1"/>
      <c r="O314" s="56"/>
      <c r="P314" s="93">
        <f t="shared" si="100"/>
        <v>281</v>
      </c>
      <c r="Q314" s="113">
        <v>256</v>
      </c>
      <c r="R314" s="21" t="str">
        <f t="shared" si="99"/>
        <v>NX</v>
      </c>
      <c r="S314" s="96" t="s">
        <v>131</v>
      </c>
      <c r="T314" s="94"/>
      <c r="U314" s="21" t="s">
        <v>226</v>
      </c>
      <c r="V314" s="10"/>
      <c r="W314" s="25">
        <v>3</v>
      </c>
      <c r="X314" s="1" t="s">
        <v>132</v>
      </c>
      <c r="Y314" s="1">
        <v>1</v>
      </c>
      <c r="Z314" s="1">
        <v>256</v>
      </c>
      <c r="AA314" s="8" t="s">
        <v>123</v>
      </c>
      <c r="AB314" s="8" t="s">
        <v>226</v>
      </c>
      <c r="AC314" s="12"/>
      <c r="AD314" s="444"/>
      <c r="AE314" s="445"/>
      <c r="AF314" s="446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14" s="442" t="str">
        <f t="shared" si="86"/>
        <v>-</v>
      </c>
      <c r="AH314" s="445"/>
      <c r="AI314" s="447" t="s">
        <v>532</v>
      </c>
      <c r="AJ314" s="444"/>
      <c r="AK314" s="445"/>
      <c r="AL314" s="446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14" s="442" t="str">
        <f t="shared" si="87"/>
        <v>-</v>
      </c>
      <c r="AN314" s="445"/>
      <c r="AO314" s="447" t="s">
        <v>532</v>
      </c>
      <c r="AP314" s="444"/>
      <c r="AQ314" s="445"/>
      <c r="AR314" s="446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14" s="447" t="s">
        <v>532</v>
      </c>
      <c r="AT314" s="463"/>
      <c r="AU314" s="447" t="s">
        <v>532</v>
      </c>
      <c r="AV314" s="444"/>
      <c r="AW314" s="445"/>
      <c r="AX314" s="446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14" s="442" t="str">
        <f t="shared" si="88"/>
        <v>-</v>
      </c>
      <c r="AZ314" s="445"/>
      <c r="BA314" s="447" t="s">
        <v>532</v>
      </c>
      <c r="BB314" s="59"/>
      <c r="BC314" s="223"/>
      <c r="BD314" s="254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14" s="213" t="str">
        <f t="shared" si="89"/>
        <v>-</v>
      </c>
      <c r="BF314" s="172"/>
      <c r="BG314" s="225" t="s">
        <v>215</v>
      </c>
      <c r="BH314" s="59"/>
      <c r="BI314" s="223"/>
      <c r="BJ314" s="254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14" s="213" t="s">
        <v>215</v>
      </c>
      <c r="BL314" s="172"/>
      <c r="BM314" s="225" t="s">
        <v>215</v>
      </c>
    </row>
    <row r="315" spans="1:65" s="26" customFormat="1" ht="69" customHeight="1">
      <c r="B315" s="19">
        <f t="shared" si="96"/>
        <v>308</v>
      </c>
      <c r="C315" s="7"/>
      <c r="D315" s="7"/>
      <c r="E315" s="7"/>
      <c r="F315" s="110" t="s">
        <v>313</v>
      </c>
      <c r="G315" s="16"/>
      <c r="H315" s="13"/>
      <c r="I315" s="8"/>
      <c r="J315" s="8" t="s">
        <v>231</v>
      </c>
      <c r="K315" s="8"/>
      <c r="L315" s="8"/>
      <c r="M315" s="11" t="s">
        <v>253</v>
      </c>
      <c r="N315" s="1"/>
      <c r="O315" s="56"/>
      <c r="P315" s="93">
        <f t="shared" si="100"/>
        <v>282</v>
      </c>
      <c r="Q315" s="113">
        <v>1</v>
      </c>
      <c r="R315" s="21" t="s">
        <v>229</v>
      </c>
      <c r="S315" s="96" t="s">
        <v>133</v>
      </c>
      <c r="T315" s="94"/>
      <c r="U315" s="21" t="s">
        <v>226</v>
      </c>
      <c r="V315" s="10"/>
      <c r="W315" s="25">
        <v>3</v>
      </c>
      <c r="X315" s="1" t="s">
        <v>134</v>
      </c>
      <c r="Y315" s="1">
        <v>1</v>
      </c>
      <c r="Z315" s="1">
        <v>1</v>
      </c>
      <c r="AA315" s="8">
        <v>9</v>
      </c>
      <c r="AB315" s="8" t="s">
        <v>19</v>
      </c>
      <c r="AC315" s="12"/>
      <c r="AD315" s="444"/>
      <c r="AE315" s="445"/>
      <c r="AF315" s="440" t="str">
        <f t="shared" si="90"/>
        <v xml:space="preserve"> </v>
      </c>
      <c r="AG315" s="442" t="str">
        <f t="shared" si="86"/>
        <v>-</v>
      </c>
      <c r="AH315" s="445"/>
      <c r="AI315" s="447" t="s">
        <v>532</v>
      </c>
      <c r="AJ315" s="444"/>
      <c r="AK315" s="445"/>
      <c r="AL315" s="440" t="str">
        <f t="shared" si="91"/>
        <v xml:space="preserve"> </v>
      </c>
      <c r="AM315" s="442" t="str">
        <f t="shared" si="87"/>
        <v>-</v>
      </c>
      <c r="AN315" s="445"/>
      <c r="AO315" s="447" t="s">
        <v>532</v>
      </c>
      <c r="AP315" s="444"/>
      <c r="AQ315" s="445"/>
      <c r="AR315" s="440" t="str">
        <f t="shared" si="92"/>
        <v xml:space="preserve"> </v>
      </c>
      <c r="AS315" s="447" t="s">
        <v>532</v>
      </c>
      <c r="AT315" s="463"/>
      <c r="AU315" s="447" t="s">
        <v>532</v>
      </c>
      <c r="AV315" s="444"/>
      <c r="AW315" s="445"/>
      <c r="AX315" s="440" t="str">
        <f t="shared" si="93"/>
        <v xml:space="preserve"> </v>
      </c>
      <c r="AY315" s="442" t="str">
        <f t="shared" si="88"/>
        <v>-</v>
      </c>
      <c r="AZ315" s="445"/>
      <c r="BA315" s="447" t="s">
        <v>532</v>
      </c>
      <c r="BB315" s="59"/>
      <c r="BC315" s="223"/>
      <c r="BD315" s="60" t="str">
        <f t="shared" si="94"/>
        <v xml:space="preserve"> </v>
      </c>
      <c r="BE315" s="213" t="str">
        <f t="shared" si="89"/>
        <v>-</v>
      </c>
      <c r="BF315" s="172"/>
      <c r="BG315" s="225" t="s">
        <v>215</v>
      </c>
      <c r="BH315" s="59"/>
      <c r="BI315" s="223"/>
      <c r="BJ315" s="60" t="str">
        <f t="shared" si="95"/>
        <v xml:space="preserve"> </v>
      </c>
      <c r="BK315" s="213" t="s">
        <v>215</v>
      </c>
      <c r="BL315" s="172"/>
      <c r="BM315" s="225" t="s">
        <v>215</v>
      </c>
    </row>
    <row r="316" spans="1:65" s="26" customFormat="1" ht="114.75">
      <c r="B316" s="2">
        <f t="shared" si="96"/>
        <v>309</v>
      </c>
      <c r="C316" s="7"/>
      <c r="D316" s="7"/>
      <c r="E316" s="7"/>
      <c r="F316" s="22" t="s">
        <v>135</v>
      </c>
      <c r="G316" s="16"/>
      <c r="H316" s="13"/>
      <c r="I316" s="8"/>
      <c r="J316" s="8"/>
      <c r="K316" s="8"/>
      <c r="L316" s="8"/>
      <c r="M316" s="359" t="s">
        <v>206</v>
      </c>
      <c r="N316" s="1"/>
      <c r="O316" s="56"/>
      <c r="P316" s="93">
        <f t="shared" si="100"/>
        <v>283</v>
      </c>
      <c r="Q316" s="113">
        <v>1</v>
      </c>
      <c r="R316" s="21" t="s">
        <v>229</v>
      </c>
      <c r="S316" s="96" t="s">
        <v>136</v>
      </c>
      <c r="T316" s="94"/>
      <c r="U316" s="21" t="s">
        <v>226</v>
      </c>
      <c r="V316" s="10"/>
      <c r="W316" s="25">
        <v>3</v>
      </c>
      <c r="X316" s="1" t="s">
        <v>18</v>
      </c>
      <c r="Y316" s="1">
        <v>1</v>
      </c>
      <c r="Z316" s="1">
        <v>1</v>
      </c>
      <c r="AA316" s="8">
        <v>9</v>
      </c>
      <c r="AB316" s="8" t="s">
        <v>19</v>
      </c>
      <c r="AC316" s="101"/>
      <c r="AD316" s="444"/>
      <c r="AE316" s="445"/>
      <c r="AF316" s="440" t="str">
        <f t="shared" si="90"/>
        <v xml:space="preserve"> </v>
      </c>
      <c r="AG316" s="442" t="str">
        <f t="shared" si="86"/>
        <v>-</v>
      </c>
      <c r="AH316" s="445"/>
      <c r="AI316" s="447" t="s">
        <v>532</v>
      </c>
      <c r="AJ316" s="444"/>
      <c r="AK316" s="445"/>
      <c r="AL316" s="440" t="str">
        <f t="shared" si="91"/>
        <v xml:space="preserve"> </v>
      </c>
      <c r="AM316" s="442" t="str">
        <f t="shared" si="87"/>
        <v>-</v>
      </c>
      <c r="AN316" s="445"/>
      <c r="AO316" s="447" t="s">
        <v>532</v>
      </c>
      <c r="AP316" s="444"/>
      <c r="AQ316" s="445"/>
      <c r="AR316" s="440" t="str">
        <f t="shared" si="92"/>
        <v xml:space="preserve"> </v>
      </c>
      <c r="AS316" s="447" t="s">
        <v>532</v>
      </c>
      <c r="AT316" s="463"/>
      <c r="AU316" s="447" t="s">
        <v>532</v>
      </c>
      <c r="AV316" s="444"/>
      <c r="AW316" s="445"/>
      <c r="AX316" s="440" t="str">
        <f t="shared" si="93"/>
        <v xml:space="preserve"> </v>
      </c>
      <c r="AY316" s="442" t="str">
        <f t="shared" si="88"/>
        <v>-</v>
      </c>
      <c r="AZ316" s="445"/>
      <c r="BA316" s="447" t="s">
        <v>532</v>
      </c>
      <c r="BB316" s="59"/>
      <c r="BC316" s="223"/>
      <c r="BD316" s="60" t="str">
        <f t="shared" si="94"/>
        <v xml:space="preserve"> </v>
      </c>
      <c r="BE316" s="213" t="str">
        <f t="shared" si="89"/>
        <v>-</v>
      </c>
      <c r="BF316" s="172"/>
      <c r="BG316" s="225" t="s">
        <v>215</v>
      </c>
      <c r="BH316" s="59"/>
      <c r="BI316" s="223"/>
      <c r="BJ316" s="60" t="str">
        <f t="shared" si="95"/>
        <v xml:space="preserve"> </v>
      </c>
      <c r="BK316" s="213" t="s">
        <v>215</v>
      </c>
      <c r="BL316" s="172"/>
      <c r="BM316" s="225" t="s">
        <v>215</v>
      </c>
    </row>
    <row r="317" spans="1:65" s="26" customFormat="1" ht="126.75" customHeight="1">
      <c r="B317" s="64">
        <f t="shared" si="96"/>
        <v>310</v>
      </c>
      <c r="C317" s="7"/>
      <c r="D317" s="7"/>
      <c r="E317" s="7"/>
      <c r="F317" s="110" t="s">
        <v>137</v>
      </c>
      <c r="G317" s="16"/>
      <c r="H317" s="13"/>
      <c r="I317" s="8"/>
      <c r="J317" s="8"/>
      <c r="K317" s="8"/>
      <c r="L317" s="8"/>
      <c r="M317" s="11" t="s">
        <v>479</v>
      </c>
      <c r="N317" s="1"/>
      <c r="O317" s="56"/>
      <c r="P317" s="93">
        <f t="shared" si="100"/>
        <v>284</v>
      </c>
      <c r="Q317" s="113">
        <v>1</v>
      </c>
      <c r="R317" s="21" t="str">
        <f t="shared" si="99"/>
        <v>X</v>
      </c>
      <c r="S317" s="96" t="s">
        <v>183</v>
      </c>
      <c r="T317" s="94"/>
      <c r="U317" s="21" t="s">
        <v>226</v>
      </c>
      <c r="V317" s="10"/>
      <c r="W317" s="25">
        <v>3</v>
      </c>
      <c r="X317" s="1" t="s">
        <v>254</v>
      </c>
      <c r="Y317" s="1">
        <v>1</v>
      </c>
      <c r="Z317" s="1">
        <v>1</v>
      </c>
      <c r="AA317" s="8" t="s">
        <v>229</v>
      </c>
      <c r="AB317" s="8" t="s">
        <v>226</v>
      </c>
      <c r="AC317" s="12"/>
      <c r="AD317" s="444"/>
      <c r="AE317" s="445"/>
      <c r="AF317" s="440" t="str">
        <f t="shared" si="90"/>
        <v xml:space="preserve"> </v>
      </c>
      <c r="AG317" s="442" t="str">
        <f t="shared" si="86"/>
        <v>-</v>
      </c>
      <c r="AH317" s="445"/>
      <c r="AI317" s="447" t="s">
        <v>532</v>
      </c>
      <c r="AJ317" s="444"/>
      <c r="AK317" s="445"/>
      <c r="AL317" s="440" t="str">
        <f t="shared" si="91"/>
        <v xml:space="preserve"> </v>
      </c>
      <c r="AM317" s="442" t="str">
        <f t="shared" si="87"/>
        <v>-</v>
      </c>
      <c r="AN317" s="445"/>
      <c r="AO317" s="447" t="s">
        <v>532</v>
      </c>
      <c r="AP317" s="444"/>
      <c r="AQ317" s="445"/>
      <c r="AR317" s="440" t="str">
        <f t="shared" si="92"/>
        <v xml:space="preserve"> </v>
      </c>
      <c r="AS317" s="447" t="s">
        <v>532</v>
      </c>
      <c r="AT317" s="463"/>
      <c r="AU317" s="447" t="s">
        <v>532</v>
      </c>
      <c r="AV317" s="444"/>
      <c r="AW317" s="445"/>
      <c r="AX317" s="440" t="str">
        <f t="shared" si="93"/>
        <v xml:space="preserve"> </v>
      </c>
      <c r="AY317" s="442" t="str">
        <f t="shared" si="88"/>
        <v>-</v>
      </c>
      <c r="AZ317" s="445"/>
      <c r="BA317" s="447" t="s">
        <v>532</v>
      </c>
      <c r="BB317" s="59"/>
      <c r="BC317" s="223"/>
      <c r="BD317" s="60" t="str">
        <f t="shared" si="94"/>
        <v xml:space="preserve"> </v>
      </c>
      <c r="BE317" s="213" t="str">
        <f t="shared" si="89"/>
        <v>-</v>
      </c>
      <c r="BF317" s="172"/>
      <c r="BG317" s="225" t="s">
        <v>215</v>
      </c>
      <c r="BH317" s="59"/>
      <c r="BI317" s="223"/>
      <c r="BJ317" s="60" t="str">
        <f t="shared" si="95"/>
        <v xml:space="preserve"> </v>
      </c>
      <c r="BK317" s="213" t="s">
        <v>215</v>
      </c>
      <c r="BL317" s="172"/>
      <c r="BM317" s="225" t="s">
        <v>215</v>
      </c>
    </row>
    <row r="318" spans="1:65" s="26" customFormat="1">
      <c r="B318" s="64">
        <f t="shared" si="96"/>
        <v>311</v>
      </c>
      <c r="C318" s="7"/>
      <c r="D318" s="7"/>
      <c r="E318" s="7"/>
      <c r="F318" s="22" t="s">
        <v>138</v>
      </c>
      <c r="G318" s="16"/>
      <c r="H318" s="13"/>
      <c r="I318" s="8"/>
      <c r="J318" s="8"/>
      <c r="K318" s="8"/>
      <c r="L318" s="8"/>
      <c r="M318" s="359" t="s">
        <v>139</v>
      </c>
      <c r="N318" s="1"/>
      <c r="O318" s="56"/>
      <c r="P318" s="93">
        <f t="shared" si="100"/>
        <v>285</v>
      </c>
      <c r="Q318" s="113">
        <v>400</v>
      </c>
      <c r="R318" s="21" t="str">
        <f t="shared" si="99"/>
        <v>NX</v>
      </c>
      <c r="S318" s="96" t="s">
        <v>140</v>
      </c>
      <c r="T318" s="94"/>
      <c r="U318" s="21" t="s">
        <v>226</v>
      </c>
      <c r="V318" s="10"/>
      <c r="W318" s="25">
        <v>3</v>
      </c>
      <c r="X318" s="1" t="s">
        <v>141</v>
      </c>
      <c r="Y318" s="1">
        <v>1</v>
      </c>
      <c r="Z318" s="1">
        <v>400</v>
      </c>
      <c r="AA318" s="8" t="s">
        <v>123</v>
      </c>
      <c r="AB318" s="8" t="s">
        <v>226</v>
      </c>
      <c r="AC318" s="12"/>
      <c r="AD318" s="444"/>
      <c r="AE318" s="445"/>
      <c r="AF318" s="449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18" s="442" t="str">
        <f t="shared" si="86"/>
        <v>-</v>
      </c>
      <c r="AH318" s="445"/>
      <c r="AI318" s="447" t="s">
        <v>532</v>
      </c>
      <c r="AJ318" s="444"/>
      <c r="AK318" s="445"/>
      <c r="AL318" s="449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18" s="442" t="str">
        <f t="shared" si="87"/>
        <v>-</v>
      </c>
      <c r="AN318" s="445"/>
      <c r="AO318" s="447" t="s">
        <v>532</v>
      </c>
      <c r="AP318" s="444"/>
      <c r="AQ318" s="445"/>
      <c r="AR318" s="449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18" s="447" t="s">
        <v>532</v>
      </c>
      <c r="AT318" s="463"/>
      <c r="AU318" s="447" t="s">
        <v>532</v>
      </c>
      <c r="AV318" s="444"/>
      <c r="AW318" s="445"/>
      <c r="AX318" s="449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18" s="442" t="str">
        <f t="shared" si="88"/>
        <v>-</v>
      </c>
      <c r="AZ318" s="445"/>
      <c r="BA318" s="447" t="s">
        <v>532</v>
      </c>
      <c r="BB318" s="59"/>
      <c r="BC318" s="223"/>
      <c r="BD318" s="252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18" s="213" t="str">
        <f t="shared" si="89"/>
        <v>-</v>
      </c>
      <c r="BF318" s="172"/>
      <c r="BG318" s="225" t="s">
        <v>215</v>
      </c>
      <c r="BH318" s="59"/>
      <c r="BI318" s="223"/>
      <c r="BJ318" s="252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18" s="213" t="s">
        <v>215</v>
      </c>
      <c r="BL318" s="172"/>
      <c r="BM318" s="225" t="s">
        <v>215</v>
      </c>
    </row>
    <row r="319" spans="1:65" s="26" customFormat="1" ht="63.75">
      <c r="B319" s="64">
        <f t="shared" si="96"/>
        <v>312</v>
      </c>
      <c r="C319" s="7"/>
      <c r="D319" s="7"/>
      <c r="E319" s="7"/>
      <c r="F319" s="22" t="s">
        <v>142</v>
      </c>
      <c r="G319" s="16"/>
      <c r="H319" s="13"/>
      <c r="I319" s="8"/>
      <c r="J319" s="8"/>
      <c r="K319" s="8"/>
      <c r="L319" s="8"/>
      <c r="M319" s="359" t="s">
        <v>314</v>
      </c>
      <c r="N319" s="1"/>
      <c r="O319" s="56"/>
      <c r="P319" s="93">
        <f t="shared" si="100"/>
        <v>286</v>
      </c>
      <c r="Q319" s="113">
        <v>400</v>
      </c>
      <c r="R319" s="21" t="str">
        <f t="shared" si="99"/>
        <v>NX</v>
      </c>
      <c r="S319" s="96" t="s">
        <v>143</v>
      </c>
      <c r="T319" s="94"/>
      <c r="U319" s="21" t="s">
        <v>226</v>
      </c>
      <c r="V319" s="10"/>
      <c r="W319" s="25">
        <v>3</v>
      </c>
      <c r="X319" s="1" t="s">
        <v>144</v>
      </c>
      <c r="Y319" s="1">
        <v>1</v>
      </c>
      <c r="Z319" s="1">
        <v>400</v>
      </c>
      <c r="AA319" s="8" t="s">
        <v>123</v>
      </c>
      <c r="AB319" s="8" t="s">
        <v>226</v>
      </c>
      <c r="AC319" s="12"/>
      <c r="AD319" s="444"/>
      <c r="AE319" s="445"/>
      <c r="AF319" s="450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19" s="442" t="str">
        <f t="shared" si="86"/>
        <v>-</v>
      </c>
      <c r="AH319" s="445"/>
      <c r="AI319" s="447" t="s">
        <v>532</v>
      </c>
      <c r="AJ319" s="444"/>
      <c r="AK319" s="445"/>
      <c r="AL319" s="450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19" s="442" t="str">
        <f t="shared" si="87"/>
        <v>-</v>
      </c>
      <c r="AN319" s="445"/>
      <c r="AO319" s="447" t="s">
        <v>532</v>
      </c>
      <c r="AP319" s="444"/>
      <c r="AQ319" s="445"/>
      <c r="AR319" s="450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19" s="447" t="s">
        <v>532</v>
      </c>
      <c r="AT319" s="463"/>
      <c r="AU319" s="447" t="s">
        <v>532</v>
      </c>
      <c r="AV319" s="444"/>
      <c r="AW319" s="445"/>
      <c r="AX319" s="450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19" s="442" t="str">
        <f t="shared" si="88"/>
        <v>-</v>
      </c>
      <c r="AZ319" s="445"/>
      <c r="BA319" s="447" t="s">
        <v>532</v>
      </c>
      <c r="BB319" s="59"/>
      <c r="BC319" s="223"/>
      <c r="BD319" s="90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19" s="213" t="str">
        <f t="shared" si="89"/>
        <v>-</v>
      </c>
      <c r="BF319" s="172"/>
      <c r="BG319" s="225" t="s">
        <v>215</v>
      </c>
      <c r="BH319" s="59"/>
      <c r="BI319" s="223"/>
      <c r="BJ319" s="90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19" s="213" t="s">
        <v>215</v>
      </c>
      <c r="BL319" s="172"/>
      <c r="BM319" s="225" t="s">
        <v>215</v>
      </c>
    </row>
    <row r="320" spans="1:65" s="26" customFormat="1">
      <c r="B320" s="64">
        <f t="shared" si="96"/>
        <v>313</v>
      </c>
      <c r="C320" s="7"/>
      <c r="D320" s="7"/>
      <c r="E320" s="7"/>
      <c r="F320" s="22" t="s">
        <v>145</v>
      </c>
      <c r="G320" s="16"/>
      <c r="H320" s="13"/>
      <c r="I320" s="8"/>
      <c r="J320" s="8"/>
      <c r="K320" s="8"/>
      <c r="L320" s="8"/>
      <c r="M320" s="11" t="s">
        <v>146</v>
      </c>
      <c r="N320" s="1"/>
      <c r="O320" s="56"/>
      <c r="P320" s="93">
        <f t="shared" si="100"/>
        <v>287</v>
      </c>
      <c r="Q320" s="113">
        <v>400</v>
      </c>
      <c r="R320" s="21" t="str">
        <f t="shared" si="99"/>
        <v>NX</v>
      </c>
      <c r="S320" s="96" t="s">
        <v>147</v>
      </c>
      <c r="T320" s="94"/>
      <c r="U320" s="21" t="s">
        <v>226</v>
      </c>
      <c r="V320" s="10"/>
      <c r="W320" s="25">
        <v>3</v>
      </c>
      <c r="X320" s="1" t="s">
        <v>148</v>
      </c>
      <c r="Y320" s="1">
        <v>1</v>
      </c>
      <c r="Z320" s="1">
        <v>400</v>
      </c>
      <c r="AA320" s="8" t="s">
        <v>123</v>
      </c>
      <c r="AB320" s="8" t="s">
        <v>226</v>
      </c>
      <c r="AC320" s="12"/>
      <c r="AD320" s="444"/>
      <c r="AE320" s="440"/>
      <c r="AF320" s="450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20" s="442" t="str">
        <f t="shared" si="86"/>
        <v>-</v>
      </c>
      <c r="AH320" s="440"/>
      <c r="AI320" s="447" t="s">
        <v>532</v>
      </c>
      <c r="AJ320" s="444"/>
      <c r="AK320" s="440"/>
      <c r="AL320" s="450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20" s="442" t="str">
        <f t="shared" si="87"/>
        <v>-</v>
      </c>
      <c r="AN320" s="440"/>
      <c r="AO320" s="447" t="s">
        <v>532</v>
      </c>
      <c r="AP320" s="444"/>
      <c r="AQ320" s="440"/>
      <c r="AR320" s="450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20" s="447" t="s">
        <v>532</v>
      </c>
      <c r="AT320" s="462"/>
      <c r="AU320" s="447" t="s">
        <v>532</v>
      </c>
      <c r="AV320" s="444"/>
      <c r="AW320" s="440"/>
      <c r="AX320" s="450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20" s="442" t="str">
        <f t="shared" si="88"/>
        <v>-</v>
      </c>
      <c r="AZ320" s="440"/>
      <c r="BA320" s="447" t="s">
        <v>532</v>
      </c>
      <c r="BB320" s="59"/>
      <c r="BC320" s="60"/>
      <c r="BD320" s="90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20" s="213" t="str">
        <f t="shared" si="89"/>
        <v>-</v>
      </c>
      <c r="BF320" s="167"/>
      <c r="BG320" s="225" t="s">
        <v>215</v>
      </c>
      <c r="BH320" s="59"/>
      <c r="BI320" s="60"/>
      <c r="BJ320" s="90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20" s="213" t="s">
        <v>215</v>
      </c>
      <c r="BL320" s="167"/>
      <c r="BM320" s="225" t="s">
        <v>215</v>
      </c>
    </row>
    <row r="321" spans="1:65" s="26" customFormat="1" ht="76.5">
      <c r="B321" s="64">
        <f t="shared" si="96"/>
        <v>314</v>
      </c>
      <c r="C321" s="7"/>
      <c r="D321" s="7"/>
      <c r="E321" s="7"/>
      <c r="F321" s="22" t="s">
        <v>149</v>
      </c>
      <c r="G321" s="16"/>
      <c r="H321" s="13"/>
      <c r="I321" s="8"/>
      <c r="J321" s="8"/>
      <c r="K321" s="8"/>
      <c r="L321" s="8"/>
      <c r="M321" s="11" t="s">
        <v>315</v>
      </c>
      <c r="N321" s="1"/>
      <c r="O321" s="56"/>
      <c r="P321" s="93">
        <f t="shared" si="100"/>
        <v>288</v>
      </c>
      <c r="Q321" s="113">
        <v>400</v>
      </c>
      <c r="R321" s="21" t="str">
        <f t="shared" si="99"/>
        <v>NX</v>
      </c>
      <c r="S321" s="96" t="s">
        <v>150</v>
      </c>
      <c r="T321" s="94"/>
      <c r="U321" s="21" t="s">
        <v>226</v>
      </c>
      <c r="V321" s="10"/>
      <c r="W321" s="25">
        <v>3</v>
      </c>
      <c r="X321" s="1" t="s">
        <v>151</v>
      </c>
      <c r="Y321" s="1">
        <v>1</v>
      </c>
      <c r="Z321" s="1">
        <v>400</v>
      </c>
      <c r="AA321" s="8" t="s">
        <v>123</v>
      </c>
      <c r="AB321" s="8" t="s">
        <v>226</v>
      </c>
      <c r="AC321" s="12"/>
      <c r="AD321" s="444"/>
      <c r="AE321" s="440"/>
      <c r="AF321" s="450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21" s="442" t="str">
        <f t="shared" si="86"/>
        <v>-</v>
      </c>
      <c r="AH321" s="440"/>
      <c r="AI321" s="447" t="s">
        <v>532</v>
      </c>
      <c r="AJ321" s="444"/>
      <c r="AK321" s="440"/>
      <c r="AL321" s="450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21" s="442" t="str">
        <f t="shared" si="87"/>
        <v>-</v>
      </c>
      <c r="AN321" s="440"/>
      <c r="AO321" s="447" t="s">
        <v>532</v>
      </c>
      <c r="AP321" s="444"/>
      <c r="AQ321" s="440"/>
      <c r="AR321" s="450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21" s="447" t="s">
        <v>532</v>
      </c>
      <c r="AT321" s="462"/>
      <c r="AU321" s="447" t="s">
        <v>532</v>
      </c>
      <c r="AV321" s="444"/>
      <c r="AW321" s="440"/>
      <c r="AX321" s="450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21" s="442" t="str">
        <f t="shared" si="88"/>
        <v>-</v>
      </c>
      <c r="AZ321" s="440"/>
      <c r="BA321" s="447" t="s">
        <v>532</v>
      </c>
      <c r="BB321" s="59"/>
      <c r="BC321" s="60"/>
      <c r="BD321" s="90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21" s="213" t="str">
        <f t="shared" si="89"/>
        <v>-</v>
      </c>
      <c r="BF321" s="167"/>
      <c r="BG321" s="225" t="s">
        <v>215</v>
      </c>
      <c r="BH321" s="59"/>
      <c r="BI321" s="60"/>
      <c r="BJ321" s="90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21" s="213" t="s">
        <v>215</v>
      </c>
      <c r="BL321" s="167"/>
      <c r="BM321" s="225" t="s">
        <v>215</v>
      </c>
    </row>
    <row r="322" spans="1:65" s="26" customFormat="1">
      <c r="B322" s="64">
        <f t="shared" si="96"/>
        <v>315</v>
      </c>
      <c r="C322" s="7"/>
      <c r="D322" s="7"/>
      <c r="E322" s="7"/>
      <c r="F322" s="22" t="s">
        <v>152</v>
      </c>
      <c r="G322" s="16"/>
      <c r="H322" s="13"/>
      <c r="I322" s="8"/>
      <c r="J322" s="8"/>
      <c r="K322" s="8"/>
      <c r="L322" s="8"/>
      <c r="M322" s="11" t="s">
        <v>146</v>
      </c>
      <c r="N322" s="1"/>
      <c r="O322" s="56"/>
      <c r="P322" s="93">
        <f t="shared" si="100"/>
        <v>289</v>
      </c>
      <c r="Q322" s="113">
        <v>400</v>
      </c>
      <c r="R322" s="21" t="str">
        <f t="shared" si="99"/>
        <v>NX</v>
      </c>
      <c r="S322" s="96" t="s">
        <v>153</v>
      </c>
      <c r="T322" s="94"/>
      <c r="U322" s="21" t="s">
        <v>226</v>
      </c>
      <c r="V322" s="10"/>
      <c r="W322" s="25">
        <v>3</v>
      </c>
      <c r="X322" s="1" t="s">
        <v>154</v>
      </c>
      <c r="Y322" s="1">
        <v>1</v>
      </c>
      <c r="Z322" s="1">
        <v>400</v>
      </c>
      <c r="AA322" s="8" t="s">
        <v>123</v>
      </c>
      <c r="AB322" s="8" t="s">
        <v>226</v>
      </c>
      <c r="AC322" s="12"/>
      <c r="AD322" s="444"/>
      <c r="AE322" s="440"/>
      <c r="AF322" s="450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22" s="442" t="str">
        <f t="shared" si="86"/>
        <v>-</v>
      </c>
      <c r="AH322" s="440"/>
      <c r="AI322" s="447" t="s">
        <v>532</v>
      </c>
      <c r="AJ322" s="444"/>
      <c r="AK322" s="440"/>
      <c r="AL322" s="450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22" s="442" t="str">
        <f t="shared" si="87"/>
        <v>-</v>
      </c>
      <c r="AN322" s="440"/>
      <c r="AO322" s="447" t="s">
        <v>532</v>
      </c>
      <c r="AP322" s="444"/>
      <c r="AQ322" s="440"/>
      <c r="AR322" s="450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22" s="447" t="s">
        <v>532</v>
      </c>
      <c r="AT322" s="462"/>
      <c r="AU322" s="447" t="s">
        <v>532</v>
      </c>
      <c r="AV322" s="444"/>
      <c r="AW322" s="440"/>
      <c r="AX322" s="450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22" s="442" t="str">
        <f t="shared" si="88"/>
        <v>-</v>
      </c>
      <c r="AZ322" s="440"/>
      <c r="BA322" s="447" t="s">
        <v>532</v>
      </c>
      <c r="BB322" s="59"/>
      <c r="BC322" s="60"/>
      <c r="BD322" s="90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22" s="213" t="str">
        <f t="shared" si="89"/>
        <v>-</v>
      </c>
      <c r="BF322" s="167"/>
      <c r="BG322" s="225" t="s">
        <v>215</v>
      </c>
      <c r="BH322" s="59"/>
      <c r="BI322" s="60"/>
      <c r="BJ322" s="90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22" s="213" t="s">
        <v>215</v>
      </c>
      <c r="BL322" s="167"/>
      <c r="BM322" s="225" t="s">
        <v>215</v>
      </c>
    </row>
    <row r="323" spans="1:65" s="26" customFormat="1">
      <c r="B323" s="64">
        <f t="shared" si="96"/>
        <v>316</v>
      </c>
      <c r="C323" s="7"/>
      <c r="D323" s="7"/>
      <c r="E323" s="7"/>
      <c r="F323" s="22" t="s">
        <v>155</v>
      </c>
      <c r="G323" s="16"/>
      <c r="H323" s="13"/>
      <c r="I323" s="8"/>
      <c r="J323" s="8"/>
      <c r="K323" s="8"/>
      <c r="L323" s="8"/>
      <c r="M323" s="11" t="s">
        <v>146</v>
      </c>
      <c r="N323" s="1"/>
      <c r="O323" s="56"/>
      <c r="P323" s="93">
        <f t="shared" si="100"/>
        <v>290</v>
      </c>
      <c r="Q323" s="113">
        <v>400</v>
      </c>
      <c r="R323" s="21" t="str">
        <f t="shared" si="99"/>
        <v>NX</v>
      </c>
      <c r="S323" s="96" t="s">
        <v>156</v>
      </c>
      <c r="T323" s="94"/>
      <c r="U323" s="21" t="s">
        <v>226</v>
      </c>
      <c r="V323" s="10"/>
      <c r="W323" s="25">
        <v>3</v>
      </c>
      <c r="X323" s="1" t="s">
        <v>157</v>
      </c>
      <c r="Y323" s="1">
        <v>1</v>
      </c>
      <c r="Z323" s="1">
        <v>400</v>
      </c>
      <c r="AA323" s="8" t="s">
        <v>123</v>
      </c>
      <c r="AB323" s="8" t="s">
        <v>226</v>
      </c>
      <c r="AC323" s="12"/>
      <c r="AD323" s="444"/>
      <c r="AE323" s="440"/>
      <c r="AF323" s="450" t="str">
        <f t="shared" si="9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23" s="442" t="str">
        <f t="shared" si="86"/>
        <v>-</v>
      </c>
      <c r="AH323" s="440"/>
      <c r="AI323" s="447" t="s">
        <v>532</v>
      </c>
      <c r="AJ323" s="444"/>
      <c r="AK323" s="440"/>
      <c r="AL323" s="450" t="str">
        <f t="shared" si="9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23" s="442" t="str">
        <f t="shared" si="87"/>
        <v>-</v>
      </c>
      <c r="AN323" s="440"/>
      <c r="AO323" s="447" t="s">
        <v>532</v>
      </c>
      <c r="AP323" s="444"/>
      <c r="AQ323" s="440"/>
      <c r="AR323" s="450" t="str">
        <f t="shared" si="9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23" s="447" t="s">
        <v>532</v>
      </c>
      <c r="AT323" s="462"/>
      <c r="AU323" s="447" t="s">
        <v>532</v>
      </c>
      <c r="AV323" s="444"/>
      <c r="AW323" s="440"/>
      <c r="AX323" s="450" t="str">
        <f t="shared" si="9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23" s="442" t="str">
        <f t="shared" si="88"/>
        <v>-</v>
      </c>
      <c r="AZ323" s="440"/>
      <c r="BA323" s="447" t="s">
        <v>532</v>
      </c>
      <c r="BB323" s="59"/>
      <c r="BC323" s="60"/>
      <c r="BD323" s="90" t="str">
        <f t="shared" si="9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23" s="213" t="str">
        <f t="shared" si="89"/>
        <v>-</v>
      </c>
      <c r="BF323" s="167"/>
      <c r="BG323" s="225" t="s">
        <v>215</v>
      </c>
      <c r="BH323" s="59"/>
      <c r="BI323" s="60"/>
      <c r="BJ323" s="90" t="str">
        <f t="shared" si="9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23" s="213" t="s">
        <v>215</v>
      </c>
      <c r="BL323" s="167"/>
      <c r="BM323" s="225" t="s">
        <v>215</v>
      </c>
    </row>
    <row r="324" spans="1:65" s="26" customFormat="1" ht="89.25">
      <c r="B324" s="64">
        <f t="shared" si="96"/>
        <v>317</v>
      </c>
      <c r="C324" s="7"/>
      <c r="D324" s="7"/>
      <c r="E324" s="7"/>
      <c r="F324" s="22" t="s">
        <v>158</v>
      </c>
      <c r="G324" s="16"/>
      <c r="H324" s="13"/>
      <c r="I324" s="8"/>
      <c r="J324" s="8"/>
      <c r="K324" s="8"/>
      <c r="L324" s="8"/>
      <c r="M324" s="11" t="s">
        <v>316</v>
      </c>
      <c r="N324" s="1"/>
      <c r="O324" s="56"/>
      <c r="P324" s="93">
        <f t="shared" si="100"/>
        <v>291</v>
      </c>
      <c r="Q324" s="113">
        <v>1</v>
      </c>
      <c r="R324" s="21" t="str">
        <f t="shared" si="99"/>
        <v>X</v>
      </c>
      <c r="S324" s="96" t="s">
        <v>159</v>
      </c>
      <c r="T324" s="94"/>
      <c r="U324" s="21" t="s">
        <v>226</v>
      </c>
      <c r="V324" s="10"/>
      <c r="W324" s="25">
        <v>3</v>
      </c>
      <c r="X324" s="1" t="s">
        <v>255</v>
      </c>
      <c r="Y324" s="1">
        <v>1</v>
      </c>
      <c r="Z324" s="1">
        <v>1</v>
      </c>
      <c r="AA324" s="8" t="s">
        <v>109</v>
      </c>
      <c r="AB324" s="8" t="s">
        <v>19</v>
      </c>
      <c r="AC324" s="102"/>
      <c r="AD324" s="444"/>
      <c r="AE324" s="445"/>
      <c r="AF324" s="440" t="str">
        <f t="shared" si="90"/>
        <v xml:space="preserve"> </v>
      </c>
      <c r="AG324" s="442" t="str">
        <f t="shared" si="86"/>
        <v>-</v>
      </c>
      <c r="AH324" s="445"/>
      <c r="AI324" s="447" t="s">
        <v>532</v>
      </c>
      <c r="AJ324" s="444"/>
      <c r="AK324" s="445"/>
      <c r="AL324" s="440" t="str">
        <f t="shared" si="91"/>
        <v xml:space="preserve"> </v>
      </c>
      <c r="AM324" s="442" t="str">
        <f t="shared" si="87"/>
        <v>-</v>
      </c>
      <c r="AN324" s="445"/>
      <c r="AO324" s="447" t="s">
        <v>532</v>
      </c>
      <c r="AP324" s="444"/>
      <c r="AQ324" s="445"/>
      <c r="AR324" s="440" t="str">
        <f t="shared" si="92"/>
        <v xml:space="preserve"> </v>
      </c>
      <c r="AS324" s="447" t="s">
        <v>532</v>
      </c>
      <c r="AT324" s="463"/>
      <c r="AU324" s="447" t="s">
        <v>532</v>
      </c>
      <c r="AV324" s="444"/>
      <c r="AW324" s="445"/>
      <c r="AX324" s="440" t="str">
        <f t="shared" si="93"/>
        <v xml:space="preserve"> </v>
      </c>
      <c r="AY324" s="442" t="str">
        <f t="shared" si="88"/>
        <v>-</v>
      </c>
      <c r="AZ324" s="445"/>
      <c r="BA324" s="447" t="s">
        <v>532</v>
      </c>
      <c r="BB324" s="59"/>
      <c r="BC324" s="223"/>
      <c r="BD324" s="60" t="str">
        <f t="shared" si="94"/>
        <v xml:space="preserve"> </v>
      </c>
      <c r="BE324" s="213" t="str">
        <f t="shared" si="89"/>
        <v>-</v>
      </c>
      <c r="BF324" s="172"/>
      <c r="BG324" s="225" t="s">
        <v>215</v>
      </c>
      <c r="BH324" s="59"/>
      <c r="BI324" s="223"/>
      <c r="BJ324" s="60" t="str">
        <f t="shared" si="95"/>
        <v xml:space="preserve"> </v>
      </c>
      <c r="BK324" s="213" t="s">
        <v>215</v>
      </c>
      <c r="BL324" s="172"/>
      <c r="BM324" s="225" t="s">
        <v>215</v>
      </c>
    </row>
    <row r="325" spans="1:65" s="26" customFormat="1">
      <c r="B325" s="64">
        <f t="shared" si="96"/>
        <v>318</v>
      </c>
      <c r="C325" s="7"/>
      <c r="D325" s="7"/>
      <c r="E325" s="7"/>
      <c r="F325" s="22" t="s">
        <v>160</v>
      </c>
      <c r="G325" s="16"/>
      <c r="H325" s="13"/>
      <c r="I325" s="8"/>
      <c r="J325" s="8"/>
      <c r="K325" s="8"/>
      <c r="L325" s="8"/>
      <c r="M325" s="11"/>
      <c r="N325" s="1"/>
      <c r="O325" s="56"/>
      <c r="P325" s="93">
        <f t="shared" si="100"/>
        <v>292</v>
      </c>
      <c r="Q325" s="113">
        <v>128</v>
      </c>
      <c r="R325" s="21" t="str">
        <f t="shared" si="99"/>
        <v>X</v>
      </c>
      <c r="S325" s="96" t="s">
        <v>161</v>
      </c>
      <c r="T325" s="94"/>
      <c r="U325" s="21" t="s">
        <v>226</v>
      </c>
      <c r="V325" s="10"/>
      <c r="W325" s="25">
        <v>3</v>
      </c>
      <c r="X325" s="1" t="s">
        <v>256</v>
      </c>
      <c r="Y325" s="1">
        <v>1</v>
      </c>
      <c r="Z325" s="1">
        <v>128</v>
      </c>
      <c r="AA325" s="8" t="s">
        <v>109</v>
      </c>
      <c r="AB325" s="8" t="s">
        <v>19</v>
      </c>
      <c r="AC325" s="12"/>
      <c r="AD325" s="444"/>
      <c r="AE325" s="440"/>
      <c r="AF325" s="440" t="str">
        <f t="shared" si="90"/>
        <v xml:space="preserve">                                                                                                                                </v>
      </c>
      <c r="AG325" s="442" t="str">
        <f t="shared" si="86"/>
        <v>-</v>
      </c>
      <c r="AH325" s="440"/>
      <c r="AI325" s="447" t="s">
        <v>532</v>
      </c>
      <c r="AJ325" s="444"/>
      <c r="AK325" s="440"/>
      <c r="AL325" s="440" t="str">
        <f t="shared" si="91"/>
        <v xml:space="preserve">                                                                                                                                </v>
      </c>
      <c r="AM325" s="442" t="str">
        <f t="shared" si="87"/>
        <v>-</v>
      </c>
      <c r="AN325" s="440"/>
      <c r="AO325" s="447" t="s">
        <v>532</v>
      </c>
      <c r="AP325" s="444"/>
      <c r="AQ325" s="440"/>
      <c r="AR325" s="440" t="str">
        <f t="shared" si="92"/>
        <v xml:space="preserve">                                                                                                                                </v>
      </c>
      <c r="AS325" s="447" t="s">
        <v>532</v>
      </c>
      <c r="AT325" s="462"/>
      <c r="AU325" s="447" t="s">
        <v>532</v>
      </c>
      <c r="AV325" s="444"/>
      <c r="AW325" s="440"/>
      <c r="AX325" s="440" t="str">
        <f t="shared" si="93"/>
        <v xml:space="preserve">                                                                                                                                </v>
      </c>
      <c r="AY325" s="442" t="str">
        <f t="shared" si="88"/>
        <v>-</v>
      </c>
      <c r="AZ325" s="440"/>
      <c r="BA325" s="447" t="s">
        <v>532</v>
      </c>
      <c r="BB325" s="59"/>
      <c r="BC325" s="60"/>
      <c r="BD325" s="60" t="str">
        <f t="shared" si="94"/>
        <v xml:space="preserve">                                                                                                                                </v>
      </c>
      <c r="BE325" s="213" t="str">
        <f t="shared" si="89"/>
        <v>-</v>
      </c>
      <c r="BF325" s="167"/>
      <c r="BG325" s="225" t="s">
        <v>215</v>
      </c>
      <c r="BH325" s="59"/>
      <c r="BI325" s="60"/>
      <c r="BJ325" s="60" t="str">
        <f t="shared" si="95"/>
        <v xml:space="preserve">                                                                                                                                </v>
      </c>
      <c r="BK325" s="213" t="s">
        <v>215</v>
      </c>
      <c r="BL325" s="167"/>
      <c r="BM325" s="225" t="s">
        <v>215</v>
      </c>
    </row>
    <row r="326" spans="1:65" s="26" customFormat="1" ht="114.75">
      <c r="B326" s="64">
        <f t="shared" si="96"/>
        <v>319</v>
      </c>
      <c r="C326" s="7"/>
      <c r="D326" s="7"/>
      <c r="E326" s="7"/>
      <c r="F326" s="22" t="s">
        <v>162</v>
      </c>
      <c r="G326" s="16"/>
      <c r="H326" s="13"/>
      <c r="I326" s="8"/>
      <c r="J326" s="8"/>
      <c r="K326" s="8"/>
      <c r="L326" s="8"/>
      <c r="M326" s="11" t="s">
        <v>294</v>
      </c>
      <c r="N326" s="1"/>
      <c r="O326" s="56"/>
      <c r="P326" s="93">
        <f t="shared" si="100"/>
        <v>293</v>
      </c>
      <c r="Q326" s="113">
        <v>1</v>
      </c>
      <c r="R326" s="21" t="str">
        <f t="shared" si="99"/>
        <v>X</v>
      </c>
      <c r="S326" s="96" t="s">
        <v>163</v>
      </c>
      <c r="T326" s="94"/>
      <c r="U326" s="21" t="s">
        <v>226</v>
      </c>
      <c r="V326" s="10"/>
      <c r="W326" s="25">
        <v>3</v>
      </c>
      <c r="X326" s="1" t="s">
        <v>257</v>
      </c>
      <c r="Y326" s="1">
        <v>1</v>
      </c>
      <c r="Z326" s="1">
        <v>1</v>
      </c>
      <c r="AA326" s="8" t="s">
        <v>109</v>
      </c>
      <c r="AB326" s="8" t="s">
        <v>19</v>
      </c>
      <c r="AC326" s="102"/>
      <c r="AD326" s="444"/>
      <c r="AE326" s="445"/>
      <c r="AF326" s="440" t="str">
        <f t="shared" si="90"/>
        <v xml:space="preserve"> </v>
      </c>
      <c r="AG326" s="442" t="str">
        <f t="shared" si="86"/>
        <v>-</v>
      </c>
      <c r="AH326" s="445"/>
      <c r="AI326" s="447" t="s">
        <v>532</v>
      </c>
      <c r="AJ326" s="444"/>
      <c r="AK326" s="445"/>
      <c r="AL326" s="440" t="str">
        <f t="shared" si="91"/>
        <v xml:space="preserve"> </v>
      </c>
      <c r="AM326" s="442" t="str">
        <f t="shared" si="87"/>
        <v>-</v>
      </c>
      <c r="AN326" s="445"/>
      <c r="AO326" s="447" t="s">
        <v>532</v>
      </c>
      <c r="AP326" s="444"/>
      <c r="AQ326" s="445"/>
      <c r="AR326" s="440" t="str">
        <f t="shared" si="92"/>
        <v xml:space="preserve"> </v>
      </c>
      <c r="AS326" s="447" t="s">
        <v>532</v>
      </c>
      <c r="AT326" s="463"/>
      <c r="AU326" s="447" t="s">
        <v>532</v>
      </c>
      <c r="AV326" s="444"/>
      <c r="AW326" s="445"/>
      <c r="AX326" s="440" t="str">
        <f t="shared" si="93"/>
        <v xml:space="preserve"> </v>
      </c>
      <c r="AY326" s="442" t="str">
        <f t="shared" si="88"/>
        <v>-</v>
      </c>
      <c r="AZ326" s="445"/>
      <c r="BA326" s="447" t="s">
        <v>532</v>
      </c>
      <c r="BB326" s="59"/>
      <c r="BC326" s="223"/>
      <c r="BD326" s="60" t="str">
        <f t="shared" si="94"/>
        <v xml:space="preserve"> </v>
      </c>
      <c r="BE326" s="213" t="str">
        <f t="shared" si="89"/>
        <v>-</v>
      </c>
      <c r="BF326" s="172"/>
      <c r="BG326" s="225" t="s">
        <v>215</v>
      </c>
      <c r="BH326" s="59"/>
      <c r="BI326" s="223"/>
      <c r="BJ326" s="60" t="str">
        <f t="shared" si="95"/>
        <v xml:space="preserve"> </v>
      </c>
      <c r="BK326" s="213" t="s">
        <v>215</v>
      </c>
      <c r="BL326" s="172"/>
      <c r="BM326" s="225" t="s">
        <v>215</v>
      </c>
    </row>
    <row r="327" spans="1:65" s="26" customFormat="1" ht="127.5">
      <c r="B327" s="64">
        <f t="shared" si="96"/>
        <v>320</v>
      </c>
      <c r="C327" s="7"/>
      <c r="D327" s="7"/>
      <c r="E327" s="7"/>
      <c r="F327" s="22" t="s">
        <v>164</v>
      </c>
      <c r="G327" s="16"/>
      <c r="H327" s="13"/>
      <c r="I327" s="8"/>
      <c r="J327" s="8" t="s">
        <v>231</v>
      </c>
      <c r="K327" s="8"/>
      <c r="L327" s="8"/>
      <c r="M327" s="359" t="s">
        <v>317</v>
      </c>
      <c r="N327" s="1"/>
      <c r="O327" s="56"/>
      <c r="P327" s="93">
        <f t="shared" si="100"/>
        <v>294</v>
      </c>
      <c r="Q327" s="113">
        <v>1</v>
      </c>
      <c r="R327" s="21" t="str">
        <f t="shared" si="99"/>
        <v>X</v>
      </c>
      <c r="S327" s="96" t="s">
        <v>165</v>
      </c>
      <c r="T327" s="94"/>
      <c r="U327" s="21" t="s">
        <v>226</v>
      </c>
      <c r="V327" s="10"/>
      <c r="W327" s="25">
        <v>3</v>
      </c>
      <c r="X327" s="1" t="s">
        <v>258</v>
      </c>
      <c r="Y327" s="1">
        <v>1</v>
      </c>
      <c r="Z327" s="1">
        <v>1</v>
      </c>
      <c r="AA327" s="8" t="s">
        <v>109</v>
      </c>
      <c r="AB327" s="8" t="s">
        <v>19</v>
      </c>
      <c r="AC327" s="102"/>
      <c r="AD327" s="444"/>
      <c r="AE327" s="445"/>
      <c r="AF327" s="440" t="str">
        <f t="shared" si="90"/>
        <v xml:space="preserve"> </v>
      </c>
      <c r="AG327" s="442" t="str">
        <f t="shared" si="86"/>
        <v>-</v>
      </c>
      <c r="AH327" s="445"/>
      <c r="AI327" s="447" t="s">
        <v>532</v>
      </c>
      <c r="AJ327" s="444"/>
      <c r="AK327" s="445"/>
      <c r="AL327" s="440" t="str">
        <f t="shared" si="91"/>
        <v xml:space="preserve"> </v>
      </c>
      <c r="AM327" s="442" t="str">
        <f t="shared" si="87"/>
        <v>-</v>
      </c>
      <c r="AN327" s="445"/>
      <c r="AO327" s="447" t="s">
        <v>532</v>
      </c>
      <c r="AP327" s="444"/>
      <c r="AQ327" s="445"/>
      <c r="AR327" s="440" t="str">
        <f t="shared" si="92"/>
        <v xml:space="preserve"> </v>
      </c>
      <c r="AS327" s="447" t="s">
        <v>532</v>
      </c>
      <c r="AT327" s="463"/>
      <c r="AU327" s="447" t="s">
        <v>532</v>
      </c>
      <c r="AV327" s="444"/>
      <c r="AW327" s="445"/>
      <c r="AX327" s="440" t="str">
        <f t="shared" si="93"/>
        <v xml:space="preserve"> </v>
      </c>
      <c r="AY327" s="442" t="str">
        <f t="shared" si="88"/>
        <v>-</v>
      </c>
      <c r="AZ327" s="445"/>
      <c r="BA327" s="447" t="s">
        <v>532</v>
      </c>
      <c r="BB327" s="59"/>
      <c r="BC327" s="223"/>
      <c r="BD327" s="60" t="str">
        <f t="shared" si="94"/>
        <v xml:space="preserve"> </v>
      </c>
      <c r="BE327" s="213" t="str">
        <f t="shared" si="89"/>
        <v>-</v>
      </c>
      <c r="BF327" s="172"/>
      <c r="BG327" s="225" t="s">
        <v>215</v>
      </c>
      <c r="BH327" s="59"/>
      <c r="BI327" s="223"/>
      <c r="BJ327" s="60" t="str">
        <f t="shared" si="95"/>
        <v xml:space="preserve"> </v>
      </c>
      <c r="BK327" s="213" t="s">
        <v>215</v>
      </c>
      <c r="BL327" s="172"/>
      <c r="BM327" s="225" t="s">
        <v>215</v>
      </c>
    </row>
    <row r="328" spans="1:65" s="26" customFormat="1" ht="319.5" customHeight="1">
      <c r="B328" s="64">
        <f t="shared" si="96"/>
        <v>321</v>
      </c>
      <c r="C328" s="7"/>
      <c r="D328" s="7"/>
      <c r="E328" s="53"/>
      <c r="F328" s="111" t="s">
        <v>367</v>
      </c>
      <c r="G328" s="66"/>
      <c r="H328" s="61"/>
      <c r="I328" s="8"/>
      <c r="J328" s="8" t="s">
        <v>231</v>
      </c>
      <c r="K328" s="8"/>
      <c r="L328" s="8"/>
      <c r="M328" s="356" t="s">
        <v>493</v>
      </c>
      <c r="N328" s="16"/>
      <c r="O328" s="56"/>
      <c r="P328" s="93">
        <f t="shared" si="100"/>
        <v>295</v>
      </c>
      <c r="Q328" s="113">
        <v>2</v>
      </c>
      <c r="R328" s="21" t="str">
        <f t="shared" si="99"/>
        <v>X</v>
      </c>
      <c r="S328" s="96" t="s">
        <v>166</v>
      </c>
      <c r="T328" s="94"/>
      <c r="U328" s="21" t="s">
        <v>226</v>
      </c>
      <c r="V328" s="10"/>
      <c r="W328" s="25">
        <v>3</v>
      </c>
      <c r="X328" s="1" t="s">
        <v>260</v>
      </c>
      <c r="Y328" s="1">
        <v>2</v>
      </c>
      <c r="Z328" s="1">
        <v>2</v>
      </c>
      <c r="AA328" s="8" t="s">
        <v>229</v>
      </c>
      <c r="AB328" s="8" t="s">
        <v>226</v>
      </c>
      <c r="AC328" s="67"/>
      <c r="AD328" s="444"/>
      <c r="AE328" s="445"/>
      <c r="AF328" s="446" t="str">
        <f t="shared" si="90"/>
        <v xml:space="preserve">  </v>
      </c>
      <c r="AG328" s="442" t="str">
        <f t="shared" ref="AG328:AG391" si="101">IF(OR(AE$8="判定対象外",AF$8="判定対象外",AF328="-"),"-",IF(AE328=AF328,"OK","NG"))</f>
        <v>-</v>
      </c>
      <c r="AH328" s="445"/>
      <c r="AI328" s="448" t="s">
        <v>532</v>
      </c>
      <c r="AJ328" s="444"/>
      <c r="AK328" s="445"/>
      <c r="AL328" s="446" t="str">
        <f t="shared" si="91"/>
        <v xml:space="preserve">  </v>
      </c>
      <c r="AM328" s="442" t="str">
        <f t="shared" ref="AM328:AM391" si="102">IF(OR(AK$8="判定対象外",AL$8="判定対象外",AL328="-"),"-",IF(AK328=AL328,"OK","NG"))</f>
        <v>-</v>
      </c>
      <c r="AN328" s="445"/>
      <c r="AO328" s="448" t="s">
        <v>532</v>
      </c>
      <c r="AP328" s="444"/>
      <c r="AQ328" s="445"/>
      <c r="AR328" s="446" t="str">
        <f t="shared" si="92"/>
        <v xml:space="preserve">  </v>
      </c>
      <c r="AS328" s="442" t="s">
        <v>532</v>
      </c>
      <c r="AT328" s="463"/>
      <c r="AU328" s="448" t="s">
        <v>532</v>
      </c>
      <c r="AV328" s="444"/>
      <c r="AW328" s="445"/>
      <c r="AX328" s="446" t="str">
        <f t="shared" si="93"/>
        <v xml:space="preserve">  </v>
      </c>
      <c r="AY328" s="442" t="str">
        <f t="shared" ref="AY328:AY391" si="103">IF(OR(AW$8="判定対象外",AX$8="判定対象外",AX328="-"),"-",IF(AW328=AX328,"OK","NG"))</f>
        <v>-</v>
      </c>
      <c r="AZ328" s="445"/>
      <c r="BA328" s="448" t="s">
        <v>532</v>
      </c>
      <c r="BB328" s="59"/>
      <c r="BC328" s="223"/>
      <c r="BD328" s="254" t="str">
        <f t="shared" si="94"/>
        <v>H1</v>
      </c>
      <c r="BE328" s="213" t="str">
        <f t="shared" ref="BE328:BE391" si="104">IF(OR(BC$8="判定対象外",BD$8="判定対象外",BD328="-"),"-",IF(BC328=BD328,"OK","NG"))</f>
        <v>-</v>
      </c>
      <c r="BF328" s="172" t="s">
        <v>220</v>
      </c>
      <c r="BG328" s="405" t="str">
        <f>IF(OR(BC$8="判定対象外",BF$8="判定対象外",BF328="-"),"-",IF(BC328=BF328,"OK","NG"))</f>
        <v>NG</v>
      </c>
      <c r="BH328" s="59"/>
      <c r="BI328" s="223"/>
      <c r="BJ328" s="254" t="str">
        <f t="shared" si="95"/>
        <v>J1</v>
      </c>
      <c r="BK328" s="213" t="str">
        <f>IF(OR(BI$8="判定対象外",BJ$8="判定対象外",BJ328="-"),"-",IF(BI328=BJ328,"OK","NG"))</f>
        <v>NG</v>
      </c>
      <c r="BL328" s="172" t="s">
        <v>284</v>
      </c>
      <c r="BM328" s="405" t="str">
        <f>IF(OR(BI$8="判定対象外",BL$8="判定対象外",BL328="-"),"-",IF(BI328=BL328,"OK","NG"))</f>
        <v>NG</v>
      </c>
    </row>
    <row r="329" spans="1:65" s="26" customFormat="1" ht="25.5">
      <c r="B329" s="64">
        <f t="shared" si="96"/>
        <v>322</v>
      </c>
      <c r="C329" s="7"/>
      <c r="D329" s="7"/>
      <c r="E329" s="53"/>
      <c r="F329" s="65" t="s">
        <v>167</v>
      </c>
      <c r="G329" s="66"/>
      <c r="H329" s="61"/>
      <c r="I329" s="8"/>
      <c r="J329" s="8"/>
      <c r="K329" s="8"/>
      <c r="L329" s="8"/>
      <c r="M329" s="11" t="s">
        <v>274</v>
      </c>
      <c r="N329" s="16"/>
      <c r="O329" s="56"/>
      <c r="P329" s="93">
        <f t="shared" si="100"/>
        <v>296</v>
      </c>
      <c r="Q329" s="113">
        <v>7</v>
      </c>
      <c r="R329" s="21" t="str">
        <f t="shared" si="99"/>
        <v>X</v>
      </c>
      <c r="S329" s="96" t="s">
        <v>168</v>
      </c>
      <c r="T329" s="94"/>
      <c r="U329" s="21" t="s">
        <v>226</v>
      </c>
      <c r="V329" s="10"/>
      <c r="W329" s="25">
        <v>3</v>
      </c>
      <c r="X329" s="1" t="s">
        <v>261</v>
      </c>
      <c r="Y329" s="1">
        <v>7</v>
      </c>
      <c r="Z329" s="1">
        <v>7</v>
      </c>
      <c r="AA329" s="8" t="s">
        <v>229</v>
      </c>
      <c r="AB329" s="8" t="s">
        <v>226</v>
      </c>
      <c r="AC329" s="103"/>
      <c r="AD329" s="444"/>
      <c r="AE329" s="440"/>
      <c r="AF329" s="440" t="str">
        <f t="shared" si="90"/>
        <v xml:space="preserve">       </v>
      </c>
      <c r="AG329" s="442" t="str">
        <f t="shared" si="101"/>
        <v>-</v>
      </c>
      <c r="AH329" s="440"/>
      <c r="AI329" s="447" t="s">
        <v>532</v>
      </c>
      <c r="AJ329" s="444"/>
      <c r="AK329" s="440"/>
      <c r="AL329" s="440" t="str">
        <f t="shared" si="91"/>
        <v xml:space="preserve">       </v>
      </c>
      <c r="AM329" s="442" t="str">
        <f t="shared" si="102"/>
        <v>-</v>
      </c>
      <c r="AN329" s="440"/>
      <c r="AO329" s="447" t="s">
        <v>532</v>
      </c>
      <c r="AP329" s="444"/>
      <c r="AQ329" s="440"/>
      <c r="AR329" s="440" t="str">
        <f t="shared" si="92"/>
        <v xml:space="preserve">       </v>
      </c>
      <c r="AS329" s="447" t="s">
        <v>532</v>
      </c>
      <c r="AT329" s="462"/>
      <c r="AU329" s="447" t="s">
        <v>532</v>
      </c>
      <c r="AV329" s="444"/>
      <c r="AW329" s="440"/>
      <c r="AX329" s="440" t="str">
        <f t="shared" si="93"/>
        <v xml:space="preserve">       </v>
      </c>
      <c r="AY329" s="442" t="str">
        <f t="shared" si="103"/>
        <v>-</v>
      </c>
      <c r="AZ329" s="440"/>
      <c r="BA329" s="447" t="s">
        <v>532</v>
      </c>
      <c r="BB329" s="59"/>
      <c r="BC329" s="60"/>
      <c r="BD329" s="60" t="str">
        <f t="shared" si="94"/>
        <v xml:space="preserve">       </v>
      </c>
      <c r="BE329" s="213" t="str">
        <f t="shared" si="104"/>
        <v>-</v>
      </c>
      <c r="BF329" s="167"/>
      <c r="BG329" s="225" t="s">
        <v>215</v>
      </c>
      <c r="BH329" s="59"/>
      <c r="BI329" s="60"/>
      <c r="BJ329" s="60" t="str">
        <f t="shared" si="95"/>
        <v xml:space="preserve">       </v>
      </c>
      <c r="BK329" s="213" t="s">
        <v>215</v>
      </c>
      <c r="BL329" s="167"/>
      <c r="BM329" s="225" t="s">
        <v>215</v>
      </c>
    </row>
    <row r="330" spans="1:65" s="80" customFormat="1" ht="25.5">
      <c r="B330" s="64">
        <f t="shared" si="96"/>
        <v>323</v>
      </c>
      <c r="C330" s="68"/>
      <c r="D330" s="68"/>
      <c r="E330" s="69"/>
      <c r="F330" s="70" t="s">
        <v>275</v>
      </c>
      <c r="G330" s="71"/>
      <c r="H330" s="72"/>
      <c r="I330" s="73"/>
      <c r="J330" s="73"/>
      <c r="K330" s="74"/>
      <c r="L330" s="74"/>
      <c r="M330" s="83" t="s">
        <v>274</v>
      </c>
      <c r="N330" s="75"/>
      <c r="O330" s="76"/>
      <c r="P330" s="93">
        <f t="shared" si="100"/>
        <v>297</v>
      </c>
      <c r="Q330" s="117">
        <v>10</v>
      </c>
      <c r="R330" s="21" t="str">
        <f t="shared" si="99"/>
        <v>X</v>
      </c>
      <c r="S330" s="96" t="s">
        <v>169</v>
      </c>
      <c r="T330" s="104"/>
      <c r="U330" s="21" t="s">
        <v>226</v>
      </c>
      <c r="V330" s="76"/>
      <c r="W330" s="77">
        <v>3</v>
      </c>
      <c r="X330" s="55" t="s">
        <v>170</v>
      </c>
      <c r="Y330" s="55">
        <v>10</v>
      </c>
      <c r="Z330" s="55">
        <v>10</v>
      </c>
      <c r="AA330" s="73" t="s">
        <v>109</v>
      </c>
      <c r="AB330" s="73" t="s">
        <v>19</v>
      </c>
      <c r="AC330" s="103"/>
      <c r="AD330" s="451"/>
      <c r="AE330" s="452"/>
      <c r="AF330" s="453" t="str">
        <f t="shared" si="90"/>
        <v xml:space="preserve">          </v>
      </c>
      <c r="AG330" s="442" t="str">
        <f t="shared" si="101"/>
        <v>-</v>
      </c>
      <c r="AH330" s="452"/>
      <c r="AI330" s="447" t="s">
        <v>532</v>
      </c>
      <c r="AJ330" s="451"/>
      <c r="AK330" s="452"/>
      <c r="AL330" s="453" t="str">
        <f t="shared" si="91"/>
        <v xml:space="preserve">          </v>
      </c>
      <c r="AM330" s="442" t="str">
        <f t="shared" si="102"/>
        <v>-</v>
      </c>
      <c r="AN330" s="452"/>
      <c r="AO330" s="447" t="s">
        <v>532</v>
      </c>
      <c r="AP330" s="451"/>
      <c r="AQ330" s="452"/>
      <c r="AR330" s="453" t="str">
        <f t="shared" si="92"/>
        <v xml:space="preserve">          </v>
      </c>
      <c r="AS330" s="447" t="s">
        <v>532</v>
      </c>
      <c r="AT330" s="464"/>
      <c r="AU330" s="447" t="s">
        <v>532</v>
      </c>
      <c r="AV330" s="451"/>
      <c r="AW330" s="452"/>
      <c r="AX330" s="453" t="str">
        <f t="shared" si="93"/>
        <v xml:space="preserve">          </v>
      </c>
      <c r="AY330" s="442" t="str">
        <f t="shared" si="103"/>
        <v>-</v>
      </c>
      <c r="AZ330" s="452"/>
      <c r="BA330" s="447" t="s">
        <v>532</v>
      </c>
      <c r="BB330" s="78"/>
      <c r="BC330" s="420"/>
      <c r="BD330" s="79" t="str">
        <f t="shared" si="94"/>
        <v xml:space="preserve">          </v>
      </c>
      <c r="BE330" s="213" t="str">
        <f t="shared" si="104"/>
        <v>-</v>
      </c>
      <c r="BF330" s="378"/>
      <c r="BG330" s="225" t="s">
        <v>215</v>
      </c>
      <c r="BH330" s="78"/>
      <c r="BI330" s="420"/>
      <c r="BJ330" s="79" t="str">
        <f t="shared" si="95"/>
        <v xml:space="preserve">          </v>
      </c>
      <c r="BK330" s="213" t="s">
        <v>215</v>
      </c>
      <c r="BL330" s="378"/>
      <c r="BM330" s="225" t="s">
        <v>215</v>
      </c>
    </row>
    <row r="331" spans="1:65" s="80" customFormat="1" ht="25.5">
      <c r="B331" s="64">
        <f t="shared" si="96"/>
        <v>324</v>
      </c>
      <c r="C331" s="68"/>
      <c r="D331" s="68"/>
      <c r="E331" s="68"/>
      <c r="F331" s="81" t="s">
        <v>171</v>
      </c>
      <c r="G331" s="14"/>
      <c r="H331" s="82"/>
      <c r="I331" s="73"/>
      <c r="J331" s="73"/>
      <c r="K331" s="74"/>
      <c r="L331" s="74"/>
      <c r="M331" s="83" t="s">
        <v>274</v>
      </c>
      <c r="N331" s="75"/>
      <c r="O331" s="76"/>
      <c r="P331" s="93">
        <f t="shared" si="100"/>
        <v>298</v>
      </c>
      <c r="Q331" s="117">
        <v>3</v>
      </c>
      <c r="R331" s="21" t="str">
        <f t="shared" si="99"/>
        <v>X</v>
      </c>
      <c r="S331" s="96" t="s">
        <v>172</v>
      </c>
      <c r="T331" s="104"/>
      <c r="U331" s="21" t="s">
        <v>226</v>
      </c>
      <c r="V331" s="76"/>
      <c r="W331" s="77">
        <v>3</v>
      </c>
      <c r="X331" s="55" t="s">
        <v>173</v>
      </c>
      <c r="Y331" s="55">
        <v>3</v>
      </c>
      <c r="Z331" s="55">
        <v>3</v>
      </c>
      <c r="AA331" s="73" t="s">
        <v>109</v>
      </c>
      <c r="AB331" s="73" t="s">
        <v>19</v>
      </c>
      <c r="AC331" s="103"/>
      <c r="AD331" s="451"/>
      <c r="AE331" s="452"/>
      <c r="AF331" s="453" t="str">
        <f t="shared" si="90"/>
        <v xml:space="preserve">   </v>
      </c>
      <c r="AG331" s="442" t="str">
        <f t="shared" si="101"/>
        <v>-</v>
      </c>
      <c r="AH331" s="452"/>
      <c r="AI331" s="447" t="s">
        <v>532</v>
      </c>
      <c r="AJ331" s="451"/>
      <c r="AK331" s="452"/>
      <c r="AL331" s="453" t="str">
        <f t="shared" si="91"/>
        <v xml:space="preserve">   </v>
      </c>
      <c r="AM331" s="442" t="str">
        <f t="shared" si="102"/>
        <v>-</v>
      </c>
      <c r="AN331" s="452"/>
      <c r="AO331" s="447" t="s">
        <v>532</v>
      </c>
      <c r="AP331" s="451"/>
      <c r="AQ331" s="452"/>
      <c r="AR331" s="453" t="str">
        <f t="shared" si="92"/>
        <v xml:space="preserve">   </v>
      </c>
      <c r="AS331" s="447" t="s">
        <v>532</v>
      </c>
      <c r="AT331" s="464"/>
      <c r="AU331" s="447" t="s">
        <v>532</v>
      </c>
      <c r="AV331" s="451"/>
      <c r="AW331" s="452"/>
      <c r="AX331" s="453" t="str">
        <f t="shared" si="93"/>
        <v xml:space="preserve">   </v>
      </c>
      <c r="AY331" s="442" t="str">
        <f t="shared" si="103"/>
        <v>-</v>
      </c>
      <c r="AZ331" s="452"/>
      <c r="BA331" s="447" t="s">
        <v>532</v>
      </c>
      <c r="BB331" s="78"/>
      <c r="BC331" s="420"/>
      <c r="BD331" s="79" t="str">
        <f t="shared" si="94"/>
        <v xml:space="preserve">   </v>
      </c>
      <c r="BE331" s="213" t="str">
        <f t="shared" si="104"/>
        <v>-</v>
      </c>
      <c r="BF331" s="378"/>
      <c r="BG331" s="225" t="s">
        <v>215</v>
      </c>
      <c r="BH331" s="78"/>
      <c r="BI331" s="420"/>
      <c r="BJ331" s="79" t="str">
        <f t="shared" si="95"/>
        <v xml:space="preserve">   </v>
      </c>
      <c r="BK331" s="213" t="s">
        <v>215</v>
      </c>
      <c r="BL331" s="378"/>
      <c r="BM331" s="225" t="s">
        <v>215</v>
      </c>
    </row>
    <row r="332" spans="1:65" s="80" customFormat="1" ht="25.5">
      <c r="B332" s="64">
        <f t="shared" si="96"/>
        <v>325</v>
      </c>
      <c r="C332" s="68"/>
      <c r="D332" s="68"/>
      <c r="E332" s="68"/>
      <c r="F332" s="81" t="s">
        <v>174</v>
      </c>
      <c r="G332" s="14"/>
      <c r="H332" s="82"/>
      <c r="I332" s="73"/>
      <c r="J332" s="73"/>
      <c r="K332" s="74"/>
      <c r="L332" s="74"/>
      <c r="M332" s="83" t="s">
        <v>274</v>
      </c>
      <c r="N332" s="75"/>
      <c r="O332" s="76"/>
      <c r="P332" s="93">
        <f>P331+1</f>
        <v>299</v>
      </c>
      <c r="Q332" s="117">
        <v>2</v>
      </c>
      <c r="R332" s="21" t="str">
        <f t="shared" si="99"/>
        <v>X</v>
      </c>
      <c r="S332" s="96" t="s">
        <v>175</v>
      </c>
      <c r="T332" s="104"/>
      <c r="U332" s="21" t="s">
        <v>226</v>
      </c>
      <c r="V332" s="76"/>
      <c r="W332" s="77">
        <v>3</v>
      </c>
      <c r="X332" s="55" t="s">
        <v>176</v>
      </c>
      <c r="Y332" s="55">
        <v>2</v>
      </c>
      <c r="Z332" s="55">
        <v>2</v>
      </c>
      <c r="AA332" s="73" t="s">
        <v>109</v>
      </c>
      <c r="AB332" s="73" t="s">
        <v>19</v>
      </c>
      <c r="AC332" s="103"/>
      <c r="AD332" s="451"/>
      <c r="AE332" s="452"/>
      <c r="AF332" s="453" t="str">
        <f t="shared" si="90"/>
        <v xml:space="preserve">  </v>
      </c>
      <c r="AG332" s="442" t="str">
        <f t="shared" si="101"/>
        <v>-</v>
      </c>
      <c r="AH332" s="452"/>
      <c r="AI332" s="447" t="s">
        <v>532</v>
      </c>
      <c r="AJ332" s="451"/>
      <c r="AK332" s="452"/>
      <c r="AL332" s="453" t="str">
        <f t="shared" si="91"/>
        <v xml:space="preserve">  </v>
      </c>
      <c r="AM332" s="442" t="str">
        <f t="shared" si="102"/>
        <v>-</v>
      </c>
      <c r="AN332" s="452"/>
      <c r="AO332" s="447" t="s">
        <v>532</v>
      </c>
      <c r="AP332" s="451"/>
      <c r="AQ332" s="452"/>
      <c r="AR332" s="453" t="str">
        <f t="shared" si="92"/>
        <v xml:space="preserve">  </v>
      </c>
      <c r="AS332" s="447" t="s">
        <v>532</v>
      </c>
      <c r="AT332" s="464"/>
      <c r="AU332" s="447" t="s">
        <v>532</v>
      </c>
      <c r="AV332" s="451"/>
      <c r="AW332" s="452"/>
      <c r="AX332" s="453" t="str">
        <f t="shared" si="93"/>
        <v xml:space="preserve">  </v>
      </c>
      <c r="AY332" s="442" t="str">
        <f t="shared" si="103"/>
        <v>-</v>
      </c>
      <c r="AZ332" s="452"/>
      <c r="BA332" s="447" t="s">
        <v>532</v>
      </c>
      <c r="BB332" s="78"/>
      <c r="BC332" s="420"/>
      <c r="BD332" s="79" t="str">
        <f t="shared" si="94"/>
        <v xml:space="preserve">  </v>
      </c>
      <c r="BE332" s="213" t="str">
        <f t="shared" si="104"/>
        <v>-</v>
      </c>
      <c r="BF332" s="378"/>
      <c r="BG332" s="225" t="s">
        <v>215</v>
      </c>
      <c r="BH332" s="78"/>
      <c r="BI332" s="420"/>
      <c r="BJ332" s="79" t="str">
        <f t="shared" si="95"/>
        <v xml:space="preserve">  </v>
      </c>
      <c r="BK332" s="213" t="s">
        <v>215</v>
      </c>
      <c r="BL332" s="378"/>
      <c r="BM332" s="225" t="s">
        <v>215</v>
      </c>
    </row>
    <row r="333" spans="1:65" s="80" customFormat="1" ht="51.75" customHeight="1">
      <c r="B333" s="64">
        <f t="shared" si="96"/>
        <v>326</v>
      </c>
      <c r="C333" s="68"/>
      <c r="D333" s="68"/>
      <c r="E333" s="68"/>
      <c r="F333" s="228" t="s">
        <v>177</v>
      </c>
      <c r="G333" s="229"/>
      <c r="H333" s="230"/>
      <c r="I333" s="73"/>
      <c r="J333" s="73"/>
      <c r="K333" s="74"/>
      <c r="L333" s="74"/>
      <c r="M333" s="83" t="s">
        <v>178</v>
      </c>
      <c r="N333" s="75"/>
      <c r="O333" s="76"/>
      <c r="P333" s="93">
        <f>P332+1</f>
        <v>300</v>
      </c>
      <c r="Q333" s="117">
        <v>5</v>
      </c>
      <c r="R333" s="21" t="str">
        <f t="shared" si="99"/>
        <v>X</v>
      </c>
      <c r="S333" s="96" t="s">
        <v>179</v>
      </c>
      <c r="T333" s="104"/>
      <c r="U333" s="21" t="s">
        <v>226</v>
      </c>
      <c r="V333" s="76"/>
      <c r="W333" s="77">
        <v>3</v>
      </c>
      <c r="X333" s="55" t="s">
        <v>262</v>
      </c>
      <c r="Y333" s="55">
        <v>5</v>
      </c>
      <c r="Z333" s="55">
        <v>5</v>
      </c>
      <c r="AA333" s="73" t="s">
        <v>109</v>
      </c>
      <c r="AB333" s="73" t="s">
        <v>19</v>
      </c>
      <c r="AC333" s="84"/>
      <c r="AD333" s="451"/>
      <c r="AE333" s="459"/>
      <c r="AF333" s="453" t="str">
        <f t="shared" si="90"/>
        <v xml:space="preserve">     </v>
      </c>
      <c r="AG333" s="442" t="str">
        <f t="shared" si="101"/>
        <v>-</v>
      </c>
      <c r="AH333" s="459"/>
      <c r="AI333" s="447" t="s">
        <v>532</v>
      </c>
      <c r="AJ333" s="451"/>
      <c r="AK333" s="459"/>
      <c r="AL333" s="453" t="str">
        <f t="shared" si="91"/>
        <v xml:space="preserve">     </v>
      </c>
      <c r="AM333" s="442" t="str">
        <f t="shared" si="102"/>
        <v>-</v>
      </c>
      <c r="AN333" s="459"/>
      <c r="AO333" s="447" t="s">
        <v>532</v>
      </c>
      <c r="AP333" s="451"/>
      <c r="AQ333" s="459"/>
      <c r="AR333" s="453" t="str">
        <f t="shared" si="92"/>
        <v xml:space="preserve">     </v>
      </c>
      <c r="AS333" s="447" t="s">
        <v>532</v>
      </c>
      <c r="AT333" s="466"/>
      <c r="AU333" s="447" t="s">
        <v>532</v>
      </c>
      <c r="AV333" s="451"/>
      <c r="AW333" s="459"/>
      <c r="AX333" s="453" t="str">
        <f t="shared" si="93"/>
        <v xml:space="preserve">     </v>
      </c>
      <c r="AY333" s="442" t="str">
        <f t="shared" si="103"/>
        <v>-</v>
      </c>
      <c r="AZ333" s="459"/>
      <c r="BA333" s="447" t="s">
        <v>532</v>
      </c>
      <c r="BB333" s="78"/>
      <c r="BC333" s="421"/>
      <c r="BD333" s="79" t="str">
        <f t="shared" si="94"/>
        <v xml:space="preserve">     </v>
      </c>
      <c r="BE333" s="213" t="str">
        <f t="shared" si="104"/>
        <v>-</v>
      </c>
      <c r="BF333" s="382"/>
      <c r="BG333" s="225" t="s">
        <v>215</v>
      </c>
      <c r="BH333" s="78"/>
      <c r="BI333" s="421"/>
      <c r="BJ333" s="79" t="str">
        <f t="shared" si="95"/>
        <v xml:space="preserve">     </v>
      </c>
      <c r="BK333" s="213" t="s">
        <v>215</v>
      </c>
      <c r="BL333" s="378"/>
      <c r="BM333" s="225" t="s">
        <v>215</v>
      </c>
    </row>
    <row r="334" spans="1:65" s="80" customFormat="1" ht="51.75" customHeight="1">
      <c r="B334" s="64">
        <f t="shared" si="96"/>
        <v>327</v>
      </c>
      <c r="C334" s="68"/>
      <c r="D334" s="68"/>
      <c r="E334" s="68"/>
      <c r="F334" s="228" t="s">
        <v>180</v>
      </c>
      <c r="G334" s="229"/>
      <c r="H334" s="230"/>
      <c r="I334" s="73"/>
      <c r="J334" s="73"/>
      <c r="K334" s="74"/>
      <c r="L334" s="74"/>
      <c r="M334" s="83" t="s">
        <v>181</v>
      </c>
      <c r="N334" s="75"/>
      <c r="O334" s="76"/>
      <c r="P334" s="93">
        <f>P333+1</f>
        <v>301</v>
      </c>
      <c r="Q334" s="117">
        <v>64</v>
      </c>
      <c r="R334" s="21" t="str">
        <f>IF(AA334="M","NX",AA334)</f>
        <v>NX</v>
      </c>
      <c r="S334" s="96" t="s">
        <v>182</v>
      </c>
      <c r="T334" s="104"/>
      <c r="U334" s="21" t="s">
        <v>226</v>
      </c>
      <c r="V334" s="76" t="s">
        <v>263</v>
      </c>
      <c r="W334" s="77">
        <v>3</v>
      </c>
      <c r="X334" s="55" t="s">
        <v>264</v>
      </c>
      <c r="Y334" s="55">
        <v>1</v>
      </c>
      <c r="Z334" s="55">
        <v>64</v>
      </c>
      <c r="AA334" s="73" t="s">
        <v>252</v>
      </c>
      <c r="AB334" s="73" t="s">
        <v>19</v>
      </c>
      <c r="AC334" s="84" t="s">
        <v>263</v>
      </c>
      <c r="AD334" s="451"/>
      <c r="AE334" s="459"/>
      <c r="AF334" s="453" t="str">
        <f t="shared" ref="AF334:AF397" si="105">IF(AH334="-","-",AH334&amp;REPT(IF($R334="N","　",IF($R334="9","0"," ")),$Z334-LENB(AH334)))</f>
        <v xml:space="preserve">                                                                </v>
      </c>
      <c r="AG334" s="442" t="str">
        <f t="shared" si="101"/>
        <v>-</v>
      </c>
      <c r="AH334" s="459"/>
      <c r="AI334" s="447" t="s">
        <v>532</v>
      </c>
      <c r="AJ334" s="451"/>
      <c r="AK334" s="459"/>
      <c r="AL334" s="453" t="str">
        <f t="shared" ref="AL334:AL397" si="106">IF(AN334="-","-",AN334&amp;REPT(IF($R334="N","　",IF($R334="9","0"," ")),$Z334-LENB(AN334)))</f>
        <v xml:space="preserve">                                                                </v>
      </c>
      <c r="AM334" s="442" t="str">
        <f t="shared" si="102"/>
        <v>-</v>
      </c>
      <c r="AN334" s="459"/>
      <c r="AO334" s="447" t="s">
        <v>532</v>
      </c>
      <c r="AP334" s="451"/>
      <c r="AQ334" s="459"/>
      <c r="AR334" s="453" t="str">
        <f t="shared" ref="AR334:AR397" si="107">IF(AT334="-","-",AT334&amp;REPT(IF($R334="N","　",IF($R334="9","0"," ")),$Z334-LENB(AT334)))</f>
        <v xml:space="preserve">                                                                </v>
      </c>
      <c r="AS334" s="447" t="s">
        <v>532</v>
      </c>
      <c r="AT334" s="466"/>
      <c r="AU334" s="447" t="s">
        <v>532</v>
      </c>
      <c r="AV334" s="451"/>
      <c r="AW334" s="459"/>
      <c r="AX334" s="453" t="str">
        <f t="shared" ref="AX334:AX397" si="108">IF(AZ334="-","-",AZ334&amp;REPT(IF($R334="N","　",IF($R334="9","0"," ")),$Z334-LENB(AZ334)))</f>
        <v xml:space="preserve">                                                                </v>
      </c>
      <c r="AY334" s="442" t="str">
        <f t="shared" si="103"/>
        <v>-</v>
      </c>
      <c r="AZ334" s="459"/>
      <c r="BA334" s="447" t="s">
        <v>532</v>
      </c>
      <c r="BB334" s="78"/>
      <c r="BC334" s="421"/>
      <c r="BD334" s="79" t="str">
        <f t="shared" ref="BD334:BD397" si="109">IF(BF334="-","-",BF334&amp;REPT(IF($R334="N","　",IF($R334="9","0"," ")),$Z334-LENB(BF334)))</f>
        <v xml:space="preserve">                                                                </v>
      </c>
      <c r="BE334" s="213" t="str">
        <f t="shared" si="104"/>
        <v>-</v>
      </c>
      <c r="BF334" s="382"/>
      <c r="BG334" s="225" t="s">
        <v>215</v>
      </c>
      <c r="BH334" s="78"/>
      <c r="BI334" s="421"/>
      <c r="BJ334" s="79" t="str">
        <f t="shared" ref="BJ334:BJ397" si="110">IF(BL334="-","-",BL334&amp;REPT(IF($R334="N","　",IF($R334="9","0"," ")),$Z334-LENB(BL334)))</f>
        <v xml:space="preserve">                                                                </v>
      </c>
      <c r="BK334" s="213" t="s">
        <v>215</v>
      </c>
      <c r="BL334" s="378"/>
      <c r="BM334" s="225" t="s">
        <v>215</v>
      </c>
    </row>
    <row r="335" spans="1:65" s="80" customFormat="1" ht="92.25" customHeight="1">
      <c r="B335" s="64">
        <f t="shared" si="96"/>
        <v>328</v>
      </c>
      <c r="C335" s="68"/>
      <c r="D335" s="68"/>
      <c r="E335" s="68"/>
      <c r="F335" s="81" t="s">
        <v>276</v>
      </c>
      <c r="G335" s="14"/>
      <c r="H335" s="82"/>
      <c r="I335" s="73"/>
      <c r="J335" s="73"/>
      <c r="K335" s="74"/>
      <c r="L335" s="74"/>
      <c r="M335" s="415" t="s">
        <v>207</v>
      </c>
      <c r="N335" s="75"/>
      <c r="O335" s="76"/>
      <c r="P335" s="93">
        <f>P334+1</f>
        <v>302</v>
      </c>
      <c r="Q335" s="117">
        <v>7</v>
      </c>
      <c r="R335" s="21" t="s">
        <v>229</v>
      </c>
      <c r="S335" s="96" t="s">
        <v>265</v>
      </c>
      <c r="T335" s="104"/>
      <c r="U335" s="21" t="s">
        <v>226</v>
      </c>
      <c r="V335" s="76"/>
      <c r="W335" s="77">
        <v>3</v>
      </c>
      <c r="X335" s="55" t="s">
        <v>266</v>
      </c>
      <c r="Y335" s="55">
        <v>7</v>
      </c>
      <c r="Z335" s="55">
        <v>7</v>
      </c>
      <c r="AA335" s="73" t="s">
        <v>229</v>
      </c>
      <c r="AB335" s="73" t="s">
        <v>19</v>
      </c>
      <c r="AC335" s="84"/>
      <c r="AD335" s="451"/>
      <c r="AE335" s="452"/>
      <c r="AF335" s="453" t="str">
        <f t="shared" si="105"/>
        <v xml:space="preserve">       </v>
      </c>
      <c r="AG335" s="442" t="str">
        <f t="shared" si="101"/>
        <v>-</v>
      </c>
      <c r="AH335" s="452"/>
      <c r="AI335" s="447" t="s">
        <v>532</v>
      </c>
      <c r="AJ335" s="451"/>
      <c r="AK335" s="452"/>
      <c r="AL335" s="453" t="str">
        <f t="shared" si="106"/>
        <v xml:space="preserve">       </v>
      </c>
      <c r="AM335" s="442" t="str">
        <f t="shared" si="102"/>
        <v>-</v>
      </c>
      <c r="AN335" s="452"/>
      <c r="AO335" s="447" t="s">
        <v>532</v>
      </c>
      <c r="AP335" s="451"/>
      <c r="AQ335" s="452"/>
      <c r="AR335" s="453" t="str">
        <f t="shared" si="107"/>
        <v xml:space="preserve">       </v>
      </c>
      <c r="AS335" s="447" t="s">
        <v>532</v>
      </c>
      <c r="AT335" s="464"/>
      <c r="AU335" s="447" t="s">
        <v>532</v>
      </c>
      <c r="AV335" s="451"/>
      <c r="AW335" s="452"/>
      <c r="AX335" s="453" t="str">
        <f t="shared" si="108"/>
        <v xml:space="preserve">       </v>
      </c>
      <c r="AY335" s="442" t="str">
        <f t="shared" si="103"/>
        <v>-</v>
      </c>
      <c r="AZ335" s="452"/>
      <c r="BA335" s="447" t="s">
        <v>532</v>
      </c>
      <c r="BB335" s="78"/>
      <c r="BC335" s="420"/>
      <c r="BD335" s="79" t="str">
        <f t="shared" si="109"/>
        <v xml:space="preserve">       </v>
      </c>
      <c r="BE335" s="213" t="str">
        <f t="shared" si="104"/>
        <v>-</v>
      </c>
      <c r="BF335" s="378"/>
      <c r="BG335" s="225" t="s">
        <v>215</v>
      </c>
      <c r="BH335" s="78"/>
      <c r="BI335" s="420"/>
      <c r="BJ335" s="79" t="str">
        <f t="shared" si="110"/>
        <v xml:space="preserve">       </v>
      </c>
      <c r="BK335" s="213" t="s">
        <v>215</v>
      </c>
      <c r="BL335" s="353"/>
      <c r="BM335" s="225" t="s">
        <v>215</v>
      </c>
    </row>
    <row r="336" spans="1:65" s="80" customFormat="1" ht="127.9" thickBot="1">
      <c r="A336" s="216"/>
      <c r="B336" s="231">
        <f t="shared" si="96"/>
        <v>329</v>
      </c>
      <c r="C336" s="232"/>
      <c r="D336" s="232"/>
      <c r="E336" s="232"/>
      <c r="F336" s="234" t="s">
        <v>267</v>
      </c>
      <c r="G336" s="235"/>
      <c r="H336" s="236"/>
      <c r="I336" s="237"/>
      <c r="J336" s="237"/>
      <c r="K336" s="237"/>
      <c r="L336" s="237"/>
      <c r="M336" s="416" t="s">
        <v>277</v>
      </c>
      <c r="N336" s="417"/>
      <c r="O336" s="419"/>
      <c r="P336" s="429">
        <f>P335+1</f>
        <v>303</v>
      </c>
      <c r="Q336" s="430">
        <v>1</v>
      </c>
      <c r="R336" s="431">
        <v>9</v>
      </c>
      <c r="S336" s="430" t="s">
        <v>268</v>
      </c>
      <c r="T336" s="430"/>
      <c r="U336" s="431" t="s">
        <v>226</v>
      </c>
      <c r="V336" s="432"/>
      <c r="W336" s="433" t="str">
        <f>IF(C336&lt;&gt;"","0",IF(D336&lt;&gt;"","1",IF(E336&lt;&gt;"","2",IF(F336&lt;&gt;"","3",IF(G336&lt;&gt;"","4",IF(H336&lt;&gt;"","5"))))))</f>
        <v>3</v>
      </c>
      <c r="X336" s="434" t="s">
        <v>269</v>
      </c>
      <c r="Y336" s="434">
        <v>1</v>
      </c>
      <c r="Z336" s="434">
        <v>1</v>
      </c>
      <c r="AA336" s="435">
        <v>9</v>
      </c>
      <c r="AB336" s="237" t="s">
        <v>226</v>
      </c>
      <c r="AC336" s="436"/>
      <c r="AD336" s="454"/>
      <c r="AE336" s="455"/>
      <c r="AF336" s="456" t="str">
        <f t="shared" si="105"/>
        <v xml:space="preserve"> </v>
      </c>
      <c r="AG336" s="457" t="str">
        <f t="shared" si="101"/>
        <v>-</v>
      </c>
      <c r="AH336" s="455"/>
      <c r="AI336" s="458" t="s">
        <v>532</v>
      </c>
      <c r="AJ336" s="454"/>
      <c r="AK336" s="455"/>
      <c r="AL336" s="456" t="str">
        <f t="shared" si="106"/>
        <v xml:space="preserve"> </v>
      </c>
      <c r="AM336" s="457" t="str">
        <f t="shared" si="102"/>
        <v>-</v>
      </c>
      <c r="AN336" s="455"/>
      <c r="AO336" s="458" t="s">
        <v>532</v>
      </c>
      <c r="AP336" s="454"/>
      <c r="AQ336" s="455"/>
      <c r="AR336" s="456" t="str">
        <f t="shared" si="107"/>
        <v xml:space="preserve"> </v>
      </c>
      <c r="AS336" s="457" t="s">
        <v>532</v>
      </c>
      <c r="AT336" s="465"/>
      <c r="AU336" s="458" t="s">
        <v>532</v>
      </c>
      <c r="AV336" s="454"/>
      <c r="AW336" s="455"/>
      <c r="AX336" s="456" t="str">
        <f t="shared" si="108"/>
        <v xml:space="preserve"> </v>
      </c>
      <c r="AY336" s="457" t="str">
        <f t="shared" si="103"/>
        <v>-</v>
      </c>
      <c r="AZ336" s="455"/>
      <c r="BA336" s="458" t="s">
        <v>532</v>
      </c>
      <c r="BB336" s="211"/>
      <c r="BC336" s="422"/>
      <c r="BD336" s="212" t="str">
        <f t="shared" si="109"/>
        <v xml:space="preserve"> </v>
      </c>
      <c r="BE336" s="226" t="str">
        <f t="shared" si="104"/>
        <v>-</v>
      </c>
      <c r="BF336" s="352"/>
      <c r="BG336" s="403" t="s">
        <v>215</v>
      </c>
      <c r="BH336" s="211"/>
      <c r="BI336" s="422"/>
      <c r="BJ336" s="212" t="str">
        <f t="shared" si="110"/>
        <v xml:space="preserve"> </v>
      </c>
      <c r="BK336" s="226" t="s">
        <v>215</v>
      </c>
      <c r="BL336" s="380"/>
      <c r="BM336" s="403" t="s">
        <v>215</v>
      </c>
    </row>
    <row r="337" spans="2:65" s="26" customFormat="1" ht="18.75" customHeight="1" thickTop="1">
      <c r="B337" s="2">
        <f t="shared" si="96"/>
        <v>330</v>
      </c>
      <c r="C337" s="7"/>
      <c r="D337" s="7"/>
      <c r="E337" s="100" t="s">
        <v>482</v>
      </c>
      <c r="F337" s="410"/>
      <c r="G337" s="410"/>
      <c r="H337" s="61"/>
      <c r="I337" s="8" t="s">
        <v>29</v>
      </c>
      <c r="J337" s="8" t="s">
        <v>446</v>
      </c>
      <c r="K337" s="8"/>
      <c r="L337" s="8"/>
      <c r="M337" s="1" t="s">
        <v>272</v>
      </c>
      <c r="N337" s="9"/>
      <c r="O337" s="423"/>
      <c r="P337" s="93"/>
      <c r="Q337" s="113"/>
      <c r="R337" s="21"/>
      <c r="S337" s="424"/>
      <c r="T337" s="9"/>
      <c r="U337" s="21"/>
      <c r="V337" s="98"/>
      <c r="W337" s="25" t="str">
        <f>IF(C337&lt;&gt;"","0",IF(D337&lt;&gt;"","1",IF(E337&lt;&gt;"","2",IF(F337&lt;&gt;"","3",IF(G337&lt;&gt;"","4",IF(H337&lt;&gt;"","5"))))))</f>
        <v>2</v>
      </c>
      <c r="X337" s="1" t="s">
        <v>117</v>
      </c>
      <c r="Y337" s="1"/>
      <c r="Z337" s="1"/>
      <c r="AA337" s="8"/>
      <c r="AB337" s="8" t="s">
        <v>480</v>
      </c>
      <c r="AC337" s="62"/>
      <c r="AD337" s="444"/>
      <c r="AE337" s="440"/>
      <c r="AF337" s="440" t="str">
        <f t="shared" si="105"/>
        <v/>
      </c>
      <c r="AG337" s="442" t="str">
        <f t="shared" si="101"/>
        <v>-</v>
      </c>
      <c r="AH337" s="440"/>
      <c r="AI337" s="448" t="s">
        <v>532</v>
      </c>
      <c r="AJ337" s="444"/>
      <c r="AK337" s="440"/>
      <c r="AL337" s="440" t="str">
        <f t="shared" si="106"/>
        <v/>
      </c>
      <c r="AM337" s="442" t="str">
        <f t="shared" si="102"/>
        <v>-</v>
      </c>
      <c r="AN337" s="440"/>
      <c r="AO337" s="448" t="s">
        <v>532</v>
      </c>
      <c r="AP337" s="444"/>
      <c r="AQ337" s="440"/>
      <c r="AR337" s="440" t="str">
        <f t="shared" si="107"/>
        <v/>
      </c>
      <c r="AS337" s="442" t="s">
        <v>532</v>
      </c>
      <c r="AT337" s="462"/>
      <c r="AU337" s="448" t="s">
        <v>532</v>
      </c>
      <c r="AV337" s="444"/>
      <c r="AW337" s="440"/>
      <c r="AX337" s="440" t="str">
        <f t="shared" si="108"/>
        <v/>
      </c>
      <c r="AY337" s="442" t="str">
        <f t="shared" si="103"/>
        <v>-</v>
      </c>
      <c r="AZ337" s="440"/>
      <c r="BA337" s="448" t="s">
        <v>532</v>
      </c>
      <c r="BB337" s="59"/>
      <c r="BC337" s="60"/>
      <c r="BD337" s="60" t="str">
        <f t="shared" si="109"/>
        <v/>
      </c>
      <c r="BE337" s="213" t="str">
        <f t="shared" si="104"/>
        <v>-</v>
      </c>
      <c r="BF337" s="167"/>
      <c r="BG337" s="405" t="s">
        <v>215</v>
      </c>
      <c r="BH337" s="59"/>
      <c r="BI337" s="60"/>
      <c r="BJ337" s="60" t="str">
        <f t="shared" si="110"/>
        <v/>
      </c>
      <c r="BK337" s="260" t="s">
        <v>215</v>
      </c>
      <c r="BL337" s="167"/>
      <c r="BM337" s="405" t="s">
        <v>215</v>
      </c>
    </row>
    <row r="338" spans="2:65" s="26" customFormat="1" ht="63.75">
      <c r="B338" s="2">
        <f t="shared" si="96"/>
        <v>331</v>
      </c>
      <c r="C338" s="127"/>
      <c r="D338" s="7"/>
      <c r="E338" s="7"/>
      <c r="F338" s="110" t="s">
        <v>87</v>
      </c>
      <c r="G338" s="16"/>
      <c r="H338" s="13"/>
      <c r="I338" s="6"/>
      <c r="J338" s="6"/>
      <c r="K338" s="6"/>
      <c r="L338" s="8"/>
      <c r="M338" s="23" t="s">
        <v>248</v>
      </c>
      <c r="N338" s="1"/>
      <c r="O338" s="56"/>
      <c r="P338" s="93">
        <f>P336+1</f>
        <v>304</v>
      </c>
      <c r="Q338" s="115">
        <v>2</v>
      </c>
      <c r="R338" s="21" t="str">
        <f>IF(AA338="M","NX",AA338)</f>
        <v>X</v>
      </c>
      <c r="S338" s="96" t="s">
        <v>483</v>
      </c>
      <c r="T338" s="94"/>
      <c r="U338" s="21" t="s">
        <v>480</v>
      </c>
      <c r="V338" s="116" t="s">
        <v>189</v>
      </c>
      <c r="W338" s="25" t="str">
        <f>IF(C338&lt;&gt;"","0",IF(D338&lt;&gt;"","1",IF(E338&lt;&gt;"","2",IF(F338&lt;&gt;"","3",IF(G338&lt;&gt;"","4",IF(H338&lt;&gt;"","5"))))))</f>
        <v>3</v>
      </c>
      <c r="X338" s="5" t="s">
        <v>484</v>
      </c>
      <c r="Y338" s="57">
        <v>2</v>
      </c>
      <c r="Z338" s="57">
        <v>2</v>
      </c>
      <c r="AA338" s="58" t="s">
        <v>109</v>
      </c>
      <c r="AB338" s="58" t="s">
        <v>19</v>
      </c>
      <c r="AC338" s="12"/>
      <c r="AD338" s="444"/>
      <c r="AE338" s="445"/>
      <c r="AF338" s="446" t="str">
        <f t="shared" si="105"/>
        <v xml:space="preserve">  </v>
      </c>
      <c r="AG338" s="442" t="str">
        <f t="shared" si="101"/>
        <v>-</v>
      </c>
      <c r="AH338" s="445"/>
      <c r="AI338" s="447" t="s">
        <v>532</v>
      </c>
      <c r="AJ338" s="444"/>
      <c r="AK338" s="445"/>
      <c r="AL338" s="446" t="str">
        <f t="shared" si="106"/>
        <v xml:space="preserve">  </v>
      </c>
      <c r="AM338" s="442" t="str">
        <f t="shared" si="102"/>
        <v>-</v>
      </c>
      <c r="AN338" s="445"/>
      <c r="AO338" s="447" t="s">
        <v>532</v>
      </c>
      <c r="AP338" s="444"/>
      <c r="AQ338" s="445"/>
      <c r="AR338" s="446" t="str">
        <f t="shared" si="107"/>
        <v xml:space="preserve">  </v>
      </c>
      <c r="AS338" s="447" t="s">
        <v>532</v>
      </c>
      <c r="AT338" s="463"/>
      <c r="AU338" s="447" t="s">
        <v>532</v>
      </c>
      <c r="AV338" s="444"/>
      <c r="AW338" s="445"/>
      <c r="AX338" s="446" t="str">
        <f t="shared" si="108"/>
        <v xml:space="preserve">  </v>
      </c>
      <c r="AY338" s="442" t="str">
        <f t="shared" si="103"/>
        <v>-</v>
      </c>
      <c r="AZ338" s="445"/>
      <c r="BA338" s="447" t="s">
        <v>532</v>
      </c>
      <c r="BB338" s="59"/>
      <c r="BC338" s="223"/>
      <c r="BD338" s="254" t="str">
        <f t="shared" si="109"/>
        <v xml:space="preserve">  </v>
      </c>
      <c r="BE338" s="213" t="str">
        <f t="shared" si="104"/>
        <v>-</v>
      </c>
      <c r="BF338" s="172"/>
      <c r="BG338" s="225" t="s">
        <v>215</v>
      </c>
      <c r="BH338" s="59"/>
      <c r="BI338" s="223"/>
      <c r="BJ338" s="254" t="str">
        <f t="shared" si="110"/>
        <v xml:space="preserve">  </v>
      </c>
      <c r="BK338" s="213" t="s">
        <v>215</v>
      </c>
      <c r="BL338" s="172"/>
      <c r="BM338" s="225" t="s">
        <v>215</v>
      </c>
    </row>
    <row r="339" spans="2:65" s="26" customFormat="1" ht="344.25">
      <c r="B339" s="2">
        <f t="shared" si="96"/>
        <v>332</v>
      </c>
      <c r="C339" s="7"/>
      <c r="D339" s="7"/>
      <c r="E339" s="7"/>
      <c r="F339" s="110" t="s">
        <v>485</v>
      </c>
      <c r="G339" s="16"/>
      <c r="H339" s="13"/>
      <c r="I339" s="8"/>
      <c r="J339" s="8" t="s">
        <v>446</v>
      </c>
      <c r="K339" s="8"/>
      <c r="L339" s="8"/>
      <c r="M339" s="355" t="s">
        <v>486</v>
      </c>
      <c r="N339" s="11"/>
      <c r="O339" s="56"/>
      <c r="P339" s="93">
        <f>P338+1</f>
        <v>305</v>
      </c>
      <c r="Q339" s="113">
        <v>2</v>
      </c>
      <c r="R339" s="21" t="str">
        <f t="shared" ref="R339:R363" si="111">IF(AA339="M","NX",AA339)</f>
        <v>X</v>
      </c>
      <c r="S339" s="96" t="s">
        <v>487</v>
      </c>
      <c r="T339" s="94"/>
      <c r="U339" s="21" t="s">
        <v>480</v>
      </c>
      <c r="V339" s="10"/>
      <c r="W339" s="25">
        <v>3</v>
      </c>
      <c r="X339" s="1" t="s">
        <v>488</v>
      </c>
      <c r="Y339" s="1">
        <v>2</v>
      </c>
      <c r="Z339" s="1">
        <v>2</v>
      </c>
      <c r="AA339" s="8" t="s">
        <v>109</v>
      </c>
      <c r="AB339" s="8" t="s">
        <v>19</v>
      </c>
      <c r="AC339" s="12"/>
      <c r="AD339" s="444"/>
      <c r="AE339" s="445"/>
      <c r="AF339" s="446" t="str">
        <f t="shared" si="105"/>
        <v xml:space="preserve">  </v>
      </c>
      <c r="AG339" s="442" t="str">
        <f t="shared" si="101"/>
        <v>-</v>
      </c>
      <c r="AH339" s="445"/>
      <c r="AI339" s="448" t="s">
        <v>532</v>
      </c>
      <c r="AJ339" s="444"/>
      <c r="AK339" s="445"/>
      <c r="AL339" s="446" t="str">
        <f t="shared" si="106"/>
        <v xml:space="preserve">  </v>
      </c>
      <c r="AM339" s="442" t="str">
        <f t="shared" si="102"/>
        <v>-</v>
      </c>
      <c r="AN339" s="445"/>
      <c r="AO339" s="448" t="s">
        <v>532</v>
      </c>
      <c r="AP339" s="444"/>
      <c r="AQ339" s="445"/>
      <c r="AR339" s="446" t="str">
        <f t="shared" si="107"/>
        <v xml:space="preserve">  </v>
      </c>
      <c r="AS339" s="442" t="s">
        <v>532</v>
      </c>
      <c r="AT339" s="463"/>
      <c r="AU339" s="448" t="s">
        <v>532</v>
      </c>
      <c r="AV339" s="444"/>
      <c r="AW339" s="445"/>
      <c r="AX339" s="446" t="str">
        <f t="shared" si="108"/>
        <v xml:space="preserve">  </v>
      </c>
      <c r="AY339" s="442" t="str">
        <f t="shared" si="103"/>
        <v>-</v>
      </c>
      <c r="AZ339" s="445"/>
      <c r="BA339" s="448" t="s">
        <v>532</v>
      </c>
      <c r="BB339" s="59"/>
      <c r="BC339" s="223"/>
      <c r="BD339" s="254" t="str">
        <f t="shared" si="109"/>
        <v>C1</v>
      </c>
      <c r="BE339" s="213" t="str">
        <f t="shared" si="104"/>
        <v>-</v>
      </c>
      <c r="BF339" s="172" t="s">
        <v>217</v>
      </c>
      <c r="BG339" s="405" t="str">
        <f>IF(OR(BC$8="判定対象外",BF$8="判定対象外",BF339="-"),"-",IF(BC339=BF339,"OK","NG"))</f>
        <v>NG</v>
      </c>
      <c r="BH339" s="59"/>
      <c r="BI339" s="223"/>
      <c r="BJ339" s="254" t="str">
        <f t="shared" si="110"/>
        <v>B7</v>
      </c>
      <c r="BK339" s="213" t="str">
        <f>IF(OR(BI$8="判定対象外",BJ$8="判定対象外",BJ339="-"),"-",IF(BI339=BJ339,"OK","NG"))</f>
        <v>NG</v>
      </c>
      <c r="BL339" s="172" t="s">
        <v>582</v>
      </c>
      <c r="BM339" s="405" t="str">
        <f>IF(OR(BI$8="判定対象外",BL$8="判定対象外",BL339="-"),"-",IF(BI339=BL339,"OK","NG"))</f>
        <v>NG</v>
      </c>
    </row>
    <row r="340" spans="2:65" s="26" customFormat="1">
      <c r="B340" s="2">
        <f t="shared" si="96"/>
        <v>333</v>
      </c>
      <c r="C340" s="7"/>
      <c r="D340" s="7"/>
      <c r="E340" s="7"/>
      <c r="F340" s="22" t="s">
        <v>273</v>
      </c>
      <c r="G340" s="16"/>
      <c r="H340" s="13"/>
      <c r="I340" s="8"/>
      <c r="J340" s="8"/>
      <c r="K340" s="8"/>
      <c r="L340" s="8"/>
      <c r="M340" s="358" t="s">
        <v>205</v>
      </c>
      <c r="N340" s="11"/>
      <c r="O340" s="56"/>
      <c r="P340" s="93">
        <f t="shared" ref="P340:P361" si="112">P339+1</f>
        <v>306</v>
      </c>
      <c r="Q340" s="113">
        <v>2</v>
      </c>
      <c r="R340" s="21" t="str">
        <f t="shared" si="111"/>
        <v>X</v>
      </c>
      <c r="S340" s="96" t="s">
        <v>118</v>
      </c>
      <c r="T340" s="94"/>
      <c r="U340" s="21" t="s">
        <v>226</v>
      </c>
      <c r="V340" s="10"/>
      <c r="W340" s="25">
        <v>3</v>
      </c>
      <c r="X340" s="1" t="s">
        <v>119</v>
      </c>
      <c r="Y340" s="1">
        <v>2</v>
      </c>
      <c r="Z340" s="1">
        <v>2</v>
      </c>
      <c r="AA340" s="8" t="s">
        <v>109</v>
      </c>
      <c r="AB340" s="8" t="s">
        <v>19</v>
      </c>
      <c r="AC340" s="12"/>
      <c r="AD340" s="444"/>
      <c r="AE340" s="440"/>
      <c r="AF340" s="440" t="str">
        <f t="shared" si="105"/>
        <v xml:space="preserve">  </v>
      </c>
      <c r="AG340" s="442" t="str">
        <f t="shared" si="101"/>
        <v>-</v>
      </c>
      <c r="AH340" s="440"/>
      <c r="AI340" s="447" t="s">
        <v>532</v>
      </c>
      <c r="AJ340" s="444"/>
      <c r="AK340" s="440"/>
      <c r="AL340" s="440" t="str">
        <f t="shared" si="106"/>
        <v xml:space="preserve">  </v>
      </c>
      <c r="AM340" s="442" t="str">
        <f t="shared" si="102"/>
        <v>-</v>
      </c>
      <c r="AN340" s="440"/>
      <c r="AO340" s="447" t="s">
        <v>532</v>
      </c>
      <c r="AP340" s="444"/>
      <c r="AQ340" s="440"/>
      <c r="AR340" s="440" t="str">
        <f t="shared" si="107"/>
        <v xml:space="preserve">  </v>
      </c>
      <c r="AS340" s="447" t="s">
        <v>532</v>
      </c>
      <c r="AT340" s="462"/>
      <c r="AU340" s="447" t="s">
        <v>532</v>
      </c>
      <c r="AV340" s="444"/>
      <c r="AW340" s="440"/>
      <c r="AX340" s="440" t="str">
        <f t="shared" si="108"/>
        <v xml:space="preserve">  </v>
      </c>
      <c r="AY340" s="442" t="str">
        <f t="shared" si="103"/>
        <v>-</v>
      </c>
      <c r="AZ340" s="440"/>
      <c r="BA340" s="447" t="s">
        <v>532</v>
      </c>
      <c r="BB340" s="59"/>
      <c r="BC340" s="60"/>
      <c r="BD340" s="60" t="str">
        <f t="shared" si="109"/>
        <v xml:space="preserve">  </v>
      </c>
      <c r="BE340" s="213" t="str">
        <f t="shared" si="104"/>
        <v>-</v>
      </c>
      <c r="BF340" s="167"/>
      <c r="BG340" s="225" t="s">
        <v>215</v>
      </c>
      <c r="BH340" s="59"/>
      <c r="BI340" s="60"/>
      <c r="BJ340" s="60" t="str">
        <f t="shared" si="110"/>
        <v xml:space="preserve">  </v>
      </c>
      <c r="BK340" s="213" t="s">
        <v>215</v>
      </c>
      <c r="BL340" s="167"/>
      <c r="BM340" s="225" t="s">
        <v>215</v>
      </c>
    </row>
    <row r="341" spans="2:65" s="26" customFormat="1">
      <c r="B341" s="2">
        <f t="shared" si="96"/>
        <v>334</v>
      </c>
      <c r="C341" s="7"/>
      <c r="D341" s="7"/>
      <c r="E341" s="7"/>
      <c r="F341" s="22" t="s">
        <v>120</v>
      </c>
      <c r="G341" s="16"/>
      <c r="H341" s="13"/>
      <c r="I341" s="8"/>
      <c r="J341" s="8" t="s">
        <v>231</v>
      </c>
      <c r="K341" s="8"/>
      <c r="L341" s="8"/>
      <c r="M341" s="1" t="s">
        <v>121</v>
      </c>
      <c r="N341" s="1"/>
      <c r="O341" s="56"/>
      <c r="P341" s="93">
        <f t="shared" si="112"/>
        <v>307</v>
      </c>
      <c r="Q341" s="113">
        <v>255</v>
      </c>
      <c r="R341" s="21" t="str">
        <f t="shared" si="111"/>
        <v>NX</v>
      </c>
      <c r="S341" s="96" t="s">
        <v>122</v>
      </c>
      <c r="T341" s="94"/>
      <c r="U341" s="21" t="s">
        <v>226</v>
      </c>
      <c r="V341" s="10"/>
      <c r="W341" s="25">
        <v>3</v>
      </c>
      <c r="X341" s="1" t="s">
        <v>250</v>
      </c>
      <c r="Y341" s="1">
        <v>1</v>
      </c>
      <c r="Z341" s="1">
        <v>255</v>
      </c>
      <c r="AA341" s="8" t="s">
        <v>123</v>
      </c>
      <c r="AB341" s="8" t="s">
        <v>19</v>
      </c>
      <c r="AC341" s="12"/>
      <c r="AD341" s="444"/>
      <c r="AE341" s="445"/>
      <c r="AF341" s="445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41" s="442" t="str">
        <f t="shared" si="101"/>
        <v>-</v>
      </c>
      <c r="AH341" s="445"/>
      <c r="AI341" s="447" t="s">
        <v>532</v>
      </c>
      <c r="AJ341" s="444"/>
      <c r="AK341" s="445"/>
      <c r="AL341" s="445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41" s="442" t="str">
        <f t="shared" si="102"/>
        <v>-</v>
      </c>
      <c r="AN341" s="445"/>
      <c r="AO341" s="447" t="s">
        <v>532</v>
      </c>
      <c r="AP341" s="444"/>
      <c r="AQ341" s="445"/>
      <c r="AR341" s="445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41" s="447" t="s">
        <v>532</v>
      </c>
      <c r="AT341" s="463"/>
      <c r="AU341" s="447" t="s">
        <v>532</v>
      </c>
      <c r="AV341" s="444"/>
      <c r="AW341" s="445"/>
      <c r="AX341" s="445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41" s="442" t="str">
        <f t="shared" si="103"/>
        <v>-</v>
      </c>
      <c r="AZ341" s="445"/>
      <c r="BA341" s="447" t="s">
        <v>532</v>
      </c>
      <c r="BB341" s="59"/>
      <c r="BC341" s="223"/>
      <c r="BD341" s="223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41" s="213" t="str">
        <f t="shared" si="104"/>
        <v>-</v>
      </c>
      <c r="BF341" s="172"/>
      <c r="BG341" s="225" t="s">
        <v>215</v>
      </c>
      <c r="BH341" s="59"/>
      <c r="BI341" s="223"/>
      <c r="BJ341" s="223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41" s="213" t="s">
        <v>215</v>
      </c>
      <c r="BL341" s="172"/>
      <c r="BM341" s="225" t="s">
        <v>215</v>
      </c>
    </row>
    <row r="342" spans="2:65" s="26" customFormat="1">
      <c r="B342" s="19">
        <f t="shared" si="96"/>
        <v>335</v>
      </c>
      <c r="C342" s="7"/>
      <c r="D342" s="7"/>
      <c r="E342" s="7"/>
      <c r="F342" s="3" t="s">
        <v>124</v>
      </c>
      <c r="G342" s="3"/>
      <c r="H342" s="4"/>
      <c r="I342" s="6"/>
      <c r="J342" s="6"/>
      <c r="K342" s="6"/>
      <c r="L342" s="6"/>
      <c r="M342" s="23" t="s">
        <v>125</v>
      </c>
      <c r="N342" s="5"/>
      <c r="O342" s="54"/>
      <c r="P342" s="93">
        <f t="shared" si="112"/>
        <v>308</v>
      </c>
      <c r="Q342" s="114">
        <v>256</v>
      </c>
      <c r="R342" s="21" t="str">
        <f t="shared" si="111"/>
        <v>NX</v>
      </c>
      <c r="S342" s="96" t="s">
        <v>126</v>
      </c>
      <c r="T342" s="94"/>
      <c r="U342" s="21" t="s">
        <v>226</v>
      </c>
      <c r="V342" s="10"/>
      <c r="W342" s="28">
        <v>3</v>
      </c>
      <c r="X342" s="5" t="s">
        <v>251</v>
      </c>
      <c r="Y342" s="5">
        <v>1</v>
      </c>
      <c r="Z342" s="5">
        <v>256</v>
      </c>
      <c r="AA342" s="6" t="s">
        <v>252</v>
      </c>
      <c r="AB342" s="6" t="s">
        <v>226</v>
      </c>
      <c r="AC342" s="63"/>
      <c r="AD342" s="444"/>
      <c r="AE342" s="440"/>
      <c r="AF342" s="440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42" s="442" t="str">
        <f t="shared" si="101"/>
        <v>-</v>
      </c>
      <c r="AH342" s="440"/>
      <c r="AI342" s="447" t="s">
        <v>532</v>
      </c>
      <c r="AJ342" s="444"/>
      <c r="AK342" s="440"/>
      <c r="AL342" s="440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42" s="442" t="str">
        <f t="shared" si="102"/>
        <v>-</v>
      </c>
      <c r="AN342" s="440"/>
      <c r="AO342" s="447" t="s">
        <v>532</v>
      </c>
      <c r="AP342" s="444"/>
      <c r="AQ342" s="440"/>
      <c r="AR342" s="440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42" s="447" t="s">
        <v>532</v>
      </c>
      <c r="AT342" s="462"/>
      <c r="AU342" s="447" t="s">
        <v>532</v>
      </c>
      <c r="AV342" s="444"/>
      <c r="AW342" s="440"/>
      <c r="AX342" s="440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42" s="442" t="str">
        <f t="shared" si="103"/>
        <v>-</v>
      </c>
      <c r="AZ342" s="440"/>
      <c r="BA342" s="447" t="s">
        <v>532</v>
      </c>
      <c r="BB342" s="59"/>
      <c r="BC342" s="60"/>
      <c r="BD342" s="60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42" s="213" t="str">
        <f t="shared" si="104"/>
        <v>-</v>
      </c>
      <c r="BF342" s="167"/>
      <c r="BG342" s="225" t="s">
        <v>215</v>
      </c>
      <c r="BH342" s="59"/>
      <c r="BI342" s="60"/>
      <c r="BJ342" s="60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42" s="213" t="s">
        <v>215</v>
      </c>
      <c r="BL342" s="167"/>
      <c r="BM342" s="225" t="s">
        <v>215</v>
      </c>
    </row>
    <row r="343" spans="2:65" s="26" customFormat="1" ht="63.75">
      <c r="B343" s="2">
        <f t="shared" ref="B343:B406" si="113">ROW()-7</f>
        <v>336</v>
      </c>
      <c r="C343" s="7"/>
      <c r="D343" s="7"/>
      <c r="E343" s="7"/>
      <c r="F343" s="22" t="s">
        <v>127</v>
      </c>
      <c r="G343" s="16"/>
      <c r="H343" s="13"/>
      <c r="I343" s="8"/>
      <c r="J343" s="8"/>
      <c r="K343" s="8"/>
      <c r="L343" s="8"/>
      <c r="M343" s="11" t="s">
        <v>311</v>
      </c>
      <c r="N343" s="1"/>
      <c r="O343" s="56"/>
      <c r="P343" s="93">
        <f t="shared" si="112"/>
        <v>309</v>
      </c>
      <c r="Q343" s="113">
        <v>256</v>
      </c>
      <c r="R343" s="21" t="str">
        <f t="shared" si="111"/>
        <v>NX</v>
      </c>
      <c r="S343" s="96" t="s">
        <v>128</v>
      </c>
      <c r="T343" s="94"/>
      <c r="U343" s="21" t="s">
        <v>226</v>
      </c>
      <c r="V343" s="10"/>
      <c r="W343" s="25">
        <v>3</v>
      </c>
      <c r="X343" s="1" t="s">
        <v>129</v>
      </c>
      <c r="Y343" s="1">
        <v>1</v>
      </c>
      <c r="Z343" s="1">
        <v>256</v>
      </c>
      <c r="AA343" s="8" t="s">
        <v>123</v>
      </c>
      <c r="AB343" s="8" t="s">
        <v>226</v>
      </c>
      <c r="AC343" s="12"/>
      <c r="AD343" s="444"/>
      <c r="AE343" s="445"/>
      <c r="AF343" s="446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43" s="442" t="str">
        <f t="shared" si="101"/>
        <v>-</v>
      </c>
      <c r="AH343" s="445"/>
      <c r="AI343" s="447" t="s">
        <v>532</v>
      </c>
      <c r="AJ343" s="444"/>
      <c r="AK343" s="445"/>
      <c r="AL343" s="446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43" s="442" t="str">
        <f t="shared" si="102"/>
        <v>-</v>
      </c>
      <c r="AN343" s="445"/>
      <c r="AO343" s="447" t="s">
        <v>532</v>
      </c>
      <c r="AP343" s="444"/>
      <c r="AQ343" s="445"/>
      <c r="AR343" s="446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43" s="447" t="s">
        <v>532</v>
      </c>
      <c r="AT343" s="463"/>
      <c r="AU343" s="447" t="s">
        <v>532</v>
      </c>
      <c r="AV343" s="444"/>
      <c r="AW343" s="445"/>
      <c r="AX343" s="446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43" s="442" t="str">
        <f t="shared" si="103"/>
        <v>-</v>
      </c>
      <c r="AZ343" s="445"/>
      <c r="BA343" s="447" t="s">
        <v>532</v>
      </c>
      <c r="BB343" s="59"/>
      <c r="BC343" s="223"/>
      <c r="BD343" s="254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43" s="213" t="str">
        <f t="shared" si="104"/>
        <v>-</v>
      </c>
      <c r="BF343" s="172"/>
      <c r="BG343" s="225" t="s">
        <v>215</v>
      </c>
      <c r="BH343" s="59"/>
      <c r="BI343" s="223"/>
      <c r="BJ343" s="254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43" s="213" t="s">
        <v>215</v>
      </c>
      <c r="BL343" s="172"/>
      <c r="BM343" s="225" t="s">
        <v>215</v>
      </c>
    </row>
    <row r="344" spans="2:65" s="26" customFormat="1" ht="63.75">
      <c r="B344" s="2">
        <f t="shared" si="113"/>
        <v>337</v>
      </c>
      <c r="C344" s="7"/>
      <c r="D344" s="7"/>
      <c r="E344" s="7"/>
      <c r="F344" s="22" t="s">
        <v>130</v>
      </c>
      <c r="G344" s="16"/>
      <c r="H344" s="13"/>
      <c r="I344" s="8"/>
      <c r="J344" s="8"/>
      <c r="K344" s="8"/>
      <c r="L344" s="8"/>
      <c r="M344" s="11" t="s">
        <v>312</v>
      </c>
      <c r="N344" s="1"/>
      <c r="O344" s="56"/>
      <c r="P344" s="93">
        <f t="shared" si="112"/>
        <v>310</v>
      </c>
      <c r="Q344" s="113">
        <v>256</v>
      </c>
      <c r="R344" s="21" t="str">
        <f t="shared" si="111"/>
        <v>NX</v>
      </c>
      <c r="S344" s="96" t="s">
        <v>131</v>
      </c>
      <c r="T344" s="94"/>
      <c r="U344" s="21" t="s">
        <v>226</v>
      </c>
      <c r="V344" s="10"/>
      <c r="W344" s="25">
        <v>3</v>
      </c>
      <c r="X344" s="1" t="s">
        <v>132</v>
      </c>
      <c r="Y344" s="1">
        <v>1</v>
      </c>
      <c r="Z344" s="1">
        <v>256</v>
      </c>
      <c r="AA344" s="8" t="s">
        <v>123</v>
      </c>
      <c r="AB344" s="8" t="s">
        <v>226</v>
      </c>
      <c r="AC344" s="12"/>
      <c r="AD344" s="444"/>
      <c r="AE344" s="445"/>
      <c r="AF344" s="446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44" s="442" t="str">
        <f t="shared" si="101"/>
        <v>-</v>
      </c>
      <c r="AH344" s="445"/>
      <c r="AI344" s="447" t="s">
        <v>532</v>
      </c>
      <c r="AJ344" s="444"/>
      <c r="AK344" s="445"/>
      <c r="AL344" s="446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44" s="442" t="str">
        <f t="shared" si="102"/>
        <v>-</v>
      </c>
      <c r="AN344" s="445"/>
      <c r="AO344" s="447" t="s">
        <v>532</v>
      </c>
      <c r="AP344" s="444"/>
      <c r="AQ344" s="445"/>
      <c r="AR344" s="446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44" s="447" t="s">
        <v>532</v>
      </c>
      <c r="AT344" s="463"/>
      <c r="AU344" s="447" t="s">
        <v>532</v>
      </c>
      <c r="AV344" s="444"/>
      <c r="AW344" s="445"/>
      <c r="AX344" s="446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44" s="442" t="str">
        <f t="shared" si="103"/>
        <v>-</v>
      </c>
      <c r="AZ344" s="445"/>
      <c r="BA344" s="447" t="s">
        <v>532</v>
      </c>
      <c r="BB344" s="59"/>
      <c r="BC344" s="223"/>
      <c r="BD344" s="254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44" s="213" t="str">
        <f t="shared" si="104"/>
        <v>-</v>
      </c>
      <c r="BF344" s="172"/>
      <c r="BG344" s="225" t="s">
        <v>215</v>
      </c>
      <c r="BH344" s="59"/>
      <c r="BI344" s="223"/>
      <c r="BJ344" s="254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44" s="213" t="s">
        <v>215</v>
      </c>
      <c r="BL344" s="172"/>
      <c r="BM344" s="225" t="s">
        <v>215</v>
      </c>
    </row>
    <row r="345" spans="2:65" s="26" customFormat="1" ht="69" customHeight="1">
      <c r="B345" s="19">
        <f t="shared" si="113"/>
        <v>338</v>
      </c>
      <c r="C345" s="7"/>
      <c r="D345" s="7"/>
      <c r="E345" s="7"/>
      <c r="F345" s="110" t="s">
        <v>313</v>
      </c>
      <c r="G345" s="16"/>
      <c r="H345" s="13"/>
      <c r="I345" s="8"/>
      <c r="J345" s="8" t="s">
        <v>231</v>
      </c>
      <c r="K345" s="8"/>
      <c r="L345" s="8"/>
      <c r="M345" s="11" t="s">
        <v>253</v>
      </c>
      <c r="N345" s="1"/>
      <c r="O345" s="56"/>
      <c r="P345" s="93">
        <f t="shared" si="112"/>
        <v>311</v>
      </c>
      <c r="Q345" s="113">
        <v>1</v>
      </c>
      <c r="R345" s="21" t="s">
        <v>229</v>
      </c>
      <c r="S345" s="96" t="s">
        <v>133</v>
      </c>
      <c r="T345" s="94"/>
      <c r="U345" s="21" t="s">
        <v>226</v>
      </c>
      <c r="V345" s="10"/>
      <c r="W345" s="25">
        <v>3</v>
      </c>
      <c r="X345" s="1" t="s">
        <v>134</v>
      </c>
      <c r="Y345" s="1">
        <v>1</v>
      </c>
      <c r="Z345" s="1">
        <v>1</v>
      </c>
      <c r="AA345" s="8">
        <v>9</v>
      </c>
      <c r="AB345" s="8" t="s">
        <v>19</v>
      </c>
      <c r="AC345" s="12"/>
      <c r="AD345" s="444"/>
      <c r="AE345" s="445"/>
      <c r="AF345" s="440" t="str">
        <f t="shared" si="105"/>
        <v xml:space="preserve"> </v>
      </c>
      <c r="AG345" s="442" t="str">
        <f t="shared" si="101"/>
        <v>-</v>
      </c>
      <c r="AH345" s="445"/>
      <c r="AI345" s="447" t="s">
        <v>532</v>
      </c>
      <c r="AJ345" s="444"/>
      <c r="AK345" s="445"/>
      <c r="AL345" s="440" t="str">
        <f t="shared" si="106"/>
        <v xml:space="preserve"> </v>
      </c>
      <c r="AM345" s="442" t="str">
        <f t="shared" si="102"/>
        <v>-</v>
      </c>
      <c r="AN345" s="445"/>
      <c r="AO345" s="447" t="s">
        <v>532</v>
      </c>
      <c r="AP345" s="444"/>
      <c r="AQ345" s="445"/>
      <c r="AR345" s="440" t="str">
        <f t="shared" si="107"/>
        <v xml:space="preserve"> </v>
      </c>
      <c r="AS345" s="447" t="s">
        <v>532</v>
      </c>
      <c r="AT345" s="463"/>
      <c r="AU345" s="447" t="s">
        <v>532</v>
      </c>
      <c r="AV345" s="444"/>
      <c r="AW345" s="445"/>
      <c r="AX345" s="440" t="str">
        <f t="shared" si="108"/>
        <v xml:space="preserve"> </v>
      </c>
      <c r="AY345" s="442" t="str">
        <f t="shared" si="103"/>
        <v>-</v>
      </c>
      <c r="AZ345" s="445"/>
      <c r="BA345" s="447" t="s">
        <v>532</v>
      </c>
      <c r="BB345" s="59"/>
      <c r="BC345" s="223"/>
      <c r="BD345" s="60" t="str">
        <f t="shared" si="109"/>
        <v xml:space="preserve"> </v>
      </c>
      <c r="BE345" s="213" t="str">
        <f t="shared" si="104"/>
        <v>-</v>
      </c>
      <c r="BF345" s="172"/>
      <c r="BG345" s="225" t="s">
        <v>215</v>
      </c>
      <c r="BH345" s="59"/>
      <c r="BI345" s="223"/>
      <c r="BJ345" s="60" t="str">
        <f t="shared" si="110"/>
        <v xml:space="preserve"> </v>
      </c>
      <c r="BK345" s="213" t="s">
        <v>215</v>
      </c>
      <c r="BL345" s="172"/>
      <c r="BM345" s="225" t="s">
        <v>215</v>
      </c>
    </row>
    <row r="346" spans="2:65" s="26" customFormat="1" ht="114.75">
      <c r="B346" s="2">
        <f t="shared" si="113"/>
        <v>339</v>
      </c>
      <c r="C346" s="7"/>
      <c r="D346" s="7"/>
      <c r="E346" s="7"/>
      <c r="F346" s="22" t="s">
        <v>135</v>
      </c>
      <c r="G346" s="16"/>
      <c r="H346" s="13"/>
      <c r="I346" s="8"/>
      <c r="J346" s="8"/>
      <c r="K346" s="8"/>
      <c r="L346" s="8"/>
      <c r="M346" s="359" t="s">
        <v>206</v>
      </c>
      <c r="N346" s="1"/>
      <c r="O346" s="56"/>
      <c r="P346" s="93">
        <f t="shared" si="112"/>
        <v>312</v>
      </c>
      <c r="Q346" s="113">
        <v>1</v>
      </c>
      <c r="R346" s="21" t="s">
        <v>229</v>
      </c>
      <c r="S346" s="96" t="s">
        <v>136</v>
      </c>
      <c r="T346" s="94"/>
      <c r="U346" s="21" t="s">
        <v>226</v>
      </c>
      <c r="V346" s="10"/>
      <c r="W346" s="25">
        <v>3</v>
      </c>
      <c r="X346" s="1" t="s">
        <v>18</v>
      </c>
      <c r="Y346" s="1">
        <v>1</v>
      </c>
      <c r="Z346" s="1">
        <v>1</v>
      </c>
      <c r="AA346" s="8">
        <v>9</v>
      </c>
      <c r="AB346" s="8" t="s">
        <v>19</v>
      </c>
      <c r="AC346" s="101"/>
      <c r="AD346" s="444"/>
      <c r="AE346" s="445"/>
      <c r="AF346" s="440" t="str">
        <f t="shared" si="105"/>
        <v xml:space="preserve"> </v>
      </c>
      <c r="AG346" s="442" t="str">
        <f t="shared" si="101"/>
        <v>-</v>
      </c>
      <c r="AH346" s="445"/>
      <c r="AI346" s="447" t="s">
        <v>532</v>
      </c>
      <c r="AJ346" s="444"/>
      <c r="AK346" s="445"/>
      <c r="AL346" s="440" t="str">
        <f t="shared" si="106"/>
        <v xml:space="preserve"> </v>
      </c>
      <c r="AM346" s="442" t="str">
        <f t="shared" si="102"/>
        <v>-</v>
      </c>
      <c r="AN346" s="445"/>
      <c r="AO346" s="447" t="s">
        <v>532</v>
      </c>
      <c r="AP346" s="444"/>
      <c r="AQ346" s="445"/>
      <c r="AR346" s="440" t="str">
        <f t="shared" si="107"/>
        <v xml:space="preserve"> </v>
      </c>
      <c r="AS346" s="447" t="s">
        <v>532</v>
      </c>
      <c r="AT346" s="463"/>
      <c r="AU346" s="447" t="s">
        <v>532</v>
      </c>
      <c r="AV346" s="444"/>
      <c r="AW346" s="445"/>
      <c r="AX346" s="440" t="str">
        <f t="shared" si="108"/>
        <v xml:space="preserve"> </v>
      </c>
      <c r="AY346" s="442" t="str">
        <f t="shared" si="103"/>
        <v>-</v>
      </c>
      <c r="AZ346" s="445"/>
      <c r="BA346" s="447" t="s">
        <v>532</v>
      </c>
      <c r="BB346" s="59"/>
      <c r="BC346" s="223"/>
      <c r="BD346" s="60" t="str">
        <f t="shared" si="109"/>
        <v xml:space="preserve"> </v>
      </c>
      <c r="BE346" s="213" t="str">
        <f t="shared" si="104"/>
        <v>-</v>
      </c>
      <c r="BF346" s="172"/>
      <c r="BG346" s="225" t="s">
        <v>215</v>
      </c>
      <c r="BH346" s="59"/>
      <c r="BI346" s="223"/>
      <c r="BJ346" s="60" t="str">
        <f t="shared" si="110"/>
        <v xml:space="preserve"> </v>
      </c>
      <c r="BK346" s="213" t="s">
        <v>215</v>
      </c>
      <c r="BL346" s="172"/>
      <c r="BM346" s="225" t="s">
        <v>215</v>
      </c>
    </row>
    <row r="347" spans="2:65" s="26" customFormat="1" ht="126.75" customHeight="1">
      <c r="B347" s="64">
        <f t="shared" si="113"/>
        <v>340</v>
      </c>
      <c r="C347" s="7"/>
      <c r="D347" s="7"/>
      <c r="E347" s="7"/>
      <c r="F347" s="110" t="s">
        <v>137</v>
      </c>
      <c r="G347" s="16"/>
      <c r="H347" s="13"/>
      <c r="I347" s="8"/>
      <c r="J347" s="8"/>
      <c r="K347" s="8"/>
      <c r="L347" s="8"/>
      <c r="M347" s="11" t="s">
        <v>479</v>
      </c>
      <c r="N347" s="1"/>
      <c r="O347" s="56"/>
      <c r="P347" s="93">
        <f t="shared" si="112"/>
        <v>313</v>
      </c>
      <c r="Q347" s="113">
        <v>1</v>
      </c>
      <c r="R347" s="21" t="str">
        <f t="shared" si="111"/>
        <v>X</v>
      </c>
      <c r="S347" s="96" t="s">
        <v>183</v>
      </c>
      <c r="T347" s="94"/>
      <c r="U347" s="21" t="s">
        <v>226</v>
      </c>
      <c r="V347" s="10"/>
      <c r="W347" s="25">
        <v>3</v>
      </c>
      <c r="X347" s="1" t="s">
        <v>254</v>
      </c>
      <c r="Y347" s="1">
        <v>1</v>
      </c>
      <c r="Z347" s="1">
        <v>1</v>
      </c>
      <c r="AA347" s="8" t="s">
        <v>229</v>
      </c>
      <c r="AB347" s="8" t="s">
        <v>226</v>
      </c>
      <c r="AC347" s="12"/>
      <c r="AD347" s="444"/>
      <c r="AE347" s="445"/>
      <c r="AF347" s="440" t="str">
        <f t="shared" si="105"/>
        <v xml:space="preserve"> </v>
      </c>
      <c r="AG347" s="442" t="str">
        <f t="shared" si="101"/>
        <v>-</v>
      </c>
      <c r="AH347" s="445"/>
      <c r="AI347" s="447" t="s">
        <v>532</v>
      </c>
      <c r="AJ347" s="444"/>
      <c r="AK347" s="445"/>
      <c r="AL347" s="440" t="str">
        <f t="shared" si="106"/>
        <v xml:space="preserve"> </v>
      </c>
      <c r="AM347" s="442" t="str">
        <f t="shared" si="102"/>
        <v>-</v>
      </c>
      <c r="AN347" s="445"/>
      <c r="AO347" s="447" t="s">
        <v>532</v>
      </c>
      <c r="AP347" s="444"/>
      <c r="AQ347" s="445"/>
      <c r="AR347" s="440" t="str">
        <f t="shared" si="107"/>
        <v xml:space="preserve"> </v>
      </c>
      <c r="AS347" s="447" t="s">
        <v>532</v>
      </c>
      <c r="AT347" s="463"/>
      <c r="AU347" s="447" t="s">
        <v>532</v>
      </c>
      <c r="AV347" s="444"/>
      <c r="AW347" s="445"/>
      <c r="AX347" s="440" t="str">
        <f t="shared" si="108"/>
        <v xml:space="preserve"> </v>
      </c>
      <c r="AY347" s="442" t="str">
        <f t="shared" si="103"/>
        <v>-</v>
      </c>
      <c r="AZ347" s="445"/>
      <c r="BA347" s="447" t="s">
        <v>532</v>
      </c>
      <c r="BB347" s="59"/>
      <c r="BC347" s="223"/>
      <c r="BD347" s="60" t="str">
        <f t="shared" si="109"/>
        <v xml:space="preserve"> </v>
      </c>
      <c r="BE347" s="213" t="str">
        <f t="shared" si="104"/>
        <v>-</v>
      </c>
      <c r="BF347" s="172"/>
      <c r="BG347" s="225" t="s">
        <v>215</v>
      </c>
      <c r="BH347" s="59"/>
      <c r="BI347" s="223"/>
      <c r="BJ347" s="60" t="str">
        <f t="shared" si="110"/>
        <v xml:space="preserve"> </v>
      </c>
      <c r="BK347" s="213" t="s">
        <v>215</v>
      </c>
      <c r="BL347" s="172"/>
      <c r="BM347" s="225" t="s">
        <v>215</v>
      </c>
    </row>
    <row r="348" spans="2:65" s="26" customFormat="1">
      <c r="B348" s="64">
        <f t="shared" si="113"/>
        <v>341</v>
      </c>
      <c r="C348" s="7"/>
      <c r="D348" s="7"/>
      <c r="E348" s="7"/>
      <c r="F348" s="22" t="s">
        <v>138</v>
      </c>
      <c r="G348" s="16"/>
      <c r="H348" s="13"/>
      <c r="I348" s="8"/>
      <c r="J348" s="8"/>
      <c r="K348" s="8"/>
      <c r="L348" s="8"/>
      <c r="M348" s="359" t="s">
        <v>139</v>
      </c>
      <c r="N348" s="1"/>
      <c r="O348" s="56"/>
      <c r="P348" s="93">
        <f t="shared" si="112"/>
        <v>314</v>
      </c>
      <c r="Q348" s="113">
        <v>400</v>
      </c>
      <c r="R348" s="21" t="str">
        <f t="shared" si="111"/>
        <v>NX</v>
      </c>
      <c r="S348" s="96" t="s">
        <v>140</v>
      </c>
      <c r="T348" s="94"/>
      <c r="U348" s="21" t="s">
        <v>226</v>
      </c>
      <c r="V348" s="10"/>
      <c r="W348" s="25">
        <v>3</v>
      </c>
      <c r="X348" s="1" t="s">
        <v>141</v>
      </c>
      <c r="Y348" s="1">
        <v>1</v>
      </c>
      <c r="Z348" s="1">
        <v>400</v>
      </c>
      <c r="AA348" s="8" t="s">
        <v>123</v>
      </c>
      <c r="AB348" s="8" t="s">
        <v>226</v>
      </c>
      <c r="AC348" s="12"/>
      <c r="AD348" s="444"/>
      <c r="AE348" s="445"/>
      <c r="AF348" s="449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48" s="442" t="str">
        <f t="shared" si="101"/>
        <v>-</v>
      </c>
      <c r="AH348" s="445"/>
      <c r="AI348" s="447" t="s">
        <v>532</v>
      </c>
      <c r="AJ348" s="444"/>
      <c r="AK348" s="445"/>
      <c r="AL348" s="449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48" s="442" t="str">
        <f t="shared" si="102"/>
        <v>-</v>
      </c>
      <c r="AN348" s="445"/>
      <c r="AO348" s="447" t="s">
        <v>532</v>
      </c>
      <c r="AP348" s="444"/>
      <c r="AQ348" s="445"/>
      <c r="AR348" s="449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48" s="447" t="s">
        <v>532</v>
      </c>
      <c r="AT348" s="463"/>
      <c r="AU348" s="447" t="s">
        <v>532</v>
      </c>
      <c r="AV348" s="444"/>
      <c r="AW348" s="445"/>
      <c r="AX348" s="449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48" s="442" t="str">
        <f t="shared" si="103"/>
        <v>-</v>
      </c>
      <c r="AZ348" s="445"/>
      <c r="BA348" s="447" t="s">
        <v>532</v>
      </c>
      <c r="BB348" s="59"/>
      <c r="BC348" s="223"/>
      <c r="BD348" s="252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48" s="213" t="str">
        <f t="shared" si="104"/>
        <v>-</v>
      </c>
      <c r="BF348" s="172"/>
      <c r="BG348" s="225" t="s">
        <v>215</v>
      </c>
      <c r="BH348" s="59"/>
      <c r="BI348" s="223"/>
      <c r="BJ348" s="252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48" s="213" t="s">
        <v>215</v>
      </c>
      <c r="BL348" s="172"/>
      <c r="BM348" s="225" t="s">
        <v>215</v>
      </c>
    </row>
    <row r="349" spans="2:65" s="26" customFormat="1" ht="63.75">
      <c r="B349" s="64">
        <f t="shared" si="113"/>
        <v>342</v>
      </c>
      <c r="C349" s="7"/>
      <c r="D349" s="7"/>
      <c r="E349" s="7"/>
      <c r="F349" s="22" t="s">
        <v>142</v>
      </c>
      <c r="G349" s="16"/>
      <c r="H349" s="13"/>
      <c r="I349" s="8"/>
      <c r="J349" s="8"/>
      <c r="K349" s="8"/>
      <c r="L349" s="8"/>
      <c r="M349" s="359" t="s">
        <v>314</v>
      </c>
      <c r="N349" s="1"/>
      <c r="O349" s="56"/>
      <c r="P349" s="93">
        <f t="shared" si="112"/>
        <v>315</v>
      </c>
      <c r="Q349" s="113">
        <v>400</v>
      </c>
      <c r="R349" s="21" t="str">
        <f t="shared" si="111"/>
        <v>NX</v>
      </c>
      <c r="S349" s="96" t="s">
        <v>143</v>
      </c>
      <c r="T349" s="94"/>
      <c r="U349" s="21" t="s">
        <v>226</v>
      </c>
      <c r="V349" s="10"/>
      <c r="W349" s="25">
        <v>3</v>
      </c>
      <c r="X349" s="1" t="s">
        <v>144</v>
      </c>
      <c r="Y349" s="1">
        <v>1</v>
      </c>
      <c r="Z349" s="1">
        <v>400</v>
      </c>
      <c r="AA349" s="8" t="s">
        <v>123</v>
      </c>
      <c r="AB349" s="8" t="s">
        <v>226</v>
      </c>
      <c r="AC349" s="12"/>
      <c r="AD349" s="444"/>
      <c r="AE349" s="445"/>
      <c r="AF349" s="450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49" s="442" t="str">
        <f t="shared" si="101"/>
        <v>-</v>
      </c>
      <c r="AH349" s="445"/>
      <c r="AI349" s="447" t="s">
        <v>532</v>
      </c>
      <c r="AJ349" s="444"/>
      <c r="AK349" s="445"/>
      <c r="AL349" s="450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49" s="442" t="str">
        <f t="shared" si="102"/>
        <v>-</v>
      </c>
      <c r="AN349" s="445"/>
      <c r="AO349" s="447" t="s">
        <v>532</v>
      </c>
      <c r="AP349" s="444"/>
      <c r="AQ349" s="445"/>
      <c r="AR349" s="450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49" s="447" t="s">
        <v>532</v>
      </c>
      <c r="AT349" s="463"/>
      <c r="AU349" s="447" t="s">
        <v>532</v>
      </c>
      <c r="AV349" s="444"/>
      <c r="AW349" s="445"/>
      <c r="AX349" s="450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49" s="442" t="str">
        <f t="shared" si="103"/>
        <v>-</v>
      </c>
      <c r="AZ349" s="445"/>
      <c r="BA349" s="447" t="s">
        <v>532</v>
      </c>
      <c r="BB349" s="59"/>
      <c r="BC349" s="223"/>
      <c r="BD349" s="90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49" s="213" t="str">
        <f t="shared" si="104"/>
        <v>-</v>
      </c>
      <c r="BF349" s="172"/>
      <c r="BG349" s="225" t="s">
        <v>215</v>
      </c>
      <c r="BH349" s="59"/>
      <c r="BI349" s="223"/>
      <c r="BJ349" s="90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49" s="213" t="s">
        <v>215</v>
      </c>
      <c r="BL349" s="172"/>
      <c r="BM349" s="225" t="s">
        <v>215</v>
      </c>
    </row>
    <row r="350" spans="2:65" s="26" customFormat="1">
      <c r="B350" s="64">
        <f t="shared" si="113"/>
        <v>343</v>
      </c>
      <c r="C350" s="7"/>
      <c r="D350" s="7"/>
      <c r="E350" s="7"/>
      <c r="F350" s="22" t="s">
        <v>145</v>
      </c>
      <c r="G350" s="16"/>
      <c r="H350" s="13"/>
      <c r="I350" s="8"/>
      <c r="J350" s="8"/>
      <c r="K350" s="8"/>
      <c r="L350" s="8"/>
      <c r="M350" s="11" t="s">
        <v>146</v>
      </c>
      <c r="N350" s="1"/>
      <c r="O350" s="56"/>
      <c r="P350" s="93">
        <f t="shared" si="112"/>
        <v>316</v>
      </c>
      <c r="Q350" s="113">
        <v>400</v>
      </c>
      <c r="R350" s="21" t="str">
        <f t="shared" si="111"/>
        <v>NX</v>
      </c>
      <c r="S350" s="96" t="s">
        <v>147</v>
      </c>
      <c r="T350" s="94"/>
      <c r="U350" s="21" t="s">
        <v>226</v>
      </c>
      <c r="V350" s="10"/>
      <c r="W350" s="25">
        <v>3</v>
      </c>
      <c r="X350" s="1" t="s">
        <v>148</v>
      </c>
      <c r="Y350" s="1">
        <v>1</v>
      </c>
      <c r="Z350" s="1">
        <v>400</v>
      </c>
      <c r="AA350" s="8" t="s">
        <v>123</v>
      </c>
      <c r="AB350" s="8" t="s">
        <v>226</v>
      </c>
      <c r="AC350" s="12"/>
      <c r="AD350" s="444"/>
      <c r="AE350" s="440"/>
      <c r="AF350" s="450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50" s="442" t="str">
        <f t="shared" si="101"/>
        <v>-</v>
      </c>
      <c r="AH350" s="440"/>
      <c r="AI350" s="447" t="s">
        <v>532</v>
      </c>
      <c r="AJ350" s="444"/>
      <c r="AK350" s="440"/>
      <c r="AL350" s="450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50" s="442" t="str">
        <f t="shared" si="102"/>
        <v>-</v>
      </c>
      <c r="AN350" s="440"/>
      <c r="AO350" s="447" t="s">
        <v>532</v>
      </c>
      <c r="AP350" s="444"/>
      <c r="AQ350" s="440"/>
      <c r="AR350" s="450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50" s="447" t="s">
        <v>532</v>
      </c>
      <c r="AT350" s="462"/>
      <c r="AU350" s="447" t="s">
        <v>532</v>
      </c>
      <c r="AV350" s="444"/>
      <c r="AW350" s="440"/>
      <c r="AX350" s="450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50" s="442" t="str">
        <f t="shared" si="103"/>
        <v>-</v>
      </c>
      <c r="AZ350" s="440"/>
      <c r="BA350" s="447" t="s">
        <v>532</v>
      </c>
      <c r="BB350" s="59"/>
      <c r="BC350" s="60"/>
      <c r="BD350" s="90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50" s="213" t="str">
        <f t="shared" si="104"/>
        <v>-</v>
      </c>
      <c r="BF350" s="167"/>
      <c r="BG350" s="225" t="s">
        <v>215</v>
      </c>
      <c r="BH350" s="59"/>
      <c r="BI350" s="60"/>
      <c r="BJ350" s="90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50" s="213" t="s">
        <v>215</v>
      </c>
      <c r="BL350" s="167"/>
      <c r="BM350" s="225" t="s">
        <v>215</v>
      </c>
    </row>
    <row r="351" spans="2:65" s="26" customFormat="1" ht="76.5">
      <c r="B351" s="64">
        <f t="shared" si="113"/>
        <v>344</v>
      </c>
      <c r="C351" s="7"/>
      <c r="D351" s="7"/>
      <c r="E351" s="7"/>
      <c r="F351" s="22" t="s">
        <v>149</v>
      </c>
      <c r="G351" s="16"/>
      <c r="H351" s="13"/>
      <c r="I351" s="8"/>
      <c r="J351" s="8"/>
      <c r="K351" s="8"/>
      <c r="L351" s="8"/>
      <c r="M351" s="11" t="s">
        <v>315</v>
      </c>
      <c r="N351" s="1"/>
      <c r="O351" s="56"/>
      <c r="P351" s="93">
        <f t="shared" si="112"/>
        <v>317</v>
      </c>
      <c r="Q351" s="113">
        <v>400</v>
      </c>
      <c r="R351" s="21" t="str">
        <f t="shared" si="111"/>
        <v>NX</v>
      </c>
      <c r="S351" s="96" t="s">
        <v>150</v>
      </c>
      <c r="T351" s="94"/>
      <c r="U351" s="21" t="s">
        <v>226</v>
      </c>
      <c r="V351" s="10"/>
      <c r="W351" s="25">
        <v>3</v>
      </c>
      <c r="X351" s="1" t="s">
        <v>151</v>
      </c>
      <c r="Y351" s="1">
        <v>1</v>
      </c>
      <c r="Z351" s="1">
        <v>400</v>
      </c>
      <c r="AA351" s="8" t="s">
        <v>123</v>
      </c>
      <c r="AB351" s="8" t="s">
        <v>226</v>
      </c>
      <c r="AC351" s="12"/>
      <c r="AD351" s="444"/>
      <c r="AE351" s="440"/>
      <c r="AF351" s="450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51" s="442" t="str">
        <f t="shared" si="101"/>
        <v>-</v>
      </c>
      <c r="AH351" s="440"/>
      <c r="AI351" s="447" t="s">
        <v>532</v>
      </c>
      <c r="AJ351" s="444"/>
      <c r="AK351" s="440"/>
      <c r="AL351" s="450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51" s="442" t="str">
        <f t="shared" si="102"/>
        <v>-</v>
      </c>
      <c r="AN351" s="440"/>
      <c r="AO351" s="447" t="s">
        <v>532</v>
      </c>
      <c r="AP351" s="444"/>
      <c r="AQ351" s="440"/>
      <c r="AR351" s="450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51" s="447" t="s">
        <v>532</v>
      </c>
      <c r="AT351" s="462"/>
      <c r="AU351" s="447" t="s">
        <v>532</v>
      </c>
      <c r="AV351" s="444"/>
      <c r="AW351" s="440"/>
      <c r="AX351" s="450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51" s="442" t="str">
        <f t="shared" si="103"/>
        <v>-</v>
      </c>
      <c r="AZ351" s="440"/>
      <c r="BA351" s="447" t="s">
        <v>532</v>
      </c>
      <c r="BB351" s="59"/>
      <c r="BC351" s="60"/>
      <c r="BD351" s="90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51" s="213" t="str">
        <f t="shared" si="104"/>
        <v>-</v>
      </c>
      <c r="BF351" s="167"/>
      <c r="BG351" s="225" t="s">
        <v>215</v>
      </c>
      <c r="BH351" s="59"/>
      <c r="BI351" s="60"/>
      <c r="BJ351" s="90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51" s="213" t="s">
        <v>215</v>
      </c>
      <c r="BL351" s="167"/>
      <c r="BM351" s="225" t="s">
        <v>215</v>
      </c>
    </row>
    <row r="352" spans="2:65" s="26" customFormat="1">
      <c r="B352" s="64">
        <f t="shared" si="113"/>
        <v>345</v>
      </c>
      <c r="C352" s="7"/>
      <c r="D352" s="7"/>
      <c r="E352" s="7"/>
      <c r="F352" s="22" t="s">
        <v>152</v>
      </c>
      <c r="G352" s="16"/>
      <c r="H352" s="13"/>
      <c r="I352" s="8"/>
      <c r="J352" s="8"/>
      <c r="K352" s="8"/>
      <c r="L352" s="8"/>
      <c r="M352" s="11" t="s">
        <v>146</v>
      </c>
      <c r="N352" s="1"/>
      <c r="O352" s="56"/>
      <c r="P352" s="93">
        <f t="shared" si="112"/>
        <v>318</v>
      </c>
      <c r="Q352" s="113">
        <v>400</v>
      </c>
      <c r="R352" s="21" t="str">
        <f t="shared" si="111"/>
        <v>NX</v>
      </c>
      <c r="S352" s="96" t="s">
        <v>153</v>
      </c>
      <c r="T352" s="94"/>
      <c r="U352" s="21" t="s">
        <v>226</v>
      </c>
      <c r="V352" s="10"/>
      <c r="W352" s="25">
        <v>3</v>
      </c>
      <c r="X352" s="1" t="s">
        <v>154</v>
      </c>
      <c r="Y352" s="1">
        <v>1</v>
      </c>
      <c r="Z352" s="1">
        <v>400</v>
      </c>
      <c r="AA352" s="8" t="s">
        <v>123</v>
      </c>
      <c r="AB352" s="8" t="s">
        <v>226</v>
      </c>
      <c r="AC352" s="12"/>
      <c r="AD352" s="444"/>
      <c r="AE352" s="440"/>
      <c r="AF352" s="450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52" s="442" t="str">
        <f t="shared" si="101"/>
        <v>-</v>
      </c>
      <c r="AH352" s="440"/>
      <c r="AI352" s="447" t="s">
        <v>532</v>
      </c>
      <c r="AJ352" s="444"/>
      <c r="AK352" s="440"/>
      <c r="AL352" s="450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52" s="442" t="str">
        <f t="shared" si="102"/>
        <v>-</v>
      </c>
      <c r="AN352" s="440"/>
      <c r="AO352" s="447" t="s">
        <v>532</v>
      </c>
      <c r="AP352" s="444"/>
      <c r="AQ352" s="440"/>
      <c r="AR352" s="450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52" s="447" t="s">
        <v>532</v>
      </c>
      <c r="AT352" s="462"/>
      <c r="AU352" s="447" t="s">
        <v>532</v>
      </c>
      <c r="AV352" s="444"/>
      <c r="AW352" s="440"/>
      <c r="AX352" s="450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52" s="442" t="str">
        <f t="shared" si="103"/>
        <v>-</v>
      </c>
      <c r="AZ352" s="440"/>
      <c r="BA352" s="447" t="s">
        <v>532</v>
      </c>
      <c r="BB352" s="59"/>
      <c r="BC352" s="60"/>
      <c r="BD352" s="90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52" s="213" t="str">
        <f t="shared" si="104"/>
        <v>-</v>
      </c>
      <c r="BF352" s="167"/>
      <c r="BG352" s="225" t="s">
        <v>215</v>
      </c>
      <c r="BH352" s="59"/>
      <c r="BI352" s="60"/>
      <c r="BJ352" s="90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52" s="213" t="s">
        <v>215</v>
      </c>
      <c r="BL352" s="167"/>
      <c r="BM352" s="225" t="s">
        <v>215</v>
      </c>
    </row>
    <row r="353" spans="1:65" s="26" customFormat="1">
      <c r="B353" s="64">
        <f t="shared" si="113"/>
        <v>346</v>
      </c>
      <c r="C353" s="7"/>
      <c r="D353" s="7"/>
      <c r="E353" s="7"/>
      <c r="F353" s="22" t="s">
        <v>155</v>
      </c>
      <c r="G353" s="16"/>
      <c r="H353" s="13"/>
      <c r="I353" s="8"/>
      <c r="J353" s="8"/>
      <c r="K353" s="8"/>
      <c r="L353" s="8"/>
      <c r="M353" s="11" t="s">
        <v>146</v>
      </c>
      <c r="N353" s="1"/>
      <c r="O353" s="56"/>
      <c r="P353" s="93">
        <f t="shared" si="112"/>
        <v>319</v>
      </c>
      <c r="Q353" s="113">
        <v>400</v>
      </c>
      <c r="R353" s="21" t="str">
        <f t="shared" si="111"/>
        <v>NX</v>
      </c>
      <c r="S353" s="96" t="s">
        <v>156</v>
      </c>
      <c r="T353" s="94"/>
      <c r="U353" s="21" t="s">
        <v>226</v>
      </c>
      <c r="V353" s="10"/>
      <c r="W353" s="25">
        <v>3</v>
      </c>
      <c r="X353" s="1" t="s">
        <v>157</v>
      </c>
      <c r="Y353" s="1">
        <v>1</v>
      </c>
      <c r="Z353" s="1">
        <v>400</v>
      </c>
      <c r="AA353" s="8" t="s">
        <v>123</v>
      </c>
      <c r="AB353" s="8" t="s">
        <v>226</v>
      </c>
      <c r="AC353" s="12"/>
      <c r="AD353" s="444"/>
      <c r="AE353" s="440"/>
      <c r="AF353" s="450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53" s="442" t="str">
        <f t="shared" si="101"/>
        <v>-</v>
      </c>
      <c r="AH353" s="440"/>
      <c r="AI353" s="447" t="s">
        <v>532</v>
      </c>
      <c r="AJ353" s="444"/>
      <c r="AK353" s="440"/>
      <c r="AL353" s="450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53" s="442" t="str">
        <f t="shared" si="102"/>
        <v>-</v>
      </c>
      <c r="AN353" s="440"/>
      <c r="AO353" s="447" t="s">
        <v>532</v>
      </c>
      <c r="AP353" s="444"/>
      <c r="AQ353" s="440"/>
      <c r="AR353" s="450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53" s="447" t="s">
        <v>532</v>
      </c>
      <c r="AT353" s="462"/>
      <c r="AU353" s="447" t="s">
        <v>532</v>
      </c>
      <c r="AV353" s="444"/>
      <c r="AW353" s="440"/>
      <c r="AX353" s="450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53" s="442" t="str">
        <f t="shared" si="103"/>
        <v>-</v>
      </c>
      <c r="AZ353" s="440"/>
      <c r="BA353" s="447" t="s">
        <v>532</v>
      </c>
      <c r="BB353" s="59"/>
      <c r="BC353" s="60"/>
      <c r="BD353" s="90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53" s="213" t="str">
        <f t="shared" si="104"/>
        <v>-</v>
      </c>
      <c r="BF353" s="167"/>
      <c r="BG353" s="225" t="s">
        <v>215</v>
      </c>
      <c r="BH353" s="59"/>
      <c r="BI353" s="60"/>
      <c r="BJ353" s="90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53" s="213" t="s">
        <v>215</v>
      </c>
      <c r="BL353" s="167"/>
      <c r="BM353" s="225" t="s">
        <v>215</v>
      </c>
    </row>
    <row r="354" spans="1:65" s="26" customFormat="1" ht="89.25">
      <c r="B354" s="64">
        <f t="shared" si="113"/>
        <v>347</v>
      </c>
      <c r="C354" s="7"/>
      <c r="D354" s="7"/>
      <c r="E354" s="7"/>
      <c r="F354" s="22" t="s">
        <v>158</v>
      </c>
      <c r="G354" s="16"/>
      <c r="H354" s="13"/>
      <c r="I354" s="8"/>
      <c r="J354" s="8"/>
      <c r="K354" s="8"/>
      <c r="L354" s="8"/>
      <c r="M354" s="11" t="s">
        <v>316</v>
      </c>
      <c r="N354" s="1"/>
      <c r="O354" s="56"/>
      <c r="P354" s="93">
        <f t="shared" si="112"/>
        <v>320</v>
      </c>
      <c r="Q354" s="113">
        <v>1</v>
      </c>
      <c r="R354" s="21" t="str">
        <f t="shared" si="111"/>
        <v>X</v>
      </c>
      <c r="S354" s="96" t="s">
        <v>159</v>
      </c>
      <c r="T354" s="94"/>
      <c r="U354" s="21" t="s">
        <v>226</v>
      </c>
      <c r="V354" s="10"/>
      <c r="W354" s="25">
        <v>3</v>
      </c>
      <c r="X354" s="1" t="s">
        <v>255</v>
      </c>
      <c r="Y354" s="1">
        <v>1</v>
      </c>
      <c r="Z354" s="1">
        <v>1</v>
      </c>
      <c r="AA354" s="8" t="s">
        <v>109</v>
      </c>
      <c r="AB354" s="8" t="s">
        <v>19</v>
      </c>
      <c r="AC354" s="102"/>
      <c r="AD354" s="444"/>
      <c r="AE354" s="445"/>
      <c r="AF354" s="440" t="str">
        <f t="shared" si="105"/>
        <v xml:space="preserve"> </v>
      </c>
      <c r="AG354" s="442" t="str">
        <f t="shared" si="101"/>
        <v>-</v>
      </c>
      <c r="AH354" s="445"/>
      <c r="AI354" s="447" t="s">
        <v>532</v>
      </c>
      <c r="AJ354" s="444"/>
      <c r="AK354" s="445"/>
      <c r="AL354" s="440" t="str">
        <f t="shared" si="106"/>
        <v xml:space="preserve"> </v>
      </c>
      <c r="AM354" s="442" t="str">
        <f t="shared" si="102"/>
        <v>-</v>
      </c>
      <c r="AN354" s="445"/>
      <c r="AO354" s="447" t="s">
        <v>532</v>
      </c>
      <c r="AP354" s="444"/>
      <c r="AQ354" s="445"/>
      <c r="AR354" s="440" t="str">
        <f t="shared" si="107"/>
        <v xml:space="preserve"> </v>
      </c>
      <c r="AS354" s="447" t="s">
        <v>532</v>
      </c>
      <c r="AT354" s="463"/>
      <c r="AU354" s="447" t="s">
        <v>532</v>
      </c>
      <c r="AV354" s="444"/>
      <c r="AW354" s="445"/>
      <c r="AX354" s="440" t="str">
        <f t="shared" si="108"/>
        <v xml:space="preserve"> </v>
      </c>
      <c r="AY354" s="442" t="str">
        <f t="shared" si="103"/>
        <v>-</v>
      </c>
      <c r="AZ354" s="445"/>
      <c r="BA354" s="447" t="s">
        <v>532</v>
      </c>
      <c r="BB354" s="59"/>
      <c r="BC354" s="223"/>
      <c r="BD354" s="60" t="str">
        <f t="shared" si="109"/>
        <v xml:space="preserve"> </v>
      </c>
      <c r="BE354" s="213" t="str">
        <f t="shared" si="104"/>
        <v>-</v>
      </c>
      <c r="BF354" s="172"/>
      <c r="BG354" s="225" t="s">
        <v>215</v>
      </c>
      <c r="BH354" s="59"/>
      <c r="BI354" s="223"/>
      <c r="BJ354" s="60" t="str">
        <f t="shared" si="110"/>
        <v xml:space="preserve"> </v>
      </c>
      <c r="BK354" s="213" t="s">
        <v>215</v>
      </c>
      <c r="BL354" s="172"/>
      <c r="BM354" s="225" t="s">
        <v>215</v>
      </c>
    </row>
    <row r="355" spans="1:65" s="26" customFormat="1">
      <c r="B355" s="64">
        <f t="shared" si="113"/>
        <v>348</v>
      </c>
      <c r="C355" s="7"/>
      <c r="D355" s="7"/>
      <c r="E355" s="7"/>
      <c r="F355" s="22" t="s">
        <v>160</v>
      </c>
      <c r="G355" s="16"/>
      <c r="H355" s="13"/>
      <c r="I355" s="8"/>
      <c r="J355" s="8"/>
      <c r="K355" s="8"/>
      <c r="L355" s="8"/>
      <c r="M355" s="11"/>
      <c r="N355" s="1"/>
      <c r="O355" s="56"/>
      <c r="P355" s="93">
        <f t="shared" si="112"/>
        <v>321</v>
      </c>
      <c r="Q355" s="113">
        <v>128</v>
      </c>
      <c r="R355" s="21" t="str">
        <f t="shared" si="111"/>
        <v>X</v>
      </c>
      <c r="S355" s="96" t="s">
        <v>161</v>
      </c>
      <c r="T355" s="94"/>
      <c r="U355" s="21" t="s">
        <v>226</v>
      </c>
      <c r="V355" s="10"/>
      <c r="W355" s="25">
        <v>3</v>
      </c>
      <c r="X355" s="1" t="s">
        <v>256</v>
      </c>
      <c r="Y355" s="1">
        <v>1</v>
      </c>
      <c r="Z355" s="1">
        <v>128</v>
      </c>
      <c r="AA355" s="8" t="s">
        <v>109</v>
      </c>
      <c r="AB355" s="8" t="s">
        <v>19</v>
      </c>
      <c r="AC355" s="12"/>
      <c r="AD355" s="444"/>
      <c r="AE355" s="440"/>
      <c r="AF355" s="440" t="str">
        <f t="shared" si="105"/>
        <v xml:space="preserve">                                                                                                                                </v>
      </c>
      <c r="AG355" s="442" t="str">
        <f t="shared" si="101"/>
        <v>-</v>
      </c>
      <c r="AH355" s="440"/>
      <c r="AI355" s="447" t="s">
        <v>532</v>
      </c>
      <c r="AJ355" s="444"/>
      <c r="AK355" s="440"/>
      <c r="AL355" s="440" t="str">
        <f t="shared" si="106"/>
        <v xml:space="preserve">                                                                                                                                </v>
      </c>
      <c r="AM355" s="442" t="str">
        <f t="shared" si="102"/>
        <v>-</v>
      </c>
      <c r="AN355" s="440"/>
      <c r="AO355" s="447" t="s">
        <v>532</v>
      </c>
      <c r="AP355" s="444"/>
      <c r="AQ355" s="440"/>
      <c r="AR355" s="440" t="str">
        <f t="shared" si="107"/>
        <v xml:space="preserve">                                                                                                                                </v>
      </c>
      <c r="AS355" s="447" t="s">
        <v>532</v>
      </c>
      <c r="AT355" s="462"/>
      <c r="AU355" s="447" t="s">
        <v>532</v>
      </c>
      <c r="AV355" s="444"/>
      <c r="AW355" s="440"/>
      <c r="AX355" s="440" t="str">
        <f t="shared" si="108"/>
        <v xml:space="preserve">                                                                                                                                </v>
      </c>
      <c r="AY355" s="442" t="str">
        <f t="shared" si="103"/>
        <v>-</v>
      </c>
      <c r="AZ355" s="440"/>
      <c r="BA355" s="447" t="s">
        <v>532</v>
      </c>
      <c r="BB355" s="59"/>
      <c r="BC355" s="60"/>
      <c r="BD355" s="60" t="str">
        <f t="shared" si="109"/>
        <v xml:space="preserve">                                                                                                                                </v>
      </c>
      <c r="BE355" s="213" t="str">
        <f t="shared" si="104"/>
        <v>-</v>
      </c>
      <c r="BF355" s="167"/>
      <c r="BG355" s="225" t="s">
        <v>215</v>
      </c>
      <c r="BH355" s="59"/>
      <c r="BI355" s="60"/>
      <c r="BJ355" s="60" t="str">
        <f t="shared" si="110"/>
        <v xml:space="preserve">                                                                                                                                </v>
      </c>
      <c r="BK355" s="213" t="s">
        <v>215</v>
      </c>
      <c r="BL355" s="167"/>
      <c r="BM355" s="225" t="s">
        <v>215</v>
      </c>
    </row>
    <row r="356" spans="1:65" s="26" customFormat="1" ht="114.75">
      <c r="B356" s="64">
        <f t="shared" si="113"/>
        <v>349</v>
      </c>
      <c r="C356" s="7"/>
      <c r="D356" s="7"/>
      <c r="E356" s="7"/>
      <c r="F356" s="22" t="s">
        <v>162</v>
      </c>
      <c r="G356" s="16"/>
      <c r="H356" s="13"/>
      <c r="I356" s="8"/>
      <c r="J356" s="8"/>
      <c r="K356" s="8"/>
      <c r="L356" s="8"/>
      <c r="M356" s="11" t="s">
        <v>294</v>
      </c>
      <c r="N356" s="1"/>
      <c r="O356" s="56"/>
      <c r="P356" s="93">
        <f t="shared" si="112"/>
        <v>322</v>
      </c>
      <c r="Q356" s="113">
        <v>1</v>
      </c>
      <c r="R356" s="21" t="str">
        <f t="shared" si="111"/>
        <v>X</v>
      </c>
      <c r="S356" s="96" t="s">
        <v>163</v>
      </c>
      <c r="T356" s="94"/>
      <c r="U356" s="21" t="s">
        <v>226</v>
      </c>
      <c r="V356" s="10"/>
      <c r="W356" s="25">
        <v>3</v>
      </c>
      <c r="X356" s="1" t="s">
        <v>257</v>
      </c>
      <c r="Y356" s="1">
        <v>1</v>
      </c>
      <c r="Z356" s="1">
        <v>1</v>
      </c>
      <c r="AA356" s="8" t="s">
        <v>109</v>
      </c>
      <c r="AB356" s="8" t="s">
        <v>19</v>
      </c>
      <c r="AC356" s="102"/>
      <c r="AD356" s="444"/>
      <c r="AE356" s="445"/>
      <c r="AF356" s="440" t="str">
        <f t="shared" si="105"/>
        <v xml:space="preserve"> </v>
      </c>
      <c r="AG356" s="442" t="str">
        <f t="shared" si="101"/>
        <v>-</v>
      </c>
      <c r="AH356" s="445"/>
      <c r="AI356" s="447" t="s">
        <v>532</v>
      </c>
      <c r="AJ356" s="444"/>
      <c r="AK356" s="445"/>
      <c r="AL356" s="440" t="str">
        <f t="shared" si="106"/>
        <v xml:space="preserve"> </v>
      </c>
      <c r="AM356" s="442" t="str">
        <f t="shared" si="102"/>
        <v>-</v>
      </c>
      <c r="AN356" s="445"/>
      <c r="AO356" s="447" t="s">
        <v>532</v>
      </c>
      <c r="AP356" s="444"/>
      <c r="AQ356" s="445"/>
      <c r="AR356" s="440" t="str">
        <f t="shared" si="107"/>
        <v xml:space="preserve"> </v>
      </c>
      <c r="AS356" s="447" t="s">
        <v>532</v>
      </c>
      <c r="AT356" s="463"/>
      <c r="AU356" s="447" t="s">
        <v>532</v>
      </c>
      <c r="AV356" s="444"/>
      <c r="AW356" s="445"/>
      <c r="AX356" s="440" t="str">
        <f t="shared" si="108"/>
        <v xml:space="preserve"> </v>
      </c>
      <c r="AY356" s="442" t="str">
        <f t="shared" si="103"/>
        <v>-</v>
      </c>
      <c r="AZ356" s="445"/>
      <c r="BA356" s="447" t="s">
        <v>532</v>
      </c>
      <c r="BB356" s="59"/>
      <c r="BC356" s="223"/>
      <c r="BD356" s="60" t="str">
        <f t="shared" si="109"/>
        <v xml:space="preserve"> </v>
      </c>
      <c r="BE356" s="213" t="str">
        <f t="shared" si="104"/>
        <v>-</v>
      </c>
      <c r="BF356" s="172"/>
      <c r="BG356" s="225" t="s">
        <v>215</v>
      </c>
      <c r="BH356" s="59"/>
      <c r="BI356" s="223"/>
      <c r="BJ356" s="60" t="str">
        <f t="shared" si="110"/>
        <v xml:space="preserve"> </v>
      </c>
      <c r="BK356" s="213" t="s">
        <v>215</v>
      </c>
      <c r="BL356" s="172"/>
      <c r="BM356" s="225" t="s">
        <v>215</v>
      </c>
    </row>
    <row r="357" spans="1:65" s="26" customFormat="1" ht="127.5">
      <c r="B357" s="64">
        <f t="shared" si="113"/>
        <v>350</v>
      </c>
      <c r="C357" s="7"/>
      <c r="D357" s="7"/>
      <c r="E357" s="7"/>
      <c r="F357" s="22" t="s">
        <v>164</v>
      </c>
      <c r="G357" s="16"/>
      <c r="H357" s="13"/>
      <c r="I357" s="8"/>
      <c r="J357" s="8" t="s">
        <v>231</v>
      </c>
      <c r="K357" s="8"/>
      <c r="L357" s="8"/>
      <c r="M357" s="359" t="s">
        <v>317</v>
      </c>
      <c r="N357" s="1"/>
      <c r="O357" s="56"/>
      <c r="P357" s="93">
        <f t="shared" si="112"/>
        <v>323</v>
      </c>
      <c r="Q357" s="113">
        <v>1</v>
      </c>
      <c r="R357" s="21" t="str">
        <f t="shared" si="111"/>
        <v>X</v>
      </c>
      <c r="S357" s="96" t="s">
        <v>165</v>
      </c>
      <c r="T357" s="94"/>
      <c r="U357" s="21" t="s">
        <v>226</v>
      </c>
      <c r="V357" s="10"/>
      <c r="W357" s="25">
        <v>3</v>
      </c>
      <c r="X357" s="1" t="s">
        <v>258</v>
      </c>
      <c r="Y357" s="1">
        <v>1</v>
      </c>
      <c r="Z357" s="1">
        <v>1</v>
      </c>
      <c r="AA357" s="8" t="s">
        <v>109</v>
      </c>
      <c r="AB357" s="8" t="s">
        <v>19</v>
      </c>
      <c r="AC357" s="102"/>
      <c r="AD357" s="444"/>
      <c r="AE357" s="445"/>
      <c r="AF357" s="440" t="str">
        <f t="shared" si="105"/>
        <v xml:space="preserve"> </v>
      </c>
      <c r="AG357" s="442" t="str">
        <f t="shared" si="101"/>
        <v>-</v>
      </c>
      <c r="AH357" s="445"/>
      <c r="AI357" s="447" t="s">
        <v>532</v>
      </c>
      <c r="AJ357" s="444"/>
      <c r="AK357" s="445"/>
      <c r="AL357" s="440" t="str">
        <f t="shared" si="106"/>
        <v xml:space="preserve"> </v>
      </c>
      <c r="AM357" s="442" t="str">
        <f t="shared" si="102"/>
        <v>-</v>
      </c>
      <c r="AN357" s="445"/>
      <c r="AO357" s="447" t="s">
        <v>532</v>
      </c>
      <c r="AP357" s="444"/>
      <c r="AQ357" s="445"/>
      <c r="AR357" s="440" t="str">
        <f t="shared" si="107"/>
        <v xml:space="preserve"> </v>
      </c>
      <c r="AS357" s="447" t="s">
        <v>532</v>
      </c>
      <c r="AT357" s="463"/>
      <c r="AU357" s="447" t="s">
        <v>532</v>
      </c>
      <c r="AV357" s="444"/>
      <c r="AW357" s="445"/>
      <c r="AX357" s="440" t="str">
        <f t="shared" si="108"/>
        <v xml:space="preserve"> </v>
      </c>
      <c r="AY357" s="442" t="str">
        <f t="shared" si="103"/>
        <v>-</v>
      </c>
      <c r="AZ357" s="445"/>
      <c r="BA357" s="447" t="s">
        <v>532</v>
      </c>
      <c r="BB357" s="59"/>
      <c r="BC357" s="223"/>
      <c r="BD357" s="60" t="str">
        <f t="shared" si="109"/>
        <v xml:space="preserve"> </v>
      </c>
      <c r="BE357" s="213" t="str">
        <f t="shared" si="104"/>
        <v>-</v>
      </c>
      <c r="BF357" s="172"/>
      <c r="BG357" s="225" t="s">
        <v>215</v>
      </c>
      <c r="BH357" s="59"/>
      <c r="BI357" s="223"/>
      <c r="BJ357" s="60" t="str">
        <f t="shared" si="110"/>
        <v xml:space="preserve"> </v>
      </c>
      <c r="BK357" s="213" t="s">
        <v>215</v>
      </c>
      <c r="BL357" s="172"/>
      <c r="BM357" s="225" t="s">
        <v>215</v>
      </c>
    </row>
    <row r="358" spans="1:65" s="26" customFormat="1" ht="319.5" customHeight="1">
      <c r="B358" s="64">
        <f t="shared" si="113"/>
        <v>351</v>
      </c>
      <c r="C358" s="7"/>
      <c r="D358" s="7"/>
      <c r="E358" s="53"/>
      <c r="F358" s="111" t="s">
        <v>367</v>
      </c>
      <c r="G358" s="66"/>
      <c r="H358" s="61"/>
      <c r="I358" s="8"/>
      <c r="J358" s="8" t="s">
        <v>231</v>
      </c>
      <c r="K358" s="8"/>
      <c r="L358" s="8"/>
      <c r="M358" s="356" t="s">
        <v>493</v>
      </c>
      <c r="N358" s="16"/>
      <c r="O358" s="56"/>
      <c r="P358" s="93">
        <f t="shared" si="112"/>
        <v>324</v>
      </c>
      <c r="Q358" s="113">
        <v>2</v>
      </c>
      <c r="R358" s="21" t="str">
        <f t="shared" si="111"/>
        <v>X</v>
      </c>
      <c r="S358" s="96" t="s">
        <v>166</v>
      </c>
      <c r="T358" s="94"/>
      <c r="U358" s="21" t="s">
        <v>226</v>
      </c>
      <c r="V358" s="10"/>
      <c r="W358" s="25">
        <v>3</v>
      </c>
      <c r="X358" s="1" t="s">
        <v>260</v>
      </c>
      <c r="Y358" s="1">
        <v>2</v>
      </c>
      <c r="Z358" s="1">
        <v>2</v>
      </c>
      <c r="AA358" s="8" t="s">
        <v>229</v>
      </c>
      <c r="AB358" s="8" t="s">
        <v>226</v>
      </c>
      <c r="AC358" s="67"/>
      <c r="AD358" s="444"/>
      <c r="AE358" s="445"/>
      <c r="AF358" s="446" t="str">
        <f t="shared" si="105"/>
        <v xml:space="preserve">  </v>
      </c>
      <c r="AG358" s="442" t="str">
        <f t="shared" si="101"/>
        <v>-</v>
      </c>
      <c r="AH358" s="445"/>
      <c r="AI358" s="448" t="s">
        <v>532</v>
      </c>
      <c r="AJ358" s="444"/>
      <c r="AK358" s="445"/>
      <c r="AL358" s="446" t="str">
        <f t="shared" si="106"/>
        <v xml:space="preserve">  </v>
      </c>
      <c r="AM358" s="442" t="str">
        <f t="shared" si="102"/>
        <v>-</v>
      </c>
      <c r="AN358" s="445"/>
      <c r="AO358" s="448" t="s">
        <v>532</v>
      </c>
      <c r="AP358" s="444"/>
      <c r="AQ358" s="445"/>
      <c r="AR358" s="446" t="str">
        <f t="shared" si="107"/>
        <v xml:space="preserve">  </v>
      </c>
      <c r="AS358" s="442" t="s">
        <v>532</v>
      </c>
      <c r="AT358" s="463"/>
      <c r="AU358" s="448" t="s">
        <v>532</v>
      </c>
      <c r="AV358" s="444"/>
      <c r="AW358" s="445"/>
      <c r="AX358" s="446" t="str">
        <f t="shared" si="108"/>
        <v xml:space="preserve">  </v>
      </c>
      <c r="AY358" s="442" t="str">
        <f t="shared" si="103"/>
        <v>-</v>
      </c>
      <c r="AZ358" s="445"/>
      <c r="BA358" s="448" t="s">
        <v>532</v>
      </c>
      <c r="BB358" s="59"/>
      <c r="BC358" s="223"/>
      <c r="BD358" s="254" t="str">
        <f t="shared" si="109"/>
        <v>J1</v>
      </c>
      <c r="BE358" s="213" t="str">
        <f t="shared" si="104"/>
        <v>-</v>
      </c>
      <c r="BF358" s="172" t="s">
        <v>284</v>
      </c>
      <c r="BG358" s="405" t="str">
        <f>IF(OR(BC$8="判定対象外",BF$8="判定対象外",BF358="-"),"-",IF(BC358=BF358,"OK","NG"))</f>
        <v>NG</v>
      </c>
      <c r="BH358" s="59"/>
      <c r="BI358" s="223"/>
      <c r="BJ358" s="254" t="str">
        <f t="shared" si="110"/>
        <v>K2</v>
      </c>
      <c r="BK358" s="213" t="str">
        <f>IF(OR(BI$8="判定対象外",BJ$8="判定対象外",BJ358="-"),"-",IF(BI358=BJ358,"OK","NG"))</f>
        <v>NG</v>
      </c>
      <c r="BL358" s="172" t="s">
        <v>583</v>
      </c>
      <c r="BM358" s="405" t="str">
        <f>IF(OR(BI$8="判定対象外",BL$8="判定対象外",BL358="-"),"-",IF(BI358=BL358,"OK","NG"))</f>
        <v>NG</v>
      </c>
    </row>
    <row r="359" spans="1:65" s="26" customFormat="1" ht="25.5">
      <c r="B359" s="64">
        <f t="shared" si="113"/>
        <v>352</v>
      </c>
      <c r="C359" s="7"/>
      <c r="D359" s="7"/>
      <c r="E359" s="53"/>
      <c r="F359" s="65" t="s">
        <v>167</v>
      </c>
      <c r="G359" s="66"/>
      <c r="H359" s="61"/>
      <c r="I359" s="8"/>
      <c r="J359" s="8"/>
      <c r="K359" s="8"/>
      <c r="L359" s="8"/>
      <c r="M359" s="11" t="s">
        <v>274</v>
      </c>
      <c r="N359" s="16"/>
      <c r="O359" s="56"/>
      <c r="P359" s="93">
        <f t="shared" si="112"/>
        <v>325</v>
      </c>
      <c r="Q359" s="113">
        <v>7</v>
      </c>
      <c r="R359" s="21" t="str">
        <f t="shared" si="111"/>
        <v>X</v>
      </c>
      <c r="S359" s="96" t="s">
        <v>168</v>
      </c>
      <c r="T359" s="94"/>
      <c r="U359" s="21" t="s">
        <v>226</v>
      </c>
      <c r="V359" s="10"/>
      <c r="W359" s="25">
        <v>3</v>
      </c>
      <c r="X359" s="1" t="s">
        <v>261</v>
      </c>
      <c r="Y359" s="1">
        <v>7</v>
      </c>
      <c r="Z359" s="1">
        <v>7</v>
      </c>
      <c r="AA359" s="8" t="s">
        <v>229</v>
      </c>
      <c r="AB359" s="8" t="s">
        <v>226</v>
      </c>
      <c r="AC359" s="103"/>
      <c r="AD359" s="444"/>
      <c r="AE359" s="440"/>
      <c r="AF359" s="440" t="str">
        <f t="shared" si="105"/>
        <v xml:space="preserve">       </v>
      </c>
      <c r="AG359" s="442" t="str">
        <f t="shared" si="101"/>
        <v>-</v>
      </c>
      <c r="AH359" s="440"/>
      <c r="AI359" s="447" t="s">
        <v>532</v>
      </c>
      <c r="AJ359" s="444"/>
      <c r="AK359" s="440"/>
      <c r="AL359" s="440" t="str">
        <f t="shared" si="106"/>
        <v xml:space="preserve">       </v>
      </c>
      <c r="AM359" s="442" t="str">
        <f t="shared" si="102"/>
        <v>-</v>
      </c>
      <c r="AN359" s="440"/>
      <c r="AO359" s="447" t="s">
        <v>532</v>
      </c>
      <c r="AP359" s="444"/>
      <c r="AQ359" s="440"/>
      <c r="AR359" s="440" t="str">
        <f t="shared" si="107"/>
        <v xml:space="preserve">       </v>
      </c>
      <c r="AS359" s="447" t="s">
        <v>532</v>
      </c>
      <c r="AT359" s="462"/>
      <c r="AU359" s="447" t="s">
        <v>532</v>
      </c>
      <c r="AV359" s="444"/>
      <c r="AW359" s="440"/>
      <c r="AX359" s="440" t="str">
        <f t="shared" si="108"/>
        <v xml:space="preserve">       </v>
      </c>
      <c r="AY359" s="442" t="str">
        <f t="shared" si="103"/>
        <v>-</v>
      </c>
      <c r="AZ359" s="440"/>
      <c r="BA359" s="447" t="s">
        <v>532</v>
      </c>
      <c r="BB359" s="59"/>
      <c r="BC359" s="60"/>
      <c r="BD359" s="60" t="str">
        <f t="shared" si="109"/>
        <v xml:space="preserve">       </v>
      </c>
      <c r="BE359" s="213" t="str">
        <f t="shared" si="104"/>
        <v>-</v>
      </c>
      <c r="BF359" s="167"/>
      <c r="BG359" s="225" t="s">
        <v>215</v>
      </c>
      <c r="BH359" s="59"/>
      <c r="BI359" s="60"/>
      <c r="BJ359" s="60" t="str">
        <f t="shared" si="110"/>
        <v xml:space="preserve">       </v>
      </c>
      <c r="BK359" s="213" t="s">
        <v>215</v>
      </c>
      <c r="BL359" s="167"/>
      <c r="BM359" s="225" t="s">
        <v>215</v>
      </c>
    </row>
    <row r="360" spans="1:65" s="80" customFormat="1" ht="25.5">
      <c r="B360" s="64">
        <f t="shared" si="113"/>
        <v>353</v>
      </c>
      <c r="C360" s="68"/>
      <c r="D360" s="68"/>
      <c r="E360" s="69"/>
      <c r="F360" s="70" t="s">
        <v>275</v>
      </c>
      <c r="G360" s="71"/>
      <c r="H360" s="72"/>
      <c r="I360" s="73"/>
      <c r="J360" s="73"/>
      <c r="K360" s="74"/>
      <c r="L360" s="74"/>
      <c r="M360" s="83" t="s">
        <v>274</v>
      </c>
      <c r="N360" s="75"/>
      <c r="O360" s="76"/>
      <c r="P360" s="93">
        <f t="shared" si="112"/>
        <v>326</v>
      </c>
      <c r="Q360" s="117">
        <v>10</v>
      </c>
      <c r="R360" s="21" t="str">
        <f t="shared" si="111"/>
        <v>X</v>
      </c>
      <c r="S360" s="96" t="s">
        <v>169</v>
      </c>
      <c r="T360" s="104"/>
      <c r="U360" s="21" t="s">
        <v>226</v>
      </c>
      <c r="V360" s="76"/>
      <c r="W360" s="77">
        <v>3</v>
      </c>
      <c r="X360" s="55" t="s">
        <v>170</v>
      </c>
      <c r="Y360" s="55">
        <v>10</v>
      </c>
      <c r="Z360" s="55">
        <v>10</v>
      </c>
      <c r="AA360" s="73" t="s">
        <v>109</v>
      </c>
      <c r="AB360" s="73" t="s">
        <v>19</v>
      </c>
      <c r="AC360" s="103"/>
      <c r="AD360" s="451"/>
      <c r="AE360" s="452"/>
      <c r="AF360" s="453" t="str">
        <f t="shared" si="105"/>
        <v xml:space="preserve">          </v>
      </c>
      <c r="AG360" s="442" t="str">
        <f t="shared" si="101"/>
        <v>-</v>
      </c>
      <c r="AH360" s="452"/>
      <c r="AI360" s="447" t="s">
        <v>532</v>
      </c>
      <c r="AJ360" s="451"/>
      <c r="AK360" s="452"/>
      <c r="AL360" s="453" t="str">
        <f t="shared" si="106"/>
        <v xml:space="preserve">          </v>
      </c>
      <c r="AM360" s="442" t="str">
        <f t="shared" si="102"/>
        <v>-</v>
      </c>
      <c r="AN360" s="452"/>
      <c r="AO360" s="447" t="s">
        <v>532</v>
      </c>
      <c r="AP360" s="451"/>
      <c r="AQ360" s="452"/>
      <c r="AR360" s="453" t="str">
        <f t="shared" si="107"/>
        <v xml:space="preserve">          </v>
      </c>
      <c r="AS360" s="447" t="s">
        <v>532</v>
      </c>
      <c r="AT360" s="464"/>
      <c r="AU360" s="447" t="s">
        <v>532</v>
      </c>
      <c r="AV360" s="451"/>
      <c r="AW360" s="452"/>
      <c r="AX360" s="453" t="str">
        <f t="shared" si="108"/>
        <v xml:space="preserve">          </v>
      </c>
      <c r="AY360" s="442" t="str">
        <f t="shared" si="103"/>
        <v>-</v>
      </c>
      <c r="AZ360" s="452"/>
      <c r="BA360" s="447" t="s">
        <v>532</v>
      </c>
      <c r="BB360" s="78"/>
      <c r="BC360" s="420"/>
      <c r="BD360" s="79" t="str">
        <f t="shared" si="109"/>
        <v xml:space="preserve">          </v>
      </c>
      <c r="BE360" s="213" t="str">
        <f t="shared" si="104"/>
        <v>-</v>
      </c>
      <c r="BF360" s="378"/>
      <c r="BG360" s="225" t="s">
        <v>215</v>
      </c>
      <c r="BH360" s="78"/>
      <c r="BI360" s="420"/>
      <c r="BJ360" s="79" t="str">
        <f t="shared" si="110"/>
        <v xml:space="preserve">          </v>
      </c>
      <c r="BK360" s="213" t="s">
        <v>215</v>
      </c>
      <c r="BL360" s="378"/>
      <c r="BM360" s="225" t="s">
        <v>215</v>
      </c>
    </row>
    <row r="361" spans="1:65" s="80" customFormat="1" ht="25.5">
      <c r="B361" s="64">
        <f t="shared" si="113"/>
        <v>354</v>
      </c>
      <c r="C361" s="68"/>
      <c r="D361" s="68"/>
      <c r="E361" s="68"/>
      <c r="F361" s="81" t="s">
        <v>171</v>
      </c>
      <c r="G361" s="14"/>
      <c r="H361" s="82"/>
      <c r="I361" s="73"/>
      <c r="J361" s="73"/>
      <c r="K361" s="74"/>
      <c r="L361" s="74"/>
      <c r="M361" s="83" t="s">
        <v>274</v>
      </c>
      <c r="N361" s="75"/>
      <c r="O361" s="76"/>
      <c r="P361" s="93">
        <f t="shared" si="112"/>
        <v>327</v>
      </c>
      <c r="Q361" s="117">
        <v>3</v>
      </c>
      <c r="R361" s="21" t="str">
        <f t="shared" si="111"/>
        <v>X</v>
      </c>
      <c r="S361" s="96" t="s">
        <v>172</v>
      </c>
      <c r="T361" s="104"/>
      <c r="U361" s="21" t="s">
        <v>226</v>
      </c>
      <c r="V361" s="76"/>
      <c r="W361" s="77">
        <v>3</v>
      </c>
      <c r="X361" s="55" t="s">
        <v>173</v>
      </c>
      <c r="Y361" s="55">
        <v>3</v>
      </c>
      <c r="Z361" s="55">
        <v>3</v>
      </c>
      <c r="AA361" s="73" t="s">
        <v>109</v>
      </c>
      <c r="AB361" s="73" t="s">
        <v>19</v>
      </c>
      <c r="AC361" s="103"/>
      <c r="AD361" s="451"/>
      <c r="AE361" s="452"/>
      <c r="AF361" s="453" t="str">
        <f t="shared" si="105"/>
        <v xml:space="preserve">   </v>
      </c>
      <c r="AG361" s="442" t="str">
        <f t="shared" si="101"/>
        <v>-</v>
      </c>
      <c r="AH361" s="452"/>
      <c r="AI361" s="447" t="s">
        <v>532</v>
      </c>
      <c r="AJ361" s="451"/>
      <c r="AK361" s="452"/>
      <c r="AL361" s="453" t="str">
        <f t="shared" si="106"/>
        <v xml:space="preserve">   </v>
      </c>
      <c r="AM361" s="442" t="str">
        <f t="shared" si="102"/>
        <v>-</v>
      </c>
      <c r="AN361" s="452"/>
      <c r="AO361" s="447" t="s">
        <v>532</v>
      </c>
      <c r="AP361" s="451"/>
      <c r="AQ361" s="452"/>
      <c r="AR361" s="453" t="str">
        <f t="shared" si="107"/>
        <v xml:space="preserve">   </v>
      </c>
      <c r="AS361" s="447" t="s">
        <v>532</v>
      </c>
      <c r="AT361" s="464"/>
      <c r="AU361" s="447" t="s">
        <v>532</v>
      </c>
      <c r="AV361" s="451"/>
      <c r="AW361" s="452"/>
      <c r="AX361" s="453" t="str">
        <f t="shared" si="108"/>
        <v xml:space="preserve">   </v>
      </c>
      <c r="AY361" s="442" t="str">
        <f t="shared" si="103"/>
        <v>-</v>
      </c>
      <c r="AZ361" s="452"/>
      <c r="BA361" s="447" t="s">
        <v>532</v>
      </c>
      <c r="BB361" s="78"/>
      <c r="BC361" s="420"/>
      <c r="BD361" s="79" t="str">
        <f t="shared" si="109"/>
        <v xml:space="preserve">   </v>
      </c>
      <c r="BE361" s="213" t="str">
        <f t="shared" si="104"/>
        <v>-</v>
      </c>
      <c r="BF361" s="378"/>
      <c r="BG361" s="225" t="s">
        <v>215</v>
      </c>
      <c r="BH361" s="78"/>
      <c r="BI361" s="420"/>
      <c r="BJ361" s="79" t="str">
        <f t="shared" si="110"/>
        <v xml:space="preserve">   </v>
      </c>
      <c r="BK361" s="213" t="s">
        <v>215</v>
      </c>
      <c r="BL361" s="378"/>
      <c r="BM361" s="225" t="s">
        <v>215</v>
      </c>
    </row>
    <row r="362" spans="1:65" s="80" customFormat="1" ht="25.5">
      <c r="B362" s="64">
        <f t="shared" si="113"/>
        <v>355</v>
      </c>
      <c r="C362" s="68"/>
      <c r="D362" s="68"/>
      <c r="E362" s="68"/>
      <c r="F362" s="81" t="s">
        <v>174</v>
      </c>
      <c r="G362" s="14"/>
      <c r="H362" s="82"/>
      <c r="I362" s="73"/>
      <c r="J362" s="73"/>
      <c r="K362" s="74"/>
      <c r="L362" s="74"/>
      <c r="M362" s="83" t="s">
        <v>274</v>
      </c>
      <c r="N362" s="75"/>
      <c r="O362" s="76"/>
      <c r="P362" s="93">
        <f>P361+1</f>
        <v>328</v>
      </c>
      <c r="Q362" s="117">
        <v>2</v>
      </c>
      <c r="R362" s="21" t="str">
        <f t="shared" si="111"/>
        <v>X</v>
      </c>
      <c r="S362" s="96" t="s">
        <v>175</v>
      </c>
      <c r="T362" s="104"/>
      <c r="U362" s="21" t="s">
        <v>226</v>
      </c>
      <c r="V362" s="76"/>
      <c r="W362" s="77">
        <v>3</v>
      </c>
      <c r="X362" s="55" t="s">
        <v>176</v>
      </c>
      <c r="Y362" s="55">
        <v>2</v>
      </c>
      <c r="Z362" s="55">
        <v>2</v>
      </c>
      <c r="AA362" s="73" t="s">
        <v>109</v>
      </c>
      <c r="AB362" s="73" t="s">
        <v>19</v>
      </c>
      <c r="AC362" s="103"/>
      <c r="AD362" s="451"/>
      <c r="AE362" s="452"/>
      <c r="AF362" s="453" t="str">
        <f t="shared" si="105"/>
        <v xml:space="preserve">  </v>
      </c>
      <c r="AG362" s="442" t="str">
        <f t="shared" si="101"/>
        <v>-</v>
      </c>
      <c r="AH362" s="452"/>
      <c r="AI362" s="447" t="s">
        <v>532</v>
      </c>
      <c r="AJ362" s="451"/>
      <c r="AK362" s="452"/>
      <c r="AL362" s="453" t="str">
        <f t="shared" si="106"/>
        <v xml:space="preserve">  </v>
      </c>
      <c r="AM362" s="442" t="str">
        <f t="shared" si="102"/>
        <v>-</v>
      </c>
      <c r="AN362" s="452"/>
      <c r="AO362" s="447" t="s">
        <v>532</v>
      </c>
      <c r="AP362" s="451"/>
      <c r="AQ362" s="452"/>
      <c r="AR362" s="453" t="str">
        <f t="shared" si="107"/>
        <v xml:space="preserve">  </v>
      </c>
      <c r="AS362" s="447" t="s">
        <v>532</v>
      </c>
      <c r="AT362" s="464"/>
      <c r="AU362" s="447" t="s">
        <v>532</v>
      </c>
      <c r="AV362" s="451"/>
      <c r="AW362" s="452"/>
      <c r="AX362" s="453" t="str">
        <f t="shared" si="108"/>
        <v xml:space="preserve">  </v>
      </c>
      <c r="AY362" s="442" t="str">
        <f t="shared" si="103"/>
        <v>-</v>
      </c>
      <c r="AZ362" s="452"/>
      <c r="BA362" s="447" t="s">
        <v>532</v>
      </c>
      <c r="BB362" s="78"/>
      <c r="BC362" s="420"/>
      <c r="BD362" s="79" t="str">
        <f t="shared" si="109"/>
        <v xml:space="preserve">  </v>
      </c>
      <c r="BE362" s="213" t="str">
        <f t="shared" si="104"/>
        <v>-</v>
      </c>
      <c r="BF362" s="378"/>
      <c r="BG362" s="225" t="s">
        <v>215</v>
      </c>
      <c r="BH362" s="78"/>
      <c r="BI362" s="420"/>
      <c r="BJ362" s="79" t="str">
        <f t="shared" si="110"/>
        <v xml:space="preserve">  </v>
      </c>
      <c r="BK362" s="213" t="s">
        <v>215</v>
      </c>
      <c r="BL362" s="378"/>
      <c r="BM362" s="225" t="s">
        <v>215</v>
      </c>
    </row>
    <row r="363" spans="1:65" s="80" customFormat="1" ht="51.75" customHeight="1">
      <c r="B363" s="64">
        <f t="shared" si="113"/>
        <v>356</v>
      </c>
      <c r="C363" s="68"/>
      <c r="D363" s="68"/>
      <c r="E363" s="68"/>
      <c r="F363" s="228" t="s">
        <v>177</v>
      </c>
      <c r="G363" s="229"/>
      <c r="H363" s="230"/>
      <c r="I363" s="73"/>
      <c r="J363" s="73"/>
      <c r="K363" s="74"/>
      <c r="L363" s="74"/>
      <c r="M363" s="83" t="s">
        <v>178</v>
      </c>
      <c r="N363" s="75"/>
      <c r="O363" s="76"/>
      <c r="P363" s="93">
        <f>P362+1</f>
        <v>329</v>
      </c>
      <c r="Q363" s="117">
        <v>5</v>
      </c>
      <c r="R363" s="21" t="str">
        <f t="shared" si="111"/>
        <v>X</v>
      </c>
      <c r="S363" s="96" t="s">
        <v>179</v>
      </c>
      <c r="T363" s="104"/>
      <c r="U363" s="21" t="s">
        <v>226</v>
      </c>
      <c r="V363" s="76"/>
      <c r="W363" s="77">
        <v>3</v>
      </c>
      <c r="X363" s="55" t="s">
        <v>262</v>
      </c>
      <c r="Y363" s="55">
        <v>5</v>
      </c>
      <c r="Z363" s="55">
        <v>5</v>
      </c>
      <c r="AA363" s="73" t="s">
        <v>109</v>
      </c>
      <c r="AB363" s="73" t="s">
        <v>19</v>
      </c>
      <c r="AC363" s="84"/>
      <c r="AD363" s="451"/>
      <c r="AE363" s="459"/>
      <c r="AF363" s="453" t="str">
        <f t="shared" si="105"/>
        <v xml:space="preserve">     </v>
      </c>
      <c r="AG363" s="442" t="str">
        <f t="shared" si="101"/>
        <v>-</v>
      </c>
      <c r="AH363" s="452"/>
      <c r="AI363" s="447" t="s">
        <v>532</v>
      </c>
      <c r="AJ363" s="451"/>
      <c r="AK363" s="459"/>
      <c r="AL363" s="453" t="str">
        <f t="shared" si="106"/>
        <v xml:space="preserve">     </v>
      </c>
      <c r="AM363" s="442" t="str">
        <f t="shared" si="102"/>
        <v>-</v>
      </c>
      <c r="AN363" s="452"/>
      <c r="AO363" s="447" t="s">
        <v>532</v>
      </c>
      <c r="AP363" s="451"/>
      <c r="AQ363" s="459"/>
      <c r="AR363" s="453" t="str">
        <f t="shared" si="107"/>
        <v xml:space="preserve">     </v>
      </c>
      <c r="AS363" s="447" t="s">
        <v>532</v>
      </c>
      <c r="AT363" s="464"/>
      <c r="AU363" s="447" t="s">
        <v>532</v>
      </c>
      <c r="AV363" s="451"/>
      <c r="AW363" s="459"/>
      <c r="AX363" s="453" t="str">
        <f t="shared" si="108"/>
        <v xml:space="preserve">     </v>
      </c>
      <c r="AY363" s="442" t="str">
        <f t="shared" si="103"/>
        <v>-</v>
      </c>
      <c r="AZ363" s="452"/>
      <c r="BA363" s="447" t="s">
        <v>532</v>
      </c>
      <c r="BB363" s="78"/>
      <c r="BC363" s="421"/>
      <c r="BD363" s="79" t="str">
        <f t="shared" si="109"/>
        <v xml:space="preserve">     </v>
      </c>
      <c r="BE363" s="213" t="str">
        <f t="shared" si="104"/>
        <v>-</v>
      </c>
      <c r="BF363" s="378"/>
      <c r="BG363" s="225" t="s">
        <v>215</v>
      </c>
      <c r="BH363" s="78"/>
      <c r="BI363" s="421"/>
      <c r="BJ363" s="79" t="str">
        <f t="shared" si="110"/>
        <v xml:space="preserve">     </v>
      </c>
      <c r="BK363" s="213" t="s">
        <v>215</v>
      </c>
      <c r="BL363" s="378"/>
      <c r="BM363" s="225" t="s">
        <v>215</v>
      </c>
    </row>
    <row r="364" spans="1:65" s="80" customFormat="1" ht="51.75" customHeight="1">
      <c r="B364" s="64">
        <f t="shared" si="113"/>
        <v>357</v>
      </c>
      <c r="C364" s="68"/>
      <c r="D364" s="68"/>
      <c r="E364" s="68"/>
      <c r="F364" s="228" t="s">
        <v>180</v>
      </c>
      <c r="G364" s="229"/>
      <c r="H364" s="230"/>
      <c r="I364" s="73"/>
      <c r="J364" s="73"/>
      <c r="K364" s="74"/>
      <c r="L364" s="74"/>
      <c r="M364" s="83" t="s">
        <v>181</v>
      </c>
      <c r="N364" s="75"/>
      <c r="O364" s="76"/>
      <c r="P364" s="93">
        <f>P363+1</f>
        <v>330</v>
      </c>
      <c r="Q364" s="117">
        <v>64</v>
      </c>
      <c r="R364" s="21" t="str">
        <f>IF(AA364="M","NX",AA364)</f>
        <v>NX</v>
      </c>
      <c r="S364" s="96" t="s">
        <v>182</v>
      </c>
      <c r="T364" s="104"/>
      <c r="U364" s="21" t="s">
        <v>226</v>
      </c>
      <c r="V364" s="76" t="s">
        <v>263</v>
      </c>
      <c r="W364" s="77">
        <v>3</v>
      </c>
      <c r="X364" s="55" t="s">
        <v>264</v>
      </c>
      <c r="Y364" s="55">
        <v>1</v>
      </c>
      <c r="Z364" s="55">
        <v>64</v>
      </c>
      <c r="AA364" s="73" t="s">
        <v>252</v>
      </c>
      <c r="AB364" s="73" t="s">
        <v>19</v>
      </c>
      <c r="AC364" s="84" t="s">
        <v>263</v>
      </c>
      <c r="AD364" s="451"/>
      <c r="AE364" s="459"/>
      <c r="AF364" s="453" t="str">
        <f t="shared" si="105"/>
        <v xml:space="preserve">                                                                </v>
      </c>
      <c r="AG364" s="442" t="str">
        <f t="shared" si="101"/>
        <v>-</v>
      </c>
      <c r="AH364" s="452"/>
      <c r="AI364" s="447" t="s">
        <v>532</v>
      </c>
      <c r="AJ364" s="451"/>
      <c r="AK364" s="459"/>
      <c r="AL364" s="453" t="str">
        <f t="shared" si="106"/>
        <v xml:space="preserve">                                                                </v>
      </c>
      <c r="AM364" s="442" t="str">
        <f t="shared" si="102"/>
        <v>-</v>
      </c>
      <c r="AN364" s="452"/>
      <c r="AO364" s="447" t="s">
        <v>532</v>
      </c>
      <c r="AP364" s="451"/>
      <c r="AQ364" s="459"/>
      <c r="AR364" s="453" t="str">
        <f t="shared" si="107"/>
        <v xml:space="preserve">                                                                </v>
      </c>
      <c r="AS364" s="447" t="s">
        <v>532</v>
      </c>
      <c r="AT364" s="464"/>
      <c r="AU364" s="447" t="s">
        <v>532</v>
      </c>
      <c r="AV364" s="451"/>
      <c r="AW364" s="459"/>
      <c r="AX364" s="453" t="str">
        <f t="shared" si="108"/>
        <v xml:space="preserve">                                                                </v>
      </c>
      <c r="AY364" s="442" t="str">
        <f t="shared" si="103"/>
        <v>-</v>
      </c>
      <c r="AZ364" s="452"/>
      <c r="BA364" s="447" t="s">
        <v>532</v>
      </c>
      <c r="BB364" s="78"/>
      <c r="BC364" s="421"/>
      <c r="BD364" s="79" t="str">
        <f t="shared" si="109"/>
        <v xml:space="preserve">                                                                </v>
      </c>
      <c r="BE364" s="213" t="str">
        <f t="shared" si="104"/>
        <v>-</v>
      </c>
      <c r="BF364" s="378"/>
      <c r="BG364" s="225" t="s">
        <v>215</v>
      </c>
      <c r="BH364" s="78"/>
      <c r="BI364" s="421"/>
      <c r="BJ364" s="79" t="str">
        <f t="shared" si="110"/>
        <v xml:space="preserve">                                                                </v>
      </c>
      <c r="BK364" s="213" t="s">
        <v>215</v>
      </c>
      <c r="BL364" s="378"/>
      <c r="BM364" s="225" t="s">
        <v>215</v>
      </c>
    </row>
    <row r="365" spans="1:65" s="80" customFormat="1" ht="92.25" customHeight="1">
      <c r="B365" s="64">
        <f t="shared" si="113"/>
        <v>358</v>
      </c>
      <c r="C365" s="68"/>
      <c r="D365" s="68"/>
      <c r="E365" s="68"/>
      <c r="F365" s="81" t="s">
        <v>276</v>
      </c>
      <c r="G365" s="14"/>
      <c r="H365" s="82"/>
      <c r="I365" s="73"/>
      <c r="J365" s="73"/>
      <c r="K365" s="74"/>
      <c r="L365" s="74"/>
      <c r="M365" s="415" t="s">
        <v>207</v>
      </c>
      <c r="N365" s="75"/>
      <c r="O365" s="76"/>
      <c r="P365" s="93">
        <f>P364+1</f>
        <v>331</v>
      </c>
      <c r="Q365" s="117">
        <v>7</v>
      </c>
      <c r="R365" s="21" t="s">
        <v>229</v>
      </c>
      <c r="S365" s="96" t="s">
        <v>265</v>
      </c>
      <c r="T365" s="104"/>
      <c r="U365" s="21" t="s">
        <v>226</v>
      </c>
      <c r="V365" s="76"/>
      <c r="W365" s="77">
        <v>3</v>
      </c>
      <c r="X365" s="55" t="s">
        <v>266</v>
      </c>
      <c r="Y365" s="55">
        <v>7</v>
      </c>
      <c r="Z365" s="55">
        <v>7</v>
      </c>
      <c r="AA365" s="73" t="s">
        <v>229</v>
      </c>
      <c r="AB365" s="73" t="s">
        <v>19</v>
      </c>
      <c r="AC365" s="84"/>
      <c r="AD365" s="451"/>
      <c r="AE365" s="452"/>
      <c r="AF365" s="453" t="str">
        <f t="shared" si="105"/>
        <v xml:space="preserve">       </v>
      </c>
      <c r="AG365" s="442" t="str">
        <f t="shared" si="101"/>
        <v>-</v>
      </c>
      <c r="AH365" s="460"/>
      <c r="AI365" s="447" t="s">
        <v>532</v>
      </c>
      <c r="AJ365" s="451"/>
      <c r="AK365" s="452"/>
      <c r="AL365" s="453" t="str">
        <f t="shared" si="106"/>
        <v xml:space="preserve">       </v>
      </c>
      <c r="AM365" s="442" t="str">
        <f t="shared" si="102"/>
        <v>-</v>
      </c>
      <c r="AN365" s="460"/>
      <c r="AO365" s="447" t="s">
        <v>532</v>
      </c>
      <c r="AP365" s="451"/>
      <c r="AQ365" s="452"/>
      <c r="AR365" s="453" t="str">
        <f t="shared" si="107"/>
        <v xml:space="preserve">       </v>
      </c>
      <c r="AS365" s="447" t="s">
        <v>532</v>
      </c>
      <c r="AT365" s="467"/>
      <c r="AU365" s="447" t="s">
        <v>532</v>
      </c>
      <c r="AV365" s="451"/>
      <c r="AW365" s="452"/>
      <c r="AX365" s="453" t="str">
        <f t="shared" si="108"/>
        <v xml:space="preserve">       </v>
      </c>
      <c r="AY365" s="442" t="str">
        <f t="shared" si="103"/>
        <v>-</v>
      </c>
      <c r="AZ365" s="460"/>
      <c r="BA365" s="447" t="s">
        <v>532</v>
      </c>
      <c r="BB365" s="78"/>
      <c r="BC365" s="420"/>
      <c r="BD365" s="79" t="str">
        <f t="shared" si="109"/>
        <v xml:space="preserve">       </v>
      </c>
      <c r="BE365" s="213" t="str">
        <f t="shared" si="104"/>
        <v>-</v>
      </c>
      <c r="BF365" s="353"/>
      <c r="BG365" s="225" t="s">
        <v>215</v>
      </c>
      <c r="BH365" s="78"/>
      <c r="BI365" s="420"/>
      <c r="BJ365" s="79" t="str">
        <f t="shared" si="110"/>
        <v xml:space="preserve">       </v>
      </c>
      <c r="BK365" s="213" t="s">
        <v>215</v>
      </c>
      <c r="BL365" s="353"/>
      <c r="BM365" s="225" t="s">
        <v>215</v>
      </c>
    </row>
    <row r="366" spans="1:65" s="80" customFormat="1" ht="127.9" thickBot="1">
      <c r="A366" s="216"/>
      <c r="B366" s="231">
        <f t="shared" si="113"/>
        <v>359</v>
      </c>
      <c r="C366" s="232"/>
      <c r="D366" s="232"/>
      <c r="E366" s="232"/>
      <c r="F366" s="234" t="s">
        <v>267</v>
      </c>
      <c r="G366" s="235"/>
      <c r="H366" s="236"/>
      <c r="I366" s="237"/>
      <c r="J366" s="237"/>
      <c r="K366" s="237"/>
      <c r="L366" s="237"/>
      <c r="M366" s="416" t="s">
        <v>277</v>
      </c>
      <c r="N366" s="417"/>
      <c r="O366" s="419"/>
      <c r="P366" s="429">
        <f>P365+1</f>
        <v>332</v>
      </c>
      <c r="Q366" s="430">
        <v>1</v>
      </c>
      <c r="R366" s="431">
        <v>9</v>
      </c>
      <c r="S366" s="430" t="s">
        <v>268</v>
      </c>
      <c r="T366" s="430"/>
      <c r="U366" s="431" t="s">
        <v>226</v>
      </c>
      <c r="V366" s="432"/>
      <c r="W366" s="433" t="str">
        <f>IF(C366&lt;&gt;"","0",IF(D366&lt;&gt;"","1",IF(E366&lt;&gt;"","2",IF(F366&lt;&gt;"","3",IF(G366&lt;&gt;"","4",IF(H366&lt;&gt;"","5"))))))</f>
        <v>3</v>
      </c>
      <c r="X366" s="434" t="s">
        <v>269</v>
      </c>
      <c r="Y366" s="434">
        <v>1</v>
      </c>
      <c r="Z366" s="434">
        <v>1</v>
      </c>
      <c r="AA366" s="435">
        <v>9</v>
      </c>
      <c r="AB366" s="237" t="s">
        <v>226</v>
      </c>
      <c r="AC366" s="436"/>
      <c r="AD366" s="454"/>
      <c r="AE366" s="455"/>
      <c r="AF366" s="456" t="str">
        <f t="shared" si="105"/>
        <v xml:space="preserve"> </v>
      </c>
      <c r="AG366" s="457" t="str">
        <f t="shared" si="101"/>
        <v>-</v>
      </c>
      <c r="AH366" s="461"/>
      <c r="AI366" s="458" t="s">
        <v>532</v>
      </c>
      <c r="AJ366" s="454"/>
      <c r="AK366" s="455"/>
      <c r="AL366" s="456" t="str">
        <f t="shared" si="106"/>
        <v xml:space="preserve"> </v>
      </c>
      <c r="AM366" s="457" t="str">
        <f t="shared" si="102"/>
        <v>-</v>
      </c>
      <c r="AN366" s="461"/>
      <c r="AO366" s="458" t="s">
        <v>532</v>
      </c>
      <c r="AP366" s="454"/>
      <c r="AQ366" s="455"/>
      <c r="AR366" s="456" t="str">
        <f t="shared" si="107"/>
        <v xml:space="preserve"> </v>
      </c>
      <c r="AS366" s="457" t="s">
        <v>532</v>
      </c>
      <c r="AT366" s="468"/>
      <c r="AU366" s="458" t="s">
        <v>532</v>
      </c>
      <c r="AV366" s="454"/>
      <c r="AW366" s="455"/>
      <c r="AX366" s="456" t="str">
        <f t="shared" si="108"/>
        <v xml:space="preserve"> </v>
      </c>
      <c r="AY366" s="457" t="str">
        <f t="shared" si="103"/>
        <v>-</v>
      </c>
      <c r="AZ366" s="461"/>
      <c r="BA366" s="458" t="s">
        <v>532</v>
      </c>
      <c r="BB366" s="211"/>
      <c r="BC366" s="422"/>
      <c r="BD366" s="212" t="str">
        <f t="shared" si="109"/>
        <v xml:space="preserve"> </v>
      </c>
      <c r="BE366" s="226" t="str">
        <f t="shared" si="104"/>
        <v>-</v>
      </c>
      <c r="BF366" s="380"/>
      <c r="BG366" s="403" t="s">
        <v>215</v>
      </c>
      <c r="BH366" s="211"/>
      <c r="BI366" s="422"/>
      <c r="BJ366" s="212" t="str">
        <f t="shared" si="110"/>
        <v xml:space="preserve"> </v>
      </c>
      <c r="BK366" s="226" t="s">
        <v>215</v>
      </c>
      <c r="BL366" s="471"/>
      <c r="BM366" s="403" t="s">
        <v>215</v>
      </c>
    </row>
    <row r="367" spans="1:65" s="26" customFormat="1" ht="18.75" customHeight="1" thickTop="1">
      <c r="B367" s="2">
        <f t="shared" si="113"/>
        <v>360</v>
      </c>
      <c r="C367" s="7"/>
      <c r="D367" s="7"/>
      <c r="E367" s="100" t="s">
        <v>482</v>
      </c>
      <c r="F367" s="410"/>
      <c r="G367" s="410"/>
      <c r="H367" s="61"/>
      <c r="I367" s="8" t="s">
        <v>29</v>
      </c>
      <c r="J367" s="8" t="s">
        <v>446</v>
      </c>
      <c r="K367" s="8"/>
      <c r="L367" s="8"/>
      <c r="M367" s="1" t="s">
        <v>272</v>
      </c>
      <c r="N367" s="9"/>
      <c r="O367" s="423"/>
      <c r="P367" s="93"/>
      <c r="Q367" s="113"/>
      <c r="R367" s="21"/>
      <c r="S367" s="424"/>
      <c r="T367" s="9"/>
      <c r="U367" s="21"/>
      <c r="V367" s="98"/>
      <c r="W367" s="25" t="str">
        <f>IF(C367&lt;&gt;"","0",IF(D367&lt;&gt;"","1",IF(E367&lt;&gt;"","2",IF(F367&lt;&gt;"","3",IF(G367&lt;&gt;"","4",IF(H367&lt;&gt;"","5"))))))</f>
        <v>2</v>
      </c>
      <c r="X367" s="1" t="s">
        <v>117</v>
      </c>
      <c r="Y367" s="1"/>
      <c r="Z367" s="1"/>
      <c r="AA367" s="8"/>
      <c r="AB367" s="8" t="s">
        <v>480</v>
      </c>
      <c r="AC367" s="62"/>
      <c r="AD367" s="444"/>
      <c r="AE367" s="440"/>
      <c r="AF367" s="440" t="str">
        <f t="shared" si="105"/>
        <v/>
      </c>
      <c r="AG367" s="442" t="str">
        <f t="shared" si="101"/>
        <v>-</v>
      </c>
      <c r="AH367" s="440"/>
      <c r="AI367" s="448" t="s">
        <v>532</v>
      </c>
      <c r="AJ367" s="444"/>
      <c r="AK367" s="440"/>
      <c r="AL367" s="440" t="str">
        <f t="shared" si="106"/>
        <v/>
      </c>
      <c r="AM367" s="442" t="str">
        <f t="shared" si="102"/>
        <v>-</v>
      </c>
      <c r="AN367" s="440"/>
      <c r="AO367" s="448" t="s">
        <v>532</v>
      </c>
      <c r="AP367" s="444"/>
      <c r="AQ367" s="440"/>
      <c r="AR367" s="440" t="str">
        <f t="shared" si="107"/>
        <v/>
      </c>
      <c r="AS367" s="442" t="s">
        <v>532</v>
      </c>
      <c r="AT367" s="462"/>
      <c r="AU367" s="448" t="s">
        <v>532</v>
      </c>
      <c r="AV367" s="444"/>
      <c r="AW367" s="440"/>
      <c r="AX367" s="440" t="str">
        <f t="shared" si="108"/>
        <v/>
      </c>
      <c r="AY367" s="442" t="str">
        <f t="shared" si="103"/>
        <v>-</v>
      </c>
      <c r="AZ367" s="440"/>
      <c r="BA367" s="448" t="s">
        <v>532</v>
      </c>
      <c r="BB367" s="59"/>
      <c r="BC367" s="60"/>
      <c r="BD367" s="60" t="str">
        <f t="shared" si="109"/>
        <v/>
      </c>
      <c r="BE367" s="213" t="str">
        <f t="shared" si="104"/>
        <v>-</v>
      </c>
      <c r="BF367" s="167"/>
      <c r="BG367" s="405" t="s">
        <v>215</v>
      </c>
      <c r="BH367" s="59"/>
      <c r="BI367" s="60"/>
      <c r="BJ367" s="60" t="str">
        <f t="shared" si="110"/>
        <v/>
      </c>
      <c r="BK367" s="260" t="s">
        <v>215</v>
      </c>
      <c r="BL367" s="167"/>
      <c r="BM367" s="405" t="s">
        <v>215</v>
      </c>
    </row>
    <row r="368" spans="1:65" s="26" customFormat="1" ht="63.75">
      <c r="B368" s="2">
        <f t="shared" si="113"/>
        <v>361</v>
      </c>
      <c r="C368" s="127"/>
      <c r="D368" s="7"/>
      <c r="E368" s="7"/>
      <c r="F368" s="110" t="s">
        <v>87</v>
      </c>
      <c r="G368" s="16"/>
      <c r="H368" s="13"/>
      <c r="I368" s="6"/>
      <c r="J368" s="6"/>
      <c r="K368" s="6"/>
      <c r="L368" s="8"/>
      <c r="M368" s="23" t="s">
        <v>248</v>
      </c>
      <c r="N368" s="1"/>
      <c r="O368" s="56"/>
      <c r="P368" s="93">
        <f>P366+1</f>
        <v>333</v>
      </c>
      <c r="Q368" s="115">
        <v>2</v>
      </c>
      <c r="R368" s="21" t="str">
        <f>IF(AA368="M","NX",AA368)</f>
        <v>X</v>
      </c>
      <c r="S368" s="96" t="s">
        <v>483</v>
      </c>
      <c r="T368" s="94"/>
      <c r="U368" s="21" t="s">
        <v>480</v>
      </c>
      <c r="V368" s="116" t="s">
        <v>189</v>
      </c>
      <c r="W368" s="25" t="str">
        <f>IF(C368&lt;&gt;"","0",IF(D368&lt;&gt;"","1",IF(E368&lt;&gt;"","2",IF(F368&lt;&gt;"","3",IF(G368&lt;&gt;"","4",IF(H368&lt;&gt;"","5"))))))</f>
        <v>3</v>
      </c>
      <c r="X368" s="5" t="s">
        <v>484</v>
      </c>
      <c r="Y368" s="57">
        <v>2</v>
      </c>
      <c r="Z368" s="57">
        <v>2</v>
      </c>
      <c r="AA368" s="58" t="s">
        <v>109</v>
      </c>
      <c r="AB368" s="58" t="s">
        <v>19</v>
      </c>
      <c r="AC368" s="12"/>
      <c r="AD368" s="444"/>
      <c r="AE368" s="445"/>
      <c r="AF368" s="446" t="str">
        <f t="shared" si="105"/>
        <v xml:space="preserve">  </v>
      </c>
      <c r="AG368" s="442" t="str">
        <f t="shared" si="101"/>
        <v>-</v>
      </c>
      <c r="AH368" s="445"/>
      <c r="AI368" s="447" t="s">
        <v>532</v>
      </c>
      <c r="AJ368" s="444"/>
      <c r="AK368" s="445"/>
      <c r="AL368" s="446" t="str">
        <f t="shared" si="106"/>
        <v xml:space="preserve">  </v>
      </c>
      <c r="AM368" s="442" t="str">
        <f t="shared" si="102"/>
        <v>-</v>
      </c>
      <c r="AN368" s="445"/>
      <c r="AO368" s="447" t="s">
        <v>532</v>
      </c>
      <c r="AP368" s="444"/>
      <c r="AQ368" s="445"/>
      <c r="AR368" s="446" t="str">
        <f t="shared" si="107"/>
        <v xml:space="preserve">  </v>
      </c>
      <c r="AS368" s="447" t="s">
        <v>532</v>
      </c>
      <c r="AT368" s="463"/>
      <c r="AU368" s="447" t="s">
        <v>532</v>
      </c>
      <c r="AV368" s="444"/>
      <c r="AW368" s="445"/>
      <c r="AX368" s="446" t="str">
        <f t="shared" si="108"/>
        <v xml:space="preserve">  </v>
      </c>
      <c r="AY368" s="442" t="str">
        <f t="shared" si="103"/>
        <v>-</v>
      </c>
      <c r="AZ368" s="445"/>
      <c r="BA368" s="447" t="s">
        <v>532</v>
      </c>
      <c r="BB368" s="59"/>
      <c r="BC368" s="223"/>
      <c r="BD368" s="254" t="str">
        <f t="shared" si="109"/>
        <v xml:space="preserve">  </v>
      </c>
      <c r="BE368" s="213" t="str">
        <f t="shared" si="104"/>
        <v>-</v>
      </c>
      <c r="BF368" s="172"/>
      <c r="BG368" s="225" t="s">
        <v>215</v>
      </c>
      <c r="BH368" s="59"/>
      <c r="BI368" s="223"/>
      <c r="BJ368" s="254" t="str">
        <f t="shared" si="110"/>
        <v xml:space="preserve">  </v>
      </c>
      <c r="BK368" s="213" t="s">
        <v>215</v>
      </c>
      <c r="BL368" s="172"/>
      <c r="BM368" s="225" t="s">
        <v>215</v>
      </c>
    </row>
    <row r="369" spans="2:65" s="26" customFormat="1" ht="344.25">
      <c r="B369" s="2">
        <f t="shared" si="113"/>
        <v>362</v>
      </c>
      <c r="C369" s="7"/>
      <c r="D369" s="7"/>
      <c r="E369" s="7"/>
      <c r="F369" s="110" t="s">
        <v>304</v>
      </c>
      <c r="G369" s="16"/>
      <c r="H369" s="13"/>
      <c r="I369" s="8"/>
      <c r="J369" s="8" t="s">
        <v>231</v>
      </c>
      <c r="K369" s="8"/>
      <c r="L369" s="8"/>
      <c r="M369" s="355" t="s">
        <v>478</v>
      </c>
      <c r="N369" s="11"/>
      <c r="O369" s="56"/>
      <c r="P369" s="93">
        <f>P368+1</f>
        <v>334</v>
      </c>
      <c r="Q369" s="113">
        <v>2</v>
      </c>
      <c r="R369" s="21" t="str">
        <f t="shared" ref="R369:R393" si="114">IF(AA369="M","NX",AA369)</f>
        <v>X</v>
      </c>
      <c r="S369" s="96" t="s">
        <v>310</v>
      </c>
      <c r="T369" s="94"/>
      <c r="U369" s="21" t="s">
        <v>226</v>
      </c>
      <c r="V369" s="10"/>
      <c r="W369" s="25">
        <v>3</v>
      </c>
      <c r="X369" s="1" t="s">
        <v>243</v>
      </c>
      <c r="Y369" s="1">
        <v>2</v>
      </c>
      <c r="Z369" s="1">
        <v>2</v>
      </c>
      <c r="AA369" s="8" t="s">
        <v>109</v>
      </c>
      <c r="AB369" s="8" t="s">
        <v>19</v>
      </c>
      <c r="AC369" s="12"/>
      <c r="AD369" s="444"/>
      <c r="AE369" s="445"/>
      <c r="AF369" s="446" t="str">
        <f t="shared" si="105"/>
        <v xml:space="preserve">  </v>
      </c>
      <c r="AG369" s="442" t="str">
        <f t="shared" si="101"/>
        <v>-</v>
      </c>
      <c r="AH369" s="445"/>
      <c r="AI369" s="448" t="s">
        <v>532</v>
      </c>
      <c r="AJ369" s="444"/>
      <c r="AK369" s="445"/>
      <c r="AL369" s="446" t="str">
        <f t="shared" si="106"/>
        <v xml:space="preserve">  </v>
      </c>
      <c r="AM369" s="442" t="str">
        <f t="shared" si="102"/>
        <v>-</v>
      </c>
      <c r="AN369" s="445"/>
      <c r="AO369" s="448" t="s">
        <v>532</v>
      </c>
      <c r="AP369" s="444"/>
      <c r="AQ369" s="445"/>
      <c r="AR369" s="446" t="str">
        <f t="shared" si="107"/>
        <v xml:space="preserve">  </v>
      </c>
      <c r="AS369" s="442" t="s">
        <v>532</v>
      </c>
      <c r="AT369" s="463"/>
      <c r="AU369" s="448" t="s">
        <v>532</v>
      </c>
      <c r="AV369" s="444"/>
      <c r="AW369" s="445"/>
      <c r="AX369" s="446" t="str">
        <f t="shared" si="108"/>
        <v xml:space="preserve">  </v>
      </c>
      <c r="AY369" s="442" t="str">
        <f t="shared" si="103"/>
        <v>-</v>
      </c>
      <c r="AZ369" s="445"/>
      <c r="BA369" s="448" t="s">
        <v>532</v>
      </c>
      <c r="BB369" s="59"/>
      <c r="BC369" s="223"/>
      <c r="BD369" s="254" t="str">
        <f t="shared" si="109"/>
        <v>A7</v>
      </c>
      <c r="BE369" s="213" t="str">
        <f t="shared" si="104"/>
        <v>-</v>
      </c>
      <c r="BF369" s="172" t="s">
        <v>364</v>
      </c>
      <c r="BG369" s="405" t="str">
        <f>IF(OR(BC$8="判定対象外",BF$8="判定対象外",BF369="-"),"-",IF(BC369=BF369,"OK","NG"))</f>
        <v>NG</v>
      </c>
      <c r="BH369" s="59"/>
      <c r="BI369" s="223"/>
      <c r="BJ369" s="254" t="str">
        <f t="shared" si="110"/>
        <v>B8</v>
      </c>
      <c r="BK369" s="213" t="str">
        <f>IF(OR(BI$8="判定対象外",BJ$8="判定対象外",BJ369="-"),"-",IF(BI369=BJ369,"OK","NG"))</f>
        <v>NG</v>
      </c>
      <c r="BL369" s="172" t="s">
        <v>536</v>
      </c>
      <c r="BM369" s="405" t="str">
        <f>IF(OR(BI$8="判定対象外",BL$8="判定対象外",BL369="-"),"-",IF(BI369=BL369,"OK","NG"))</f>
        <v>NG</v>
      </c>
    </row>
    <row r="370" spans="2:65" s="26" customFormat="1">
      <c r="B370" s="2">
        <f t="shared" si="113"/>
        <v>363</v>
      </c>
      <c r="C370" s="7"/>
      <c r="D370" s="7"/>
      <c r="E370" s="7"/>
      <c r="F370" s="22" t="s">
        <v>273</v>
      </c>
      <c r="G370" s="16"/>
      <c r="H370" s="13"/>
      <c r="I370" s="8"/>
      <c r="J370" s="8"/>
      <c r="K370" s="8"/>
      <c r="L370" s="8"/>
      <c r="M370" s="358" t="s">
        <v>205</v>
      </c>
      <c r="N370" s="11"/>
      <c r="O370" s="56"/>
      <c r="P370" s="93">
        <f t="shared" ref="P370:P391" si="115">P369+1</f>
        <v>335</v>
      </c>
      <c r="Q370" s="113">
        <v>2</v>
      </c>
      <c r="R370" s="21" t="str">
        <f t="shared" si="114"/>
        <v>X</v>
      </c>
      <c r="S370" s="96" t="s">
        <v>118</v>
      </c>
      <c r="T370" s="94"/>
      <c r="U370" s="21" t="s">
        <v>226</v>
      </c>
      <c r="V370" s="10"/>
      <c r="W370" s="25">
        <v>3</v>
      </c>
      <c r="X370" s="1" t="s">
        <v>119</v>
      </c>
      <c r="Y370" s="1">
        <v>2</v>
      </c>
      <c r="Z370" s="1">
        <v>2</v>
      </c>
      <c r="AA370" s="8" t="s">
        <v>109</v>
      </c>
      <c r="AB370" s="8" t="s">
        <v>19</v>
      </c>
      <c r="AC370" s="12"/>
      <c r="AD370" s="444"/>
      <c r="AE370" s="440"/>
      <c r="AF370" s="440" t="str">
        <f t="shared" si="105"/>
        <v xml:space="preserve">  </v>
      </c>
      <c r="AG370" s="442" t="str">
        <f t="shared" si="101"/>
        <v>-</v>
      </c>
      <c r="AH370" s="440"/>
      <c r="AI370" s="447" t="s">
        <v>532</v>
      </c>
      <c r="AJ370" s="444"/>
      <c r="AK370" s="440"/>
      <c r="AL370" s="440" t="str">
        <f t="shared" si="106"/>
        <v xml:space="preserve">  </v>
      </c>
      <c r="AM370" s="442" t="str">
        <f t="shared" si="102"/>
        <v>-</v>
      </c>
      <c r="AN370" s="440"/>
      <c r="AO370" s="447" t="s">
        <v>532</v>
      </c>
      <c r="AP370" s="444"/>
      <c r="AQ370" s="440"/>
      <c r="AR370" s="440" t="str">
        <f t="shared" si="107"/>
        <v xml:space="preserve">  </v>
      </c>
      <c r="AS370" s="447" t="s">
        <v>532</v>
      </c>
      <c r="AT370" s="462"/>
      <c r="AU370" s="447" t="s">
        <v>532</v>
      </c>
      <c r="AV370" s="444"/>
      <c r="AW370" s="440"/>
      <c r="AX370" s="440" t="str">
        <f t="shared" si="108"/>
        <v xml:space="preserve">  </v>
      </c>
      <c r="AY370" s="442" t="str">
        <f t="shared" si="103"/>
        <v>-</v>
      </c>
      <c r="AZ370" s="440"/>
      <c r="BA370" s="447" t="s">
        <v>532</v>
      </c>
      <c r="BB370" s="59"/>
      <c r="BC370" s="60"/>
      <c r="BD370" s="60" t="str">
        <f t="shared" si="109"/>
        <v xml:space="preserve">  </v>
      </c>
      <c r="BE370" s="213" t="str">
        <f t="shared" si="104"/>
        <v>-</v>
      </c>
      <c r="BF370" s="167"/>
      <c r="BG370" s="225" t="s">
        <v>215</v>
      </c>
      <c r="BH370" s="59"/>
      <c r="BI370" s="60"/>
      <c r="BJ370" s="60" t="str">
        <f t="shared" si="110"/>
        <v xml:space="preserve">  </v>
      </c>
      <c r="BK370" s="213" t="s">
        <v>215</v>
      </c>
      <c r="BL370" s="167"/>
      <c r="BM370" s="225" t="s">
        <v>215</v>
      </c>
    </row>
    <row r="371" spans="2:65" s="26" customFormat="1">
      <c r="B371" s="2">
        <f t="shared" si="113"/>
        <v>364</v>
      </c>
      <c r="C371" s="7"/>
      <c r="D371" s="7"/>
      <c r="E371" s="7"/>
      <c r="F371" s="22" t="s">
        <v>120</v>
      </c>
      <c r="G371" s="16"/>
      <c r="H371" s="13"/>
      <c r="I371" s="8"/>
      <c r="J371" s="8" t="s">
        <v>231</v>
      </c>
      <c r="K371" s="8"/>
      <c r="L371" s="8"/>
      <c r="M371" s="1" t="s">
        <v>121</v>
      </c>
      <c r="N371" s="1"/>
      <c r="O371" s="56"/>
      <c r="P371" s="93">
        <f t="shared" si="115"/>
        <v>336</v>
      </c>
      <c r="Q371" s="113">
        <v>255</v>
      </c>
      <c r="R371" s="21" t="str">
        <f t="shared" si="114"/>
        <v>NX</v>
      </c>
      <c r="S371" s="96" t="s">
        <v>122</v>
      </c>
      <c r="T371" s="94"/>
      <c r="U371" s="21" t="s">
        <v>226</v>
      </c>
      <c r="V371" s="10"/>
      <c r="W371" s="25">
        <v>3</v>
      </c>
      <c r="X371" s="1" t="s">
        <v>250</v>
      </c>
      <c r="Y371" s="1">
        <v>1</v>
      </c>
      <c r="Z371" s="1">
        <v>255</v>
      </c>
      <c r="AA371" s="8" t="s">
        <v>123</v>
      </c>
      <c r="AB371" s="8" t="s">
        <v>19</v>
      </c>
      <c r="AC371" s="12"/>
      <c r="AD371" s="444"/>
      <c r="AE371" s="445"/>
      <c r="AF371" s="445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71" s="442" t="str">
        <f t="shared" si="101"/>
        <v>-</v>
      </c>
      <c r="AH371" s="445"/>
      <c r="AI371" s="447" t="s">
        <v>532</v>
      </c>
      <c r="AJ371" s="444"/>
      <c r="AK371" s="445"/>
      <c r="AL371" s="445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71" s="442" t="str">
        <f t="shared" si="102"/>
        <v>-</v>
      </c>
      <c r="AN371" s="445"/>
      <c r="AO371" s="447" t="s">
        <v>532</v>
      </c>
      <c r="AP371" s="444"/>
      <c r="AQ371" s="445"/>
      <c r="AR371" s="445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71" s="447" t="s">
        <v>532</v>
      </c>
      <c r="AT371" s="463"/>
      <c r="AU371" s="447" t="s">
        <v>532</v>
      </c>
      <c r="AV371" s="444"/>
      <c r="AW371" s="445"/>
      <c r="AX371" s="445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71" s="442" t="str">
        <f t="shared" si="103"/>
        <v>-</v>
      </c>
      <c r="AZ371" s="445"/>
      <c r="BA371" s="447" t="s">
        <v>532</v>
      </c>
      <c r="BB371" s="59"/>
      <c r="BC371" s="223"/>
      <c r="BD371" s="223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71" s="213" t="str">
        <f t="shared" si="104"/>
        <v>-</v>
      </c>
      <c r="BF371" s="172"/>
      <c r="BG371" s="225" t="s">
        <v>215</v>
      </c>
      <c r="BH371" s="59"/>
      <c r="BI371" s="223"/>
      <c r="BJ371" s="223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71" s="213" t="s">
        <v>215</v>
      </c>
      <c r="BL371" s="172"/>
      <c r="BM371" s="225" t="s">
        <v>215</v>
      </c>
    </row>
    <row r="372" spans="2:65" s="26" customFormat="1">
      <c r="B372" s="19">
        <f t="shared" si="113"/>
        <v>365</v>
      </c>
      <c r="C372" s="7"/>
      <c r="D372" s="7"/>
      <c r="E372" s="7"/>
      <c r="F372" s="3" t="s">
        <v>124</v>
      </c>
      <c r="G372" s="3"/>
      <c r="H372" s="4"/>
      <c r="I372" s="6"/>
      <c r="J372" s="6"/>
      <c r="K372" s="6"/>
      <c r="L372" s="6"/>
      <c r="M372" s="23" t="s">
        <v>125</v>
      </c>
      <c r="N372" s="5"/>
      <c r="O372" s="54"/>
      <c r="P372" s="93">
        <f t="shared" si="115"/>
        <v>337</v>
      </c>
      <c r="Q372" s="114">
        <v>256</v>
      </c>
      <c r="R372" s="21" t="str">
        <f t="shared" si="114"/>
        <v>NX</v>
      </c>
      <c r="S372" s="96" t="s">
        <v>126</v>
      </c>
      <c r="T372" s="94"/>
      <c r="U372" s="21" t="s">
        <v>226</v>
      </c>
      <c r="V372" s="10"/>
      <c r="W372" s="28">
        <v>3</v>
      </c>
      <c r="X372" s="5" t="s">
        <v>251</v>
      </c>
      <c r="Y372" s="5">
        <v>1</v>
      </c>
      <c r="Z372" s="5">
        <v>256</v>
      </c>
      <c r="AA372" s="6" t="s">
        <v>252</v>
      </c>
      <c r="AB372" s="6" t="s">
        <v>226</v>
      </c>
      <c r="AC372" s="63"/>
      <c r="AD372" s="444"/>
      <c r="AE372" s="440"/>
      <c r="AF372" s="440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72" s="442" t="str">
        <f t="shared" si="101"/>
        <v>-</v>
      </c>
      <c r="AH372" s="440"/>
      <c r="AI372" s="447" t="s">
        <v>532</v>
      </c>
      <c r="AJ372" s="444"/>
      <c r="AK372" s="440"/>
      <c r="AL372" s="440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72" s="442" t="str">
        <f t="shared" si="102"/>
        <v>-</v>
      </c>
      <c r="AN372" s="440"/>
      <c r="AO372" s="447" t="s">
        <v>532</v>
      </c>
      <c r="AP372" s="444"/>
      <c r="AQ372" s="440"/>
      <c r="AR372" s="440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72" s="447" t="s">
        <v>532</v>
      </c>
      <c r="AT372" s="462"/>
      <c r="AU372" s="447" t="s">
        <v>532</v>
      </c>
      <c r="AV372" s="444"/>
      <c r="AW372" s="440"/>
      <c r="AX372" s="440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72" s="442" t="str">
        <f t="shared" si="103"/>
        <v>-</v>
      </c>
      <c r="AZ372" s="440"/>
      <c r="BA372" s="447" t="s">
        <v>532</v>
      </c>
      <c r="BB372" s="59"/>
      <c r="BC372" s="60"/>
      <c r="BD372" s="60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72" s="213" t="str">
        <f t="shared" si="104"/>
        <v>-</v>
      </c>
      <c r="BF372" s="167"/>
      <c r="BG372" s="225" t="s">
        <v>215</v>
      </c>
      <c r="BH372" s="59"/>
      <c r="BI372" s="60"/>
      <c r="BJ372" s="60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72" s="213" t="s">
        <v>215</v>
      </c>
      <c r="BL372" s="167"/>
      <c r="BM372" s="225" t="s">
        <v>215</v>
      </c>
    </row>
    <row r="373" spans="2:65" s="26" customFormat="1" ht="63.75">
      <c r="B373" s="2">
        <f t="shared" si="113"/>
        <v>366</v>
      </c>
      <c r="C373" s="7"/>
      <c r="D373" s="7"/>
      <c r="E373" s="7"/>
      <c r="F373" s="22" t="s">
        <v>127</v>
      </c>
      <c r="G373" s="16"/>
      <c r="H373" s="13"/>
      <c r="I373" s="8"/>
      <c r="J373" s="8"/>
      <c r="K373" s="8"/>
      <c r="L373" s="8"/>
      <c r="M373" s="11" t="s">
        <v>311</v>
      </c>
      <c r="N373" s="1"/>
      <c r="O373" s="56"/>
      <c r="P373" s="93">
        <f t="shared" si="115"/>
        <v>338</v>
      </c>
      <c r="Q373" s="113">
        <v>256</v>
      </c>
      <c r="R373" s="21" t="str">
        <f t="shared" si="114"/>
        <v>NX</v>
      </c>
      <c r="S373" s="96" t="s">
        <v>128</v>
      </c>
      <c r="T373" s="94"/>
      <c r="U373" s="21" t="s">
        <v>226</v>
      </c>
      <c r="V373" s="10"/>
      <c r="W373" s="25">
        <v>3</v>
      </c>
      <c r="X373" s="1" t="s">
        <v>129</v>
      </c>
      <c r="Y373" s="1">
        <v>1</v>
      </c>
      <c r="Z373" s="1">
        <v>256</v>
      </c>
      <c r="AA373" s="8" t="s">
        <v>123</v>
      </c>
      <c r="AB373" s="8" t="s">
        <v>226</v>
      </c>
      <c r="AC373" s="12"/>
      <c r="AD373" s="444"/>
      <c r="AE373" s="445"/>
      <c r="AF373" s="446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73" s="442" t="str">
        <f t="shared" si="101"/>
        <v>-</v>
      </c>
      <c r="AH373" s="445"/>
      <c r="AI373" s="447" t="s">
        <v>532</v>
      </c>
      <c r="AJ373" s="444"/>
      <c r="AK373" s="445"/>
      <c r="AL373" s="446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73" s="442" t="str">
        <f t="shared" si="102"/>
        <v>-</v>
      </c>
      <c r="AN373" s="445"/>
      <c r="AO373" s="447" t="s">
        <v>532</v>
      </c>
      <c r="AP373" s="444"/>
      <c r="AQ373" s="445"/>
      <c r="AR373" s="446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73" s="447" t="s">
        <v>532</v>
      </c>
      <c r="AT373" s="463"/>
      <c r="AU373" s="447" t="s">
        <v>532</v>
      </c>
      <c r="AV373" s="444"/>
      <c r="AW373" s="445"/>
      <c r="AX373" s="446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73" s="442" t="str">
        <f t="shared" si="103"/>
        <v>-</v>
      </c>
      <c r="AZ373" s="445"/>
      <c r="BA373" s="447" t="s">
        <v>532</v>
      </c>
      <c r="BB373" s="59"/>
      <c r="BC373" s="223"/>
      <c r="BD373" s="254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73" s="213" t="str">
        <f t="shared" si="104"/>
        <v>-</v>
      </c>
      <c r="BF373" s="172"/>
      <c r="BG373" s="225" t="s">
        <v>215</v>
      </c>
      <c r="BH373" s="59"/>
      <c r="BI373" s="223"/>
      <c r="BJ373" s="254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73" s="213" t="s">
        <v>215</v>
      </c>
      <c r="BL373" s="172"/>
      <c r="BM373" s="225" t="s">
        <v>215</v>
      </c>
    </row>
    <row r="374" spans="2:65" s="26" customFormat="1" ht="63.75">
      <c r="B374" s="2">
        <f t="shared" si="113"/>
        <v>367</v>
      </c>
      <c r="C374" s="7"/>
      <c r="D374" s="7"/>
      <c r="E374" s="7"/>
      <c r="F374" s="22" t="s">
        <v>130</v>
      </c>
      <c r="G374" s="16"/>
      <c r="H374" s="13"/>
      <c r="I374" s="8"/>
      <c r="J374" s="8"/>
      <c r="K374" s="8"/>
      <c r="L374" s="8"/>
      <c r="M374" s="11" t="s">
        <v>312</v>
      </c>
      <c r="N374" s="1"/>
      <c r="O374" s="56"/>
      <c r="P374" s="93">
        <f t="shared" si="115"/>
        <v>339</v>
      </c>
      <c r="Q374" s="113">
        <v>256</v>
      </c>
      <c r="R374" s="21" t="str">
        <f t="shared" si="114"/>
        <v>NX</v>
      </c>
      <c r="S374" s="96" t="s">
        <v>131</v>
      </c>
      <c r="T374" s="94"/>
      <c r="U374" s="21" t="s">
        <v>226</v>
      </c>
      <c r="V374" s="10"/>
      <c r="W374" s="25">
        <v>3</v>
      </c>
      <c r="X374" s="1" t="s">
        <v>132</v>
      </c>
      <c r="Y374" s="1">
        <v>1</v>
      </c>
      <c r="Z374" s="1">
        <v>256</v>
      </c>
      <c r="AA374" s="8" t="s">
        <v>123</v>
      </c>
      <c r="AB374" s="8" t="s">
        <v>226</v>
      </c>
      <c r="AC374" s="12"/>
      <c r="AD374" s="444"/>
      <c r="AE374" s="445"/>
      <c r="AF374" s="446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74" s="442" t="str">
        <f t="shared" si="101"/>
        <v>-</v>
      </c>
      <c r="AH374" s="445"/>
      <c r="AI374" s="447" t="s">
        <v>532</v>
      </c>
      <c r="AJ374" s="444"/>
      <c r="AK374" s="445"/>
      <c r="AL374" s="446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74" s="442" t="str">
        <f t="shared" si="102"/>
        <v>-</v>
      </c>
      <c r="AN374" s="445"/>
      <c r="AO374" s="447" t="s">
        <v>532</v>
      </c>
      <c r="AP374" s="444"/>
      <c r="AQ374" s="445"/>
      <c r="AR374" s="446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74" s="447" t="s">
        <v>532</v>
      </c>
      <c r="AT374" s="463"/>
      <c r="AU374" s="447" t="s">
        <v>532</v>
      </c>
      <c r="AV374" s="444"/>
      <c r="AW374" s="445"/>
      <c r="AX374" s="446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74" s="442" t="str">
        <f t="shared" si="103"/>
        <v>-</v>
      </c>
      <c r="AZ374" s="445"/>
      <c r="BA374" s="447" t="s">
        <v>532</v>
      </c>
      <c r="BB374" s="59"/>
      <c r="BC374" s="223"/>
      <c r="BD374" s="254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74" s="213" t="str">
        <f t="shared" si="104"/>
        <v>-</v>
      </c>
      <c r="BF374" s="172"/>
      <c r="BG374" s="225" t="s">
        <v>215</v>
      </c>
      <c r="BH374" s="59"/>
      <c r="BI374" s="223"/>
      <c r="BJ374" s="254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74" s="213" t="s">
        <v>215</v>
      </c>
      <c r="BL374" s="172"/>
      <c r="BM374" s="225" t="s">
        <v>215</v>
      </c>
    </row>
    <row r="375" spans="2:65" s="26" customFormat="1" ht="69" customHeight="1">
      <c r="B375" s="19">
        <f t="shared" si="113"/>
        <v>368</v>
      </c>
      <c r="C375" s="7"/>
      <c r="D375" s="7"/>
      <c r="E375" s="7"/>
      <c r="F375" s="110" t="s">
        <v>313</v>
      </c>
      <c r="G375" s="16"/>
      <c r="H375" s="13"/>
      <c r="I375" s="8"/>
      <c r="J375" s="8" t="s">
        <v>231</v>
      </c>
      <c r="K375" s="8"/>
      <c r="L375" s="8"/>
      <c r="M375" s="11" t="s">
        <v>253</v>
      </c>
      <c r="N375" s="1"/>
      <c r="O375" s="56"/>
      <c r="P375" s="93">
        <f t="shared" si="115"/>
        <v>340</v>
      </c>
      <c r="Q375" s="113">
        <v>1</v>
      </c>
      <c r="R375" s="21" t="s">
        <v>229</v>
      </c>
      <c r="S375" s="96" t="s">
        <v>133</v>
      </c>
      <c r="T375" s="94"/>
      <c r="U375" s="21" t="s">
        <v>226</v>
      </c>
      <c r="V375" s="10"/>
      <c r="W375" s="25">
        <v>3</v>
      </c>
      <c r="X375" s="1" t="s">
        <v>134</v>
      </c>
      <c r="Y375" s="1">
        <v>1</v>
      </c>
      <c r="Z375" s="1">
        <v>1</v>
      </c>
      <c r="AA375" s="8">
        <v>9</v>
      </c>
      <c r="AB375" s="8" t="s">
        <v>19</v>
      </c>
      <c r="AC375" s="12"/>
      <c r="AD375" s="444"/>
      <c r="AE375" s="445"/>
      <c r="AF375" s="440" t="str">
        <f t="shared" si="105"/>
        <v xml:space="preserve"> </v>
      </c>
      <c r="AG375" s="442" t="str">
        <f t="shared" si="101"/>
        <v>-</v>
      </c>
      <c r="AH375" s="445"/>
      <c r="AI375" s="447" t="s">
        <v>532</v>
      </c>
      <c r="AJ375" s="444"/>
      <c r="AK375" s="445"/>
      <c r="AL375" s="440" t="str">
        <f t="shared" si="106"/>
        <v xml:space="preserve"> </v>
      </c>
      <c r="AM375" s="442" t="str">
        <f t="shared" si="102"/>
        <v>-</v>
      </c>
      <c r="AN375" s="445"/>
      <c r="AO375" s="447" t="s">
        <v>532</v>
      </c>
      <c r="AP375" s="444"/>
      <c r="AQ375" s="445"/>
      <c r="AR375" s="440" t="str">
        <f t="shared" si="107"/>
        <v xml:space="preserve"> </v>
      </c>
      <c r="AS375" s="447" t="s">
        <v>532</v>
      </c>
      <c r="AT375" s="463"/>
      <c r="AU375" s="447" t="s">
        <v>532</v>
      </c>
      <c r="AV375" s="444"/>
      <c r="AW375" s="445"/>
      <c r="AX375" s="440" t="str">
        <f t="shared" si="108"/>
        <v xml:space="preserve"> </v>
      </c>
      <c r="AY375" s="442" t="str">
        <f t="shared" si="103"/>
        <v>-</v>
      </c>
      <c r="AZ375" s="445"/>
      <c r="BA375" s="447" t="s">
        <v>532</v>
      </c>
      <c r="BB375" s="59"/>
      <c r="BC375" s="223"/>
      <c r="BD375" s="60" t="str">
        <f t="shared" si="109"/>
        <v xml:space="preserve"> </v>
      </c>
      <c r="BE375" s="213" t="str">
        <f t="shared" si="104"/>
        <v>-</v>
      </c>
      <c r="BF375" s="172"/>
      <c r="BG375" s="225" t="s">
        <v>215</v>
      </c>
      <c r="BH375" s="59"/>
      <c r="BI375" s="223"/>
      <c r="BJ375" s="60" t="str">
        <f t="shared" si="110"/>
        <v xml:space="preserve"> </v>
      </c>
      <c r="BK375" s="213" t="s">
        <v>215</v>
      </c>
      <c r="BL375" s="172"/>
      <c r="BM375" s="225" t="s">
        <v>215</v>
      </c>
    </row>
    <row r="376" spans="2:65" s="26" customFormat="1" ht="114.75">
      <c r="B376" s="2">
        <f t="shared" si="113"/>
        <v>369</v>
      </c>
      <c r="C376" s="7"/>
      <c r="D376" s="7"/>
      <c r="E376" s="7"/>
      <c r="F376" s="22" t="s">
        <v>135</v>
      </c>
      <c r="G376" s="16"/>
      <c r="H376" s="13"/>
      <c r="I376" s="8"/>
      <c r="J376" s="8"/>
      <c r="K376" s="8"/>
      <c r="L376" s="8"/>
      <c r="M376" s="359" t="s">
        <v>206</v>
      </c>
      <c r="N376" s="1"/>
      <c r="O376" s="56"/>
      <c r="P376" s="93">
        <f t="shared" si="115"/>
        <v>341</v>
      </c>
      <c r="Q376" s="113">
        <v>1</v>
      </c>
      <c r="R376" s="21" t="s">
        <v>229</v>
      </c>
      <c r="S376" s="96" t="s">
        <v>136</v>
      </c>
      <c r="T376" s="94"/>
      <c r="U376" s="21" t="s">
        <v>226</v>
      </c>
      <c r="V376" s="10"/>
      <c r="W376" s="25">
        <v>3</v>
      </c>
      <c r="X376" s="1" t="s">
        <v>18</v>
      </c>
      <c r="Y376" s="1">
        <v>1</v>
      </c>
      <c r="Z376" s="1">
        <v>1</v>
      </c>
      <c r="AA376" s="8">
        <v>9</v>
      </c>
      <c r="AB376" s="8" t="s">
        <v>19</v>
      </c>
      <c r="AC376" s="101"/>
      <c r="AD376" s="444"/>
      <c r="AE376" s="445"/>
      <c r="AF376" s="440" t="str">
        <f t="shared" si="105"/>
        <v xml:space="preserve"> </v>
      </c>
      <c r="AG376" s="442" t="str">
        <f t="shared" si="101"/>
        <v>-</v>
      </c>
      <c r="AH376" s="445"/>
      <c r="AI376" s="447" t="s">
        <v>532</v>
      </c>
      <c r="AJ376" s="444"/>
      <c r="AK376" s="445"/>
      <c r="AL376" s="440" t="str">
        <f t="shared" si="106"/>
        <v xml:space="preserve"> </v>
      </c>
      <c r="AM376" s="442" t="str">
        <f t="shared" si="102"/>
        <v>-</v>
      </c>
      <c r="AN376" s="445"/>
      <c r="AO376" s="447" t="s">
        <v>532</v>
      </c>
      <c r="AP376" s="444"/>
      <c r="AQ376" s="445"/>
      <c r="AR376" s="440" t="str">
        <f t="shared" si="107"/>
        <v xml:space="preserve"> </v>
      </c>
      <c r="AS376" s="447" t="s">
        <v>532</v>
      </c>
      <c r="AT376" s="463"/>
      <c r="AU376" s="447" t="s">
        <v>532</v>
      </c>
      <c r="AV376" s="444"/>
      <c r="AW376" s="445"/>
      <c r="AX376" s="440" t="str">
        <f t="shared" si="108"/>
        <v xml:space="preserve"> </v>
      </c>
      <c r="AY376" s="442" t="str">
        <f t="shared" si="103"/>
        <v>-</v>
      </c>
      <c r="AZ376" s="445"/>
      <c r="BA376" s="447" t="s">
        <v>532</v>
      </c>
      <c r="BB376" s="59"/>
      <c r="BC376" s="223"/>
      <c r="BD376" s="60" t="str">
        <f t="shared" si="109"/>
        <v xml:space="preserve"> </v>
      </c>
      <c r="BE376" s="213" t="str">
        <f t="shared" si="104"/>
        <v>-</v>
      </c>
      <c r="BF376" s="172"/>
      <c r="BG376" s="225" t="s">
        <v>215</v>
      </c>
      <c r="BH376" s="59"/>
      <c r="BI376" s="223"/>
      <c r="BJ376" s="60" t="str">
        <f t="shared" si="110"/>
        <v xml:space="preserve"> </v>
      </c>
      <c r="BK376" s="213" t="s">
        <v>215</v>
      </c>
      <c r="BL376" s="172"/>
      <c r="BM376" s="225" t="s">
        <v>215</v>
      </c>
    </row>
    <row r="377" spans="2:65" s="26" customFormat="1" ht="126.75" customHeight="1">
      <c r="B377" s="64">
        <f t="shared" si="113"/>
        <v>370</v>
      </c>
      <c r="C377" s="7"/>
      <c r="D377" s="7"/>
      <c r="E377" s="7"/>
      <c r="F377" s="110" t="s">
        <v>137</v>
      </c>
      <c r="G377" s="16"/>
      <c r="H377" s="13"/>
      <c r="I377" s="8"/>
      <c r="J377" s="8"/>
      <c r="K377" s="8"/>
      <c r="L377" s="8"/>
      <c r="M377" s="11" t="s">
        <v>479</v>
      </c>
      <c r="N377" s="1"/>
      <c r="O377" s="56"/>
      <c r="P377" s="93">
        <f t="shared" si="115"/>
        <v>342</v>
      </c>
      <c r="Q377" s="113">
        <v>1</v>
      </c>
      <c r="R377" s="21" t="str">
        <f t="shared" si="114"/>
        <v>X</v>
      </c>
      <c r="S377" s="96" t="s">
        <v>183</v>
      </c>
      <c r="T377" s="94"/>
      <c r="U377" s="21" t="s">
        <v>226</v>
      </c>
      <c r="V377" s="10"/>
      <c r="W377" s="25">
        <v>3</v>
      </c>
      <c r="X377" s="1" t="s">
        <v>254</v>
      </c>
      <c r="Y377" s="1">
        <v>1</v>
      </c>
      <c r="Z377" s="1">
        <v>1</v>
      </c>
      <c r="AA377" s="8" t="s">
        <v>229</v>
      </c>
      <c r="AB377" s="8" t="s">
        <v>226</v>
      </c>
      <c r="AC377" s="12"/>
      <c r="AD377" s="444"/>
      <c r="AE377" s="445"/>
      <c r="AF377" s="440" t="str">
        <f t="shared" si="105"/>
        <v xml:space="preserve"> </v>
      </c>
      <c r="AG377" s="442" t="str">
        <f t="shared" si="101"/>
        <v>-</v>
      </c>
      <c r="AH377" s="445"/>
      <c r="AI377" s="447" t="s">
        <v>532</v>
      </c>
      <c r="AJ377" s="444"/>
      <c r="AK377" s="445"/>
      <c r="AL377" s="440" t="str">
        <f t="shared" si="106"/>
        <v xml:space="preserve"> </v>
      </c>
      <c r="AM377" s="442" t="str">
        <f t="shared" si="102"/>
        <v>-</v>
      </c>
      <c r="AN377" s="445"/>
      <c r="AO377" s="447" t="s">
        <v>532</v>
      </c>
      <c r="AP377" s="444"/>
      <c r="AQ377" s="445"/>
      <c r="AR377" s="440" t="str">
        <f t="shared" si="107"/>
        <v xml:space="preserve"> </v>
      </c>
      <c r="AS377" s="447" t="s">
        <v>532</v>
      </c>
      <c r="AT377" s="463"/>
      <c r="AU377" s="447" t="s">
        <v>532</v>
      </c>
      <c r="AV377" s="444"/>
      <c r="AW377" s="445"/>
      <c r="AX377" s="440" t="str">
        <f t="shared" si="108"/>
        <v xml:space="preserve"> </v>
      </c>
      <c r="AY377" s="442" t="str">
        <f t="shared" si="103"/>
        <v>-</v>
      </c>
      <c r="AZ377" s="445"/>
      <c r="BA377" s="447" t="s">
        <v>532</v>
      </c>
      <c r="BB377" s="59"/>
      <c r="BC377" s="223"/>
      <c r="BD377" s="60" t="str">
        <f t="shared" si="109"/>
        <v xml:space="preserve"> </v>
      </c>
      <c r="BE377" s="213" t="str">
        <f t="shared" si="104"/>
        <v>-</v>
      </c>
      <c r="BF377" s="172"/>
      <c r="BG377" s="225" t="s">
        <v>215</v>
      </c>
      <c r="BH377" s="59"/>
      <c r="BI377" s="223"/>
      <c r="BJ377" s="60" t="str">
        <f t="shared" si="110"/>
        <v xml:space="preserve"> </v>
      </c>
      <c r="BK377" s="213" t="s">
        <v>215</v>
      </c>
      <c r="BL377" s="172"/>
      <c r="BM377" s="225" t="s">
        <v>215</v>
      </c>
    </row>
    <row r="378" spans="2:65" s="26" customFormat="1">
      <c r="B378" s="64">
        <f t="shared" si="113"/>
        <v>371</v>
      </c>
      <c r="C378" s="7"/>
      <c r="D378" s="7"/>
      <c r="E378" s="7"/>
      <c r="F378" s="22" t="s">
        <v>138</v>
      </c>
      <c r="G378" s="16"/>
      <c r="H378" s="13"/>
      <c r="I378" s="8"/>
      <c r="J378" s="8"/>
      <c r="K378" s="8"/>
      <c r="L378" s="8"/>
      <c r="M378" s="359" t="s">
        <v>139</v>
      </c>
      <c r="N378" s="1"/>
      <c r="O378" s="56"/>
      <c r="P378" s="93">
        <f t="shared" si="115"/>
        <v>343</v>
      </c>
      <c r="Q378" s="113">
        <v>400</v>
      </c>
      <c r="R378" s="21" t="str">
        <f t="shared" si="114"/>
        <v>NX</v>
      </c>
      <c r="S378" s="96" t="s">
        <v>140</v>
      </c>
      <c r="T378" s="94"/>
      <c r="U378" s="21" t="s">
        <v>226</v>
      </c>
      <c r="V378" s="10"/>
      <c r="W378" s="25">
        <v>3</v>
      </c>
      <c r="X378" s="1" t="s">
        <v>141</v>
      </c>
      <c r="Y378" s="1">
        <v>1</v>
      </c>
      <c r="Z378" s="1">
        <v>400</v>
      </c>
      <c r="AA378" s="8" t="s">
        <v>123</v>
      </c>
      <c r="AB378" s="8" t="s">
        <v>226</v>
      </c>
      <c r="AC378" s="12"/>
      <c r="AD378" s="444"/>
      <c r="AE378" s="445"/>
      <c r="AF378" s="449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78" s="442" t="str">
        <f t="shared" si="101"/>
        <v>-</v>
      </c>
      <c r="AH378" s="445"/>
      <c r="AI378" s="447" t="s">
        <v>532</v>
      </c>
      <c r="AJ378" s="444"/>
      <c r="AK378" s="445"/>
      <c r="AL378" s="449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78" s="442" t="str">
        <f t="shared" si="102"/>
        <v>-</v>
      </c>
      <c r="AN378" s="445"/>
      <c r="AO378" s="447" t="s">
        <v>532</v>
      </c>
      <c r="AP378" s="444"/>
      <c r="AQ378" s="445"/>
      <c r="AR378" s="449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78" s="447" t="s">
        <v>532</v>
      </c>
      <c r="AT378" s="463"/>
      <c r="AU378" s="447" t="s">
        <v>532</v>
      </c>
      <c r="AV378" s="444"/>
      <c r="AW378" s="445"/>
      <c r="AX378" s="449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78" s="442" t="str">
        <f t="shared" si="103"/>
        <v>-</v>
      </c>
      <c r="AZ378" s="445"/>
      <c r="BA378" s="447" t="s">
        <v>532</v>
      </c>
      <c r="BB378" s="59"/>
      <c r="BC378" s="223"/>
      <c r="BD378" s="252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78" s="213" t="str">
        <f t="shared" si="104"/>
        <v>-</v>
      </c>
      <c r="BF378" s="172"/>
      <c r="BG378" s="225" t="s">
        <v>215</v>
      </c>
      <c r="BH378" s="59"/>
      <c r="BI378" s="223"/>
      <c r="BJ378" s="252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78" s="213" t="s">
        <v>215</v>
      </c>
      <c r="BL378" s="172"/>
      <c r="BM378" s="225" t="s">
        <v>215</v>
      </c>
    </row>
    <row r="379" spans="2:65" s="26" customFormat="1" ht="63.75">
      <c r="B379" s="64">
        <f t="shared" si="113"/>
        <v>372</v>
      </c>
      <c r="C379" s="7"/>
      <c r="D379" s="7"/>
      <c r="E379" s="7"/>
      <c r="F379" s="22" t="s">
        <v>142</v>
      </c>
      <c r="G379" s="16"/>
      <c r="H379" s="13"/>
      <c r="I379" s="8"/>
      <c r="J379" s="8"/>
      <c r="K379" s="8"/>
      <c r="L379" s="8"/>
      <c r="M379" s="359" t="s">
        <v>314</v>
      </c>
      <c r="N379" s="1"/>
      <c r="O379" s="56"/>
      <c r="P379" s="93">
        <f t="shared" si="115"/>
        <v>344</v>
      </c>
      <c r="Q379" s="113">
        <v>400</v>
      </c>
      <c r="R379" s="21" t="str">
        <f t="shared" si="114"/>
        <v>NX</v>
      </c>
      <c r="S379" s="96" t="s">
        <v>143</v>
      </c>
      <c r="T379" s="94"/>
      <c r="U379" s="21" t="s">
        <v>226</v>
      </c>
      <c r="V379" s="10"/>
      <c r="W379" s="25">
        <v>3</v>
      </c>
      <c r="X379" s="1" t="s">
        <v>144</v>
      </c>
      <c r="Y379" s="1">
        <v>1</v>
      </c>
      <c r="Z379" s="1">
        <v>400</v>
      </c>
      <c r="AA379" s="8" t="s">
        <v>123</v>
      </c>
      <c r="AB379" s="8" t="s">
        <v>226</v>
      </c>
      <c r="AC379" s="12"/>
      <c r="AD379" s="444"/>
      <c r="AE379" s="445"/>
      <c r="AF379" s="450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79" s="442" t="str">
        <f t="shared" si="101"/>
        <v>-</v>
      </c>
      <c r="AH379" s="445"/>
      <c r="AI379" s="447" t="s">
        <v>532</v>
      </c>
      <c r="AJ379" s="444"/>
      <c r="AK379" s="445"/>
      <c r="AL379" s="450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79" s="442" t="str">
        <f t="shared" si="102"/>
        <v>-</v>
      </c>
      <c r="AN379" s="445"/>
      <c r="AO379" s="447" t="s">
        <v>532</v>
      </c>
      <c r="AP379" s="444"/>
      <c r="AQ379" s="445"/>
      <c r="AR379" s="450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79" s="447" t="s">
        <v>532</v>
      </c>
      <c r="AT379" s="463"/>
      <c r="AU379" s="447" t="s">
        <v>532</v>
      </c>
      <c r="AV379" s="444"/>
      <c r="AW379" s="445"/>
      <c r="AX379" s="450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79" s="442" t="str">
        <f t="shared" si="103"/>
        <v>-</v>
      </c>
      <c r="AZ379" s="445"/>
      <c r="BA379" s="447" t="s">
        <v>532</v>
      </c>
      <c r="BB379" s="59"/>
      <c r="BC379" s="223"/>
      <c r="BD379" s="90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79" s="213" t="str">
        <f t="shared" si="104"/>
        <v>-</v>
      </c>
      <c r="BF379" s="172"/>
      <c r="BG379" s="225" t="s">
        <v>215</v>
      </c>
      <c r="BH379" s="59"/>
      <c r="BI379" s="223"/>
      <c r="BJ379" s="90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79" s="213" t="s">
        <v>215</v>
      </c>
      <c r="BL379" s="172"/>
      <c r="BM379" s="225" t="s">
        <v>215</v>
      </c>
    </row>
    <row r="380" spans="2:65" s="26" customFormat="1">
      <c r="B380" s="64">
        <f t="shared" si="113"/>
        <v>373</v>
      </c>
      <c r="C380" s="7"/>
      <c r="D380" s="7"/>
      <c r="E380" s="7"/>
      <c r="F380" s="22" t="s">
        <v>145</v>
      </c>
      <c r="G380" s="16"/>
      <c r="H380" s="13"/>
      <c r="I380" s="8"/>
      <c r="J380" s="8"/>
      <c r="K380" s="8"/>
      <c r="L380" s="8"/>
      <c r="M380" s="11" t="s">
        <v>146</v>
      </c>
      <c r="N380" s="1"/>
      <c r="O380" s="56"/>
      <c r="P380" s="93">
        <f t="shared" si="115"/>
        <v>345</v>
      </c>
      <c r="Q380" s="113">
        <v>400</v>
      </c>
      <c r="R380" s="21" t="str">
        <f t="shared" si="114"/>
        <v>NX</v>
      </c>
      <c r="S380" s="96" t="s">
        <v>147</v>
      </c>
      <c r="T380" s="94"/>
      <c r="U380" s="21" t="s">
        <v>226</v>
      </c>
      <c r="V380" s="10"/>
      <c r="W380" s="25">
        <v>3</v>
      </c>
      <c r="X380" s="1" t="s">
        <v>148</v>
      </c>
      <c r="Y380" s="1">
        <v>1</v>
      </c>
      <c r="Z380" s="1">
        <v>400</v>
      </c>
      <c r="AA380" s="8" t="s">
        <v>123</v>
      </c>
      <c r="AB380" s="8" t="s">
        <v>226</v>
      </c>
      <c r="AC380" s="12"/>
      <c r="AD380" s="444"/>
      <c r="AE380" s="440"/>
      <c r="AF380" s="450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80" s="442" t="str">
        <f t="shared" si="101"/>
        <v>-</v>
      </c>
      <c r="AH380" s="440"/>
      <c r="AI380" s="447" t="s">
        <v>532</v>
      </c>
      <c r="AJ380" s="444"/>
      <c r="AK380" s="440"/>
      <c r="AL380" s="450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80" s="442" t="str">
        <f t="shared" si="102"/>
        <v>-</v>
      </c>
      <c r="AN380" s="440"/>
      <c r="AO380" s="447" t="s">
        <v>532</v>
      </c>
      <c r="AP380" s="444"/>
      <c r="AQ380" s="440"/>
      <c r="AR380" s="450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80" s="447" t="s">
        <v>532</v>
      </c>
      <c r="AT380" s="462"/>
      <c r="AU380" s="447" t="s">
        <v>532</v>
      </c>
      <c r="AV380" s="444"/>
      <c r="AW380" s="440"/>
      <c r="AX380" s="450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80" s="442" t="str">
        <f t="shared" si="103"/>
        <v>-</v>
      </c>
      <c r="AZ380" s="440"/>
      <c r="BA380" s="447" t="s">
        <v>532</v>
      </c>
      <c r="BB380" s="59"/>
      <c r="BC380" s="60"/>
      <c r="BD380" s="90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80" s="213" t="str">
        <f t="shared" si="104"/>
        <v>-</v>
      </c>
      <c r="BF380" s="167"/>
      <c r="BG380" s="225" t="s">
        <v>215</v>
      </c>
      <c r="BH380" s="59"/>
      <c r="BI380" s="60"/>
      <c r="BJ380" s="90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80" s="213" t="s">
        <v>215</v>
      </c>
      <c r="BL380" s="167"/>
      <c r="BM380" s="225" t="s">
        <v>215</v>
      </c>
    </row>
    <row r="381" spans="2:65" s="26" customFormat="1" ht="76.5">
      <c r="B381" s="64">
        <f t="shared" si="113"/>
        <v>374</v>
      </c>
      <c r="C381" s="7"/>
      <c r="D381" s="7"/>
      <c r="E381" s="7"/>
      <c r="F381" s="22" t="s">
        <v>149</v>
      </c>
      <c r="G381" s="16"/>
      <c r="H381" s="13"/>
      <c r="I381" s="8"/>
      <c r="J381" s="8"/>
      <c r="K381" s="8"/>
      <c r="L381" s="8"/>
      <c r="M381" s="11" t="s">
        <v>315</v>
      </c>
      <c r="N381" s="1"/>
      <c r="O381" s="56"/>
      <c r="P381" s="93">
        <f t="shared" si="115"/>
        <v>346</v>
      </c>
      <c r="Q381" s="113">
        <v>400</v>
      </c>
      <c r="R381" s="21" t="str">
        <f t="shared" si="114"/>
        <v>NX</v>
      </c>
      <c r="S381" s="96" t="s">
        <v>150</v>
      </c>
      <c r="T381" s="94"/>
      <c r="U381" s="21" t="s">
        <v>226</v>
      </c>
      <c r="V381" s="10"/>
      <c r="W381" s="25">
        <v>3</v>
      </c>
      <c r="X381" s="1" t="s">
        <v>151</v>
      </c>
      <c r="Y381" s="1">
        <v>1</v>
      </c>
      <c r="Z381" s="1">
        <v>400</v>
      </c>
      <c r="AA381" s="8" t="s">
        <v>123</v>
      </c>
      <c r="AB381" s="8" t="s">
        <v>226</v>
      </c>
      <c r="AC381" s="12"/>
      <c r="AD381" s="444"/>
      <c r="AE381" s="440"/>
      <c r="AF381" s="450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81" s="442" t="str">
        <f t="shared" si="101"/>
        <v>-</v>
      </c>
      <c r="AH381" s="440"/>
      <c r="AI381" s="447" t="s">
        <v>532</v>
      </c>
      <c r="AJ381" s="444"/>
      <c r="AK381" s="440"/>
      <c r="AL381" s="450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81" s="442" t="str">
        <f t="shared" si="102"/>
        <v>-</v>
      </c>
      <c r="AN381" s="440"/>
      <c r="AO381" s="447" t="s">
        <v>532</v>
      </c>
      <c r="AP381" s="444"/>
      <c r="AQ381" s="440"/>
      <c r="AR381" s="450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81" s="447" t="s">
        <v>532</v>
      </c>
      <c r="AT381" s="462"/>
      <c r="AU381" s="447" t="s">
        <v>532</v>
      </c>
      <c r="AV381" s="444"/>
      <c r="AW381" s="440"/>
      <c r="AX381" s="450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81" s="442" t="str">
        <f t="shared" si="103"/>
        <v>-</v>
      </c>
      <c r="AZ381" s="440"/>
      <c r="BA381" s="447" t="s">
        <v>532</v>
      </c>
      <c r="BB381" s="59"/>
      <c r="BC381" s="60"/>
      <c r="BD381" s="90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81" s="213" t="str">
        <f t="shared" si="104"/>
        <v>-</v>
      </c>
      <c r="BF381" s="167"/>
      <c r="BG381" s="225" t="s">
        <v>215</v>
      </c>
      <c r="BH381" s="59"/>
      <c r="BI381" s="60"/>
      <c r="BJ381" s="90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81" s="213" t="s">
        <v>215</v>
      </c>
      <c r="BL381" s="167"/>
      <c r="BM381" s="225" t="s">
        <v>215</v>
      </c>
    </row>
    <row r="382" spans="2:65" s="26" customFormat="1">
      <c r="B382" s="64">
        <f t="shared" si="113"/>
        <v>375</v>
      </c>
      <c r="C382" s="7"/>
      <c r="D382" s="7"/>
      <c r="E382" s="7"/>
      <c r="F382" s="22" t="s">
        <v>152</v>
      </c>
      <c r="G382" s="16"/>
      <c r="H382" s="13"/>
      <c r="I382" s="8"/>
      <c r="J382" s="8"/>
      <c r="K382" s="8"/>
      <c r="L382" s="8"/>
      <c r="M382" s="11" t="s">
        <v>146</v>
      </c>
      <c r="N382" s="1"/>
      <c r="O382" s="56"/>
      <c r="P382" s="93">
        <f t="shared" si="115"/>
        <v>347</v>
      </c>
      <c r="Q382" s="113">
        <v>400</v>
      </c>
      <c r="R382" s="21" t="str">
        <f t="shared" si="114"/>
        <v>NX</v>
      </c>
      <c r="S382" s="96" t="s">
        <v>153</v>
      </c>
      <c r="T382" s="94"/>
      <c r="U382" s="21" t="s">
        <v>226</v>
      </c>
      <c r="V382" s="10"/>
      <c r="W382" s="25">
        <v>3</v>
      </c>
      <c r="X382" s="1" t="s">
        <v>154</v>
      </c>
      <c r="Y382" s="1">
        <v>1</v>
      </c>
      <c r="Z382" s="1">
        <v>400</v>
      </c>
      <c r="AA382" s="8" t="s">
        <v>123</v>
      </c>
      <c r="AB382" s="8" t="s">
        <v>226</v>
      </c>
      <c r="AC382" s="12"/>
      <c r="AD382" s="444"/>
      <c r="AE382" s="440"/>
      <c r="AF382" s="450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82" s="442" t="str">
        <f t="shared" si="101"/>
        <v>-</v>
      </c>
      <c r="AH382" s="440"/>
      <c r="AI382" s="447" t="s">
        <v>532</v>
      </c>
      <c r="AJ382" s="444"/>
      <c r="AK382" s="440"/>
      <c r="AL382" s="450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82" s="442" t="str">
        <f t="shared" si="102"/>
        <v>-</v>
      </c>
      <c r="AN382" s="440"/>
      <c r="AO382" s="447" t="s">
        <v>532</v>
      </c>
      <c r="AP382" s="444"/>
      <c r="AQ382" s="440"/>
      <c r="AR382" s="450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82" s="447" t="s">
        <v>532</v>
      </c>
      <c r="AT382" s="462"/>
      <c r="AU382" s="447" t="s">
        <v>532</v>
      </c>
      <c r="AV382" s="444"/>
      <c r="AW382" s="440"/>
      <c r="AX382" s="450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82" s="442" t="str">
        <f t="shared" si="103"/>
        <v>-</v>
      </c>
      <c r="AZ382" s="440"/>
      <c r="BA382" s="447" t="s">
        <v>532</v>
      </c>
      <c r="BB382" s="59"/>
      <c r="BC382" s="60"/>
      <c r="BD382" s="90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82" s="213" t="str">
        <f t="shared" si="104"/>
        <v>-</v>
      </c>
      <c r="BF382" s="167"/>
      <c r="BG382" s="225" t="s">
        <v>215</v>
      </c>
      <c r="BH382" s="59"/>
      <c r="BI382" s="60"/>
      <c r="BJ382" s="90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82" s="213" t="s">
        <v>215</v>
      </c>
      <c r="BL382" s="167"/>
      <c r="BM382" s="225" t="s">
        <v>215</v>
      </c>
    </row>
    <row r="383" spans="2:65" s="26" customFormat="1">
      <c r="B383" s="64">
        <f t="shared" si="113"/>
        <v>376</v>
      </c>
      <c r="C383" s="7"/>
      <c r="D383" s="7"/>
      <c r="E383" s="7"/>
      <c r="F383" s="22" t="s">
        <v>155</v>
      </c>
      <c r="G383" s="16"/>
      <c r="H383" s="13"/>
      <c r="I383" s="8"/>
      <c r="J383" s="8"/>
      <c r="K383" s="8"/>
      <c r="L383" s="8"/>
      <c r="M383" s="11" t="s">
        <v>146</v>
      </c>
      <c r="N383" s="1"/>
      <c r="O383" s="56"/>
      <c r="P383" s="93">
        <f t="shared" si="115"/>
        <v>348</v>
      </c>
      <c r="Q383" s="113">
        <v>400</v>
      </c>
      <c r="R383" s="21" t="str">
        <f t="shared" si="114"/>
        <v>NX</v>
      </c>
      <c r="S383" s="96" t="s">
        <v>156</v>
      </c>
      <c r="T383" s="94"/>
      <c r="U383" s="21" t="s">
        <v>226</v>
      </c>
      <c r="V383" s="10"/>
      <c r="W383" s="25">
        <v>3</v>
      </c>
      <c r="X383" s="1" t="s">
        <v>157</v>
      </c>
      <c r="Y383" s="1">
        <v>1</v>
      </c>
      <c r="Z383" s="1">
        <v>400</v>
      </c>
      <c r="AA383" s="8" t="s">
        <v>123</v>
      </c>
      <c r="AB383" s="8" t="s">
        <v>226</v>
      </c>
      <c r="AC383" s="12"/>
      <c r="AD383" s="444"/>
      <c r="AE383" s="440"/>
      <c r="AF383" s="450" t="str">
        <f t="shared" si="10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383" s="442" t="str">
        <f t="shared" si="101"/>
        <v>-</v>
      </c>
      <c r="AH383" s="440"/>
      <c r="AI383" s="447" t="s">
        <v>532</v>
      </c>
      <c r="AJ383" s="444"/>
      <c r="AK383" s="440"/>
      <c r="AL383" s="450" t="str">
        <f t="shared" si="106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383" s="442" t="str">
        <f t="shared" si="102"/>
        <v>-</v>
      </c>
      <c r="AN383" s="440"/>
      <c r="AO383" s="447" t="s">
        <v>532</v>
      </c>
      <c r="AP383" s="444"/>
      <c r="AQ383" s="440"/>
      <c r="AR383" s="450" t="str">
        <f t="shared" si="107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383" s="447" t="s">
        <v>532</v>
      </c>
      <c r="AT383" s="462"/>
      <c r="AU383" s="447" t="s">
        <v>532</v>
      </c>
      <c r="AV383" s="444"/>
      <c r="AW383" s="440"/>
      <c r="AX383" s="450" t="str">
        <f t="shared" si="108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383" s="442" t="str">
        <f t="shared" si="103"/>
        <v>-</v>
      </c>
      <c r="AZ383" s="440"/>
      <c r="BA383" s="447" t="s">
        <v>532</v>
      </c>
      <c r="BB383" s="59"/>
      <c r="BC383" s="60"/>
      <c r="BD383" s="90" t="str">
        <f t="shared" si="109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383" s="213" t="str">
        <f t="shared" si="104"/>
        <v>-</v>
      </c>
      <c r="BF383" s="167"/>
      <c r="BG383" s="225" t="s">
        <v>215</v>
      </c>
      <c r="BH383" s="59"/>
      <c r="BI383" s="60"/>
      <c r="BJ383" s="90" t="str">
        <f t="shared" si="11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383" s="213" t="s">
        <v>215</v>
      </c>
      <c r="BL383" s="167"/>
      <c r="BM383" s="225" t="s">
        <v>215</v>
      </c>
    </row>
    <row r="384" spans="2:65" s="26" customFormat="1" ht="89.25">
      <c r="B384" s="64">
        <f t="shared" si="113"/>
        <v>377</v>
      </c>
      <c r="C384" s="7"/>
      <c r="D384" s="7"/>
      <c r="E384" s="7"/>
      <c r="F384" s="22" t="s">
        <v>158</v>
      </c>
      <c r="G384" s="16"/>
      <c r="H384" s="13"/>
      <c r="I384" s="8"/>
      <c r="J384" s="8"/>
      <c r="K384" s="8"/>
      <c r="L384" s="8"/>
      <c r="M384" s="11" t="s">
        <v>316</v>
      </c>
      <c r="N384" s="1"/>
      <c r="O384" s="56"/>
      <c r="P384" s="93">
        <f t="shared" si="115"/>
        <v>349</v>
      </c>
      <c r="Q384" s="113">
        <v>1</v>
      </c>
      <c r="R384" s="21" t="str">
        <f t="shared" si="114"/>
        <v>X</v>
      </c>
      <c r="S384" s="96" t="s">
        <v>159</v>
      </c>
      <c r="T384" s="94"/>
      <c r="U384" s="21" t="s">
        <v>226</v>
      </c>
      <c r="V384" s="10"/>
      <c r="W384" s="25">
        <v>3</v>
      </c>
      <c r="X384" s="1" t="s">
        <v>255</v>
      </c>
      <c r="Y384" s="1">
        <v>1</v>
      </c>
      <c r="Z384" s="1">
        <v>1</v>
      </c>
      <c r="AA384" s="8" t="s">
        <v>109</v>
      </c>
      <c r="AB384" s="8" t="s">
        <v>19</v>
      </c>
      <c r="AC384" s="102"/>
      <c r="AD384" s="444"/>
      <c r="AE384" s="445"/>
      <c r="AF384" s="440" t="str">
        <f t="shared" si="105"/>
        <v xml:space="preserve"> </v>
      </c>
      <c r="AG384" s="442" t="str">
        <f t="shared" si="101"/>
        <v>-</v>
      </c>
      <c r="AH384" s="445"/>
      <c r="AI384" s="447" t="s">
        <v>532</v>
      </c>
      <c r="AJ384" s="444"/>
      <c r="AK384" s="445"/>
      <c r="AL384" s="440" t="str">
        <f t="shared" si="106"/>
        <v xml:space="preserve"> </v>
      </c>
      <c r="AM384" s="442" t="str">
        <f t="shared" si="102"/>
        <v>-</v>
      </c>
      <c r="AN384" s="445"/>
      <c r="AO384" s="447" t="s">
        <v>532</v>
      </c>
      <c r="AP384" s="444"/>
      <c r="AQ384" s="445"/>
      <c r="AR384" s="440" t="str">
        <f t="shared" si="107"/>
        <v xml:space="preserve"> </v>
      </c>
      <c r="AS384" s="447" t="s">
        <v>532</v>
      </c>
      <c r="AT384" s="463"/>
      <c r="AU384" s="447" t="s">
        <v>532</v>
      </c>
      <c r="AV384" s="444"/>
      <c r="AW384" s="445"/>
      <c r="AX384" s="440" t="str">
        <f t="shared" si="108"/>
        <v xml:space="preserve"> </v>
      </c>
      <c r="AY384" s="442" t="str">
        <f t="shared" si="103"/>
        <v>-</v>
      </c>
      <c r="AZ384" s="445"/>
      <c r="BA384" s="447" t="s">
        <v>532</v>
      </c>
      <c r="BB384" s="59"/>
      <c r="BC384" s="223"/>
      <c r="BD384" s="60" t="str">
        <f t="shared" si="109"/>
        <v xml:space="preserve"> </v>
      </c>
      <c r="BE384" s="213" t="str">
        <f t="shared" si="104"/>
        <v>-</v>
      </c>
      <c r="BF384" s="172"/>
      <c r="BG384" s="225" t="s">
        <v>215</v>
      </c>
      <c r="BH384" s="59"/>
      <c r="BI384" s="223"/>
      <c r="BJ384" s="60" t="str">
        <f t="shared" si="110"/>
        <v xml:space="preserve"> </v>
      </c>
      <c r="BK384" s="213" t="s">
        <v>215</v>
      </c>
      <c r="BL384" s="172"/>
      <c r="BM384" s="225" t="s">
        <v>215</v>
      </c>
    </row>
    <row r="385" spans="1:65" s="26" customFormat="1">
      <c r="B385" s="64">
        <f t="shared" si="113"/>
        <v>378</v>
      </c>
      <c r="C385" s="7"/>
      <c r="D385" s="7"/>
      <c r="E385" s="7"/>
      <c r="F385" s="22" t="s">
        <v>160</v>
      </c>
      <c r="G385" s="16"/>
      <c r="H385" s="13"/>
      <c r="I385" s="8"/>
      <c r="J385" s="8"/>
      <c r="K385" s="8"/>
      <c r="L385" s="8"/>
      <c r="M385" s="11"/>
      <c r="N385" s="1"/>
      <c r="O385" s="56"/>
      <c r="P385" s="93">
        <f t="shared" si="115"/>
        <v>350</v>
      </c>
      <c r="Q385" s="113">
        <v>128</v>
      </c>
      <c r="R385" s="21" t="str">
        <f t="shared" si="114"/>
        <v>X</v>
      </c>
      <c r="S385" s="96" t="s">
        <v>161</v>
      </c>
      <c r="T385" s="94"/>
      <c r="U385" s="21" t="s">
        <v>226</v>
      </c>
      <c r="V385" s="10"/>
      <c r="W385" s="25">
        <v>3</v>
      </c>
      <c r="X385" s="1" t="s">
        <v>256</v>
      </c>
      <c r="Y385" s="1">
        <v>1</v>
      </c>
      <c r="Z385" s="1">
        <v>128</v>
      </c>
      <c r="AA385" s="8" t="s">
        <v>109</v>
      </c>
      <c r="AB385" s="8" t="s">
        <v>19</v>
      </c>
      <c r="AC385" s="12"/>
      <c r="AD385" s="444"/>
      <c r="AE385" s="440"/>
      <c r="AF385" s="440" t="str">
        <f t="shared" si="105"/>
        <v xml:space="preserve">                                                                                                                                </v>
      </c>
      <c r="AG385" s="442" t="str">
        <f t="shared" si="101"/>
        <v>-</v>
      </c>
      <c r="AH385" s="440"/>
      <c r="AI385" s="447" t="s">
        <v>532</v>
      </c>
      <c r="AJ385" s="444"/>
      <c r="AK385" s="440"/>
      <c r="AL385" s="440" t="str">
        <f t="shared" si="106"/>
        <v xml:space="preserve">                                                                                                                                </v>
      </c>
      <c r="AM385" s="442" t="str">
        <f t="shared" si="102"/>
        <v>-</v>
      </c>
      <c r="AN385" s="440"/>
      <c r="AO385" s="447" t="s">
        <v>532</v>
      </c>
      <c r="AP385" s="444"/>
      <c r="AQ385" s="440"/>
      <c r="AR385" s="440" t="str">
        <f t="shared" si="107"/>
        <v xml:space="preserve">                                                                                                                                </v>
      </c>
      <c r="AS385" s="447" t="s">
        <v>532</v>
      </c>
      <c r="AT385" s="462"/>
      <c r="AU385" s="447" t="s">
        <v>532</v>
      </c>
      <c r="AV385" s="444"/>
      <c r="AW385" s="440"/>
      <c r="AX385" s="440" t="str">
        <f t="shared" si="108"/>
        <v xml:space="preserve">                                                                                                                                </v>
      </c>
      <c r="AY385" s="442" t="str">
        <f t="shared" si="103"/>
        <v>-</v>
      </c>
      <c r="AZ385" s="440"/>
      <c r="BA385" s="447" t="s">
        <v>532</v>
      </c>
      <c r="BB385" s="59"/>
      <c r="BC385" s="60"/>
      <c r="BD385" s="60" t="str">
        <f t="shared" si="109"/>
        <v xml:space="preserve">                                                                                                                                </v>
      </c>
      <c r="BE385" s="213" t="str">
        <f t="shared" si="104"/>
        <v>-</v>
      </c>
      <c r="BF385" s="167"/>
      <c r="BG385" s="225" t="s">
        <v>215</v>
      </c>
      <c r="BH385" s="59"/>
      <c r="BI385" s="60"/>
      <c r="BJ385" s="60" t="str">
        <f t="shared" si="110"/>
        <v xml:space="preserve">                                                                                                                                </v>
      </c>
      <c r="BK385" s="213" t="s">
        <v>215</v>
      </c>
      <c r="BL385" s="167"/>
      <c r="BM385" s="225" t="s">
        <v>215</v>
      </c>
    </row>
    <row r="386" spans="1:65" s="26" customFormat="1" ht="114.75">
      <c r="B386" s="64">
        <f t="shared" si="113"/>
        <v>379</v>
      </c>
      <c r="C386" s="7"/>
      <c r="D386" s="7"/>
      <c r="E386" s="7"/>
      <c r="F386" s="22" t="s">
        <v>162</v>
      </c>
      <c r="G386" s="16"/>
      <c r="H386" s="13"/>
      <c r="I386" s="8"/>
      <c r="J386" s="8"/>
      <c r="K386" s="8"/>
      <c r="L386" s="8"/>
      <c r="M386" s="11" t="s">
        <v>294</v>
      </c>
      <c r="N386" s="1"/>
      <c r="O386" s="56"/>
      <c r="P386" s="93">
        <f t="shared" si="115"/>
        <v>351</v>
      </c>
      <c r="Q386" s="113">
        <v>1</v>
      </c>
      <c r="R386" s="21" t="str">
        <f t="shared" si="114"/>
        <v>X</v>
      </c>
      <c r="S386" s="96" t="s">
        <v>163</v>
      </c>
      <c r="T386" s="94"/>
      <c r="U386" s="21" t="s">
        <v>226</v>
      </c>
      <c r="V386" s="10"/>
      <c r="W386" s="25">
        <v>3</v>
      </c>
      <c r="X386" s="1" t="s">
        <v>257</v>
      </c>
      <c r="Y386" s="1">
        <v>1</v>
      </c>
      <c r="Z386" s="1">
        <v>1</v>
      </c>
      <c r="AA386" s="8" t="s">
        <v>109</v>
      </c>
      <c r="AB386" s="8" t="s">
        <v>19</v>
      </c>
      <c r="AC386" s="102"/>
      <c r="AD386" s="444"/>
      <c r="AE386" s="445"/>
      <c r="AF386" s="440" t="str">
        <f t="shared" si="105"/>
        <v xml:space="preserve"> </v>
      </c>
      <c r="AG386" s="442" t="str">
        <f t="shared" si="101"/>
        <v>-</v>
      </c>
      <c r="AH386" s="445"/>
      <c r="AI386" s="447" t="s">
        <v>532</v>
      </c>
      <c r="AJ386" s="444"/>
      <c r="AK386" s="445"/>
      <c r="AL386" s="440" t="str">
        <f t="shared" si="106"/>
        <v xml:space="preserve"> </v>
      </c>
      <c r="AM386" s="442" t="str">
        <f t="shared" si="102"/>
        <v>-</v>
      </c>
      <c r="AN386" s="445"/>
      <c r="AO386" s="447" t="s">
        <v>532</v>
      </c>
      <c r="AP386" s="444"/>
      <c r="AQ386" s="445"/>
      <c r="AR386" s="440" t="str">
        <f t="shared" si="107"/>
        <v xml:space="preserve"> </v>
      </c>
      <c r="AS386" s="447" t="s">
        <v>532</v>
      </c>
      <c r="AT386" s="463"/>
      <c r="AU386" s="447" t="s">
        <v>532</v>
      </c>
      <c r="AV386" s="444"/>
      <c r="AW386" s="445"/>
      <c r="AX386" s="440" t="str">
        <f t="shared" si="108"/>
        <v xml:space="preserve"> </v>
      </c>
      <c r="AY386" s="442" t="str">
        <f t="shared" si="103"/>
        <v>-</v>
      </c>
      <c r="AZ386" s="445"/>
      <c r="BA386" s="447" t="s">
        <v>532</v>
      </c>
      <c r="BB386" s="59"/>
      <c r="BC386" s="223"/>
      <c r="BD386" s="60" t="str">
        <f t="shared" si="109"/>
        <v xml:space="preserve"> </v>
      </c>
      <c r="BE386" s="213" t="str">
        <f t="shared" si="104"/>
        <v>-</v>
      </c>
      <c r="BF386" s="172"/>
      <c r="BG386" s="225" t="s">
        <v>215</v>
      </c>
      <c r="BH386" s="59"/>
      <c r="BI386" s="223"/>
      <c r="BJ386" s="60" t="str">
        <f t="shared" si="110"/>
        <v xml:space="preserve"> </v>
      </c>
      <c r="BK386" s="213" t="s">
        <v>215</v>
      </c>
      <c r="BL386" s="172"/>
      <c r="BM386" s="225" t="s">
        <v>215</v>
      </c>
    </row>
    <row r="387" spans="1:65" s="26" customFormat="1" ht="127.5">
      <c r="B387" s="64">
        <f t="shared" si="113"/>
        <v>380</v>
      </c>
      <c r="C387" s="7"/>
      <c r="D387" s="7"/>
      <c r="E387" s="7"/>
      <c r="F387" s="22" t="s">
        <v>164</v>
      </c>
      <c r="G387" s="16"/>
      <c r="H387" s="13"/>
      <c r="I387" s="8"/>
      <c r="J387" s="8" t="s">
        <v>231</v>
      </c>
      <c r="K387" s="8"/>
      <c r="L387" s="8"/>
      <c r="M387" s="359" t="s">
        <v>317</v>
      </c>
      <c r="N387" s="1"/>
      <c r="O387" s="56"/>
      <c r="P387" s="93">
        <f t="shared" si="115"/>
        <v>352</v>
      </c>
      <c r="Q387" s="113">
        <v>1</v>
      </c>
      <c r="R387" s="21" t="str">
        <f t="shared" si="114"/>
        <v>X</v>
      </c>
      <c r="S387" s="96" t="s">
        <v>165</v>
      </c>
      <c r="T387" s="94"/>
      <c r="U387" s="21" t="s">
        <v>226</v>
      </c>
      <c r="V387" s="10"/>
      <c r="W387" s="25">
        <v>3</v>
      </c>
      <c r="X387" s="1" t="s">
        <v>258</v>
      </c>
      <c r="Y387" s="1">
        <v>1</v>
      </c>
      <c r="Z387" s="1">
        <v>1</v>
      </c>
      <c r="AA387" s="8" t="s">
        <v>109</v>
      </c>
      <c r="AB387" s="8" t="s">
        <v>19</v>
      </c>
      <c r="AC387" s="102"/>
      <c r="AD387" s="444"/>
      <c r="AE387" s="445"/>
      <c r="AF387" s="440" t="str">
        <f t="shared" si="105"/>
        <v xml:space="preserve"> </v>
      </c>
      <c r="AG387" s="442" t="str">
        <f t="shared" si="101"/>
        <v>-</v>
      </c>
      <c r="AH387" s="445"/>
      <c r="AI387" s="447" t="s">
        <v>532</v>
      </c>
      <c r="AJ387" s="444"/>
      <c r="AK387" s="445"/>
      <c r="AL387" s="440" t="str">
        <f t="shared" si="106"/>
        <v xml:space="preserve"> </v>
      </c>
      <c r="AM387" s="442" t="str">
        <f t="shared" si="102"/>
        <v>-</v>
      </c>
      <c r="AN387" s="445"/>
      <c r="AO387" s="447" t="s">
        <v>532</v>
      </c>
      <c r="AP387" s="444"/>
      <c r="AQ387" s="445"/>
      <c r="AR387" s="440" t="str">
        <f t="shared" si="107"/>
        <v xml:space="preserve"> </v>
      </c>
      <c r="AS387" s="447" t="s">
        <v>532</v>
      </c>
      <c r="AT387" s="463"/>
      <c r="AU387" s="447" t="s">
        <v>532</v>
      </c>
      <c r="AV387" s="444"/>
      <c r="AW387" s="445"/>
      <c r="AX387" s="440" t="str">
        <f t="shared" si="108"/>
        <v xml:space="preserve"> </v>
      </c>
      <c r="AY387" s="442" t="str">
        <f t="shared" si="103"/>
        <v>-</v>
      </c>
      <c r="AZ387" s="445"/>
      <c r="BA387" s="447" t="s">
        <v>532</v>
      </c>
      <c r="BB387" s="59"/>
      <c r="BC387" s="223"/>
      <c r="BD387" s="60" t="str">
        <f t="shared" si="109"/>
        <v xml:space="preserve"> </v>
      </c>
      <c r="BE387" s="213" t="str">
        <f t="shared" si="104"/>
        <v>-</v>
      </c>
      <c r="BF387" s="172"/>
      <c r="BG387" s="225" t="s">
        <v>215</v>
      </c>
      <c r="BH387" s="59"/>
      <c r="BI387" s="223"/>
      <c r="BJ387" s="60" t="str">
        <f t="shared" si="110"/>
        <v xml:space="preserve"> </v>
      </c>
      <c r="BK387" s="213" t="s">
        <v>215</v>
      </c>
      <c r="BL387" s="172"/>
      <c r="BM387" s="225" t="s">
        <v>215</v>
      </c>
    </row>
    <row r="388" spans="1:65" s="26" customFormat="1" ht="381.75" customHeight="1">
      <c r="B388" s="64">
        <f t="shared" si="113"/>
        <v>381</v>
      </c>
      <c r="C388" s="7"/>
      <c r="D388" s="7"/>
      <c r="E388" s="53"/>
      <c r="F388" s="111" t="s">
        <v>367</v>
      </c>
      <c r="G388" s="66"/>
      <c r="H388" s="61"/>
      <c r="I388" s="8"/>
      <c r="J388" s="8" t="s">
        <v>231</v>
      </c>
      <c r="K388" s="8"/>
      <c r="L388" s="8"/>
      <c r="M388" s="356" t="s">
        <v>493</v>
      </c>
      <c r="N388" s="16"/>
      <c r="O388" s="56"/>
      <c r="P388" s="93">
        <f t="shared" si="115"/>
        <v>353</v>
      </c>
      <c r="Q388" s="113">
        <v>2</v>
      </c>
      <c r="R388" s="21" t="str">
        <f t="shared" si="114"/>
        <v>X</v>
      </c>
      <c r="S388" s="96" t="s">
        <v>166</v>
      </c>
      <c r="T388" s="94"/>
      <c r="U388" s="21" t="s">
        <v>226</v>
      </c>
      <c r="V388" s="10"/>
      <c r="W388" s="25">
        <v>3</v>
      </c>
      <c r="X388" s="1" t="s">
        <v>260</v>
      </c>
      <c r="Y388" s="1">
        <v>2</v>
      </c>
      <c r="Z388" s="1">
        <v>2</v>
      </c>
      <c r="AA388" s="8" t="s">
        <v>229</v>
      </c>
      <c r="AB388" s="8" t="s">
        <v>226</v>
      </c>
      <c r="AC388" s="67"/>
      <c r="AD388" s="444"/>
      <c r="AE388" s="445"/>
      <c r="AF388" s="446" t="str">
        <f t="shared" si="105"/>
        <v xml:space="preserve">  </v>
      </c>
      <c r="AG388" s="442" t="str">
        <f t="shared" si="101"/>
        <v>-</v>
      </c>
      <c r="AH388" s="445"/>
      <c r="AI388" s="448" t="s">
        <v>532</v>
      </c>
      <c r="AJ388" s="444"/>
      <c r="AK388" s="445"/>
      <c r="AL388" s="446" t="str">
        <f t="shared" si="106"/>
        <v xml:space="preserve">  </v>
      </c>
      <c r="AM388" s="442" t="str">
        <f t="shared" si="102"/>
        <v>-</v>
      </c>
      <c r="AN388" s="445"/>
      <c r="AO388" s="448" t="s">
        <v>532</v>
      </c>
      <c r="AP388" s="444"/>
      <c r="AQ388" s="445"/>
      <c r="AR388" s="446" t="str">
        <f t="shared" si="107"/>
        <v xml:space="preserve">  </v>
      </c>
      <c r="AS388" s="442" t="s">
        <v>532</v>
      </c>
      <c r="AT388" s="463"/>
      <c r="AU388" s="448" t="s">
        <v>532</v>
      </c>
      <c r="AV388" s="444"/>
      <c r="AW388" s="445"/>
      <c r="AX388" s="446" t="str">
        <f t="shared" si="108"/>
        <v xml:space="preserve">  </v>
      </c>
      <c r="AY388" s="442" t="str">
        <f t="shared" si="103"/>
        <v>-</v>
      </c>
      <c r="AZ388" s="445"/>
      <c r="BA388" s="448" t="s">
        <v>532</v>
      </c>
      <c r="BB388" s="59"/>
      <c r="BC388" s="223"/>
      <c r="BD388" s="254" t="str">
        <f t="shared" si="109"/>
        <v>K1</v>
      </c>
      <c r="BE388" s="213" t="str">
        <f t="shared" si="104"/>
        <v>-</v>
      </c>
      <c r="BF388" s="172" t="s">
        <v>365</v>
      </c>
      <c r="BG388" s="405" t="str">
        <f>IF(OR(BC$8="判定対象外",BF$8="判定対象外",BF388="-"),"-",IF(BC388=BF388,"OK","NG"))</f>
        <v>NG</v>
      </c>
      <c r="BH388" s="59"/>
      <c r="BI388" s="223"/>
      <c r="BJ388" s="254" t="str">
        <f t="shared" si="110"/>
        <v>L2</v>
      </c>
      <c r="BK388" s="213" t="str">
        <f>IF(OR(BI$8="判定対象外",BJ$8="判定対象外",BJ388="-"),"-",IF(BI388=BJ388,"OK","NG"))</f>
        <v>NG</v>
      </c>
      <c r="BL388" s="172" t="s">
        <v>540</v>
      </c>
      <c r="BM388" s="405" t="str">
        <f>IF(OR(BI$8="判定対象外",BL$8="判定対象外",BL388="-"),"-",IF(BI388=BL388,"OK","NG"))</f>
        <v>NG</v>
      </c>
    </row>
    <row r="389" spans="1:65" s="26" customFormat="1" ht="25.5">
      <c r="B389" s="64">
        <f t="shared" si="113"/>
        <v>382</v>
      </c>
      <c r="C389" s="7"/>
      <c r="D389" s="7"/>
      <c r="E389" s="53"/>
      <c r="F389" s="65" t="s">
        <v>167</v>
      </c>
      <c r="G389" s="66"/>
      <c r="H389" s="61"/>
      <c r="I389" s="8"/>
      <c r="J389" s="8"/>
      <c r="K389" s="8"/>
      <c r="L389" s="8"/>
      <c r="M389" s="11" t="s">
        <v>274</v>
      </c>
      <c r="N389" s="16"/>
      <c r="O389" s="56"/>
      <c r="P389" s="93">
        <f t="shared" si="115"/>
        <v>354</v>
      </c>
      <c r="Q389" s="113">
        <v>7</v>
      </c>
      <c r="R389" s="21" t="str">
        <f t="shared" si="114"/>
        <v>X</v>
      </c>
      <c r="S389" s="96" t="s">
        <v>168</v>
      </c>
      <c r="T389" s="94"/>
      <c r="U389" s="21" t="s">
        <v>226</v>
      </c>
      <c r="V389" s="10"/>
      <c r="W389" s="25">
        <v>3</v>
      </c>
      <c r="X389" s="1" t="s">
        <v>261</v>
      </c>
      <c r="Y389" s="1">
        <v>7</v>
      </c>
      <c r="Z389" s="1">
        <v>7</v>
      </c>
      <c r="AA389" s="8" t="s">
        <v>229</v>
      </c>
      <c r="AB389" s="8" t="s">
        <v>226</v>
      </c>
      <c r="AC389" s="103"/>
      <c r="AD389" s="444"/>
      <c r="AE389" s="440"/>
      <c r="AF389" s="440" t="str">
        <f t="shared" si="105"/>
        <v xml:space="preserve">       </v>
      </c>
      <c r="AG389" s="442" t="str">
        <f t="shared" si="101"/>
        <v>-</v>
      </c>
      <c r="AH389" s="440"/>
      <c r="AI389" s="447" t="s">
        <v>532</v>
      </c>
      <c r="AJ389" s="444"/>
      <c r="AK389" s="440"/>
      <c r="AL389" s="440" t="str">
        <f t="shared" si="106"/>
        <v xml:space="preserve">       </v>
      </c>
      <c r="AM389" s="442" t="str">
        <f t="shared" si="102"/>
        <v>-</v>
      </c>
      <c r="AN389" s="440"/>
      <c r="AO389" s="447" t="s">
        <v>532</v>
      </c>
      <c r="AP389" s="444"/>
      <c r="AQ389" s="440"/>
      <c r="AR389" s="440" t="str">
        <f t="shared" si="107"/>
        <v xml:space="preserve">       </v>
      </c>
      <c r="AS389" s="447" t="s">
        <v>532</v>
      </c>
      <c r="AT389" s="462"/>
      <c r="AU389" s="447" t="s">
        <v>532</v>
      </c>
      <c r="AV389" s="444"/>
      <c r="AW389" s="440"/>
      <c r="AX389" s="440" t="str">
        <f t="shared" si="108"/>
        <v xml:space="preserve">       </v>
      </c>
      <c r="AY389" s="442" t="str">
        <f t="shared" si="103"/>
        <v>-</v>
      </c>
      <c r="AZ389" s="440"/>
      <c r="BA389" s="447" t="s">
        <v>532</v>
      </c>
      <c r="BB389" s="59"/>
      <c r="BC389" s="60"/>
      <c r="BD389" s="60" t="str">
        <f t="shared" si="109"/>
        <v xml:space="preserve">       </v>
      </c>
      <c r="BE389" s="213" t="str">
        <f t="shared" si="104"/>
        <v>-</v>
      </c>
      <c r="BF389" s="167"/>
      <c r="BG389" s="225" t="s">
        <v>215</v>
      </c>
      <c r="BH389" s="59"/>
      <c r="BI389" s="60"/>
      <c r="BJ389" s="60" t="str">
        <f t="shared" si="110"/>
        <v xml:space="preserve">       </v>
      </c>
      <c r="BK389" s="213" t="s">
        <v>215</v>
      </c>
      <c r="BL389" s="167"/>
      <c r="BM389" s="225" t="s">
        <v>215</v>
      </c>
    </row>
    <row r="390" spans="1:65" s="80" customFormat="1" ht="25.5">
      <c r="B390" s="64">
        <f t="shared" si="113"/>
        <v>383</v>
      </c>
      <c r="C390" s="68"/>
      <c r="D390" s="68"/>
      <c r="E390" s="69"/>
      <c r="F390" s="70" t="s">
        <v>275</v>
      </c>
      <c r="G390" s="71"/>
      <c r="H390" s="72"/>
      <c r="I390" s="73"/>
      <c r="J390" s="73"/>
      <c r="K390" s="74"/>
      <c r="L390" s="74"/>
      <c r="M390" s="83" t="s">
        <v>274</v>
      </c>
      <c r="N390" s="75"/>
      <c r="O390" s="76"/>
      <c r="P390" s="93">
        <f t="shared" si="115"/>
        <v>355</v>
      </c>
      <c r="Q390" s="117">
        <v>10</v>
      </c>
      <c r="R390" s="21" t="str">
        <f t="shared" si="114"/>
        <v>X</v>
      </c>
      <c r="S390" s="96" t="s">
        <v>169</v>
      </c>
      <c r="T390" s="104"/>
      <c r="U390" s="21" t="s">
        <v>226</v>
      </c>
      <c r="V390" s="76"/>
      <c r="W390" s="77">
        <v>3</v>
      </c>
      <c r="X390" s="55" t="s">
        <v>170</v>
      </c>
      <c r="Y390" s="55">
        <v>10</v>
      </c>
      <c r="Z390" s="55">
        <v>10</v>
      </c>
      <c r="AA390" s="73" t="s">
        <v>109</v>
      </c>
      <c r="AB390" s="73" t="s">
        <v>19</v>
      </c>
      <c r="AC390" s="103"/>
      <c r="AD390" s="451"/>
      <c r="AE390" s="452"/>
      <c r="AF390" s="453" t="str">
        <f t="shared" si="105"/>
        <v xml:space="preserve">          </v>
      </c>
      <c r="AG390" s="442" t="str">
        <f t="shared" si="101"/>
        <v>-</v>
      </c>
      <c r="AH390" s="452"/>
      <c r="AI390" s="447" t="s">
        <v>532</v>
      </c>
      <c r="AJ390" s="451"/>
      <c r="AK390" s="452"/>
      <c r="AL390" s="453" t="str">
        <f t="shared" si="106"/>
        <v xml:space="preserve">          </v>
      </c>
      <c r="AM390" s="442" t="str">
        <f t="shared" si="102"/>
        <v>-</v>
      </c>
      <c r="AN390" s="452"/>
      <c r="AO390" s="447" t="s">
        <v>532</v>
      </c>
      <c r="AP390" s="451"/>
      <c r="AQ390" s="452"/>
      <c r="AR390" s="453" t="str">
        <f t="shared" si="107"/>
        <v xml:space="preserve">          </v>
      </c>
      <c r="AS390" s="447" t="s">
        <v>532</v>
      </c>
      <c r="AT390" s="464"/>
      <c r="AU390" s="447" t="s">
        <v>532</v>
      </c>
      <c r="AV390" s="451"/>
      <c r="AW390" s="452"/>
      <c r="AX390" s="453" t="str">
        <f t="shared" si="108"/>
        <v xml:space="preserve">          </v>
      </c>
      <c r="AY390" s="442" t="str">
        <f t="shared" si="103"/>
        <v>-</v>
      </c>
      <c r="AZ390" s="452"/>
      <c r="BA390" s="447" t="s">
        <v>532</v>
      </c>
      <c r="BB390" s="78"/>
      <c r="BC390" s="420"/>
      <c r="BD390" s="79" t="str">
        <f t="shared" si="109"/>
        <v xml:space="preserve">          </v>
      </c>
      <c r="BE390" s="213" t="str">
        <f t="shared" si="104"/>
        <v>-</v>
      </c>
      <c r="BF390" s="378"/>
      <c r="BG390" s="225" t="s">
        <v>215</v>
      </c>
      <c r="BH390" s="78"/>
      <c r="BI390" s="420"/>
      <c r="BJ390" s="79" t="str">
        <f t="shared" si="110"/>
        <v xml:space="preserve">          </v>
      </c>
      <c r="BK390" s="213" t="s">
        <v>215</v>
      </c>
      <c r="BL390" s="378"/>
      <c r="BM390" s="225" t="s">
        <v>215</v>
      </c>
    </row>
    <row r="391" spans="1:65" s="80" customFormat="1" ht="25.5">
      <c r="B391" s="64">
        <f t="shared" si="113"/>
        <v>384</v>
      </c>
      <c r="C391" s="68"/>
      <c r="D391" s="68"/>
      <c r="E391" s="68"/>
      <c r="F391" s="81" t="s">
        <v>171</v>
      </c>
      <c r="G391" s="14"/>
      <c r="H391" s="82"/>
      <c r="I391" s="73"/>
      <c r="J391" s="73"/>
      <c r="K391" s="74"/>
      <c r="L391" s="74"/>
      <c r="M391" s="83" t="s">
        <v>274</v>
      </c>
      <c r="N391" s="75"/>
      <c r="O391" s="76"/>
      <c r="P391" s="93">
        <f t="shared" si="115"/>
        <v>356</v>
      </c>
      <c r="Q391" s="117">
        <v>3</v>
      </c>
      <c r="R391" s="21" t="str">
        <f t="shared" si="114"/>
        <v>X</v>
      </c>
      <c r="S391" s="96" t="s">
        <v>172</v>
      </c>
      <c r="T391" s="104"/>
      <c r="U391" s="21" t="s">
        <v>226</v>
      </c>
      <c r="V391" s="76"/>
      <c r="W391" s="77">
        <v>3</v>
      </c>
      <c r="X391" s="55" t="s">
        <v>173</v>
      </c>
      <c r="Y391" s="55">
        <v>3</v>
      </c>
      <c r="Z391" s="55">
        <v>3</v>
      </c>
      <c r="AA391" s="73" t="s">
        <v>109</v>
      </c>
      <c r="AB391" s="73" t="s">
        <v>19</v>
      </c>
      <c r="AC391" s="103"/>
      <c r="AD391" s="451"/>
      <c r="AE391" s="452"/>
      <c r="AF391" s="453" t="str">
        <f t="shared" si="105"/>
        <v xml:space="preserve">   </v>
      </c>
      <c r="AG391" s="442" t="str">
        <f t="shared" si="101"/>
        <v>-</v>
      </c>
      <c r="AH391" s="452"/>
      <c r="AI391" s="447" t="s">
        <v>532</v>
      </c>
      <c r="AJ391" s="451"/>
      <c r="AK391" s="452"/>
      <c r="AL391" s="453" t="str">
        <f t="shared" si="106"/>
        <v xml:space="preserve">   </v>
      </c>
      <c r="AM391" s="442" t="str">
        <f t="shared" si="102"/>
        <v>-</v>
      </c>
      <c r="AN391" s="452"/>
      <c r="AO391" s="447" t="s">
        <v>532</v>
      </c>
      <c r="AP391" s="451"/>
      <c r="AQ391" s="452"/>
      <c r="AR391" s="453" t="str">
        <f t="shared" si="107"/>
        <v xml:space="preserve">   </v>
      </c>
      <c r="AS391" s="447" t="s">
        <v>532</v>
      </c>
      <c r="AT391" s="464"/>
      <c r="AU391" s="447" t="s">
        <v>532</v>
      </c>
      <c r="AV391" s="451"/>
      <c r="AW391" s="452"/>
      <c r="AX391" s="453" t="str">
        <f t="shared" si="108"/>
        <v xml:space="preserve">   </v>
      </c>
      <c r="AY391" s="442" t="str">
        <f t="shared" si="103"/>
        <v>-</v>
      </c>
      <c r="AZ391" s="452"/>
      <c r="BA391" s="447" t="s">
        <v>532</v>
      </c>
      <c r="BB391" s="78"/>
      <c r="BC391" s="420"/>
      <c r="BD391" s="79" t="str">
        <f t="shared" si="109"/>
        <v xml:space="preserve">   </v>
      </c>
      <c r="BE391" s="213" t="str">
        <f t="shared" si="104"/>
        <v>-</v>
      </c>
      <c r="BF391" s="378"/>
      <c r="BG391" s="225" t="s">
        <v>215</v>
      </c>
      <c r="BH391" s="78"/>
      <c r="BI391" s="420"/>
      <c r="BJ391" s="79" t="str">
        <f t="shared" si="110"/>
        <v xml:space="preserve">   </v>
      </c>
      <c r="BK391" s="213" t="s">
        <v>215</v>
      </c>
      <c r="BL391" s="378"/>
      <c r="BM391" s="225" t="s">
        <v>215</v>
      </c>
    </row>
    <row r="392" spans="1:65" s="80" customFormat="1" ht="25.5">
      <c r="B392" s="64">
        <f t="shared" si="113"/>
        <v>385</v>
      </c>
      <c r="C392" s="68"/>
      <c r="D392" s="68"/>
      <c r="E392" s="68"/>
      <c r="F392" s="81" t="s">
        <v>174</v>
      </c>
      <c r="G392" s="14"/>
      <c r="H392" s="82"/>
      <c r="I392" s="73"/>
      <c r="J392" s="73"/>
      <c r="K392" s="74"/>
      <c r="L392" s="74"/>
      <c r="M392" s="83" t="s">
        <v>274</v>
      </c>
      <c r="N392" s="75"/>
      <c r="O392" s="76"/>
      <c r="P392" s="93">
        <f>P391+1</f>
        <v>357</v>
      </c>
      <c r="Q392" s="117">
        <v>2</v>
      </c>
      <c r="R392" s="21" t="str">
        <f t="shared" si="114"/>
        <v>X</v>
      </c>
      <c r="S392" s="96" t="s">
        <v>175</v>
      </c>
      <c r="T392" s="104"/>
      <c r="U392" s="21" t="s">
        <v>226</v>
      </c>
      <c r="V392" s="76"/>
      <c r="W392" s="77">
        <v>3</v>
      </c>
      <c r="X392" s="55" t="s">
        <v>176</v>
      </c>
      <c r="Y392" s="55">
        <v>2</v>
      </c>
      <c r="Z392" s="55">
        <v>2</v>
      </c>
      <c r="AA392" s="73" t="s">
        <v>109</v>
      </c>
      <c r="AB392" s="73" t="s">
        <v>19</v>
      </c>
      <c r="AC392" s="103"/>
      <c r="AD392" s="451"/>
      <c r="AE392" s="452"/>
      <c r="AF392" s="453" t="str">
        <f t="shared" si="105"/>
        <v xml:space="preserve">  </v>
      </c>
      <c r="AG392" s="442" t="str">
        <f t="shared" ref="AG392:AG455" si="116">IF(OR(AE$8="判定対象外",AF$8="判定対象外",AF392="-"),"-",IF(AE392=AF392,"OK","NG"))</f>
        <v>-</v>
      </c>
      <c r="AH392" s="452"/>
      <c r="AI392" s="447" t="s">
        <v>532</v>
      </c>
      <c r="AJ392" s="451"/>
      <c r="AK392" s="452"/>
      <c r="AL392" s="453" t="str">
        <f t="shared" si="106"/>
        <v xml:space="preserve">  </v>
      </c>
      <c r="AM392" s="442" t="str">
        <f t="shared" ref="AM392:AM455" si="117">IF(OR(AK$8="判定対象外",AL$8="判定対象外",AL392="-"),"-",IF(AK392=AL392,"OK","NG"))</f>
        <v>-</v>
      </c>
      <c r="AN392" s="452"/>
      <c r="AO392" s="447" t="s">
        <v>532</v>
      </c>
      <c r="AP392" s="451"/>
      <c r="AQ392" s="452"/>
      <c r="AR392" s="453" t="str">
        <f t="shared" si="107"/>
        <v xml:space="preserve">  </v>
      </c>
      <c r="AS392" s="447" t="s">
        <v>532</v>
      </c>
      <c r="AT392" s="464"/>
      <c r="AU392" s="447" t="s">
        <v>532</v>
      </c>
      <c r="AV392" s="451"/>
      <c r="AW392" s="452"/>
      <c r="AX392" s="453" t="str">
        <f t="shared" si="108"/>
        <v xml:space="preserve">  </v>
      </c>
      <c r="AY392" s="442" t="str">
        <f t="shared" ref="AY392:AY455" si="118">IF(OR(AW$8="判定対象外",AX$8="判定対象外",AX392="-"),"-",IF(AW392=AX392,"OK","NG"))</f>
        <v>-</v>
      </c>
      <c r="AZ392" s="452"/>
      <c r="BA392" s="447" t="s">
        <v>532</v>
      </c>
      <c r="BB392" s="78"/>
      <c r="BC392" s="420"/>
      <c r="BD392" s="79" t="str">
        <f t="shared" si="109"/>
        <v xml:space="preserve">  </v>
      </c>
      <c r="BE392" s="213" t="str">
        <f t="shared" ref="BE392:BE455" si="119">IF(OR(BC$8="判定対象外",BD$8="判定対象外",BD392="-"),"-",IF(BC392=BD392,"OK","NG"))</f>
        <v>-</v>
      </c>
      <c r="BF392" s="378"/>
      <c r="BG392" s="225" t="s">
        <v>215</v>
      </c>
      <c r="BH392" s="78"/>
      <c r="BI392" s="420"/>
      <c r="BJ392" s="79" t="str">
        <f t="shared" si="110"/>
        <v xml:space="preserve">  </v>
      </c>
      <c r="BK392" s="213" t="s">
        <v>215</v>
      </c>
      <c r="BL392" s="378"/>
      <c r="BM392" s="225" t="s">
        <v>215</v>
      </c>
    </row>
    <row r="393" spans="1:65" s="80" customFormat="1" ht="51.75" customHeight="1">
      <c r="B393" s="64">
        <f t="shared" si="113"/>
        <v>386</v>
      </c>
      <c r="C393" s="68"/>
      <c r="D393" s="68"/>
      <c r="E393" s="68"/>
      <c r="F393" s="228" t="s">
        <v>177</v>
      </c>
      <c r="G393" s="229"/>
      <c r="H393" s="230"/>
      <c r="I393" s="73"/>
      <c r="J393" s="73"/>
      <c r="K393" s="74"/>
      <c r="L393" s="74"/>
      <c r="M393" s="83" t="s">
        <v>178</v>
      </c>
      <c r="N393" s="75"/>
      <c r="O393" s="76"/>
      <c r="P393" s="93">
        <f>P392+1</f>
        <v>358</v>
      </c>
      <c r="Q393" s="117">
        <v>5</v>
      </c>
      <c r="R393" s="21" t="str">
        <f t="shared" si="114"/>
        <v>X</v>
      </c>
      <c r="S393" s="96" t="s">
        <v>179</v>
      </c>
      <c r="T393" s="104"/>
      <c r="U393" s="21" t="s">
        <v>226</v>
      </c>
      <c r="V393" s="76"/>
      <c r="W393" s="77">
        <v>3</v>
      </c>
      <c r="X393" s="55" t="s">
        <v>262</v>
      </c>
      <c r="Y393" s="55">
        <v>5</v>
      </c>
      <c r="Z393" s="55">
        <v>5</v>
      </c>
      <c r="AA393" s="73" t="s">
        <v>109</v>
      </c>
      <c r="AB393" s="73" t="s">
        <v>19</v>
      </c>
      <c r="AC393" s="84"/>
      <c r="AD393" s="451"/>
      <c r="AE393" s="459"/>
      <c r="AF393" s="453" t="str">
        <f t="shared" si="105"/>
        <v xml:space="preserve">     </v>
      </c>
      <c r="AG393" s="442" t="str">
        <f t="shared" si="116"/>
        <v>-</v>
      </c>
      <c r="AH393" s="459"/>
      <c r="AI393" s="447" t="s">
        <v>532</v>
      </c>
      <c r="AJ393" s="451"/>
      <c r="AK393" s="459"/>
      <c r="AL393" s="453" t="str">
        <f t="shared" si="106"/>
        <v xml:space="preserve">     </v>
      </c>
      <c r="AM393" s="442" t="str">
        <f t="shared" si="117"/>
        <v>-</v>
      </c>
      <c r="AN393" s="459"/>
      <c r="AO393" s="447" t="s">
        <v>532</v>
      </c>
      <c r="AP393" s="451"/>
      <c r="AQ393" s="459"/>
      <c r="AR393" s="453" t="str">
        <f t="shared" si="107"/>
        <v xml:space="preserve">     </v>
      </c>
      <c r="AS393" s="447" t="s">
        <v>532</v>
      </c>
      <c r="AT393" s="466"/>
      <c r="AU393" s="447" t="s">
        <v>532</v>
      </c>
      <c r="AV393" s="451"/>
      <c r="AW393" s="459"/>
      <c r="AX393" s="453" t="str">
        <f t="shared" si="108"/>
        <v xml:space="preserve">     </v>
      </c>
      <c r="AY393" s="442" t="str">
        <f t="shared" si="118"/>
        <v>-</v>
      </c>
      <c r="AZ393" s="459"/>
      <c r="BA393" s="447" t="s">
        <v>532</v>
      </c>
      <c r="BB393" s="78"/>
      <c r="BC393" s="421"/>
      <c r="BD393" s="79" t="str">
        <f t="shared" si="109"/>
        <v xml:space="preserve">     </v>
      </c>
      <c r="BE393" s="213" t="str">
        <f t="shared" si="119"/>
        <v>-</v>
      </c>
      <c r="BF393" s="382"/>
      <c r="BG393" s="225" t="s">
        <v>215</v>
      </c>
      <c r="BH393" s="78"/>
      <c r="BI393" s="421"/>
      <c r="BJ393" s="79" t="str">
        <f t="shared" si="110"/>
        <v xml:space="preserve">     </v>
      </c>
      <c r="BK393" s="213" t="s">
        <v>215</v>
      </c>
      <c r="BL393" s="378"/>
      <c r="BM393" s="225" t="s">
        <v>215</v>
      </c>
    </row>
    <row r="394" spans="1:65" s="80" customFormat="1" ht="51.75" customHeight="1">
      <c r="B394" s="64">
        <f t="shared" si="113"/>
        <v>387</v>
      </c>
      <c r="C394" s="68"/>
      <c r="D394" s="68"/>
      <c r="E394" s="68"/>
      <c r="F394" s="228" t="s">
        <v>180</v>
      </c>
      <c r="G394" s="229"/>
      <c r="H394" s="230"/>
      <c r="I394" s="73"/>
      <c r="J394" s="73"/>
      <c r="K394" s="74"/>
      <c r="L394" s="74"/>
      <c r="M394" s="83" t="s">
        <v>181</v>
      </c>
      <c r="N394" s="75"/>
      <c r="O394" s="76"/>
      <c r="P394" s="93">
        <f>P393+1</f>
        <v>359</v>
      </c>
      <c r="Q394" s="117">
        <v>64</v>
      </c>
      <c r="R394" s="21" t="str">
        <f>IF(AA394="M","NX",AA394)</f>
        <v>NX</v>
      </c>
      <c r="S394" s="96" t="s">
        <v>182</v>
      </c>
      <c r="T394" s="104"/>
      <c r="U394" s="21" t="s">
        <v>226</v>
      </c>
      <c r="V394" s="76" t="s">
        <v>263</v>
      </c>
      <c r="W394" s="77">
        <v>3</v>
      </c>
      <c r="X394" s="55" t="s">
        <v>264</v>
      </c>
      <c r="Y394" s="55">
        <v>1</v>
      </c>
      <c r="Z394" s="55">
        <v>64</v>
      </c>
      <c r="AA394" s="73" t="s">
        <v>252</v>
      </c>
      <c r="AB394" s="73" t="s">
        <v>19</v>
      </c>
      <c r="AC394" s="84" t="s">
        <v>263</v>
      </c>
      <c r="AD394" s="451"/>
      <c r="AE394" s="459"/>
      <c r="AF394" s="453" t="str">
        <f t="shared" si="105"/>
        <v xml:space="preserve">                                                                </v>
      </c>
      <c r="AG394" s="442" t="str">
        <f t="shared" si="116"/>
        <v>-</v>
      </c>
      <c r="AH394" s="459"/>
      <c r="AI394" s="447" t="s">
        <v>532</v>
      </c>
      <c r="AJ394" s="451"/>
      <c r="AK394" s="459"/>
      <c r="AL394" s="453" t="str">
        <f t="shared" si="106"/>
        <v xml:space="preserve">                                                                </v>
      </c>
      <c r="AM394" s="442" t="str">
        <f t="shared" si="117"/>
        <v>-</v>
      </c>
      <c r="AN394" s="459"/>
      <c r="AO394" s="447" t="s">
        <v>532</v>
      </c>
      <c r="AP394" s="451"/>
      <c r="AQ394" s="459"/>
      <c r="AR394" s="453" t="str">
        <f t="shared" si="107"/>
        <v xml:space="preserve">                                                                </v>
      </c>
      <c r="AS394" s="447" t="s">
        <v>532</v>
      </c>
      <c r="AT394" s="466"/>
      <c r="AU394" s="447" t="s">
        <v>532</v>
      </c>
      <c r="AV394" s="451"/>
      <c r="AW394" s="459"/>
      <c r="AX394" s="453" t="str">
        <f t="shared" si="108"/>
        <v xml:space="preserve">                                                                </v>
      </c>
      <c r="AY394" s="442" t="str">
        <f t="shared" si="118"/>
        <v>-</v>
      </c>
      <c r="AZ394" s="459"/>
      <c r="BA394" s="447" t="s">
        <v>532</v>
      </c>
      <c r="BB394" s="78"/>
      <c r="BC394" s="421"/>
      <c r="BD394" s="79" t="str">
        <f t="shared" si="109"/>
        <v xml:space="preserve">                                                                </v>
      </c>
      <c r="BE394" s="213" t="str">
        <f t="shared" si="119"/>
        <v>-</v>
      </c>
      <c r="BF394" s="382"/>
      <c r="BG394" s="225" t="s">
        <v>215</v>
      </c>
      <c r="BH394" s="78"/>
      <c r="BI394" s="421"/>
      <c r="BJ394" s="79" t="str">
        <f t="shared" si="110"/>
        <v xml:space="preserve">                                                                </v>
      </c>
      <c r="BK394" s="213" t="s">
        <v>215</v>
      </c>
      <c r="BL394" s="378"/>
      <c r="BM394" s="225" t="s">
        <v>215</v>
      </c>
    </row>
    <row r="395" spans="1:65" s="80" customFormat="1" ht="92.25" customHeight="1">
      <c r="B395" s="64">
        <f t="shared" si="113"/>
        <v>388</v>
      </c>
      <c r="C395" s="68"/>
      <c r="D395" s="68"/>
      <c r="E395" s="68"/>
      <c r="F395" s="81" t="s">
        <v>276</v>
      </c>
      <c r="G395" s="14"/>
      <c r="H395" s="82"/>
      <c r="I395" s="73"/>
      <c r="J395" s="73"/>
      <c r="K395" s="74"/>
      <c r="L395" s="74"/>
      <c r="M395" s="415" t="s">
        <v>207</v>
      </c>
      <c r="N395" s="75"/>
      <c r="O395" s="76"/>
      <c r="P395" s="93">
        <f>P394+1</f>
        <v>360</v>
      </c>
      <c r="Q395" s="117">
        <v>7</v>
      </c>
      <c r="R395" s="21" t="s">
        <v>229</v>
      </c>
      <c r="S395" s="96" t="s">
        <v>265</v>
      </c>
      <c r="T395" s="104"/>
      <c r="U395" s="21" t="s">
        <v>226</v>
      </c>
      <c r="V395" s="76"/>
      <c r="W395" s="77">
        <v>3</v>
      </c>
      <c r="X395" s="55" t="s">
        <v>266</v>
      </c>
      <c r="Y395" s="55">
        <v>7</v>
      </c>
      <c r="Z395" s="55">
        <v>7</v>
      </c>
      <c r="AA395" s="73" t="s">
        <v>229</v>
      </c>
      <c r="AB395" s="73" t="s">
        <v>19</v>
      </c>
      <c r="AC395" s="84"/>
      <c r="AD395" s="451"/>
      <c r="AE395" s="452"/>
      <c r="AF395" s="453" t="str">
        <f t="shared" si="105"/>
        <v xml:space="preserve">       </v>
      </c>
      <c r="AG395" s="442" t="str">
        <f t="shared" si="116"/>
        <v>-</v>
      </c>
      <c r="AH395" s="460"/>
      <c r="AI395" s="447" t="s">
        <v>532</v>
      </c>
      <c r="AJ395" s="451"/>
      <c r="AK395" s="452"/>
      <c r="AL395" s="453" t="str">
        <f t="shared" si="106"/>
        <v xml:space="preserve">       </v>
      </c>
      <c r="AM395" s="442" t="str">
        <f t="shared" si="117"/>
        <v>-</v>
      </c>
      <c r="AN395" s="460"/>
      <c r="AO395" s="447" t="s">
        <v>532</v>
      </c>
      <c r="AP395" s="451"/>
      <c r="AQ395" s="452"/>
      <c r="AR395" s="453" t="str">
        <f t="shared" si="107"/>
        <v xml:space="preserve">       </v>
      </c>
      <c r="AS395" s="447" t="s">
        <v>532</v>
      </c>
      <c r="AT395" s="467"/>
      <c r="AU395" s="447" t="s">
        <v>532</v>
      </c>
      <c r="AV395" s="451"/>
      <c r="AW395" s="452"/>
      <c r="AX395" s="453" t="str">
        <f t="shared" si="108"/>
        <v xml:space="preserve">       </v>
      </c>
      <c r="AY395" s="442" t="str">
        <f t="shared" si="118"/>
        <v>-</v>
      </c>
      <c r="AZ395" s="460"/>
      <c r="BA395" s="447" t="s">
        <v>532</v>
      </c>
      <c r="BB395" s="78"/>
      <c r="BC395" s="420"/>
      <c r="BD395" s="79" t="str">
        <f t="shared" si="109"/>
        <v xml:space="preserve">       </v>
      </c>
      <c r="BE395" s="213" t="str">
        <f t="shared" si="119"/>
        <v>-</v>
      </c>
      <c r="BF395" s="353"/>
      <c r="BG395" s="225" t="s">
        <v>215</v>
      </c>
      <c r="BH395" s="78"/>
      <c r="BI395" s="420"/>
      <c r="BJ395" s="79" t="str">
        <f t="shared" si="110"/>
        <v xml:space="preserve">       </v>
      </c>
      <c r="BK395" s="213" t="s">
        <v>215</v>
      </c>
      <c r="BL395" s="353"/>
      <c r="BM395" s="225" t="s">
        <v>215</v>
      </c>
    </row>
    <row r="396" spans="1:65" s="80" customFormat="1" ht="127.9" thickBot="1">
      <c r="A396" s="216"/>
      <c r="B396" s="231">
        <f t="shared" si="113"/>
        <v>389</v>
      </c>
      <c r="C396" s="232"/>
      <c r="D396" s="232"/>
      <c r="E396" s="232"/>
      <c r="F396" s="234" t="s">
        <v>267</v>
      </c>
      <c r="G396" s="235"/>
      <c r="H396" s="236"/>
      <c r="I396" s="237"/>
      <c r="J396" s="237"/>
      <c r="K396" s="237"/>
      <c r="L396" s="237"/>
      <c r="M396" s="416" t="s">
        <v>277</v>
      </c>
      <c r="N396" s="417"/>
      <c r="O396" s="419"/>
      <c r="P396" s="429">
        <f>P395+1</f>
        <v>361</v>
      </c>
      <c r="Q396" s="430">
        <v>1</v>
      </c>
      <c r="R396" s="431">
        <v>9</v>
      </c>
      <c r="S396" s="430" t="s">
        <v>268</v>
      </c>
      <c r="T396" s="430"/>
      <c r="U396" s="431" t="s">
        <v>226</v>
      </c>
      <c r="V396" s="432"/>
      <c r="W396" s="433" t="str">
        <f>IF(C396&lt;&gt;"","0",IF(D396&lt;&gt;"","1",IF(E396&lt;&gt;"","2",IF(F396&lt;&gt;"","3",IF(G396&lt;&gt;"","4",IF(H396&lt;&gt;"","5"))))))</f>
        <v>3</v>
      </c>
      <c r="X396" s="434" t="s">
        <v>269</v>
      </c>
      <c r="Y396" s="434">
        <v>1</v>
      </c>
      <c r="Z396" s="434">
        <v>1</v>
      </c>
      <c r="AA396" s="435">
        <v>9</v>
      </c>
      <c r="AB396" s="237" t="s">
        <v>226</v>
      </c>
      <c r="AC396" s="436"/>
      <c r="AD396" s="454"/>
      <c r="AE396" s="455"/>
      <c r="AF396" s="456" t="str">
        <f t="shared" si="105"/>
        <v xml:space="preserve"> </v>
      </c>
      <c r="AG396" s="457" t="str">
        <f t="shared" si="116"/>
        <v>-</v>
      </c>
      <c r="AH396" s="461"/>
      <c r="AI396" s="458" t="s">
        <v>532</v>
      </c>
      <c r="AJ396" s="454"/>
      <c r="AK396" s="455"/>
      <c r="AL396" s="456" t="str">
        <f t="shared" si="106"/>
        <v xml:space="preserve"> </v>
      </c>
      <c r="AM396" s="457" t="str">
        <f t="shared" si="117"/>
        <v>-</v>
      </c>
      <c r="AN396" s="461"/>
      <c r="AO396" s="458" t="s">
        <v>532</v>
      </c>
      <c r="AP396" s="454"/>
      <c r="AQ396" s="455"/>
      <c r="AR396" s="456" t="str">
        <f t="shared" si="107"/>
        <v xml:space="preserve"> </v>
      </c>
      <c r="AS396" s="457" t="s">
        <v>532</v>
      </c>
      <c r="AT396" s="468"/>
      <c r="AU396" s="458" t="s">
        <v>532</v>
      </c>
      <c r="AV396" s="454"/>
      <c r="AW396" s="455"/>
      <c r="AX396" s="456" t="str">
        <f t="shared" si="108"/>
        <v xml:space="preserve"> </v>
      </c>
      <c r="AY396" s="457" t="str">
        <f t="shared" si="118"/>
        <v>-</v>
      </c>
      <c r="AZ396" s="461"/>
      <c r="BA396" s="458" t="s">
        <v>532</v>
      </c>
      <c r="BB396" s="211"/>
      <c r="BC396" s="422"/>
      <c r="BD396" s="212" t="str">
        <f t="shared" si="109"/>
        <v xml:space="preserve"> </v>
      </c>
      <c r="BE396" s="226" t="str">
        <f t="shared" si="119"/>
        <v>-</v>
      </c>
      <c r="BF396" s="380"/>
      <c r="BG396" s="403" t="s">
        <v>215</v>
      </c>
      <c r="BH396" s="211"/>
      <c r="BI396" s="422"/>
      <c r="BJ396" s="212" t="str">
        <f t="shared" si="110"/>
        <v xml:space="preserve"> </v>
      </c>
      <c r="BK396" s="226" t="s">
        <v>215</v>
      </c>
      <c r="BL396" s="471"/>
      <c r="BM396" s="403" t="s">
        <v>215</v>
      </c>
    </row>
    <row r="397" spans="1:65" s="26" customFormat="1" ht="18.75" customHeight="1" thickTop="1">
      <c r="B397" s="2">
        <f t="shared" si="113"/>
        <v>390</v>
      </c>
      <c r="C397" s="7"/>
      <c r="D397" s="7"/>
      <c r="E397" s="100" t="s">
        <v>482</v>
      </c>
      <c r="F397" s="410"/>
      <c r="G397" s="410"/>
      <c r="H397" s="61"/>
      <c r="I397" s="8" t="s">
        <v>29</v>
      </c>
      <c r="J397" s="8" t="s">
        <v>446</v>
      </c>
      <c r="K397" s="8"/>
      <c r="L397" s="8"/>
      <c r="M397" s="1" t="s">
        <v>272</v>
      </c>
      <c r="N397" s="9"/>
      <c r="O397" s="423"/>
      <c r="P397" s="93"/>
      <c r="Q397" s="113"/>
      <c r="R397" s="21"/>
      <c r="S397" s="424"/>
      <c r="T397" s="9"/>
      <c r="U397" s="21"/>
      <c r="V397" s="98"/>
      <c r="W397" s="25" t="str">
        <f>IF(C397&lt;&gt;"","0",IF(D397&lt;&gt;"","1",IF(E397&lt;&gt;"","2",IF(F397&lt;&gt;"","3",IF(G397&lt;&gt;"","4",IF(H397&lt;&gt;"","5"))))))</f>
        <v>2</v>
      </c>
      <c r="X397" s="1" t="s">
        <v>117</v>
      </c>
      <c r="Y397" s="1"/>
      <c r="Z397" s="1"/>
      <c r="AA397" s="8"/>
      <c r="AB397" s="8" t="s">
        <v>480</v>
      </c>
      <c r="AC397" s="62"/>
      <c r="AD397" s="444"/>
      <c r="AE397" s="440"/>
      <c r="AF397" s="440" t="str">
        <f t="shared" si="105"/>
        <v/>
      </c>
      <c r="AG397" s="442" t="str">
        <f t="shared" si="116"/>
        <v>-</v>
      </c>
      <c r="AH397" s="440"/>
      <c r="AI397" s="448" t="s">
        <v>532</v>
      </c>
      <c r="AJ397" s="444"/>
      <c r="AK397" s="440"/>
      <c r="AL397" s="440" t="str">
        <f t="shared" si="106"/>
        <v/>
      </c>
      <c r="AM397" s="442" t="str">
        <f t="shared" si="117"/>
        <v>-</v>
      </c>
      <c r="AN397" s="440"/>
      <c r="AO397" s="448" t="s">
        <v>532</v>
      </c>
      <c r="AP397" s="444"/>
      <c r="AQ397" s="440"/>
      <c r="AR397" s="440" t="str">
        <f t="shared" si="107"/>
        <v/>
      </c>
      <c r="AS397" s="442" t="s">
        <v>532</v>
      </c>
      <c r="AT397" s="462"/>
      <c r="AU397" s="448" t="s">
        <v>532</v>
      </c>
      <c r="AV397" s="444"/>
      <c r="AW397" s="440"/>
      <c r="AX397" s="440" t="str">
        <f t="shared" si="108"/>
        <v/>
      </c>
      <c r="AY397" s="442" t="str">
        <f t="shared" si="118"/>
        <v>-</v>
      </c>
      <c r="AZ397" s="440"/>
      <c r="BA397" s="448" t="s">
        <v>532</v>
      </c>
      <c r="BB397" s="59"/>
      <c r="BC397" s="60"/>
      <c r="BD397" s="60" t="str">
        <f t="shared" si="109"/>
        <v/>
      </c>
      <c r="BE397" s="213" t="str">
        <f t="shared" si="119"/>
        <v>-</v>
      </c>
      <c r="BF397" s="167"/>
      <c r="BG397" s="405" t="s">
        <v>215</v>
      </c>
      <c r="BH397" s="59"/>
      <c r="BI397" s="60"/>
      <c r="BJ397" s="60" t="str">
        <f t="shared" si="110"/>
        <v/>
      </c>
      <c r="BK397" s="260" t="s">
        <v>215</v>
      </c>
      <c r="BL397" s="167"/>
      <c r="BM397" s="405" t="s">
        <v>215</v>
      </c>
    </row>
    <row r="398" spans="1:65" s="26" customFormat="1" ht="63.75">
      <c r="B398" s="2">
        <f t="shared" si="113"/>
        <v>391</v>
      </c>
      <c r="C398" s="127"/>
      <c r="D398" s="7"/>
      <c r="E398" s="7"/>
      <c r="F398" s="110" t="s">
        <v>87</v>
      </c>
      <c r="G398" s="16"/>
      <c r="H398" s="13"/>
      <c r="I398" s="6"/>
      <c r="J398" s="6"/>
      <c r="K398" s="6"/>
      <c r="L398" s="8"/>
      <c r="M398" s="23" t="s">
        <v>248</v>
      </c>
      <c r="N398" s="1"/>
      <c r="O398" s="56"/>
      <c r="P398" s="93">
        <f>P396+1</f>
        <v>362</v>
      </c>
      <c r="Q398" s="115">
        <v>2</v>
      </c>
      <c r="R398" s="21" t="str">
        <f>IF(AA398="M","NX",AA398)</f>
        <v>X</v>
      </c>
      <c r="S398" s="96" t="s">
        <v>483</v>
      </c>
      <c r="T398" s="94"/>
      <c r="U398" s="21" t="s">
        <v>480</v>
      </c>
      <c r="V398" s="116" t="s">
        <v>189</v>
      </c>
      <c r="W398" s="25" t="str">
        <f>IF(C398&lt;&gt;"","0",IF(D398&lt;&gt;"","1",IF(E398&lt;&gt;"","2",IF(F398&lt;&gt;"","3",IF(G398&lt;&gt;"","4",IF(H398&lt;&gt;"","5"))))))</f>
        <v>3</v>
      </c>
      <c r="X398" s="5" t="s">
        <v>484</v>
      </c>
      <c r="Y398" s="57">
        <v>2</v>
      </c>
      <c r="Z398" s="57">
        <v>2</v>
      </c>
      <c r="AA398" s="58" t="s">
        <v>109</v>
      </c>
      <c r="AB398" s="58" t="s">
        <v>19</v>
      </c>
      <c r="AC398" s="12"/>
      <c r="AD398" s="444"/>
      <c r="AE398" s="445"/>
      <c r="AF398" s="446" t="str">
        <f t="shared" ref="AF398:AF456" si="120">IF(AH398="-","-",AH398&amp;REPT(IF($R398="N","　",IF($R398="9","0"," ")),$Z398-LENB(AH398)))</f>
        <v xml:space="preserve">  </v>
      </c>
      <c r="AG398" s="442" t="str">
        <f t="shared" si="116"/>
        <v>-</v>
      </c>
      <c r="AH398" s="445"/>
      <c r="AI398" s="447" t="s">
        <v>532</v>
      </c>
      <c r="AJ398" s="444"/>
      <c r="AK398" s="445"/>
      <c r="AL398" s="446" t="str">
        <f t="shared" ref="AL398:AL456" si="121">IF(AN398="-","-",AN398&amp;REPT(IF($R398="N","　",IF($R398="9","0"," ")),$Z398-LENB(AN398)))</f>
        <v xml:space="preserve">  </v>
      </c>
      <c r="AM398" s="442" t="str">
        <f t="shared" si="117"/>
        <v>-</v>
      </c>
      <c r="AN398" s="445"/>
      <c r="AO398" s="447" t="s">
        <v>532</v>
      </c>
      <c r="AP398" s="444"/>
      <c r="AQ398" s="445"/>
      <c r="AR398" s="446" t="str">
        <f t="shared" ref="AR398:AR456" si="122">IF(AT398="-","-",AT398&amp;REPT(IF($R398="N","　",IF($R398="9","0"," ")),$Z398-LENB(AT398)))</f>
        <v xml:space="preserve">  </v>
      </c>
      <c r="AS398" s="447" t="s">
        <v>532</v>
      </c>
      <c r="AT398" s="463"/>
      <c r="AU398" s="447" t="s">
        <v>532</v>
      </c>
      <c r="AV398" s="444"/>
      <c r="AW398" s="445"/>
      <c r="AX398" s="446" t="str">
        <f t="shared" ref="AX398:AX456" si="123">IF(AZ398="-","-",AZ398&amp;REPT(IF($R398="N","　",IF($R398="9","0"," ")),$Z398-LENB(AZ398)))</f>
        <v xml:space="preserve">  </v>
      </c>
      <c r="AY398" s="442" t="str">
        <f t="shared" si="118"/>
        <v>-</v>
      </c>
      <c r="AZ398" s="445"/>
      <c r="BA398" s="447" t="s">
        <v>532</v>
      </c>
      <c r="BB398" s="59"/>
      <c r="BC398" s="223"/>
      <c r="BD398" s="254" t="str">
        <f t="shared" ref="BD398:BD456" si="124">IF(BF398="-","-",BF398&amp;REPT(IF($R398="N","　",IF($R398="9","0"," ")),$Z398-LENB(BF398)))</f>
        <v xml:space="preserve">  </v>
      </c>
      <c r="BE398" s="213" t="str">
        <f t="shared" si="119"/>
        <v>-</v>
      </c>
      <c r="BF398" s="172"/>
      <c r="BG398" s="225" t="s">
        <v>215</v>
      </c>
      <c r="BH398" s="59"/>
      <c r="BI398" s="223"/>
      <c r="BJ398" s="254" t="str">
        <f t="shared" ref="BJ398:BJ456" si="125">IF(BL398="-","-",BL398&amp;REPT(IF($R398="N","　",IF($R398="9","0"," ")),$Z398-LENB(BL398)))</f>
        <v xml:space="preserve">  </v>
      </c>
      <c r="BK398" s="213" t="s">
        <v>215</v>
      </c>
      <c r="BL398" s="172"/>
      <c r="BM398" s="225" t="s">
        <v>215</v>
      </c>
    </row>
    <row r="399" spans="1:65" s="26" customFormat="1" ht="344.25">
      <c r="B399" s="2">
        <f t="shared" si="113"/>
        <v>392</v>
      </c>
      <c r="C399" s="7"/>
      <c r="D399" s="7"/>
      <c r="E399" s="7"/>
      <c r="F399" s="110" t="s">
        <v>304</v>
      </c>
      <c r="G399" s="16"/>
      <c r="H399" s="13"/>
      <c r="I399" s="8"/>
      <c r="J399" s="8" t="s">
        <v>231</v>
      </c>
      <c r="K399" s="8"/>
      <c r="L399" s="8"/>
      <c r="M399" s="355" t="s">
        <v>478</v>
      </c>
      <c r="N399" s="11"/>
      <c r="O399" s="56"/>
      <c r="P399" s="93">
        <f>P398+1</f>
        <v>363</v>
      </c>
      <c r="Q399" s="113">
        <v>2</v>
      </c>
      <c r="R399" s="21" t="str">
        <f t="shared" ref="R399:R423" si="126">IF(AA399="M","NX",AA399)</f>
        <v>X</v>
      </c>
      <c r="S399" s="96" t="s">
        <v>310</v>
      </c>
      <c r="T399" s="94"/>
      <c r="U399" s="21" t="s">
        <v>226</v>
      </c>
      <c r="V399" s="10"/>
      <c r="W399" s="25">
        <v>3</v>
      </c>
      <c r="X399" s="1" t="s">
        <v>243</v>
      </c>
      <c r="Y399" s="1">
        <v>2</v>
      </c>
      <c r="Z399" s="1">
        <v>2</v>
      </c>
      <c r="AA399" s="8" t="s">
        <v>109</v>
      </c>
      <c r="AB399" s="8" t="s">
        <v>19</v>
      </c>
      <c r="AC399" s="12"/>
      <c r="AD399" s="444"/>
      <c r="AE399" s="445"/>
      <c r="AF399" s="446" t="str">
        <f t="shared" si="120"/>
        <v xml:space="preserve">  </v>
      </c>
      <c r="AG399" s="442" t="str">
        <f t="shared" si="116"/>
        <v>-</v>
      </c>
      <c r="AH399" s="445"/>
      <c r="AI399" s="448" t="s">
        <v>532</v>
      </c>
      <c r="AJ399" s="444"/>
      <c r="AK399" s="445"/>
      <c r="AL399" s="446" t="str">
        <f t="shared" si="121"/>
        <v xml:space="preserve">  </v>
      </c>
      <c r="AM399" s="442" t="str">
        <f t="shared" si="117"/>
        <v>-</v>
      </c>
      <c r="AN399" s="445"/>
      <c r="AO399" s="448" t="s">
        <v>532</v>
      </c>
      <c r="AP399" s="444"/>
      <c r="AQ399" s="445"/>
      <c r="AR399" s="446" t="str">
        <f t="shared" si="122"/>
        <v xml:space="preserve">  </v>
      </c>
      <c r="AS399" s="442" t="s">
        <v>532</v>
      </c>
      <c r="AT399" s="463"/>
      <c r="AU399" s="448" t="s">
        <v>532</v>
      </c>
      <c r="AV399" s="444"/>
      <c r="AW399" s="445"/>
      <c r="AX399" s="446" t="str">
        <f t="shared" si="123"/>
        <v xml:space="preserve">  </v>
      </c>
      <c r="AY399" s="442" t="str">
        <f t="shared" si="118"/>
        <v>-</v>
      </c>
      <c r="AZ399" s="445"/>
      <c r="BA399" s="448" t="s">
        <v>532</v>
      </c>
      <c r="BB399" s="59"/>
      <c r="BC399" s="223"/>
      <c r="BD399" s="254" t="str">
        <f t="shared" si="124"/>
        <v>A8</v>
      </c>
      <c r="BE399" s="213" t="str">
        <f t="shared" si="119"/>
        <v>-</v>
      </c>
      <c r="BF399" s="172" t="s">
        <v>525</v>
      </c>
      <c r="BG399" s="405" t="str">
        <f>IF(OR(BC$8="判定対象外",BF$8="判定対象外",BF399="-"),"-",IF(BC399=BF399,"OK","NG"))</f>
        <v>NG</v>
      </c>
      <c r="BH399" s="59"/>
      <c r="BI399" s="223"/>
      <c r="BJ399" s="254" t="str">
        <f t="shared" si="125"/>
        <v>B9</v>
      </c>
      <c r="BK399" s="213" t="str">
        <f>IF(OR(BI$8="判定対象外",BJ$8="判定対象外",BJ399="-"),"-",IF(BI399=BJ399,"OK","NG"))</f>
        <v>NG</v>
      </c>
      <c r="BL399" s="172" t="s">
        <v>558</v>
      </c>
      <c r="BM399" s="405" t="str">
        <f>IF(OR(BI$8="判定対象外",BL$8="判定対象外",BL399="-"),"-",IF(BI399=BL399,"OK","NG"))</f>
        <v>NG</v>
      </c>
    </row>
    <row r="400" spans="1:65" s="26" customFormat="1">
      <c r="B400" s="2">
        <f t="shared" si="113"/>
        <v>393</v>
      </c>
      <c r="C400" s="7"/>
      <c r="D400" s="7"/>
      <c r="E400" s="7"/>
      <c r="F400" s="22" t="s">
        <v>273</v>
      </c>
      <c r="G400" s="16"/>
      <c r="H400" s="13"/>
      <c r="I400" s="8"/>
      <c r="J400" s="8"/>
      <c r="K400" s="8"/>
      <c r="L400" s="8"/>
      <c r="M400" s="358" t="s">
        <v>205</v>
      </c>
      <c r="N400" s="11"/>
      <c r="O400" s="56"/>
      <c r="P400" s="93">
        <f t="shared" ref="P400:P421" si="127">P399+1</f>
        <v>364</v>
      </c>
      <c r="Q400" s="113">
        <v>2</v>
      </c>
      <c r="R400" s="21" t="str">
        <f t="shared" si="126"/>
        <v>X</v>
      </c>
      <c r="S400" s="96" t="s">
        <v>118</v>
      </c>
      <c r="T400" s="94"/>
      <c r="U400" s="21" t="s">
        <v>226</v>
      </c>
      <c r="V400" s="10"/>
      <c r="W400" s="25">
        <v>3</v>
      </c>
      <c r="X400" s="1" t="s">
        <v>119</v>
      </c>
      <c r="Y400" s="1">
        <v>2</v>
      </c>
      <c r="Z400" s="1">
        <v>2</v>
      </c>
      <c r="AA400" s="8" t="s">
        <v>109</v>
      </c>
      <c r="AB400" s="8" t="s">
        <v>19</v>
      </c>
      <c r="AC400" s="12"/>
      <c r="AD400" s="444"/>
      <c r="AE400" s="440"/>
      <c r="AF400" s="440" t="str">
        <f t="shared" si="120"/>
        <v xml:space="preserve">  </v>
      </c>
      <c r="AG400" s="442" t="str">
        <f t="shared" si="116"/>
        <v>-</v>
      </c>
      <c r="AH400" s="440"/>
      <c r="AI400" s="447" t="s">
        <v>532</v>
      </c>
      <c r="AJ400" s="444"/>
      <c r="AK400" s="440"/>
      <c r="AL400" s="440" t="str">
        <f t="shared" si="121"/>
        <v xml:space="preserve">  </v>
      </c>
      <c r="AM400" s="442" t="str">
        <f t="shared" si="117"/>
        <v>-</v>
      </c>
      <c r="AN400" s="440"/>
      <c r="AO400" s="447" t="s">
        <v>532</v>
      </c>
      <c r="AP400" s="444"/>
      <c r="AQ400" s="440"/>
      <c r="AR400" s="440" t="str">
        <f t="shared" si="122"/>
        <v xml:space="preserve">  </v>
      </c>
      <c r="AS400" s="447" t="s">
        <v>532</v>
      </c>
      <c r="AT400" s="462"/>
      <c r="AU400" s="447" t="s">
        <v>532</v>
      </c>
      <c r="AV400" s="444"/>
      <c r="AW400" s="440"/>
      <c r="AX400" s="440" t="str">
        <f t="shared" si="123"/>
        <v xml:space="preserve">  </v>
      </c>
      <c r="AY400" s="442" t="str">
        <f t="shared" si="118"/>
        <v>-</v>
      </c>
      <c r="AZ400" s="440"/>
      <c r="BA400" s="447" t="s">
        <v>532</v>
      </c>
      <c r="BB400" s="59"/>
      <c r="BC400" s="60"/>
      <c r="BD400" s="60" t="str">
        <f t="shared" si="124"/>
        <v xml:space="preserve">  </v>
      </c>
      <c r="BE400" s="213" t="str">
        <f t="shared" si="119"/>
        <v>-</v>
      </c>
      <c r="BF400" s="167"/>
      <c r="BG400" s="225" t="s">
        <v>215</v>
      </c>
      <c r="BH400" s="59"/>
      <c r="BI400" s="60"/>
      <c r="BJ400" s="60" t="str">
        <f t="shared" si="125"/>
        <v xml:space="preserve">  </v>
      </c>
      <c r="BK400" s="213" t="s">
        <v>215</v>
      </c>
      <c r="BL400" s="167"/>
      <c r="BM400" s="225" t="s">
        <v>215</v>
      </c>
    </row>
    <row r="401" spans="2:65" s="26" customFormat="1">
      <c r="B401" s="2">
        <f t="shared" si="113"/>
        <v>394</v>
      </c>
      <c r="C401" s="7"/>
      <c r="D401" s="7"/>
      <c r="E401" s="7"/>
      <c r="F401" s="22" t="s">
        <v>120</v>
      </c>
      <c r="G401" s="16"/>
      <c r="H401" s="13"/>
      <c r="I401" s="8"/>
      <c r="J401" s="8" t="s">
        <v>231</v>
      </c>
      <c r="K401" s="8"/>
      <c r="L401" s="8"/>
      <c r="M401" s="1" t="s">
        <v>121</v>
      </c>
      <c r="N401" s="1"/>
      <c r="O401" s="56"/>
      <c r="P401" s="93">
        <f t="shared" si="127"/>
        <v>365</v>
      </c>
      <c r="Q401" s="113">
        <v>255</v>
      </c>
      <c r="R401" s="21" t="str">
        <f t="shared" si="126"/>
        <v>NX</v>
      </c>
      <c r="S401" s="96" t="s">
        <v>122</v>
      </c>
      <c r="T401" s="94"/>
      <c r="U401" s="21" t="s">
        <v>226</v>
      </c>
      <c r="V401" s="10"/>
      <c r="W401" s="25">
        <v>3</v>
      </c>
      <c r="X401" s="1" t="s">
        <v>250</v>
      </c>
      <c r="Y401" s="1">
        <v>1</v>
      </c>
      <c r="Z401" s="1">
        <v>255</v>
      </c>
      <c r="AA401" s="8" t="s">
        <v>123</v>
      </c>
      <c r="AB401" s="8" t="s">
        <v>19</v>
      </c>
      <c r="AC401" s="12"/>
      <c r="AD401" s="444"/>
      <c r="AE401" s="445"/>
      <c r="AF401" s="445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01" s="442" t="str">
        <f t="shared" si="116"/>
        <v>-</v>
      </c>
      <c r="AH401" s="445"/>
      <c r="AI401" s="447" t="s">
        <v>532</v>
      </c>
      <c r="AJ401" s="444"/>
      <c r="AK401" s="445"/>
      <c r="AL401" s="445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01" s="442" t="str">
        <f t="shared" si="117"/>
        <v>-</v>
      </c>
      <c r="AN401" s="445"/>
      <c r="AO401" s="447" t="s">
        <v>532</v>
      </c>
      <c r="AP401" s="444"/>
      <c r="AQ401" s="445"/>
      <c r="AR401" s="445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01" s="447" t="s">
        <v>532</v>
      </c>
      <c r="AT401" s="463"/>
      <c r="AU401" s="447" t="s">
        <v>532</v>
      </c>
      <c r="AV401" s="444"/>
      <c r="AW401" s="445"/>
      <c r="AX401" s="445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01" s="442" t="str">
        <f t="shared" si="118"/>
        <v>-</v>
      </c>
      <c r="AZ401" s="445"/>
      <c r="BA401" s="447" t="s">
        <v>532</v>
      </c>
      <c r="BB401" s="59"/>
      <c r="BC401" s="223"/>
      <c r="BD401" s="223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01" s="213" t="str">
        <f t="shared" si="119"/>
        <v>-</v>
      </c>
      <c r="BF401" s="172"/>
      <c r="BG401" s="225" t="s">
        <v>215</v>
      </c>
      <c r="BH401" s="59"/>
      <c r="BI401" s="223"/>
      <c r="BJ401" s="223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01" s="213" t="s">
        <v>215</v>
      </c>
      <c r="BL401" s="172"/>
      <c r="BM401" s="225" t="s">
        <v>215</v>
      </c>
    </row>
    <row r="402" spans="2:65" s="26" customFormat="1">
      <c r="B402" s="19">
        <f t="shared" si="113"/>
        <v>395</v>
      </c>
      <c r="C402" s="7"/>
      <c r="D402" s="7"/>
      <c r="E402" s="7"/>
      <c r="F402" s="3" t="s">
        <v>124</v>
      </c>
      <c r="G402" s="3"/>
      <c r="H402" s="4"/>
      <c r="I402" s="6"/>
      <c r="J402" s="6"/>
      <c r="K402" s="6"/>
      <c r="L402" s="6"/>
      <c r="M402" s="23" t="s">
        <v>125</v>
      </c>
      <c r="N402" s="5"/>
      <c r="O402" s="54"/>
      <c r="P402" s="93">
        <f t="shared" si="127"/>
        <v>366</v>
      </c>
      <c r="Q402" s="114">
        <v>256</v>
      </c>
      <c r="R402" s="21" t="str">
        <f t="shared" si="126"/>
        <v>NX</v>
      </c>
      <c r="S402" s="96" t="s">
        <v>126</v>
      </c>
      <c r="T402" s="94"/>
      <c r="U402" s="21" t="s">
        <v>226</v>
      </c>
      <c r="V402" s="10"/>
      <c r="W402" s="28">
        <v>3</v>
      </c>
      <c r="X402" s="5" t="s">
        <v>251</v>
      </c>
      <c r="Y402" s="5">
        <v>1</v>
      </c>
      <c r="Z402" s="5">
        <v>256</v>
      </c>
      <c r="AA402" s="6" t="s">
        <v>252</v>
      </c>
      <c r="AB402" s="6" t="s">
        <v>226</v>
      </c>
      <c r="AC402" s="63"/>
      <c r="AD402" s="444"/>
      <c r="AE402" s="440"/>
      <c r="AF402" s="440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02" s="442" t="str">
        <f t="shared" si="116"/>
        <v>-</v>
      </c>
      <c r="AH402" s="440"/>
      <c r="AI402" s="447" t="s">
        <v>532</v>
      </c>
      <c r="AJ402" s="444"/>
      <c r="AK402" s="440"/>
      <c r="AL402" s="440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02" s="442" t="str">
        <f t="shared" si="117"/>
        <v>-</v>
      </c>
      <c r="AN402" s="440"/>
      <c r="AO402" s="447" t="s">
        <v>532</v>
      </c>
      <c r="AP402" s="444"/>
      <c r="AQ402" s="440"/>
      <c r="AR402" s="440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02" s="447" t="s">
        <v>532</v>
      </c>
      <c r="AT402" s="462"/>
      <c r="AU402" s="447" t="s">
        <v>532</v>
      </c>
      <c r="AV402" s="444"/>
      <c r="AW402" s="440"/>
      <c r="AX402" s="440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02" s="442" t="str">
        <f t="shared" si="118"/>
        <v>-</v>
      </c>
      <c r="AZ402" s="440"/>
      <c r="BA402" s="447" t="s">
        <v>532</v>
      </c>
      <c r="BB402" s="59"/>
      <c r="BC402" s="60"/>
      <c r="BD402" s="60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02" s="213" t="str">
        <f t="shared" si="119"/>
        <v>-</v>
      </c>
      <c r="BF402" s="167"/>
      <c r="BG402" s="225" t="s">
        <v>215</v>
      </c>
      <c r="BH402" s="59"/>
      <c r="BI402" s="60"/>
      <c r="BJ402" s="60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02" s="213" t="s">
        <v>215</v>
      </c>
      <c r="BL402" s="167"/>
      <c r="BM402" s="225" t="s">
        <v>215</v>
      </c>
    </row>
    <row r="403" spans="2:65" s="26" customFormat="1" ht="63.75">
      <c r="B403" s="2">
        <f t="shared" si="113"/>
        <v>396</v>
      </c>
      <c r="C403" s="7"/>
      <c r="D403" s="7"/>
      <c r="E403" s="7"/>
      <c r="F403" s="22" t="s">
        <v>127</v>
      </c>
      <c r="G403" s="16"/>
      <c r="H403" s="13"/>
      <c r="I403" s="8"/>
      <c r="J403" s="8"/>
      <c r="K403" s="8"/>
      <c r="L403" s="8"/>
      <c r="M403" s="11" t="s">
        <v>311</v>
      </c>
      <c r="N403" s="1"/>
      <c r="O403" s="56"/>
      <c r="P403" s="93">
        <f t="shared" si="127"/>
        <v>367</v>
      </c>
      <c r="Q403" s="113">
        <v>256</v>
      </c>
      <c r="R403" s="21" t="str">
        <f t="shared" si="126"/>
        <v>NX</v>
      </c>
      <c r="S403" s="96" t="s">
        <v>128</v>
      </c>
      <c r="T403" s="94"/>
      <c r="U403" s="21" t="s">
        <v>226</v>
      </c>
      <c r="V403" s="10"/>
      <c r="W403" s="25">
        <v>3</v>
      </c>
      <c r="X403" s="1" t="s">
        <v>129</v>
      </c>
      <c r="Y403" s="1">
        <v>1</v>
      </c>
      <c r="Z403" s="1">
        <v>256</v>
      </c>
      <c r="AA403" s="8" t="s">
        <v>123</v>
      </c>
      <c r="AB403" s="8" t="s">
        <v>226</v>
      </c>
      <c r="AC403" s="12"/>
      <c r="AD403" s="444"/>
      <c r="AE403" s="445"/>
      <c r="AF403" s="446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03" s="442" t="str">
        <f t="shared" si="116"/>
        <v>-</v>
      </c>
      <c r="AH403" s="445"/>
      <c r="AI403" s="447" t="s">
        <v>532</v>
      </c>
      <c r="AJ403" s="444"/>
      <c r="AK403" s="445"/>
      <c r="AL403" s="446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03" s="442" t="str">
        <f t="shared" si="117"/>
        <v>-</v>
      </c>
      <c r="AN403" s="445"/>
      <c r="AO403" s="447" t="s">
        <v>532</v>
      </c>
      <c r="AP403" s="444"/>
      <c r="AQ403" s="445"/>
      <c r="AR403" s="446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03" s="447" t="s">
        <v>532</v>
      </c>
      <c r="AT403" s="463"/>
      <c r="AU403" s="447" t="s">
        <v>532</v>
      </c>
      <c r="AV403" s="444"/>
      <c r="AW403" s="445"/>
      <c r="AX403" s="446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03" s="442" t="str">
        <f t="shared" si="118"/>
        <v>-</v>
      </c>
      <c r="AZ403" s="445"/>
      <c r="BA403" s="447" t="s">
        <v>532</v>
      </c>
      <c r="BB403" s="59"/>
      <c r="BC403" s="223"/>
      <c r="BD403" s="254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03" s="213" t="str">
        <f t="shared" si="119"/>
        <v>-</v>
      </c>
      <c r="BF403" s="172"/>
      <c r="BG403" s="225" t="s">
        <v>215</v>
      </c>
      <c r="BH403" s="59"/>
      <c r="BI403" s="223"/>
      <c r="BJ403" s="254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03" s="213" t="s">
        <v>215</v>
      </c>
      <c r="BL403" s="172"/>
      <c r="BM403" s="225" t="s">
        <v>215</v>
      </c>
    </row>
    <row r="404" spans="2:65" s="26" customFormat="1" ht="63.75">
      <c r="B404" s="2">
        <f t="shared" si="113"/>
        <v>397</v>
      </c>
      <c r="C404" s="7"/>
      <c r="D404" s="7"/>
      <c r="E404" s="7"/>
      <c r="F404" s="22" t="s">
        <v>130</v>
      </c>
      <c r="G404" s="16"/>
      <c r="H404" s="13"/>
      <c r="I404" s="8"/>
      <c r="J404" s="8"/>
      <c r="K404" s="8"/>
      <c r="L404" s="8"/>
      <c r="M404" s="11" t="s">
        <v>312</v>
      </c>
      <c r="N404" s="1"/>
      <c r="O404" s="56"/>
      <c r="P404" s="93">
        <f t="shared" si="127"/>
        <v>368</v>
      </c>
      <c r="Q404" s="113">
        <v>256</v>
      </c>
      <c r="R404" s="21" t="str">
        <f t="shared" si="126"/>
        <v>NX</v>
      </c>
      <c r="S404" s="96" t="s">
        <v>131</v>
      </c>
      <c r="T404" s="94"/>
      <c r="U404" s="21" t="s">
        <v>226</v>
      </c>
      <c r="V404" s="10"/>
      <c r="W404" s="25">
        <v>3</v>
      </c>
      <c r="X404" s="1" t="s">
        <v>132</v>
      </c>
      <c r="Y404" s="1">
        <v>1</v>
      </c>
      <c r="Z404" s="1">
        <v>256</v>
      </c>
      <c r="AA404" s="8" t="s">
        <v>123</v>
      </c>
      <c r="AB404" s="8" t="s">
        <v>226</v>
      </c>
      <c r="AC404" s="12"/>
      <c r="AD404" s="444"/>
      <c r="AE404" s="445"/>
      <c r="AF404" s="446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04" s="442" t="str">
        <f t="shared" si="116"/>
        <v>-</v>
      </c>
      <c r="AH404" s="445"/>
      <c r="AI404" s="447" t="s">
        <v>532</v>
      </c>
      <c r="AJ404" s="444"/>
      <c r="AK404" s="445"/>
      <c r="AL404" s="446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04" s="442" t="str">
        <f t="shared" si="117"/>
        <v>-</v>
      </c>
      <c r="AN404" s="445"/>
      <c r="AO404" s="447" t="s">
        <v>532</v>
      </c>
      <c r="AP404" s="444"/>
      <c r="AQ404" s="445"/>
      <c r="AR404" s="446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04" s="447" t="s">
        <v>532</v>
      </c>
      <c r="AT404" s="463"/>
      <c r="AU404" s="447" t="s">
        <v>532</v>
      </c>
      <c r="AV404" s="444"/>
      <c r="AW404" s="445"/>
      <c r="AX404" s="446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04" s="442" t="str">
        <f t="shared" si="118"/>
        <v>-</v>
      </c>
      <c r="AZ404" s="445"/>
      <c r="BA404" s="447" t="s">
        <v>532</v>
      </c>
      <c r="BB404" s="59"/>
      <c r="BC404" s="223"/>
      <c r="BD404" s="254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04" s="213" t="str">
        <f t="shared" si="119"/>
        <v>-</v>
      </c>
      <c r="BF404" s="172"/>
      <c r="BG404" s="225" t="s">
        <v>215</v>
      </c>
      <c r="BH404" s="59"/>
      <c r="BI404" s="223"/>
      <c r="BJ404" s="254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04" s="213" t="s">
        <v>215</v>
      </c>
      <c r="BL404" s="172"/>
      <c r="BM404" s="225" t="s">
        <v>215</v>
      </c>
    </row>
    <row r="405" spans="2:65" s="26" customFormat="1" ht="69" customHeight="1">
      <c r="B405" s="19">
        <f t="shared" si="113"/>
        <v>398</v>
      </c>
      <c r="C405" s="7"/>
      <c r="D405" s="7"/>
      <c r="E405" s="7"/>
      <c r="F405" s="110" t="s">
        <v>313</v>
      </c>
      <c r="G405" s="16"/>
      <c r="H405" s="13"/>
      <c r="I405" s="8"/>
      <c r="J405" s="8" t="s">
        <v>231</v>
      </c>
      <c r="K405" s="8"/>
      <c r="L405" s="8"/>
      <c r="M405" s="11" t="s">
        <v>253</v>
      </c>
      <c r="N405" s="1"/>
      <c r="O405" s="56"/>
      <c r="P405" s="93">
        <f t="shared" si="127"/>
        <v>369</v>
      </c>
      <c r="Q405" s="113">
        <v>1</v>
      </c>
      <c r="R405" s="21" t="s">
        <v>229</v>
      </c>
      <c r="S405" s="96" t="s">
        <v>133</v>
      </c>
      <c r="T405" s="94"/>
      <c r="U405" s="21" t="s">
        <v>226</v>
      </c>
      <c r="V405" s="10"/>
      <c r="W405" s="25">
        <v>3</v>
      </c>
      <c r="X405" s="1" t="s">
        <v>134</v>
      </c>
      <c r="Y405" s="1">
        <v>1</v>
      </c>
      <c r="Z405" s="1">
        <v>1</v>
      </c>
      <c r="AA405" s="8">
        <v>9</v>
      </c>
      <c r="AB405" s="8" t="s">
        <v>19</v>
      </c>
      <c r="AC405" s="12"/>
      <c r="AD405" s="444"/>
      <c r="AE405" s="445"/>
      <c r="AF405" s="440" t="str">
        <f t="shared" si="120"/>
        <v xml:space="preserve"> </v>
      </c>
      <c r="AG405" s="442" t="str">
        <f t="shared" si="116"/>
        <v>-</v>
      </c>
      <c r="AH405" s="445"/>
      <c r="AI405" s="447" t="s">
        <v>532</v>
      </c>
      <c r="AJ405" s="444"/>
      <c r="AK405" s="445"/>
      <c r="AL405" s="440" t="str">
        <f t="shared" si="121"/>
        <v xml:space="preserve"> </v>
      </c>
      <c r="AM405" s="442" t="str">
        <f t="shared" si="117"/>
        <v>-</v>
      </c>
      <c r="AN405" s="445"/>
      <c r="AO405" s="447" t="s">
        <v>532</v>
      </c>
      <c r="AP405" s="444"/>
      <c r="AQ405" s="445"/>
      <c r="AR405" s="440" t="str">
        <f t="shared" si="122"/>
        <v xml:space="preserve"> </v>
      </c>
      <c r="AS405" s="447" t="s">
        <v>532</v>
      </c>
      <c r="AT405" s="463"/>
      <c r="AU405" s="447" t="s">
        <v>532</v>
      </c>
      <c r="AV405" s="444"/>
      <c r="AW405" s="445"/>
      <c r="AX405" s="440" t="str">
        <f t="shared" si="123"/>
        <v xml:space="preserve"> </v>
      </c>
      <c r="AY405" s="442" t="str">
        <f t="shared" si="118"/>
        <v>-</v>
      </c>
      <c r="AZ405" s="445"/>
      <c r="BA405" s="447" t="s">
        <v>532</v>
      </c>
      <c r="BB405" s="59"/>
      <c r="BC405" s="223"/>
      <c r="BD405" s="60" t="str">
        <f t="shared" si="124"/>
        <v xml:space="preserve"> </v>
      </c>
      <c r="BE405" s="213" t="str">
        <f t="shared" si="119"/>
        <v>-</v>
      </c>
      <c r="BF405" s="172"/>
      <c r="BG405" s="225" t="s">
        <v>215</v>
      </c>
      <c r="BH405" s="59"/>
      <c r="BI405" s="223"/>
      <c r="BJ405" s="60" t="str">
        <f t="shared" si="125"/>
        <v xml:space="preserve"> </v>
      </c>
      <c r="BK405" s="213" t="s">
        <v>215</v>
      </c>
      <c r="BL405" s="172"/>
      <c r="BM405" s="225" t="s">
        <v>215</v>
      </c>
    </row>
    <row r="406" spans="2:65" s="26" customFormat="1" ht="114.75">
      <c r="B406" s="2">
        <f t="shared" si="113"/>
        <v>399</v>
      </c>
      <c r="C406" s="7"/>
      <c r="D406" s="7"/>
      <c r="E406" s="7"/>
      <c r="F406" s="22" t="s">
        <v>135</v>
      </c>
      <c r="G406" s="16"/>
      <c r="H406" s="13"/>
      <c r="I406" s="8"/>
      <c r="J406" s="8"/>
      <c r="K406" s="8"/>
      <c r="L406" s="8"/>
      <c r="M406" s="359" t="s">
        <v>206</v>
      </c>
      <c r="N406" s="1"/>
      <c r="O406" s="56"/>
      <c r="P406" s="93">
        <f t="shared" si="127"/>
        <v>370</v>
      </c>
      <c r="Q406" s="113">
        <v>1</v>
      </c>
      <c r="R406" s="21" t="s">
        <v>229</v>
      </c>
      <c r="S406" s="96" t="s">
        <v>136</v>
      </c>
      <c r="T406" s="94"/>
      <c r="U406" s="21" t="s">
        <v>226</v>
      </c>
      <c r="V406" s="10"/>
      <c r="W406" s="25">
        <v>3</v>
      </c>
      <c r="X406" s="1" t="s">
        <v>18</v>
      </c>
      <c r="Y406" s="1">
        <v>1</v>
      </c>
      <c r="Z406" s="1">
        <v>1</v>
      </c>
      <c r="AA406" s="8">
        <v>9</v>
      </c>
      <c r="AB406" s="8" t="s">
        <v>19</v>
      </c>
      <c r="AC406" s="101"/>
      <c r="AD406" s="444"/>
      <c r="AE406" s="445"/>
      <c r="AF406" s="440" t="str">
        <f t="shared" si="120"/>
        <v xml:space="preserve"> </v>
      </c>
      <c r="AG406" s="442" t="str">
        <f t="shared" si="116"/>
        <v>-</v>
      </c>
      <c r="AH406" s="445"/>
      <c r="AI406" s="447" t="s">
        <v>532</v>
      </c>
      <c r="AJ406" s="444"/>
      <c r="AK406" s="445"/>
      <c r="AL406" s="440" t="str">
        <f t="shared" si="121"/>
        <v xml:space="preserve"> </v>
      </c>
      <c r="AM406" s="442" t="str">
        <f t="shared" si="117"/>
        <v>-</v>
      </c>
      <c r="AN406" s="445"/>
      <c r="AO406" s="447" t="s">
        <v>532</v>
      </c>
      <c r="AP406" s="444"/>
      <c r="AQ406" s="445"/>
      <c r="AR406" s="440" t="str">
        <f t="shared" si="122"/>
        <v xml:space="preserve"> </v>
      </c>
      <c r="AS406" s="447" t="s">
        <v>532</v>
      </c>
      <c r="AT406" s="463"/>
      <c r="AU406" s="447" t="s">
        <v>532</v>
      </c>
      <c r="AV406" s="444"/>
      <c r="AW406" s="445"/>
      <c r="AX406" s="440" t="str">
        <f t="shared" si="123"/>
        <v xml:space="preserve"> </v>
      </c>
      <c r="AY406" s="442" t="str">
        <f t="shared" si="118"/>
        <v>-</v>
      </c>
      <c r="AZ406" s="445"/>
      <c r="BA406" s="447" t="s">
        <v>532</v>
      </c>
      <c r="BB406" s="59"/>
      <c r="BC406" s="223"/>
      <c r="BD406" s="60" t="str">
        <f t="shared" si="124"/>
        <v xml:space="preserve"> </v>
      </c>
      <c r="BE406" s="213" t="str">
        <f t="shared" si="119"/>
        <v>-</v>
      </c>
      <c r="BF406" s="172"/>
      <c r="BG406" s="225" t="s">
        <v>215</v>
      </c>
      <c r="BH406" s="59"/>
      <c r="BI406" s="223"/>
      <c r="BJ406" s="60" t="str">
        <f t="shared" si="125"/>
        <v xml:space="preserve"> </v>
      </c>
      <c r="BK406" s="213" t="s">
        <v>215</v>
      </c>
      <c r="BL406" s="172"/>
      <c r="BM406" s="225" t="s">
        <v>215</v>
      </c>
    </row>
    <row r="407" spans="2:65" s="26" customFormat="1" ht="126.75" customHeight="1">
      <c r="B407" s="64">
        <f t="shared" ref="B407:B456" si="128">ROW()-7</f>
        <v>400</v>
      </c>
      <c r="C407" s="7"/>
      <c r="D407" s="7"/>
      <c r="E407" s="7"/>
      <c r="F407" s="110" t="s">
        <v>137</v>
      </c>
      <c r="G407" s="16"/>
      <c r="H407" s="13"/>
      <c r="I407" s="8"/>
      <c r="J407" s="8"/>
      <c r="K407" s="8"/>
      <c r="L407" s="8"/>
      <c r="M407" s="11" t="s">
        <v>479</v>
      </c>
      <c r="N407" s="1"/>
      <c r="O407" s="56"/>
      <c r="P407" s="93">
        <f t="shared" si="127"/>
        <v>371</v>
      </c>
      <c r="Q407" s="113">
        <v>1</v>
      </c>
      <c r="R407" s="21" t="str">
        <f t="shared" si="126"/>
        <v>X</v>
      </c>
      <c r="S407" s="96" t="s">
        <v>183</v>
      </c>
      <c r="T407" s="94"/>
      <c r="U407" s="21" t="s">
        <v>226</v>
      </c>
      <c r="V407" s="10"/>
      <c r="W407" s="25">
        <v>3</v>
      </c>
      <c r="X407" s="1" t="s">
        <v>254</v>
      </c>
      <c r="Y407" s="1">
        <v>1</v>
      </c>
      <c r="Z407" s="1">
        <v>1</v>
      </c>
      <c r="AA407" s="8" t="s">
        <v>229</v>
      </c>
      <c r="AB407" s="8" t="s">
        <v>226</v>
      </c>
      <c r="AC407" s="12"/>
      <c r="AD407" s="444"/>
      <c r="AE407" s="445"/>
      <c r="AF407" s="440" t="str">
        <f t="shared" si="120"/>
        <v xml:space="preserve"> </v>
      </c>
      <c r="AG407" s="442" t="str">
        <f t="shared" si="116"/>
        <v>-</v>
      </c>
      <c r="AH407" s="445"/>
      <c r="AI407" s="447" t="s">
        <v>532</v>
      </c>
      <c r="AJ407" s="444"/>
      <c r="AK407" s="445"/>
      <c r="AL407" s="440" t="str">
        <f t="shared" si="121"/>
        <v xml:space="preserve"> </v>
      </c>
      <c r="AM407" s="442" t="str">
        <f t="shared" si="117"/>
        <v>-</v>
      </c>
      <c r="AN407" s="445"/>
      <c r="AO407" s="447" t="s">
        <v>532</v>
      </c>
      <c r="AP407" s="444"/>
      <c r="AQ407" s="445"/>
      <c r="AR407" s="440" t="str">
        <f t="shared" si="122"/>
        <v xml:space="preserve"> </v>
      </c>
      <c r="AS407" s="447" t="s">
        <v>532</v>
      </c>
      <c r="AT407" s="463"/>
      <c r="AU407" s="447" t="s">
        <v>532</v>
      </c>
      <c r="AV407" s="444"/>
      <c r="AW407" s="445"/>
      <c r="AX407" s="440" t="str">
        <f t="shared" si="123"/>
        <v xml:space="preserve"> </v>
      </c>
      <c r="AY407" s="442" t="str">
        <f t="shared" si="118"/>
        <v>-</v>
      </c>
      <c r="AZ407" s="445"/>
      <c r="BA407" s="447" t="s">
        <v>532</v>
      </c>
      <c r="BB407" s="59"/>
      <c r="BC407" s="223"/>
      <c r="BD407" s="60" t="str">
        <f t="shared" si="124"/>
        <v xml:space="preserve"> </v>
      </c>
      <c r="BE407" s="213" t="str">
        <f t="shared" si="119"/>
        <v>-</v>
      </c>
      <c r="BF407" s="172"/>
      <c r="BG407" s="225" t="s">
        <v>215</v>
      </c>
      <c r="BH407" s="59"/>
      <c r="BI407" s="223"/>
      <c r="BJ407" s="60" t="str">
        <f t="shared" si="125"/>
        <v xml:space="preserve"> </v>
      </c>
      <c r="BK407" s="213" t="s">
        <v>215</v>
      </c>
      <c r="BL407" s="172"/>
      <c r="BM407" s="225" t="s">
        <v>215</v>
      </c>
    </row>
    <row r="408" spans="2:65" s="26" customFormat="1">
      <c r="B408" s="64">
        <f t="shared" si="128"/>
        <v>401</v>
      </c>
      <c r="C408" s="7"/>
      <c r="D408" s="7"/>
      <c r="E408" s="7"/>
      <c r="F408" s="22" t="s">
        <v>138</v>
      </c>
      <c r="G408" s="16"/>
      <c r="H408" s="13"/>
      <c r="I408" s="8"/>
      <c r="J408" s="8"/>
      <c r="K408" s="8"/>
      <c r="L408" s="8"/>
      <c r="M408" s="359" t="s">
        <v>139</v>
      </c>
      <c r="N408" s="1"/>
      <c r="O408" s="56"/>
      <c r="P408" s="93">
        <f t="shared" si="127"/>
        <v>372</v>
      </c>
      <c r="Q408" s="113">
        <v>400</v>
      </c>
      <c r="R408" s="21" t="str">
        <f t="shared" si="126"/>
        <v>NX</v>
      </c>
      <c r="S408" s="96" t="s">
        <v>140</v>
      </c>
      <c r="T408" s="94"/>
      <c r="U408" s="21" t="s">
        <v>226</v>
      </c>
      <c r="V408" s="10"/>
      <c r="W408" s="25">
        <v>3</v>
      </c>
      <c r="X408" s="1" t="s">
        <v>141</v>
      </c>
      <c r="Y408" s="1">
        <v>1</v>
      </c>
      <c r="Z408" s="1">
        <v>400</v>
      </c>
      <c r="AA408" s="8" t="s">
        <v>123</v>
      </c>
      <c r="AB408" s="8" t="s">
        <v>226</v>
      </c>
      <c r="AC408" s="12"/>
      <c r="AD408" s="444"/>
      <c r="AE408" s="445"/>
      <c r="AF408" s="449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08" s="442" t="str">
        <f t="shared" si="116"/>
        <v>-</v>
      </c>
      <c r="AH408" s="445"/>
      <c r="AI408" s="447" t="s">
        <v>532</v>
      </c>
      <c r="AJ408" s="444"/>
      <c r="AK408" s="445"/>
      <c r="AL408" s="449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08" s="442" t="str">
        <f t="shared" si="117"/>
        <v>-</v>
      </c>
      <c r="AN408" s="445"/>
      <c r="AO408" s="447" t="s">
        <v>532</v>
      </c>
      <c r="AP408" s="444"/>
      <c r="AQ408" s="445"/>
      <c r="AR408" s="449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08" s="447" t="s">
        <v>532</v>
      </c>
      <c r="AT408" s="463"/>
      <c r="AU408" s="447" t="s">
        <v>532</v>
      </c>
      <c r="AV408" s="444"/>
      <c r="AW408" s="445"/>
      <c r="AX408" s="449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08" s="442" t="str">
        <f t="shared" si="118"/>
        <v>-</v>
      </c>
      <c r="AZ408" s="445"/>
      <c r="BA408" s="447" t="s">
        <v>532</v>
      </c>
      <c r="BB408" s="59"/>
      <c r="BC408" s="223"/>
      <c r="BD408" s="252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08" s="213" t="str">
        <f t="shared" si="119"/>
        <v>-</v>
      </c>
      <c r="BF408" s="172"/>
      <c r="BG408" s="225" t="s">
        <v>215</v>
      </c>
      <c r="BH408" s="59"/>
      <c r="BI408" s="223"/>
      <c r="BJ408" s="252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08" s="213" t="s">
        <v>215</v>
      </c>
      <c r="BL408" s="172"/>
      <c r="BM408" s="225" t="s">
        <v>215</v>
      </c>
    </row>
    <row r="409" spans="2:65" s="26" customFormat="1" ht="63.75">
      <c r="B409" s="64">
        <f t="shared" si="128"/>
        <v>402</v>
      </c>
      <c r="C409" s="7"/>
      <c r="D409" s="7"/>
      <c r="E409" s="7"/>
      <c r="F409" s="22" t="s">
        <v>142</v>
      </c>
      <c r="G409" s="16"/>
      <c r="H409" s="13"/>
      <c r="I409" s="8"/>
      <c r="J409" s="8"/>
      <c r="K409" s="8"/>
      <c r="L409" s="8"/>
      <c r="M409" s="359" t="s">
        <v>314</v>
      </c>
      <c r="N409" s="1"/>
      <c r="O409" s="56"/>
      <c r="P409" s="93">
        <f t="shared" si="127"/>
        <v>373</v>
      </c>
      <c r="Q409" s="113">
        <v>400</v>
      </c>
      <c r="R409" s="21" t="str">
        <f t="shared" si="126"/>
        <v>NX</v>
      </c>
      <c r="S409" s="96" t="s">
        <v>143</v>
      </c>
      <c r="T409" s="94"/>
      <c r="U409" s="21" t="s">
        <v>226</v>
      </c>
      <c r="V409" s="10"/>
      <c r="W409" s="25">
        <v>3</v>
      </c>
      <c r="X409" s="1" t="s">
        <v>144</v>
      </c>
      <c r="Y409" s="1">
        <v>1</v>
      </c>
      <c r="Z409" s="1">
        <v>400</v>
      </c>
      <c r="AA409" s="8" t="s">
        <v>123</v>
      </c>
      <c r="AB409" s="8" t="s">
        <v>226</v>
      </c>
      <c r="AC409" s="12"/>
      <c r="AD409" s="444"/>
      <c r="AE409" s="445"/>
      <c r="AF409" s="450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09" s="442" t="str">
        <f t="shared" si="116"/>
        <v>-</v>
      </c>
      <c r="AH409" s="445"/>
      <c r="AI409" s="447" t="s">
        <v>532</v>
      </c>
      <c r="AJ409" s="444"/>
      <c r="AK409" s="445"/>
      <c r="AL409" s="450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09" s="442" t="str">
        <f t="shared" si="117"/>
        <v>-</v>
      </c>
      <c r="AN409" s="445"/>
      <c r="AO409" s="447" t="s">
        <v>532</v>
      </c>
      <c r="AP409" s="444"/>
      <c r="AQ409" s="445"/>
      <c r="AR409" s="450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09" s="447" t="s">
        <v>532</v>
      </c>
      <c r="AT409" s="463"/>
      <c r="AU409" s="447" t="s">
        <v>532</v>
      </c>
      <c r="AV409" s="444"/>
      <c r="AW409" s="445"/>
      <c r="AX409" s="450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09" s="442" t="str">
        <f t="shared" si="118"/>
        <v>-</v>
      </c>
      <c r="AZ409" s="445"/>
      <c r="BA409" s="447" t="s">
        <v>532</v>
      </c>
      <c r="BB409" s="59"/>
      <c r="BC409" s="223"/>
      <c r="BD409" s="90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09" s="213" t="str">
        <f t="shared" si="119"/>
        <v>-</v>
      </c>
      <c r="BF409" s="172"/>
      <c r="BG409" s="225" t="s">
        <v>215</v>
      </c>
      <c r="BH409" s="59"/>
      <c r="BI409" s="223"/>
      <c r="BJ409" s="90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09" s="213" t="s">
        <v>215</v>
      </c>
      <c r="BL409" s="172"/>
      <c r="BM409" s="225" t="s">
        <v>215</v>
      </c>
    </row>
    <row r="410" spans="2:65" s="26" customFormat="1">
      <c r="B410" s="64">
        <f t="shared" si="128"/>
        <v>403</v>
      </c>
      <c r="C410" s="7"/>
      <c r="D410" s="7"/>
      <c r="E410" s="7"/>
      <c r="F410" s="22" t="s">
        <v>145</v>
      </c>
      <c r="G410" s="16"/>
      <c r="H410" s="13"/>
      <c r="I410" s="8"/>
      <c r="J410" s="8"/>
      <c r="K410" s="8"/>
      <c r="L410" s="8"/>
      <c r="M410" s="11" t="s">
        <v>146</v>
      </c>
      <c r="N410" s="1"/>
      <c r="O410" s="56"/>
      <c r="P410" s="93">
        <f t="shared" si="127"/>
        <v>374</v>
      </c>
      <c r="Q410" s="113">
        <v>400</v>
      </c>
      <c r="R410" s="21" t="str">
        <f t="shared" si="126"/>
        <v>NX</v>
      </c>
      <c r="S410" s="96" t="s">
        <v>147</v>
      </c>
      <c r="T410" s="94"/>
      <c r="U410" s="21" t="s">
        <v>226</v>
      </c>
      <c r="V410" s="10"/>
      <c r="W410" s="25">
        <v>3</v>
      </c>
      <c r="X410" s="1" t="s">
        <v>148</v>
      </c>
      <c r="Y410" s="1">
        <v>1</v>
      </c>
      <c r="Z410" s="1">
        <v>400</v>
      </c>
      <c r="AA410" s="8" t="s">
        <v>123</v>
      </c>
      <c r="AB410" s="8" t="s">
        <v>226</v>
      </c>
      <c r="AC410" s="12"/>
      <c r="AD410" s="444"/>
      <c r="AE410" s="440"/>
      <c r="AF410" s="450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10" s="442" t="str">
        <f t="shared" si="116"/>
        <v>-</v>
      </c>
      <c r="AH410" s="440"/>
      <c r="AI410" s="447" t="s">
        <v>532</v>
      </c>
      <c r="AJ410" s="444"/>
      <c r="AK410" s="440"/>
      <c r="AL410" s="450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10" s="442" t="str">
        <f t="shared" si="117"/>
        <v>-</v>
      </c>
      <c r="AN410" s="440"/>
      <c r="AO410" s="447" t="s">
        <v>532</v>
      </c>
      <c r="AP410" s="444"/>
      <c r="AQ410" s="440"/>
      <c r="AR410" s="450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10" s="447" t="s">
        <v>532</v>
      </c>
      <c r="AT410" s="462"/>
      <c r="AU410" s="447" t="s">
        <v>532</v>
      </c>
      <c r="AV410" s="444"/>
      <c r="AW410" s="440"/>
      <c r="AX410" s="450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10" s="442" t="str">
        <f t="shared" si="118"/>
        <v>-</v>
      </c>
      <c r="AZ410" s="440"/>
      <c r="BA410" s="447" t="s">
        <v>532</v>
      </c>
      <c r="BB410" s="59"/>
      <c r="BC410" s="60"/>
      <c r="BD410" s="90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10" s="213" t="str">
        <f t="shared" si="119"/>
        <v>-</v>
      </c>
      <c r="BF410" s="167"/>
      <c r="BG410" s="225" t="s">
        <v>215</v>
      </c>
      <c r="BH410" s="59"/>
      <c r="BI410" s="60"/>
      <c r="BJ410" s="90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10" s="213" t="s">
        <v>215</v>
      </c>
      <c r="BL410" s="167"/>
      <c r="BM410" s="225" t="s">
        <v>215</v>
      </c>
    </row>
    <row r="411" spans="2:65" s="26" customFormat="1" ht="76.5">
      <c r="B411" s="64">
        <f t="shared" si="128"/>
        <v>404</v>
      </c>
      <c r="C411" s="7"/>
      <c r="D411" s="7"/>
      <c r="E411" s="7"/>
      <c r="F411" s="22" t="s">
        <v>149</v>
      </c>
      <c r="G411" s="16"/>
      <c r="H411" s="13"/>
      <c r="I411" s="8"/>
      <c r="J411" s="8"/>
      <c r="K411" s="8"/>
      <c r="L411" s="8"/>
      <c r="M411" s="11" t="s">
        <v>315</v>
      </c>
      <c r="N411" s="1"/>
      <c r="O411" s="56"/>
      <c r="P411" s="93">
        <f t="shared" si="127"/>
        <v>375</v>
      </c>
      <c r="Q411" s="113">
        <v>400</v>
      </c>
      <c r="R411" s="21" t="str">
        <f t="shared" si="126"/>
        <v>NX</v>
      </c>
      <c r="S411" s="96" t="s">
        <v>150</v>
      </c>
      <c r="T411" s="94"/>
      <c r="U411" s="21" t="s">
        <v>226</v>
      </c>
      <c r="V411" s="10"/>
      <c r="W411" s="25">
        <v>3</v>
      </c>
      <c r="X411" s="1" t="s">
        <v>151</v>
      </c>
      <c r="Y411" s="1">
        <v>1</v>
      </c>
      <c r="Z411" s="1">
        <v>400</v>
      </c>
      <c r="AA411" s="8" t="s">
        <v>123</v>
      </c>
      <c r="AB411" s="8" t="s">
        <v>226</v>
      </c>
      <c r="AC411" s="12"/>
      <c r="AD411" s="444"/>
      <c r="AE411" s="440"/>
      <c r="AF411" s="450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11" s="442" t="str">
        <f t="shared" si="116"/>
        <v>-</v>
      </c>
      <c r="AH411" s="440"/>
      <c r="AI411" s="447" t="s">
        <v>532</v>
      </c>
      <c r="AJ411" s="444"/>
      <c r="AK411" s="440"/>
      <c r="AL411" s="450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11" s="442" t="str">
        <f t="shared" si="117"/>
        <v>-</v>
      </c>
      <c r="AN411" s="440"/>
      <c r="AO411" s="447" t="s">
        <v>532</v>
      </c>
      <c r="AP411" s="444"/>
      <c r="AQ411" s="440"/>
      <c r="AR411" s="450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11" s="447" t="s">
        <v>532</v>
      </c>
      <c r="AT411" s="462"/>
      <c r="AU411" s="447" t="s">
        <v>532</v>
      </c>
      <c r="AV411" s="444"/>
      <c r="AW411" s="440"/>
      <c r="AX411" s="450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11" s="442" t="str">
        <f t="shared" si="118"/>
        <v>-</v>
      </c>
      <c r="AZ411" s="440"/>
      <c r="BA411" s="447" t="s">
        <v>532</v>
      </c>
      <c r="BB411" s="59"/>
      <c r="BC411" s="60"/>
      <c r="BD411" s="90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11" s="213" t="str">
        <f t="shared" si="119"/>
        <v>-</v>
      </c>
      <c r="BF411" s="167"/>
      <c r="BG411" s="225" t="s">
        <v>215</v>
      </c>
      <c r="BH411" s="59"/>
      <c r="BI411" s="60"/>
      <c r="BJ411" s="90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11" s="213" t="s">
        <v>215</v>
      </c>
      <c r="BL411" s="167"/>
      <c r="BM411" s="225" t="s">
        <v>215</v>
      </c>
    </row>
    <row r="412" spans="2:65" s="26" customFormat="1">
      <c r="B412" s="64">
        <f t="shared" si="128"/>
        <v>405</v>
      </c>
      <c r="C412" s="7"/>
      <c r="D412" s="7"/>
      <c r="E412" s="7"/>
      <c r="F412" s="22" t="s">
        <v>152</v>
      </c>
      <c r="G412" s="16"/>
      <c r="H412" s="13"/>
      <c r="I412" s="8"/>
      <c r="J412" s="8"/>
      <c r="K412" s="8"/>
      <c r="L412" s="8"/>
      <c r="M412" s="11" t="s">
        <v>146</v>
      </c>
      <c r="N412" s="1"/>
      <c r="O412" s="56"/>
      <c r="P412" s="93">
        <f t="shared" si="127"/>
        <v>376</v>
      </c>
      <c r="Q412" s="113">
        <v>400</v>
      </c>
      <c r="R412" s="21" t="str">
        <f t="shared" si="126"/>
        <v>NX</v>
      </c>
      <c r="S412" s="96" t="s">
        <v>153</v>
      </c>
      <c r="T412" s="94"/>
      <c r="U412" s="21" t="s">
        <v>226</v>
      </c>
      <c r="V412" s="10"/>
      <c r="W412" s="25">
        <v>3</v>
      </c>
      <c r="X412" s="1" t="s">
        <v>154</v>
      </c>
      <c r="Y412" s="1">
        <v>1</v>
      </c>
      <c r="Z412" s="1">
        <v>400</v>
      </c>
      <c r="AA412" s="8" t="s">
        <v>123</v>
      </c>
      <c r="AB412" s="8" t="s">
        <v>226</v>
      </c>
      <c r="AC412" s="12"/>
      <c r="AD412" s="444"/>
      <c r="AE412" s="440"/>
      <c r="AF412" s="450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12" s="442" t="str">
        <f t="shared" si="116"/>
        <v>-</v>
      </c>
      <c r="AH412" s="440"/>
      <c r="AI412" s="447" t="s">
        <v>532</v>
      </c>
      <c r="AJ412" s="444"/>
      <c r="AK412" s="440"/>
      <c r="AL412" s="450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12" s="442" t="str">
        <f t="shared" si="117"/>
        <v>-</v>
      </c>
      <c r="AN412" s="440"/>
      <c r="AO412" s="447" t="s">
        <v>532</v>
      </c>
      <c r="AP412" s="444"/>
      <c r="AQ412" s="440"/>
      <c r="AR412" s="450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12" s="447" t="s">
        <v>532</v>
      </c>
      <c r="AT412" s="462"/>
      <c r="AU412" s="447" t="s">
        <v>532</v>
      </c>
      <c r="AV412" s="444"/>
      <c r="AW412" s="440"/>
      <c r="AX412" s="450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12" s="442" t="str">
        <f t="shared" si="118"/>
        <v>-</v>
      </c>
      <c r="AZ412" s="440"/>
      <c r="BA412" s="447" t="s">
        <v>532</v>
      </c>
      <c r="BB412" s="59"/>
      <c r="BC412" s="60"/>
      <c r="BD412" s="90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12" s="213" t="str">
        <f t="shared" si="119"/>
        <v>-</v>
      </c>
      <c r="BF412" s="167"/>
      <c r="BG412" s="225" t="s">
        <v>215</v>
      </c>
      <c r="BH412" s="59"/>
      <c r="BI412" s="60"/>
      <c r="BJ412" s="90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12" s="213" t="s">
        <v>215</v>
      </c>
      <c r="BL412" s="167"/>
      <c r="BM412" s="225" t="s">
        <v>215</v>
      </c>
    </row>
    <row r="413" spans="2:65" s="26" customFormat="1">
      <c r="B413" s="64">
        <f t="shared" si="128"/>
        <v>406</v>
      </c>
      <c r="C413" s="7"/>
      <c r="D413" s="7"/>
      <c r="E413" s="7"/>
      <c r="F413" s="22" t="s">
        <v>155</v>
      </c>
      <c r="G413" s="16"/>
      <c r="H413" s="13"/>
      <c r="I413" s="8"/>
      <c r="J413" s="8"/>
      <c r="K413" s="8"/>
      <c r="L413" s="8"/>
      <c r="M413" s="11" t="s">
        <v>146</v>
      </c>
      <c r="N413" s="1"/>
      <c r="O413" s="56"/>
      <c r="P413" s="93">
        <f t="shared" si="127"/>
        <v>377</v>
      </c>
      <c r="Q413" s="113">
        <v>400</v>
      </c>
      <c r="R413" s="21" t="str">
        <f t="shared" si="126"/>
        <v>NX</v>
      </c>
      <c r="S413" s="96" t="s">
        <v>156</v>
      </c>
      <c r="T413" s="94"/>
      <c r="U413" s="21" t="s">
        <v>226</v>
      </c>
      <c r="V413" s="10"/>
      <c r="W413" s="25">
        <v>3</v>
      </c>
      <c r="X413" s="1" t="s">
        <v>157</v>
      </c>
      <c r="Y413" s="1">
        <v>1</v>
      </c>
      <c r="Z413" s="1">
        <v>400</v>
      </c>
      <c r="AA413" s="8" t="s">
        <v>123</v>
      </c>
      <c r="AB413" s="8" t="s">
        <v>226</v>
      </c>
      <c r="AC413" s="12"/>
      <c r="AD413" s="444"/>
      <c r="AE413" s="440"/>
      <c r="AF413" s="450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13" s="442" t="str">
        <f t="shared" si="116"/>
        <v>-</v>
      </c>
      <c r="AH413" s="440"/>
      <c r="AI413" s="447" t="s">
        <v>532</v>
      </c>
      <c r="AJ413" s="444"/>
      <c r="AK413" s="440"/>
      <c r="AL413" s="450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13" s="442" t="str">
        <f t="shared" si="117"/>
        <v>-</v>
      </c>
      <c r="AN413" s="440"/>
      <c r="AO413" s="447" t="s">
        <v>532</v>
      </c>
      <c r="AP413" s="444"/>
      <c r="AQ413" s="440"/>
      <c r="AR413" s="450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13" s="447" t="s">
        <v>532</v>
      </c>
      <c r="AT413" s="462"/>
      <c r="AU413" s="447" t="s">
        <v>532</v>
      </c>
      <c r="AV413" s="444"/>
      <c r="AW413" s="440"/>
      <c r="AX413" s="450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13" s="442" t="str">
        <f t="shared" si="118"/>
        <v>-</v>
      </c>
      <c r="AZ413" s="440"/>
      <c r="BA413" s="447" t="s">
        <v>532</v>
      </c>
      <c r="BB413" s="59"/>
      <c r="BC413" s="60"/>
      <c r="BD413" s="90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13" s="213" t="str">
        <f t="shared" si="119"/>
        <v>-</v>
      </c>
      <c r="BF413" s="167"/>
      <c r="BG413" s="225" t="s">
        <v>215</v>
      </c>
      <c r="BH413" s="59"/>
      <c r="BI413" s="60"/>
      <c r="BJ413" s="90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13" s="213" t="s">
        <v>215</v>
      </c>
      <c r="BL413" s="167"/>
      <c r="BM413" s="225" t="s">
        <v>215</v>
      </c>
    </row>
    <row r="414" spans="2:65" s="26" customFormat="1" ht="89.25">
      <c r="B414" s="64">
        <f t="shared" si="128"/>
        <v>407</v>
      </c>
      <c r="C414" s="7"/>
      <c r="D414" s="7"/>
      <c r="E414" s="7"/>
      <c r="F414" s="22" t="s">
        <v>158</v>
      </c>
      <c r="G414" s="16"/>
      <c r="H414" s="13"/>
      <c r="I414" s="8"/>
      <c r="J414" s="8"/>
      <c r="K414" s="8"/>
      <c r="L414" s="8"/>
      <c r="M414" s="11" t="s">
        <v>316</v>
      </c>
      <c r="N414" s="1"/>
      <c r="O414" s="56"/>
      <c r="P414" s="93">
        <f t="shared" si="127"/>
        <v>378</v>
      </c>
      <c r="Q414" s="113">
        <v>1</v>
      </c>
      <c r="R414" s="21" t="str">
        <f t="shared" si="126"/>
        <v>X</v>
      </c>
      <c r="S414" s="96" t="s">
        <v>159</v>
      </c>
      <c r="T414" s="94"/>
      <c r="U414" s="21" t="s">
        <v>226</v>
      </c>
      <c r="V414" s="10"/>
      <c r="W414" s="25">
        <v>3</v>
      </c>
      <c r="X414" s="1" t="s">
        <v>255</v>
      </c>
      <c r="Y414" s="1">
        <v>1</v>
      </c>
      <c r="Z414" s="1">
        <v>1</v>
      </c>
      <c r="AA414" s="8" t="s">
        <v>109</v>
      </c>
      <c r="AB414" s="8" t="s">
        <v>19</v>
      </c>
      <c r="AC414" s="102"/>
      <c r="AD414" s="444"/>
      <c r="AE414" s="445"/>
      <c r="AF414" s="440" t="str">
        <f t="shared" si="120"/>
        <v xml:space="preserve"> </v>
      </c>
      <c r="AG414" s="442" t="str">
        <f t="shared" si="116"/>
        <v>-</v>
      </c>
      <c r="AH414" s="445"/>
      <c r="AI414" s="447" t="s">
        <v>532</v>
      </c>
      <c r="AJ414" s="444"/>
      <c r="AK414" s="445"/>
      <c r="AL414" s="440" t="str">
        <f t="shared" si="121"/>
        <v xml:space="preserve"> </v>
      </c>
      <c r="AM414" s="442" t="str">
        <f t="shared" si="117"/>
        <v>-</v>
      </c>
      <c r="AN414" s="445"/>
      <c r="AO414" s="447" t="s">
        <v>532</v>
      </c>
      <c r="AP414" s="444"/>
      <c r="AQ414" s="445"/>
      <c r="AR414" s="440" t="str">
        <f t="shared" si="122"/>
        <v xml:space="preserve"> </v>
      </c>
      <c r="AS414" s="447" t="s">
        <v>532</v>
      </c>
      <c r="AT414" s="463"/>
      <c r="AU414" s="447" t="s">
        <v>532</v>
      </c>
      <c r="AV414" s="444"/>
      <c r="AW414" s="445"/>
      <c r="AX414" s="440" t="str">
        <f t="shared" si="123"/>
        <v xml:space="preserve"> </v>
      </c>
      <c r="AY414" s="442" t="str">
        <f t="shared" si="118"/>
        <v>-</v>
      </c>
      <c r="AZ414" s="445"/>
      <c r="BA414" s="447" t="s">
        <v>532</v>
      </c>
      <c r="BB414" s="59"/>
      <c r="BC414" s="223"/>
      <c r="BD414" s="60" t="str">
        <f t="shared" si="124"/>
        <v xml:space="preserve"> </v>
      </c>
      <c r="BE414" s="213" t="str">
        <f t="shared" si="119"/>
        <v>-</v>
      </c>
      <c r="BF414" s="172"/>
      <c r="BG414" s="225" t="s">
        <v>215</v>
      </c>
      <c r="BH414" s="59"/>
      <c r="BI414" s="223"/>
      <c r="BJ414" s="60" t="str">
        <f t="shared" si="125"/>
        <v xml:space="preserve"> </v>
      </c>
      <c r="BK414" s="213" t="s">
        <v>215</v>
      </c>
      <c r="BL414" s="172"/>
      <c r="BM414" s="225" t="s">
        <v>215</v>
      </c>
    </row>
    <row r="415" spans="2:65" s="26" customFormat="1">
      <c r="B415" s="64">
        <f t="shared" si="128"/>
        <v>408</v>
      </c>
      <c r="C415" s="7"/>
      <c r="D415" s="7"/>
      <c r="E415" s="7"/>
      <c r="F415" s="22" t="s">
        <v>160</v>
      </c>
      <c r="G415" s="16"/>
      <c r="H415" s="13"/>
      <c r="I415" s="8"/>
      <c r="J415" s="8"/>
      <c r="K415" s="8"/>
      <c r="L415" s="8"/>
      <c r="M415" s="11"/>
      <c r="N415" s="1"/>
      <c r="O415" s="56"/>
      <c r="P415" s="93">
        <f t="shared" si="127"/>
        <v>379</v>
      </c>
      <c r="Q415" s="113">
        <v>128</v>
      </c>
      <c r="R415" s="21" t="str">
        <f t="shared" si="126"/>
        <v>X</v>
      </c>
      <c r="S415" s="96" t="s">
        <v>161</v>
      </c>
      <c r="T415" s="94"/>
      <c r="U415" s="21" t="s">
        <v>226</v>
      </c>
      <c r="V415" s="10"/>
      <c r="W415" s="25">
        <v>3</v>
      </c>
      <c r="X415" s="1" t="s">
        <v>256</v>
      </c>
      <c r="Y415" s="1">
        <v>1</v>
      </c>
      <c r="Z415" s="1">
        <v>128</v>
      </c>
      <c r="AA415" s="8" t="s">
        <v>109</v>
      </c>
      <c r="AB415" s="8" t="s">
        <v>19</v>
      </c>
      <c r="AC415" s="12"/>
      <c r="AD415" s="444"/>
      <c r="AE415" s="440"/>
      <c r="AF415" s="440" t="str">
        <f t="shared" si="120"/>
        <v xml:space="preserve">                                                                                                                                </v>
      </c>
      <c r="AG415" s="442" t="str">
        <f t="shared" si="116"/>
        <v>-</v>
      </c>
      <c r="AH415" s="440"/>
      <c r="AI415" s="447" t="s">
        <v>532</v>
      </c>
      <c r="AJ415" s="444"/>
      <c r="AK415" s="440"/>
      <c r="AL415" s="440" t="str">
        <f t="shared" si="121"/>
        <v xml:space="preserve">                                                                                                                                </v>
      </c>
      <c r="AM415" s="442" t="str">
        <f t="shared" si="117"/>
        <v>-</v>
      </c>
      <c r="AN415" s="440"/>
      <c r="AO415" s="447" t="s">
        <v>532</v>
      </c>
      <c r="AP415" s="444"/>
      <c r="AQ415" s="440"/>
      <c r="AR415" s="440" t="str">
        <f t="shared" si="122"/>
        <v xml:space="preserve">                                                                                                                                </v>
      </c>
      <c r="AS415" s="447" t="s">
        <v>532</v>
      </c>
      <c r="AT415" s="462"/>
      <c r="AU415" s="447" t="s">
        <v>532</v>
      </c>
      <c r="AV415" s="444"/>
      <c r="AW415" s="440"/>
      <c r="AX415" s="440" t="str">
        <f t="shared" si="123"/>
        <v xml:space="preserve">                                                                                                                                </v>
      </c>
      <c r="AY415" s="442" t="str">
        <f t="shared" si="118"/>
        <v>-</v>
      </c>
      <c r="AZ415" s="440"/>
      <c r="BA415" s="447" t="s">
        <v>532</v>
      </c>
      <c r="BB415" s="59"/>
      <c r="BC415" s="60"/>
      <c r="BD415" s="60" t="str">
        <f t="shared" si="124"/>
        <v xml:space="preserve">                                                                                                                                </v>
      </c>
      <c r="BE415" s="213" t="str">
        <f t="shared" si="119"/>
        <v>-</v>
      </c>
      <c r="BF415" s="167"/>
      <c r="BG415" s="225" t="s">
        <v>215</v>
      </c>
      <c r="BH415" s="59"/>
      <c r="BI415" s="60"/>
      <c r="BJ415" s="60" t="str">
        <f t="shared" si="125"/>
        <v xml:space="preserve">                                                                                                                                </v>
      </c>
      <c r="BK415" s="213" t="s">
        <v>215</v>
      </c>
      <c r="BL415" s="167"/>
      <c r="BM415" s="225" t="s">
        <v>215</v>
      </c>
    </row>
    <row r="416" spans="2:65" s="26" customFormat="1" ht="114.75">
      <c r="B416" s="64">
        <f t="shared" si="128"/>
        <v>409</v>
      </c>
      <c r="C416" s="7"/>
      <c r="D416" s="7"/>
      <c r="E416" s="7"/>
      <c r="F416" s="22" t="s">
        <v>162</v>
      </c>
      <c r="G416" s="16"/>
      <c r="H416" s="13"/>
      <c r="I416" s="8"/>
      <c r="J416" s="8"/>
      <c r="K416" s="8"/>
      <c r="L416" s="8"/>
      <c r="M416" s="11" t="s">
        <v>294</v>
      </c>
      <c r="N416" s="1"/>
      <c r="O416" s="56"/>
      <c r="P416" s="93">
        <f t="shared" si="127"/>
        <v>380</v>
      </c>
      <c r="Q416" s="113">
        <v>1</v>
      </c>
      <c r="R416" s="21" t="str">
        <f t="shared" si="126"/>
        <v>X</v>
      </c>
      <c r="S416" s="96" t="s">
        <v>163</v>
      </c>
      <c r="T416" s="94"/>
      <c r="U416" s="21" t="s">
        <v>226</v>
      </c>
      <c r="V416" s="10"/>
      <c r="W416" s="25">
        <v>3</v>
      </c>
      <c r="X416" s="1" t="s">
        <v>257</v>
      </c>
      <c r="Y416" s="1">
        <v>1</v>
      </c>
      <c r="Z416" s="1">
        <v>1</v>
      </c>
      <c r="AA416" s="8" t="s">
        <v>109</v>
      </c>
      <c r="AB416" s="8" t="s">
        <v>19</v>
      </c>
      <c r="AC416" s="102"/>
      <c r="AD416" s="444"/>
      <c r="AE416" s="445"/>
      <c r="AF416" s="440" t="str">
        <f t="shared" si="120"/>
        <v xml:space="preserve"> </v>
      </c>
      <c r="AG416" s="442" t="str">
        <f t="shared" si="116"/>
        <v>-</v>
      </c>
      <c r="AH416" s="445"/>
      <c r="AI416" s="447" t="s">
        <v>532</v>
      </c>
      <c r="AJ416" s="444"/>
      <c r="AK416" s="445"/>
      <c r="AL416" s="440" t="str">
        <f t="shared" si="121"/>
        <v xml:space="preserve"> </v>
      </c>
      <c r="AM416" s="442" t="str">
        <f t="shared" si="117"/>
        <v>-</v>
      </c>
      <c r="AN416" s="445"/>
      <c r="AO416" s="447" t="s">
        <v>532</v>
      </c>
      <c r="AP416" s="444"/>
      <c r="AQ416" s="445"/>
      <c r="AR416" s="440" t="str">
        <f t="shared" si="122"/>
        <v xml:space="preserve"> </v>
      </c>
      <c r="AS416" s="447" t="s">
        <v>532</v>
      </c>
      <c r="AT416" s="463"/>
      <c r="AU416" s="447" t="s">
        <v>532</v>
      </c>
      <c r="AV416" s="444"/>
      <c r="AW416" s="445"/>
      <c r="AX416" s="440" t="str">
        <f t="shared" si="123"/>
        <v xml:space="preserve"> </v>
      </c>
      <c r="AY416" s="442" t="str">
        <f t="shared" si="118"/>
        <v>-</v>
      </c>
      <c r="AZ416" s="445"/>
      <c r="BA416" s="447" t="s">
        <v>532</v>
      </c>
      <c r="BB416" s="59"/>
      <c r="BC416" s="223"/>
      <c r="BD416" s="60" t="str">
        <f t="shared" si="124"/>
        <v xml:space="preserve"> </v>
      </c>
      <c r="BE416" s="213" t="str">
        <f t="shared" si="119"/>
        <v>-</v>
      </c>
      <c r="BF416" s="172"/>
      <c r="BG416" s="225" t="s">
        <v>215</v>
      </c>
      <c r="BH416" s="59"/>
      <c r="BI416" s="223"/>
      <c r="BJ416" s="60" t="str">
        <f t="shared" si="125"/>
        <v xml:space="preserve"> </v>
      </c>
      <c r="BK416" s="213" t="s">
        <v>215</v>
      </c>
      <c r="BL416" s="172"/>
      <c r="BM416" s="225" t="s">
        <v>215</v>
      </c>
    </row>
    <row r="417" spans="1:65" s="26" customFormat="1" ht="127.5">
      <c r="B417" s="64">
        <f t="shared" si="128"/>
        <v>410</v>
      </c>
      <c r="C417" s="7"/>
      <c r="D417" s="7"/>
      <c r="E417" s="7"/>
      <c r="F417" s="22" t="s">
        <v>164</v>
      </c>
      <c r="G417" s="16"/>
      <c r="H417" s="13"/>
      <c r="I417" s="8"/>
      <c r="J417" s="8" t="s">
        <v>231</v>
      </c>
      <c r="K417" s="8"/>
      <c r="L417" s="8"/>
      <c r="M417" s="359" t="s">
        <v>317</v>
      </c>
      <c r="N417" s="1"/>
      <c r="O417" s="56"/>
      <c r="P417" s="93">
        <f t="shared" si="127"/>
        <v>381</v>
      </c>
      <c r="Q417" s="113">
        <v>1</v>
      </c>
      <c r="R417" s="21" t="str">
        <f t="shared" si="126"/>
        <v>X</v>
      </c>
      <c r="S417" s="96" t="s">
        <v>165</v>
      </c>
      <c r="T417" s="94"/>
      <c r="U417" s="21" t="s">
        <v>226</v>
      </c>
      <c r="V417" s="10"/>
      <c r="W417" s="25">
        <v>3</v>
      </c>
      <c r="X417" s="1" t="s">
        <v>258</v>
      </c>
      <c r="Y417" s="1">
        <v>1</v>
      </c>
      <c r="Z417" s="1">
        <v>1</v>
      </c>
      <c r="AA417" s="8" t="s">
        <v>109</v>
      </c>
      <c r="AB417" s="8" t="s">
        <v>19</v>
      </c>
      <c r="AC417" s="102"/>
      <c r="AD417" s="444"/>
      <c r="AE417" s="445"/>
      <c r="AF417" s="440" t="str">
        <f t="shared" si="120"/>
        <v xml:space="preserve"> </v>
      </c>
      <c r="AG417" s="442" t="str">
        <f t="shared" si="116"/>
        <v>-</v>
      </c>
      <c r="AH417" s="445"/>
      <c r="AI417" s="447" t="s">
        <v>532</v>
      </c>
      <c r="AJ417" s="444"/>
      <c r="AK417" s="445"/>
      <c r="AL417" s="440" t="str">
        <f t="shared" si="121"/>
        <v xml:space="preserve"> </v>
      </c>
      <c r="AM417" s="442" t="str">
        <f t="shared" si="117"/>
        <v>-</v>
      </c>
      <c r="AN417" s="445"/>
      <c r="AO417" s="447" t="s">
        <v>532</v>
      </c>
      <c r="AP417" s="444"/>
      <c r="AQ417" s="445"/>
      <c r="AR417" s="440" t="str">
        <f t="shared" si="122"/>
        <v xml:space="preserve"> </v>
      </c>
      <c r="AS417" s="447" t="s">
        <v>532</v>
      </c>
      <c r="AT417" s="463"/>
      <c r="AU417" s="447" t="s">
        <v>532</v>
      </c>
      <c r="AV417" s="444"/>
      <c r="AW417" s="445"/>
      <c r="AX417" s="440" t="str">
        <f t="shared" si="123"/>
        <v xml:space="preserve"> </v>
      </c>
      <c r="AY417" s="442" t="str">
        <f t="shared" si="118"/>
        <v>-</v>
      </c>
      <c r="AZ417" s="445"/>
      <c r="BA417" s="447" t="s">
        <v>532</v>
      </c>
      <c r="BB417" s="59"/>
      <c r="BC417" s="223"/>
      <c r="BD417" s="60" t="str">
        <f t="shared" si="124"/>
        <v xml:space="preserve"> </v>
      </c>
      <c r="BE417" s="213" t="str">
        <f t="shared" si="119"/>
        <v>-</v>
      </c>
      <c r="BF417" s="172"/>
      <c r="BG417" s="225" t="s">
        <v>215</v>
      </c>
      <c r="BH417" s="59"/>
      <c r="BI417" s="223"/>
      <c r="BJ417" s="60" t="str">
        <f t="shared" si="125"/>
        <v xml:space="preserve"> </v>
      </c>
      <c r="BK417" s="213" t="s">
        <v>215</v>
      </c>
      <c r="BL417" s="172"/>
      <c r="BM417" s="225" t="s">
        <v>215</v>
      </c>
    </row>
    <row r="418" spans="1:65" s="26" customFormat="1" ht="367.5" customHeight="1">
      <c r="B418" s="64">
        <f t="shared" si="128"/>
        <v>411</v>
      </c>
      <c r="C418" s="7"/>
      <c r="D418" s="7"/>
      <c r="E418" s="53"/>
      <c r="F418" s="111" t="s">
        <v>367</v>
      </c>
      <c r="G418" s="66"/>
      <c r="H418" s="61"/>
      <c r="I418" s="8"/>
      <c r="J418" s="8" t="s">
        <v>231</v>
      </c>
      <c r="K418" s="8"/>
      <c r="L418" s="8"/>
      <c r="M418" s="356" t="s">
        <v>493</v>
      </c>
      <c r="N418" s="16"/>
      <c r="O418" s="56"/>
      <c r="P418" s="93">
        <f t="shared" si="127"/>
        <v>382</v>
      </c>
      <c r="Q418" s="113">
        <v>2</v>
      </c>
      <c r="R418" s="21" t="str">
        <f t="shared" si="126"/>
        <v>X</v>
      </c>
      <c r="S418" s="96" t="s">
        <v>166</v>
      </c>
      <c r="T418" s="94"/>
      <c r="U418" s="21" t="s">
        <v>226</v>
      </c>
      <c r="V418" s="10"/>
      <c r="W418" s="25">
        <v>3</v>
      </c>
      <c r="X418" s="1" t="s">
        <v>260</v>
      </c>
      <c r="Y418" s="1">
        <v>2</v>
      </c>
      <c r="Z418" s="1">
        <v>2</v>
      </c>
      <c r="AA418" s="8" t="s">
        <v>229</v>
      </c>
      <c r="AB418" s="8" t="s">
        <v>226</v>
      </c>
      <c r="AC418" s="67"/>
      <c r="AD418" s="444"/>
      <c r="AE418" s="445"/>
      <c r="AF418" s="446" t="str">
        <f t="shared" si="120"/>
        <v xml:space="preserve">  </v>
      </c>
      <c r="AG418" s="442" t="str">
        <f t="shared" si="116"/>
        <v>-</v>
      </c>
      <c r="AH418" s="445"/>
      <c r="AI418" s="448" t="s">
        <v>532</v>
      </c>
      <c r="AJ418" s="444"/>
      <c r="AK418" s="445"/>
      <c r="AL418" s="446" t="str">
        <f t="shared" si="121"/>
        <v xml:space="preserve">  </v>
      </c>
      <c r="AM418" s="442" t="str">
        <f t="shared" si="117"/>
        <v>-</v>
      </c>
      <c r="AN418" s="445"/>
      <c r="AO418" s="448" t="s">
        <v>532</v>
      </c>
      <c r="AP418" s="444"/>
      <c r="AQ418" s="445"/>
      <c r="AR418" s="446" t="str">
        <f t="shared" si="122"/>
        <v xml:space="preserve">  </v>
      </c>
      <c r="AS418" s="442" t="s">
        <v>532</v>
      </c>
      <c r="AT418" s="463"/>
      <c r="AU418" s="448" t="s">
        <v>532</v>
      </c>
      <c r="AV418" s="444"/>
      <c r="AW418" s="445"/>
      <c r="AX418" s="446" t="str">
        <f t="shared" si="123"/>
        <v xml:space="preserve">  </v>
      </c>
      <c r="AY418" s="442" t="str">
        <f t="shared" si="118"/>
        <v>-</v>
      </c>
      <c r="AZ418" s="445"/>
      <c r="BA418" s="448" t="s">
        <v>532</v>
      </c>
      <c r="BB418" s="59"/>
      <c r="BC418" s="223"/>
      <c r="BD418" s="254" t="str">
        <f t="shared" si="124"/>
        <v>L1</v>
      </c>
      <c r="BE418" s="213" t="str">
        <f t="shared" si="119"/>
        <v>-</v>
      </c>
      <c r="BF418" s="172" t="s">
        <v>529</v>
      </c>
      <c r="BG418" s="405" t="str">
        <f>IF(OR(BC$8="判定対象外",BF$8="判定対象外",BF418="-"),"-",IF(BC418=BF418,"OK","NG"))</f>
        <v>NG</v>
      </c>
      <c r="BH418" s="59"/>
      <c r="BI418" s="223"/>
      <c r="BJ418" s="254" t="str">
        <f t="shared" si="125"/>
        <v>N2</v>
      </c>
      <c r="BK418" s="213" t="str">
        <f>IF(OR(BI$8="判定対象外",BJ$8="判定対象外",BJ418="-"),"-",IF(BI418=BJ418,"OK","NG"))</f>
        <v>NG</v>
      </c>
      <c r="BL418" s="172" t="s">
        <v>560</v>
      </c>
      <c r="BM418" s="405" t="str">
        <f>IF(OR(BI$8="判定対象外",BL$8="判定対象外",BL418="-"),"-",IF(BI418=BL418,"OK","NG"))</f>
        <v>NG</v>
      </c>
    </row>
    <row r="419" spans="1:65" s="26" customFormat="1" ht="25.5">
      <c r="B419" s="64">
        <f t="shared" si="128"/>
        <v>412</v>
      </c>
      <c r="C419" s="7"/>
      <c r="D419" s="7"/>
      <c r="E419" s="53"/>
      <c r="F419" s="65" t="s">
        <v>167</v>
      </c>
      <c r="G419" s="66"/>
      <c r="H419" s="61"/>
      <c r="I419" s="8"/>
      <c r="J419" s="8"/>
      <c r="K419" s="8"/>
      <c r="L419" s="8"/>
      <c r="M419" s="11" t="s">
        <v>274</v>
      </c>
      <c r="N419" s="16"/>
      <c r="O419" s="56"/>
      <c r="P419" s="93">
        <f t="shared" si="127"/>
        <v>383</v>
      </c>
      <c r="Q419" s="113">
        <v>7</v>
      </c>
      <c r="R419" s="21" t="str">
        <f t="shared" si="126"/>
        <v>X</v>
      </c>
      <c r="S419" s="96" t="s">
        <v>168</v>
      </c>
      <c r="T419" s="94"/>
      <c r="U419" s="21" t="s">
        <v>226</v>
      </c>
      <c r="V419" s="10"/>
      <c r="W419" s="25">
        <v>3</v>
      </c>
      <c r="X419" s="1" t="s">
        <v>261</v>
      </c>
      <c r="Y419" s="1">
        <v>7</v>
      </c>
      <c r="Z419" s="1">
        <v>7</v>
      </c>
      <c r="AA419" s="8" t="s">
        <v>229</v>
      </c>
      <c r="AB419" s="8" t="s">
        <v>226</v>
      </c>
      <c r="AC419" s="103"/>
      <c r="AD419" s="444"/>
      <c r="AE419" s="440"/>
      <c r="AF419" s="440" t="str">
        <f t="shared" si="120"/>
        <v xml:space="preserve">       </v>
      </c>
      <c r="AG419" s="442" t="str">
        <f t="shared" si="116"/>
        <v>-</v>
      </c>
      <c r="AH419" s="440"/>
      <c r="AI419" s="447" t="s">
        <v>532</v>
      </c>
      <c r="AJ419" s="444"/>
      <c r="AK419" s="440"/>
      <c r="AL419" s="440" t="str">
        <f t="shared" si="121"/>
        <v xml:space="preserve">       </v>
      </c>
      <c r="AM419" s="442" t="str">
        <f t="shared" si="117"/>
        <v>-</v>
      </c>
      <c r="AN419" s="440"/>
      <c r="AO419" s="447" t="s">
        <v>532</v>
      </c>
      <c r="AP419" s="444"/>
      <c r="AQ419" s="440"/>
      <c r="AR419" s="440" t="str">
        <f t="shared" si="122"/>
        <v xml:space="preserve">       </v>
      </c>
      <c r="AS419" s="447" t="s">
        <v>532</v>
      </c>
      <c r="AT419" s="462"/>
      <c r="AU419" s="447" t="s">
        <v>532</v>
      </c>
      <c r="AV419" s="444"/>
      <c r="AW419" s="440"/>
      <c r="AX419" s="440" t="str">
        <f t="shared" si="123"/>
        <v xml:space="preserve">       </v>
      </c>
      <c r="AY419" s="442" t="str">
        <f t="shared" si="118"/>
        <v>-</v>
      </c>
      <c r="AZ419" s="440"/>
      <c r="BA419" s="447" t="s">
        <v>532</v>
      </c>
      <c r="BB419" s="59"/>
      <c r="BC419" s="60"/>
      <c r="BD419" s="60" t="str">
        <f t="shared" si="124"/>
        <v xml:space="preserve">       </v>
      </c>
      <c r="BE419" s="213" t="str">
        <f t="shared" si="119"/>
        <v>-</v>
      </c>
      <c r="BF419" s="167"/>
      <c r="BG419" s="225" t="s">
        <v>215</v>
      </c>
      <c r="BH419" s="59"/>
      <c r="BI419" s="60"/>
      <c r="BJ419" s="60" t="str">
        <f t="shared" si="125"/>
        <v xml:space="preserve">       </v>
      </c>
      <c r="BK419" s="213" t="s">
        <v>215</v>
      </c>
      <c r="BL419" s="167"/>
      <c r="BM419" s="225" t="s">
        <v>215</v>
      </c>
    </row>
    <row r="420" spans="1:65" s="80" customFormat="1" ht="25.5">
      <c r="B420" s="64">
        <f t="shared" si="128"/>
        <v>413</v>
      </c>
      <c r="C420" s="68"/>
      <c r="D420" s="68"/>
      <c r="E420" s="69"/>
      <c r="F420" s="70" t="s">
        <v>275</v>
      </c>
      <c r="G420" s="71"/>
      <c r="H420" s="72"/>
      <c r="I420" s="73"/>
      <c r="J420" s="73"/>
      <c r="K420" s="74"/>
      <c r="L420" s="74"/>
      <c r="M420" s="83" t="s">
        <v>274</v>
      </c>
      <c r="N420" s="75"/>
      <c r="O420" s="76"/>
      <c r="P420" s="93">
        <f t="shared" si="127"/>
        <v>384</v>
      </c>
      <c r="Q420" s="117">
        <v>10</v>
      </c>
      <c r="R420" s="21" t="str">
        <f t="shared" si="126"/>
        <v>X</v>
      </c>
      <c r="S420" s="96" t="s">
        <v>169</v>
      </c>
      <c r="T420" s="104"/>
      <c r="U420" s="21" t="s">
        <v>226</v>
      </c>
      <c r="V420" s="76"/>
      <c r="W420" s="77">
        <v>3</v>
      </c>
      <c r="X420" s="55" t="s">
        <v>170</v>
      </c>
      <c r="Y420" s="55">
        <v>10</v>
      </c>
      <c r="Z420" s="55">
        <v>10</v>
      </c>
      <c r="AA420" s="73" t="s">
        <v>109</v>
      </c>
      <c r="AB420" s="73" t="s">
        <v>19</v>
      </c>
      <c r="AC420" s="103"/>
      <c r="AD420" s="451"/>
      <c r="AE420" s="452"/>
      <c r="AF420" s="453" t="str">
        <f t="shared" si="120"/>
        <v xml:space="preserve">          </v>
      </c>
      <c r="AG420" s="442" t="str">
        <f t="shared" si="116"/>
        <v>-</v>
      </c>
      <c r="AH420" s="452"/>
      <c r="AI420" s="447" t="s">
        <v>532</v>
      </c>
      <c r="AJ420" s="451"/>
      <c r="AK420" s="452"/>
      <c r="AL420" s="453" t="str">
        <f t="shared" si="121"/>
        <v xml:space="preserve">          </v>
      </c>
      <c r="AM420" s="442" t="str">
        <f t="shared" si="117"/>
        <v>-</v>
      </c>
      <c r="AN420" s="452"/>
      <c r="AO420" s="447" t="s">
        <v>532</v>
      </c>
      <c r="AP420" s="451"/>
      <c r="AQ420" s="452"/>
      <c r="AR420" s="453" t="str">
        <f t="shared" si="122"/>
        <v xml:space="preserve">          </v>
      </c>
      <c r="AS420" s="447" t="s">
        <v>532</v>
      </c>
      <c r="AT420" s="464"/>
      <c r="AU420" s="447" t="s">
        <v>532</v>
      </c>
      <c r="AV420" s="451"/>
      <c r="AW420" s="452"/>
      <c r="AX420" s="453" t="str">
        <f t="shared" si="123"/>
        <v xml:space="preserve">          </v>
      </c>
      <c r="AY420" s="442" t="str">
        <f t="shared" si="118"/>
        <v>-</v>
      </c>
      <c r="AZ420" s="452"/>
      <c r="BA420" s="447" t="s">
        <v>532</v>
      </c>
      <c r="BB420" s="78"/>
      <c r="BC420" s="420"/>
      <c r="BD420" s="79" t="str">
        <f t="shared" si="124"/>
        <v xml:space="preserve">          </v>
      </c>
      <c r="BE420" s="213" t="str">
        <f t="shared" si="119"/>
        <v>-</v>
      </c>
      <c r="BF420" s="378"/>
      <c r="BG420" s="225" t="s">
        <v>215</v>
      </c>
      <c r="BH420" s="78"/>
      <c r="BI420" s="420"/>
      <c r="BJ420" s="79" t="str">
        <f t="shared" si="125"/>
        <v xml:space="preserve">          </v>
      </c>
      <c r="BK420" s="213" t="s">
        <v>215</v>
      </c>
      <c r="BL420" s="378"/>
      <c r="BM420" s="225" t="s">
        <v>215</v>
      </c>
    </row>
    <row r="421" spans="1:65" s="80" customFormat="1" ht="25.5">
      <c r="B421" s="64">
        <f t="shared" si="128"/>
        <v>414</v>
      </c>
      <c r="C421" s="68"/>
      <c r="D421" s="68"/>
      <c r="E421" s="68"/>
      <c r="F421" s="81" t="s">
        <v>171</v>
      </c>
      <c r="G421" s="14"/>
      <c r="H421" s="82"/>
      <c r="I421" s="73"/>
      <c r="J421" s="73"/>
      <c r="K421" s="74"/>
      <c r="L421" s="74"/>
      <c r="M421" s="83" t="s">
        <v>274</v>
      </c>
      <c r="N421" s="75"/>
      <c r="O421" s="76"/>
      <c r="P421" s="93">
        <f t="shared" si="127"/>
        <v>385</v>
      </c>
      <c r="Q421" s="117">
        <v>3</v>
      </c>
      <c r="R421" s="21" t="str">
        <f t="shared" si="126"/>
        <v>X</v>
      </c>
      <c r="S421" s="96" t="s">
        <v>172</v>
      </c>
      <c r="T421" s="104"/>
      <c r="U421" s="21" t="s">
        <v>226</v>
      </c>
      <c r="V421" s="76"/>
      <c r="W421" s="77">
        <v>3</v>
      </c>
      <c r="X421" s="55" t="s">
        <v>173</v>
      </c>
      <c r="Y421" s="55">
        <v>3</v>
      </c>
      <c r="Z421" s="55">
        <v>3</v>
      </c>
      <c r="AA421" s="73" t="s">
        <v>109</v>
      </c>
      <c r="AB421" s="73" t="s">
        <v>19</v>
      </c>
      <c r="AC421" s="103"/>
      <c r="AD421" s="451"/>
      <c r="AE421" s="452"/>
      <c r="AF421" s="453" t="str">
        <f t="shared" si="120"/>
        <v xml:space="preserve">   </v>
      </c>
      <c r="AG421" s="442" t="str">
        <f t="shared" si="116"/>
        <v>-</v>
      </c>
      <c r="AH421" s="452"/>
      <c r="AI421" s="447" t="s">
        <v>532</v>
      </c>
      <c r="AJ421" s="451"/>
      <c r="AK421" s="452"/>
      <c r="AL421" s="453" t="str">
        <f t="shared" si="121"/>
        <v xml:space="preserve">   </v>
      </c>
      <c r="AM421" s="442" t="str">
        <f t="shared" si="117"/>
        <v>-</v>
      </c>
      <c r="AN421" s="452"/>
      <c r="AO421" s="447" t="s">
        <v>532</v>
      </c>
      <c r="AP421" s="451"/>
      <c r="AQ421" s="452"/>
      <c r="AR421" s="453" t="str">
        <f t="shared" si="122"/>
        <v xml:space="preserve">   </v>
      </c>
      <c r="AS421" s="447" t="s">
        <v>532</v>
      </c>
      <c r="AT421" s="464"/>
      <c r="AU421" s="447" t="s">
        <v>532</v>
      </c>
      <c r="AV421" s="451"/>
      <c r="AW421" s="452"/>
      <c r="AX421" s="453" t="str">
        <f t="shared" si="123"/>
        <v xml:space="preserve">   </v>
      </c>
      <c r="AY421" s="442" t="str">
        <f t="shared" si="118"/>
        <v>-</v>
      </c>
      <c r="AZ421" s="452"/>
      <c r="BA421" s="447" t="s">
        <v>532</v>
      </c>
      <c r="BB421" s="78"/>
      <c r="BC421" s="420"/>
      <c r="BD421" s="79" t="str">
        <f t="shared" si="124"/>
        <v xml:space="preserve">   </v>
      </c>
      <c r="BE421" s="213" t="str">
        <f t="shared" si="119"/>
        <v>-</v>
      </c>
      <c r="BF421" s="378"/>
      <c r="BG421" s="225" t="s">
        <v>215</v>
      </c>
      <c r="BH421" s="78"/>
      <c r="BI421" s="420"/>
      <c r="BJ421" s="79" t="str">
        <f t="shared" si="125"/>
        <v xml:space="preserve">   </v>
      </c>
      <c r="BK421" s="213" t="s">
        <v>215</v>
      </c>
      <c r="BL421" s="378"/>
      <c r="BM421" s="225" t="s">
        <v>215</v>
      </c>
    </row>
    <row r="422" spans="1:65" s="80" customFormat="1" ht="25.5">
      <c r="B422" s="64">
        <f t="shared" si="128"/>
        <v>415</v>
      </c>
      <c r="C422" s="68"/>
      <c r="D422" s="68"/>
      <c r="E422" s="68"/>
      <c r="F422" s="81" t="s">
        <v>174</v>
      </c>
      <c r="G422" s="14"/>
      <c r="H422" s="82"/>
      <c r="I422" s="73"/>
      <c r="J422" s="73"/>
      <c r="K422" s="74"/>
      <c r="L422" s="74"/>
      <c r="M422" s="83" t="s">
        <v>274</v>
      </c>
      <c r="N422" s="75"/>
      <c r="O422" s="76"/>
      <c r="P422" s="93">
        <f>P421+1</f>
        <v>386</v>
      </c>
      <c r="Q422" s="117">
        <v>2</v>
      </c>
      <c r="R422" s="21" t="str">
        <f t="shared" si="126"/>
        <v>X</v>
      </c>
      <c r="S422" s="96" t="s">
        <v>175</v>
      </c>
      <c r="T422" s="104"/>
      <c r="U422" s="21" t="s">
        <v>226</v>
      </c>
      <c r="V422" s="76"/>
      <c r="W422" s="77">
        <v>3</v>
      </c>
      <c r="X422" s="55" t="s">
        <v>176</v>
      </c>
      <c r="Y422" s="55">
        <v>2</v>
      </c>
      <c r="Z422" s="55">
        <v>2</v>
      </c>
      <c r="AA422" s="73" t="s">
        <v>109</v>
      </c>
      <c r="AB422" s="73" t="s">
        <v>19</v>
      </c>
      <c r="AC422" s="103"/>
      <c r="AD422" s="451"/>
      <c r="AE422" s="452"/>
      <c r="AF422" s="453" t="str">
        <f t="shared" si="120"/>
        <v xml:space="preserve">  </v>
      </c>
      <c r="AG422" s="442" t="str">
        <f t="shared" si="116"/>
        <v>-</v>
      </c>
      <c r="AH422" s="452"/>
      <c r="AI422" s="447" t="s">
        <v>532</v>
      </c>
      <c r="AJ422" s="451"/>
      <c r="AK422" s="452"/>
      <c r="AL422" s="453" t="str">
        <f t="shared" si="121"/>
        <v xml:space="preserve">  </v>
      </c>
      <c r="AM422" s="442" t="str">
        <f t="shared" si="117"/>
        <v>-</v>
      </c>
      <c r="AN422" s="452"/>
      <c r="AO422" s="447" t="s">
        <v>532</v>
      </c>
      <c r="AP422" s="451"/>
      <c r="AQ422" s="452"/>
      <c r="AR422" s="453" t="str">
        <f t="shared" si="122"/>
        <v xml:space="preserve">  </v>
      </c>
      <c r="AS422" s="447" t="s">
        <v>532</v>
      </c>
      <c r="AT422" s="464"/>
      <c r="AU422" s="447" t="s">
        <v>532</v>
      </c>
      <c r="AV422" s="451"/>
      <c r="AW422" s="452"/>
      <c r="AX422" s="453" t="str">
        <f t="shared" si="123"/>
        <v xml:space="preserve">  </v>
      </c>
      <c r="AY422" s="442" t="str">
        <f t="shared" si="118"/>
        <v>-</v>
      </c>
      <c r="AZ422" s="452"/>
      <c r="BA422" s="447" t="s">
        <v>532</v>
      </c>
      <c r="BB422" s="78"/>
      <c r="BC422" s="420"/>
      <c r="BD422" s="79" t="str">
        <f t="shared" si="124"/>
        <v xml:space="preserve">  </v>
      </c>
      <c r="BE422" s="213" t="str">
        <f t="shared" si="119"/>
        <v>-</v>
      </c>
      <c r="BF422" s="378"/>
      <c r="BG422" s="225" t="s">
        <v>215</v>
      </c>
      <c r="BH422" s="78"/>
      <c r="BI422" s="420"/>
      <c r="BJ422" s="79" t="str">
        <f t="shared" si="125"/>
        <v xml:space="preserve">  </v>
      </c>
      <c r="BK422" s="213" t="s">
        <v>215</v>
      </c>
      <c r="BL422" s="378"/>
      <c r="BM422" s="225" t="s">
        <v>215</v>
      </c>
    </row>
    <row r="423" spans="1:65" s="80" customFormat="1" ht="51.75" customHeight="1">
      <c r="B423" s="64">
        <f t="shared" si="128"/>
        <v>416</v>
      </c>
      <c r="C423" s="68"/>
      <c r="D423" s="68"/>
      <c r="E423" s="68"/>
      <c r="F423" s="228" t="s">
        <v>177</v>
      </c>
      <c r="G423" s="229"/>
      <c r="H423" s="230"/>
      <c r="I423" s="73"/>
      <c r="J423" s="73"/>
      <c r="K423" s="74"/>
      <c r="L423" s="74"/>
      <c r="M423" s="83" t="s">
        <v>178</v>
      </c>
      <c r="N423" s="75"/>
      <c r="O423" s="76"/>
      <c r="P423" s="93">
        <f>P422+1</f>
        <v>387</v>
      </c>
      <c r="Q423" s="117">
        <v>5</v>
      </c>
      <c r="R423" s="21" t="str">
        <f t="shared" si="126"/>
        <v>X</v>
      </c>
      <c r="S423" s="96" t="s">
        <v>179</v>
      </c>
      <c r="T423" s="104"/>
      <c r="U423" s="21" t="s">
        <v>226</v>
      </c>
      <c r="V423" s="76"/>
      <c r="W423" s="77">
        <v>3</v>
      </c>
      <c r="X423" s="55" t="s">
        <v>262</v>
      </c>
      <c r="Y423" s="55">
        <v>5</v>
      </c>
      <c r="Z423" s="55">
        <v>5</v>
      </c>
      <c r="AA423" s="73" t="s">
        <v>109</v>
      </c>
      <c r="AB423" s="73" t="s">
        <v>19</v>
      </c>
      <c r="AC423" s="84"/>
      <c r="AD423" s="451"/>
      <c r="AE423" s="459"/>
      <c r="AF423" s="453" t="str">
        <f t="shared" si="120"/>
        <v xml:space="preserve">     </v>
      </c>
      <c r="AG423" s="442" t="str">
        <f t="shared" si="116"/>
        <v>-</v>
      </c>
      <c r="AH423" s="459"/>
      <c r="AI423" s="447" t="s">
        <v>532</v>
      </c>
      <c r="AJ423" s="451"/>
      <c r="AK423" s="459"/>
      <c r="AL423" s="453" t="str">
        <f t="shared" si="121"/>
        <v xml:space="preserve">     </v>
      </c>
      <c r="AM423" s="442" t="str">
        <f t="shared" si="117"/>
        <v>-</v>
      </c>
      <c r="AN423" s="459"/>
      <c r="AO423" s="447" t="s">
        <v>532</v>
      </c>
      <c r="AP423" s="451"/>
      <c r="AQ423" s="459"/>
      <c r="AR423" s="453" t="str">
        <f t="shared" si="122"/>
        <v xml:space="preserve">     </v>
      </c>
      <c r="AS423" s="447" t="s">
        <v>532</v>
      </c>
      <c r="AT423" s="466"/>
      <c r="AU423" s="447" t="s">
        <v>532</v>
      </c>
      <c r="AV423" s="451"/>
      <c r="AW423" s="459"/>
      <c r="AX423" s="453" t="str">
        <f t="shared" si="123"/>
        <v xml:space="preserve">     </v>
      </c>
      <c r="AY423" s="442" t="str">
        <f t="shared" si="118"/>
        <v>-</v>
      </c>
      <c r="AZ423" s="459"/>
      <c r="BA423" s="447" t="s">
        <v>532</v>
      </c>
      <c r="BB423" s="78"/>
      <c r="BC423" s="421"/>
      <c r="BD423" s="79" t="str">
        <f t="shared" si="124"/>
        <v xml:space="preserve">     </v>
      </c>
      <c r="BE423" s="213" t="str">
        <f t="shared" si="119"/>
        <v>-</v>
      </c>
      <c r="BF423" s="382"/>
      <c r="BG423" s="225" t="s">
        <v>215</v>
      </c>
      <c r="BH423" s="78"/>
      <c r="BI423" s="421"/>
      <c r="BJ423" s="79" t="str">
        <f t="shared" si="125"/>
        <v xml:space="preserve">     </v>
      </c>
      <c r="BK423" s="213" t="s">
        <v>215</v>
      </c>
      <c r="BL423" s="378"/>
      <c r="BM423" s="225" t="s">
        <v>215</v>
      </c>
    </row>
    <row r="424" spans="1:65" s="80" customFormat="1" ht="51.75" customHeight="1">
      <c r="B424" s="64">
        <f t="shared" si="128"/>
        <v>417</v>
      </c>
      <c r="C424" s="68"/>
      <c r="D424" s="68"/>
      <c r="E424" s="68"/>
      <c r="F424" s="228" t="s">
        <v>180</v>
      </c>
      <c r="G424" s="229"/>
      <c r="H424" s="230"/>
      <c r="I424" s="73"/>
      <c r="J424" s="73"/>
      <c r="K424" s="74"/>
      <c r="L424" s="74"/>
      <c r="M424" s="83" t="s">
        <v>181</v>
      </c>
      <c r="N424" s="75"/>
      <c r="O424" s="76"/>
      <c r="P424" s="93">
        <f>P423+1</f>
        <v>388</v>
      </c>
      <c r="Q424" s="117">
        <v>64</v>
      </c>
      <c r="R424" s="21" t="str">
        <f>IF(AA424="M","NX",AA424)</f>
        <v>NX</v>
      </c>
      <c r="S424" s="96" t="s">
        <v>182</v>
      </c>
      <c r="T424" s="104"/>
      <c r="U424" s="21" t="s">
        <v>226</v>
      </c>
      <c r="V424" s="76" t="s">
        <v>263</v>
      </c>
      <c r="W424" s="77">
        <v>3</v>
      </c>
      <c r="X424" s="55" t="s">
        <v>264</v>
      </c>
      <c r="Y424" s="55">
        <v>1</v>
      </c>
      <c r="Z424" s="55">
        <v>64</v>
      </c>
      <c r="AA424" s="73" t="s">
        <v>252</v>
      </c>
      <c r="AB424" s="73" t="s">
        <v>19</v>
      </c>
      <c r="AC424" s="84" t="s">
        <v>263</v>
      </c>
      <c r="AD424" s="451"/>
      <c r="AE424" s="459"/>
      <c r="AF424" s="453" t="str">
        <f t="shared" si="120"/>
        <v xml:space="preserve">                                                                </v>
      </c>
      <c r="AG424" s="442" t="str">
        <f t="shared" si="116"/>
        <v>-</v>
      </c>
      <c r="AH424" s="459"/>
      <c r="AI424" s="447" t="s">
        <v>532</v>
      </c>
      <c r="AJ424" s="451"/>
      <c r="AK424" s="459"/>
      <c r="AL424" s="453" t="str">
        <f t="shared" si="121"/>
        <v xml:space="preserve">                                                                </v>
      </c>
      <c r="AM424" s="442" t="str">
        <f t="shared" si="117"/>
        <v>-</v>
      </c>
      <c r="AN424" s="459"/>
      <c r="AO424" s="447" t="s">
        <v>532</v>
      </c>
      <c r="AP424" s="451"/>
      <c r="AQ424" s="459"/>
      <c r="AR424" s="453" t="str">
        <f t="shared" si="122"/>
        <v xml:space="preserve">                                                                </v>
      </c>
      <c r="AS424" s="447" t="s">
        <v>532</v>
      </c>
      <c r="AT424" s="466"/>
      <c r="AU424" s="447" t="s">
        <v>532</v>
      </c>
      <c r="AV424" s="451"/>
      <c r="AW424" s="459"/>
      <c r="AX424" s="453" t="str">
        <f t="shared" si="123"/>
        <v xml:space="preserve">                                                                </v>
      </c>
      <c r="AY424" s="442" t="str">
        <f t="shared" si="118"/>
        <v>-</v>
      </c>
      <c r="AZ424" s="459"/>
      <c r="BA424" s="447" t="s">
        <v>532</v>
      </c>
      <c r="BB424" s="78"/>
      <c r="BC424" s="421"/>
      <c r="BD424" s="79" t="str">
        <f t="shared" si="124"/>
        <v xml:space="preserve">                                                                </v>
      </c>
      <c r="BE424" s="213" t="str">
        <f t="shared" si="119"/>
        <v>-</v>
      </c>
      <c r="BF424" s="382"/>
      <c r="BG424" s="225" t="s">
        <v>215</v>
      </c>
      <c r="BH424" s="78"/>
      <c r="BI424" s="421"/>
      <c r="BJ424" s="79" t="str">
        <f t="shared" si="125"/>
        <v xml:space="preserve">                                                                </v>
      </c>
      <c r="BK424" s="213" t="s">
        <v>215</v>
      </c>
      <c r="BL424" s="378"/>
      <c r="BM424" s="225" t="s">
        <v>215</v>
      </c>
    </row>
    <row r="425" spans="1:65" s="80" customFormat="1" ht="92.25" customHeight="1">
      <c r="B425" s="64">
        <f t="shared" si="128"/>
        <v>418</v>
      </c>
      <c r="C425" s="68"/>
      <c r="D425" s="68"/>
      <c r="E425" s="68"/>
      <c r="F425" s="81" t="s">
        <v>276</v>
      </c>
      <c r="G425" s="14"/>
      <c r="H425" s="82"/>
      <c r="I425" s="73"/>
      <c r="J425" s="73"/>
      <c r="K425" s="74"/>
      <c r="L425" s="74"/>
      <c r="M425" s="415" t="s">
        <v>207</v>
      </c>
      <c r="N425" s="75"/>
      <c r="O425" s="76"/>
      <c r="P425" s="93">
        <f>P424+1</f>
        <v>389</v>
      </c>
      <c r="Q425" s="117">
        <v>7</v>
      </c>
      <c r="R425" s="21" t="s">
        <v>229</v>
      </c>
      <c r="S425" s="96" t="s">
        <v>265</v>
      </c>
      <c r="T425" s="104"/>
      <c r="U425" s="21" t="s">
        <v>226</v>
      </c>
      <c r="V425" s="76"/>
      <c r="W425" s="77">
        <v>3</v>
      </c>
      <c r="X425" s="55" t="s">
        <v>266</v>
      </c>
      <c r="Y425" s="55">
        <v>7</v>
      </c>
      <c r="Z425" s="55">
        <v>7</v>
      </c>
      <c r="AA425" s="73" t="s">
        <v>229</v>
      </c>
      <c r="AB425" s="73" t="s">
        <v>19</v>
      </c>
      <c r="AC425" s="84"/>
      <c r="AD425" s="451"/>
      <c r="AE425" s="452"/>
      <c r="AF425" s="453" t="str">
        <f t="shared" si="120"/>
        <v xml:space="preserve">       </v>
      </c>
      <c r="AG425" s="442" t="str">
        <f t="shared" si="116"/>
        <v>-</v>
      </c>
      <c r="AH425" s="452"/>
      <c r="AI425" s="447" t="s">
        <v>532</v>
      </c>
      <c r="AJ425" s="451"/>
      <c r="AK425" s="452"/>
      <c r="AL425" s="453" t="str">
        <f t="shared" si="121"/>
        <v xml:space="preserve">       </v>
      </c>
      <c r="AM425" s="442" t="str">
        <f t="shared" si="117"/>
        <v>-</v>
      </c>
      <c r="AN425" s="452"/>
      <c r="AO425" s="447" t="s">
        <v>532</v>
      </c>
      <c r="AP425" s="451"/>
      <c r="AQ425" s="452"/>
      <c r="AR425" s="453" t="str">
        <f t="shared" si="122"/>
        <v xml:space="preserve">       </v>
      </c>
      <c r="AS425" s="447" t="s">
        <v>532</v>
      </c>
      <c r="AT425" s="464"/>
      <c r="AU425" s="447" t="s">
        <v>532</v>
      </c>
      <c r="AV425" s="451"/>
      <c r="AW425" s="452"/>
      <c r="AX425" s="453" t="str">
        <f t="shared" si="123"/>
        <v xml:space="preserve">       </v>
      </c>
      <c r="AY425" s="442" t="str">
        <f t="shared" si="118"/>
        <v>-</v>
      </c>
      <c r="AZ425" s="452"/>
      <c r="BA425" s="447" t="s">
        <v>532</v>
      </c>
      <c r="BB425" s="78"/>
      <c r="BC425" s="420"/>
      <c r="BD425" s="79" t="str">
        <f t="shared" si="124"/>
        <v xml:space="preserve">       </v>
      </c>
      <c r="BE425" s="213" t="str">
        <f t="shared" si="119"/>
        <v>-</v>
      </c>
      <c r="BF425" s="353"/>
      <c r="BG425" s="225" t="s">
        <v>215</v>
      </c>
      <c r="BH425" s="78"/>
      <c r="BI425" s="420"/>
      <c r="BJ425" s="79" t="str">
        <f t="shared" si="125"/>
        <v xml:space="preserve">       </v>
      </c>
      <c r="BK425" s="213" t="s">
        <v>215</v>
      </c>
      <c r="BL425" s="353"/>
      <c r="BM425" s="225" t="s">
        <v>215</v>
      </c>
    </row>
    <row r="426" spans="1:65" s="80" customFormat="1" ht="127.9" thickBot="1">
      <c r="A426" s="216"/>
      <c r="B426" s="231">
        <f t="shared" si="128"/>
        <v>419</v>
      </c>
      <c r="C426" s="232"/>
      <c r="D426" s="232"/>
      <c r="E426" s="232"/>
      <c r="F426" s="234" t="s">
        <v>267</v>
      </c>
      <c r="G426" s="235"/>
      <c r="H426" s="236"/>
      <c r="I426" s="237"/>
      <c r="J426" s="237"/>
      <c r="K426" s="237"/>
      <c r="L426" s="237"/>
      <c r="M426" s="416" t="s">
        <v>277</v>
      </c>
      <c r="N426" s="417"/>
      <c r="O426" s="419"/>
      <c r="P426" s="429">
        <f>P425+1</f>
        <v>390</v>
      </c>
      <c r="Q426" s="430">
        <v>1</v>
      </c>
      <c r="R426" s="431">
        <v>9</v>
      </c>
      <c r="S426" s="430" t="s">
        <v>268</v>
      </c>
      <c r="T426" s="430"/>
      <c r="U426" s="431" t="s">
        <v>226</v>
      </c>
      <c r="V426" s="432"/>
      <c r="W426" s="433" t="str">
        <f>IF(C426&lt;&gt;"","0",IF(D426&lt;&gt;"","1",IF(E426&lt;&gt;"","2",IF(F426&lt;&gt;"","3",IF(G426&lt;&gt;"","4",IF(H426&lt;&gt;"","5"))))))</f>
        <v>3</v>
      </c>
      <c r="X426" s="434" t="s">
        <v>269</v>
      </c>
      <c r="Y426" s="434">
        <v>1</v>
      </c>
      <c r="Z426" s="434">
        <v>1</v>
      </c>
      <c r="AA426" s="435">
        <v>9</v>
      </c>
      <c r="AB426" s="237" t="s">
        <v>226</v>
      </c>
      <c r="AC426" s="436"/>
      <c r="AD426" s="454"/>
      <c r="AE426" s="455"/>
      <c r="AF426" s="456" t="str">
        <f t="shared" si="120"/>
        <v xml:space="preserve"> </v>
      </c>
      <c r="AG426" s="457" t="str">
        <f t="shared" si="116"/>
        <v>-</v>
      </c>
      <c r="AH426" s="455"/>
      <c r="AI426" s="458" t="s">
        <v>532</v>
      </c>
      <c r="AJ426" s="454"/>
      <c r="AK426" s="455"/>
      <c r="AL426" s="456" t="str">
        <f t="shared" si="121"/>
        <v xml:space="preserve"> </v>
      </c>
      <c r="AM426" s="457" t="str">
        <f t="shared" si="117"/>
        <v>-</v>
      </c>
      <c r="AN426" s="455"/>
      <c r="AO426" s="458" t="s">
        <v>532</v>
      </c>
      <c r="AP426" s="454"/>
      <c r="AQ426" s="455"/>
      <c r="AR426" s="456" t="str">
        <f t="shared" si="122"/>
        <v xml:space="preserve"> </v>
      </c>
      <c r="AS426" s="457" t="s">
        <v>532</v>
      </c>
      <c r="AT426" s="465"/>
      <c r="AU426" s="458" t="s">
        <v>532</v>
      </c>
      <c r="AV426" s="454"/>
      <c r="AW426" s="455"/>
      <c r="AX426" s="456" t="str">
        <f t="shared" si="123"/>
        <v xml:space="preserve"> </v>
      </c>
      <c r="AY426" s="457" t="str">
        <f t="shared" si="118"/>
        <v>-</v>
      </c>
      <c r="AZ426" s="455"/>
      <c r="BA426" s="458" t="s">
        <v>532</v>
      </c>
      <c r="BB426" s="211"/>
      <c r="BC426" s="422"/>
      <c r="BD426" s="212" t="str">
        <f t="shared" si="124"/>
        <v xml:space="preserve"> </v>
      </c>
      <c r="BE426" s="226" t="str">
        <f t="shared" si="119"/>
        <v>-</v>
      </c>
      <c r="BF426" s="380"/>
      <c r="BG426" s="403" t="s">
        <v>215</v>
      </c>
      <c r="BH426" s="211"/>
      <c r="BI426" s="422"/>
      <c r="BJ426" s="212" t="str">
        <f t="shared" si="125"/>
        <v xml:space="preserve"> </v>
      </c>
      <c r="BK426" s="226" t="s">
        <v>215</v>
      </c>
      <c r="BL426" s="471"/>
      <c r="BM426" s="403" t="s">
        <v>215</v>
      </c>
    </row>
    <row r="427" spans="1:65" s="26" customFormat="1" ht="18.75" customHeight="1" thickTop="1">
      <c r="B427" s="2">
        <f t="shared" si="128"/>
        <v>420</v>
      </c>
      <c r="C427" s="7"/>
      <c r="D427" s="7"/>
      <c r="E427" s="100" t="s">
        <v>482</v>
      </c>
      <c r="F427" s="410"/>
      <c r="G427" s="410"/>
      <c r="H427" s="61"/>
      <c r="I427" s="8" t="s">
        <v>29</v>
      </c>
      <c r="J427" s="8" t="s">
        <v>446</v>
      </c>
      <c r="K427" s="8"/>
      <c r="L427" s="8"/>
      <c r="M427" s="1" t="s">
        <v>272</v>
      </c>
      <c r="N427" s="9"/>
      <c r="O427" s="423"/>
      <c r="P427" s="93"/>
      <c r="Q427" s="113"/>
      <c r="R427" s="21"/>
      <c r="S427" s="424"/>
      <c r="T427" s="9"/>
      <c r="U427" s="21"/>
      <c r="V427" s="98"/>
      <c r="W427" s="25" t="str">
        <f>IF(C427&lt;&gt;"","0",IF(D427&lt;&gt;"","1",IF(E427&lt;&gt;"","2",IF(F427&lt;&gt;"","3",IF(G427&lt;&gt;"","4",IF(H427&lt;&gt;"","5"))))))</f>
        <v>2</v>
      </c>
      <c r="X427" s="1" t="s">
        <v>117</v>
      </c>
      <c r="Y427" s="1"/>
      <c r="Z427" s="1"/>
      <c r="AA427" s="8"/>
      <c r="AB427" s="8" t="s">
        <v>480</v>
      </c>
      <c r="AC427" s="62"/>
      <c r="AD427" s="444"/>
      <c r="AE427" s="440"/>
      <c r="AF427" s="440" t="str">
        <f t="shared" si="120"/>
        <v/>
      </c>
      <c r="AG427" s="442" t="str">
        <f t="shared" si="116"/>
        <v>-</v>
      </c>
      <c r="AH427" s="440"/>
      <c r="AI427" s="448" t="s">
        <v>532</v>
      </c>
      <c r="AJ427" s="444"/>
      <c r="AK427" s="440"/>
      <c r="AL427" s="440" t="str">
        <f t="shared" si="121"/>
        <v/>
      </c>
      <c r="AM427" s="442" t="str">
        <f t="shared" si="117"/>
        <v>-</v>
      </c>
      <c r="AN427" s="440"/>
      <c r="AO427" s="448" t="s">
        <v>532</v>
      </c>
      <c r="AP427" s="444"/>
      <c r="AQ427" s="440"/>
      <c r="AR427" s="440" t="str">
        <f t="shared" si="122"/>
        <v/>
      </c>
      <c r="AS427" s="442" t="s">
        <v>532</v>
      </c>
      <c r="AT427" s="462"/>
      <c r="AU427" s="448" t="s">
        <v>532</v>
      </c>
      <c r="AV427" s="444"/>
      <c r="AW427" s="440"/>
      <c r="AX427" s="440" t="str">
        <f t="shared" si="123"/>
        <v/>
      </c>
      <c r="AY427" s="442" t="str">
        <f t="shared" si="118"/>
        <v>-</v>
      </c>
      <c r="AZ427" s="440"/>
      <c r="BA427" s="448" t="s">
        <v>532</v>
      </c>
      <c r="BB427" s="59"/>
      <c r="BC427" s="60"/>
      <c r="BD427" s="60" t="str">
        <f t="shared" si="124"/>
        <v/>
      </c>
      <c r="BE427" s="213" t="str">
        <f t="shared" si="119"/>
        <v>-</v>
      </c>
      <c r="BF427" s="167"/>
      <c r="BG427" s="405" t="s">
        <v>215</v>
      </c>
      <c r="BH427" s="59"/>
      <c r="BI427" s="60"/>
      <c r="BJ427" s="60" t="str">
        <f t="shared" si="125"/>
        <v/>
      </c>
      <c r="BK427" s="260" t="s">
        <v>215</v>
      </c>
      <c r="BL427" s="167"/>
      <c r="BM427" s="405" t="s">
        <v>215</v>
      </c>
    </row>
    <row r="428" spans="1:65" s="26" customFormat="1" ht="63.75">
      <c r="B428" s="2">
        <f t="shared" si="128"/>
        <v>421</v>
      </c>
      <c r="C428" s="127"/>
      <c r="D428" s="7"/>
      <c r="E428" s="7"/>
      <c r="F428" s="110" t="s">
        <v>87</v>
      </c>
      <c r="G428" s="16"/>
      <c r="H428" s="13"/>
      <c r="I428" s="6"/>
      <c r="J428" s="6"/>
      <c r="K428" s="6"/>
      <c r="L428" s="8"/>
      <c r="M428" s="23" t="s">
        <v>248</v>
      </c>
      <c r="N428" s="1"/>
      <c r="O428" s="56"/>
      <c r="P428" s="93">
        <f>P426+1</f>
        <v>391</v>
      </c>
      <c r="Q428" s="115">
        <v>2</v>
      </c>
      <c r="R428" s="21" t="str">
        <f>IF(AA428="M","NX",AA428)</f>
        <v>X</v>
      </c>
      <c r="S428" s="96" t="s">
        <v>483</v>
      </c>
      <c r="T428" s="94"/>
      <c r="U428" s="21" t="s">
        <v>480</v>
      </c>
      <c r="V428" s="116" t="s">
        <v>189</v>
      </c>
      <c r="W428" s="25" t="str">
        <f>IF(C428&lt;&gt;"","0",IF(D428&lt;&gt;"","1",IF(E428&lt;&gt;"","2",IF(F428&lt;&gt;"","3",IF(G428&lt;&gt;"","4",IF(H428&lt;&gt;"","5"))))))</f>
        <v>3</v>
      </c>
      <c r="X428" s="5" t="s">
        <v>484</v>
      </c>
      <c r="Y428" s="57">
        <v>2</v>
      </c>
      <c r="Z428" s="57">
        <v>2</v>
      </c>
      <c r="AA428" s="58" t="s">
        <v>109</v>
      </c>
      <c r="AB428" s="58" t="s">
        <v>19</v>
      </c>
      <c r="AC428" s="12"/>
      <c r="AD428" s="444"/>
      <c r="AE428" s="445"/>
      <c r="AF428" s="446" t="str">
        <f t="shared" si="120"/>
        <v xml:space="preserve">  </v>
      </c>
      <c r="AG428" s="442" t="str">
        <f t="shared" si="116"/>
        <v>-</v>
      </c>
      <c r="AH428" s="445"/>
      <c r="AI428" s="447" t="s">
        <v>532</v>
      </c>
      <c r="AJ428" s="444"/>
      <c r="AK428" s="445"/>
      <c r="AL428" s="446" t="str">
        <f t="shared" si="121"/>
        <v xml:space="preserve">  </v>
      </c>
      <c r="AM428" s="442" t="str">
        <f t="shared" si="117"/>
        <v>-</v>
      </c>
      <c r="AN428" s="445"/>
      <c r="AO428" s="447" t="s">
        <v>532</v>
      </c>
      <c r="AP428" s="444"/>
      <c r="AQ428" s="445"/>
      <c r="AR428" s="446" t="str">
        <f t="shared" si="122"/>
        <v xml:space="preserve">  </v>
      </c>
      <c r="AS428" s="447" t="s">
        <v>532</v>
      </c>
      <c r="AT428" s="463"/>
      <c r="AU428" s="447" t="s">
        <v>532</v>
      </c>
      <c r="AV428" s="444"/>
      <c r="AW428" s="445"/>
      <c r="AX428" s="446" t="str">
        <f t="shared" si="123"/>
        <v xml:space="preserve">  </v>
      </c>
      <c r="AY428" s="442" t="str">
        <f t="shared" si="118"/>
        <v>-</v>
      </c>
      <c r="AZ428" s="445"/>
      <c r="BA428" s="447" t="s">
        <v>532</v>
      </c>
      <c r="BB428" s="59"/>
      <c r="BC428" s="223"/>
      <c r="BD428" s="254" t="str">
        <f t="shared" si="124"/>
        <v xml:space="preserve">  </v>
      </c>
      <c r="BE428" s="213" t="str">
        <f t="shared" si="119"/>
        <v>-</v>
      </c>
      <c r="BF428" s="172"/>
      <c r="BG428" s="225" t="s">
        <v>215</v>
      </c>
      <c r="BH428" s="59"/>
      <c r="BI428" s="223"/>
      <c r="BJ428" s="254" t="str">
        <f t="shared" si="125"/>
        <v xml:space="preserve">  </v>
      </c>
      <c r="BK428" s="213" t="s">
        <v>215</v>
      </c>
      <c r="BL428" s="172"/>
      <c r="BM428" s="225" t="s">
        <v>215</v>
      </c>
    </row>
    <row r="429" spans="1:65" s="26" customFormat="1" ht="344.25">
      <c r="B429" s="2">
        <f t="shared" si="128"/>
        <v>422</v>
      </c>
      <c r="C429" s="7"/>
      <c r="D429" s="7"/>
      <c r="E429" s="7"/>
      <c r="F429" s="110" t="s">
        <v>304</v>
      </c>
      <c r="G429" s="16"/>
      <c r="H429" s="13"/>
      <c r="I429" s="8"/>
      <c r="J429" s="8" t="s">
        <v>231</v>
      </c>
      <c r="K429" s="8"/>
      <c r="L429" s="8"/>
      <c r="M429" s="355" t="s">
        <v>478</v>
      </c>
      <c r="N429" s="11"/>
      <c r="O429" s="56"/>
      <c r="P429" s="93">
        <f>P428+1</f>
        <v>392</v>
      </c>
      <c r="Q429" s="113">
        <v>2</v>
      </c>
      <c r="R429" s="21" t="str">
        <f t="shared" ref="R429:R453" si="129">IF(AA429="M","NX",AA429)</f>
        <v>X</v>
      </c>
      <c r="S429" s="96" t="s">
        <v>310</v>
      </c>
      <c r="T429" s="94"/>
      <c r="U429" s="21" t="s">
        <v>226</v>
      </c>
      <c r="V429" s="10"/>
      <c r="W429" s="25">
        <v>3</v>
      </c>
      <c r="X429" s="1" t="s">
        <v>243</v>
      </c>
      <c r="Y429" s="1">
        <v>2</v>
      </c>
      <c r="Z429" s="1">
        <v>2</v>
      </c>
      <c r="AA429" s="8" t="s">
        <v>109</v>
      </c>
      <c r="AB429" s="8" t="s">
        <v>19</v>
      </c>
      <c r="AC429" s="12"/>
      <c r="AD429" s="444"/>
      <c r="AE429" s="445"/>
      <c r="AF429" s="446" t="str">
        <f t="shared" si="120"/>
        <v xml:space="preserve">  </v>
      </c>
      <c r="AG429" s="442" t="str">
        <f t="shared" si="116"/>
        <v>-</v>
      </c>
      <c r="AH429" s="445"/>
      <c r="AI429" s="448" t="s">
        <v>532</v>
      </c>
      <c r="AJ429" s="444"/>
      <c r="AK429" s="445"/>
      <c r="AL429" s="446" t="str">
        <f t="shared" si="121"/>
        <v xml:space="preserve">  </v>
      </c>
      <c r="AM429" s="442" t="str">
        <f t="shared" si="117"/>
        <v>-</v>
      </c>
      <c r="AN429" s="445"/>
      <c r="AO429" s="448" t="s">
        <v>532</v>
      </c>
      <c r="AP429" s="444"/>
      <c r="AQ429" s="445"/>
      <c r="AR429" s="446" t="str">
        <f t="shared" si="122"/>
        <v xml:space="preserve">  </v>
      </c>
      <c r="AS429" s="442" t="s">
        <v>532</v>
      </c>
      <c r="AT429" s="463"/>
      <c r="AU429" s="448" t="s">
        <v>532</v>
      </c>
      <c r="AV429" s="444"/>
      <c r="AW429" s="445"/>
      <c r="AX429" s="446" t="str">
        <f t="shared" si="123"/>
        <v xml:space="preserve">  </v>
      </c>
      <c r="AY429" s="442" t="str">
        <f t="shared" si="118"/>
        <v>-</v>
      </c>
      <c r="AZ429" s="445"/>
      <c r="BA429" s="448" t="s">
        <v>532</v>
      </c>
      <c r="BB429" s="59"/>
      <c r="BC429" s="223"/>
      <c r="BD429" s="254" t="str">
        <f t="shared" si="124"/>
        <v>A9</v>
      </c>
      <c r="BE429" s="213" t="str">
        <f t="shared" si="119"/>
        <v>-</v>
      </c>
      <c r="BF429" s="172" t="s">
        <v>535</v>
      </c>
      <c r="BG429" s="405" t="str">
        <f>IF(OR(BC$8="判定対象外",BF$8="判定対象外",BF429="-"),"-",IF(BC429=BF429,"OK","NG"))</f>
        <v>NG</v>
      </c>
      <c r="BH429" s="59"/>
      <c r="BI429" s="223"/>
      <c r="BJ429" s="254" t="str">
        <f t="shared" si="125"/>
        <v>B6</v>
      </c>
      <c r="BK429" s="213" t="str">
        <f>IF(OR(BI$8="判定対象外",BJ$8="判定対象外",BJ429="-"),"-",IF(BI429=BJ429,"OK","NG"))</f>
        <v>NG</v>
      </c>
      <c r="BL429" s="172" t="s">
        <v>584</v>
      </c>
      <c r="BM429" s="405" t="str">
        <f>IF(OR(BI$8="判定対象外",BL$8="判定対象外",BL429="-"),"-",IF(BI429=BL429,"OK","NG"))</f>
        <v>NG</v>
      </c>
    </row>
    <row r="430" spans="1:65" s="26" customFormat="1">
      <c r="B430" s="2">
        <f t="shared" si="128"/>
        <v>423</v>
      </c>
      <c r="C430" s="7"/>
      <c r="D430" s="7"/>
      <c r="E430" s="7"/>
      <c r="F430" s="22" t="s">
        <v>273</v>
      </c>
      <c r="G430" s="16"/>
      <c r="H430" s="13"/>
      <c r="I430" s="8"/>
      <c r="J430" s="8"/>
      <c r="K430" s="8"/>
      <c r="L430" s="8"/>
      <c r="M430" s="358" t="s">
        <v>205</v>
      </c>
      <c r="N430" s="11"/>
      <c r="O430" s="56"/>
      <c r="P430" s="93">
        <f t="shared" ref="P430:P451" si="130">P429+1</f>
        <v>393</v>
      </c>
      <c r="Q430" s="113">
        <v>2</v>
      </c>
      <c r="R430" s="21" t="str">
        <f t="shared" si="129"/>
        <v>X</v>
      </c>
      <c r="S430" s="96" t="s">
        <v>118</v>
      </c>
      <c r="T430" s="94"/>
      <c r="U430" s="21" t="s">
        <v>226</v>
      </c>
      <c r="V430" s="10"/>
      <c r="W430" s="25">
        <v>3</v>
      </c>
      <c r="X430" s="1" t="s">
        <v>119</v>
      </c>
      <c r="Y430" s="1">
        <v>2</v>
      </c>
      <c r="Z430" s="1">
        <v>2</v>
      </c>
      <c r="AA430" s="8" t="s">
        <v>109</v>
      </c>
      <c r="AB430" s="8" t="s">
        <v>19</v>
      </c>
      <c r="AC430" s="12"/>
      <c r="AD430" s="444"/>
      <c r="AE430" s="440"/>
      <c r="AF430" s="440" t="str">
        <f t="shared" si="120"/>
        <v xml:space="preserve">  </v>
      </c>
      <c r="AG430" s="442" t="str">
        <f t="shared" si="116"/>
        <v>-</v>
      </c>
      <c r="AH430" s="440"/>
      <c r="AI430" s="447" t="s">
        <v>532</v>
      </c>
      <c r="AJ430" s="444"/>
      <c r="AK430" s="440"/>
      <c r="AL430" s="440" t="str">
        <f t="shared" si="121"/>
        <v xml:space="preserve">  </v>
      </c>
      <c r="AM430" s="442" t="str">
        <f t="shared" si="117"/>
        <v>-</v>
      </c>
      <c r="AN430" s="440"/>
      <c r="AO430" s="447" t="s">
        <v>532</v>
      </c>
      <c r="AP430" s="444"/>
      <c r="AQ430" s="440"/>
      <c r="AR430" s="440" t="str">
        <f t="shared" si="122"/>
        <v xml:space="preserve">  </v>
      </c>
      <c r="AS430" s="447" t="s">
        <v>532</v>
      </c>
      <c r="AT430" s="462"/>
      <c r="AU430" s="447" t="s">
        <v>532</v>
      </c>
      <c r="AV430" s="444"/>
      <c r="AW430" s="440"/>
      <c r="AX430" s="440" t="str">
        <f t="shared" si="123"/>
        <v xml:space="preserve">  </v>
      </c>
      <c r="AY430" s="442" t="str">
        <f t="shared" si="118"/>
        <v>-</v>
      </c>
      <c r="AZ430" s="440"/>
      <c r="BA430" s="447" t="s">
        <v>532</v>
      </c>
      <c r="BB430" s="59"/>
      <c r="BC430" s="60"/>
      <c r="BD430" s="60" t="str">
        <f t="shared" si="124"/>
        <v xml:space="preserve">  </v>
      </c>
      <c r="BE430" s="213" t="str">
        <f t="shared" si="119"/>
        <v>-</v>
      </c>
      <c r="BF430" s="167"/>
      <c r="BG430" s="225" t="s">
        <v>215</v>
      </c>
      <c r="BH430" s="59"/>
      <c r="BI430" s="60"/>
      <c r="BJ430" s="60" t="str">
        <f t="shared" si="125"/>
        <v xml:space="preserve">  </v>
      </c>
      <c r="BK430" s="213" t="s">
        <v>215</v>
      </c>
      <c r="BL430" s="167"/>
      <c r="BM430" s="225" t="s">
        <v>215</v>
      </c>
    </row>
    <row r="431" spans="1:65" s="26" customFormat="1">
      <c r="B431" s="2">
        <f t="shared" si="128"/>
        <v>424</v>
      </c>
      <c r="C431" s="7"/>
      <c r="D431" s="7"/>
      <c r="E431" s="7"/>
      <c r="F431" s="22" t="s">
        <v>120</v>
      </c>
      <c r="G431" s="16"/>
      <c r="H431" s="13"/>
      <c r="I431" s="8"/>
      <c r="J431" s="8" t="s">
        <v>231</v>
      </c>
      <c r="K431" s="8"/>
      <c r="L431" s="8"/>
      <c r="M431" s="1" t="s">
        <v>121</v>
      </c>
      <c r="N431" s="1"/>
      <c r="O431" s="56"/>
      <c r="P431" s="93">
        <f t="shared" si="130"/>
        <v>394</v>
      </c>
      <c r="Q431" s="113">
        <v>255</v>
      </c>
      <c r="R431" s="21" t="str">
        <f t="shared" si="129"/>
        <v>NX</v>
      </c>
      <c r="S431" s="96" t="s">
        <v>122</v>
      </c>
      <c r="T431" s="94"/>
      <c r="U431" s="21" t="s">
        <v>226</v>
      </c>
      <c r="V431" s="10"/>
      <c r="W431" s="25">
        <v>3</v>
      </c>
      <c r="X431" s="1" t="s">
        <v>250</v>
      </c>
      <c r="Y431" s="1">
        <v>1</v>
      </c>
      <c r="Z431" s="1">
        <v>255</v>
      </c>
      <c r="AA431" s="8" t="s">
        <v>123</v>
      </c>
      <c r="AB431" s="8" t="s">
        <v>19</v>
      </c>
      <c r="AC431" s="12"/>
      <c r="AD431" s="444"/>
      <c r="AE431" s="445"/>
      <c r="AF431" s="445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31" s="442" t="str">
        <f t="shared" si="116"/>
        <v>-</v>
      </c>
      <c r="AH431" s="445"/>
      <c r="AI431" s="447" t="s">
        <v>532</v>
      </c>
      <c r="AJ431" s="444"/>
      <c r="AK431" s="445"/>
      <c r="AL431" s="445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31" s="442" t="str">
        <f t="shared" si="117"/>
        <v>-</v>
      </c>
      <c r="AN431" s="445"/>
      <c r="AO431" s="447" t="s">
        <v>532</v>
      </c>
      <c r="AP431" s="444"/>
      <c r="AQ431" s="445"/>
      <c r="AR431" s="445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31" s="447" t="s">
        <v>532</v>
      </c>
      <c r="AT431" s="463"/>
      <c r="AU431" s="447" t="s">
        <v>532</v>
      </c>
      <c r="AV431" s="444"/>
      <c r="AW431" s="445"/>
      <c r="AX431" s="445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31" s="442" t="str">
        <f t="shared" si="118"/>
        <v>-</v>
      </c>
      <c r="AZ431" s="445"/>
      <c r="BA431" s="447" t="s">
        <v>532</v>
      </c>
      <c r="BB431" s="59"/>
      <c r="BC431" s="223"/>
      <c r="BD431" s="223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31" s="213" t="str">
        <f t="shared" si="119"/>
        <v>-</v>
      </c>
      <c r="BF431" s="172"/>
      <c r="BG431" s="225" t="s">
        <v>215</v>
      </c>
      <c r="BH431" s="59"/>
      <c r="BI431" s="223"/>
      <c r="BJ431" s="223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31" s="213" t="s">
        <v>215</v>
      </c>
      <c r="BL431" s="172"/>
      <c r="BM431" s="225" t="s">
        <v>215</v>
      </c>
    </row>
    <row r="432" spans="1:65" s="26" customFormat="1">
      <c r="B432" s="19">
        <f t="shared" si="128"/>
        <v>425</v>
      </c>
      <c r="C432" s="7"/>
      <c r="D432" s="7"/>
      <c r="E432" s="7"/>
      <c r="F432" s="3" t="s">
        <v>124</v>
      </c>
      <c r="G432" s="3"/>
      <c r="H432" s="4"/>
      <c r="I432" s="6"/>
      <c r="J432" s="6"/>
      <c r="K432" s="6"/>
      <c r="L432" s="6"/>
      <c r="M432" s="23" t="s">
        <v>125</v>
      </c>
      <c r="N432" s="5"/>
      <c r="O432" s="54"/>
      <c r="P432" s="93">
        <f t="shared" si="130"/>
        <v>395</v>
      </c>
      <c r="Q432" s="114">
        <v>256</v>
      </c>
      <c r="R432" s="21" t="str">
        <f t="shared" si="129"/>
        <v>NX</v>
      </c>
      <c r="S432" s="96" t="s">
        <v>126</v>
      </c>
      <c r="T432" s="94"/>
      <c r="U432" s="21" t="s">
        <v>226</v>
      </c>
      <c r="V432" s="10"/>
      <c r="W432" s="28">
        <v>3</v>
      </c>
      <c r="X432" s="5" t="s">
        <v>251</v>
      </c>
      <c r="Y432" s="5">
        <v>1</v>
      </c>
      <c r="Z432" s="5">
        <v>256</v>
      </c>
      <c r="AA432" s="6" t="s">
        <v>252</v>
      </c>
      <c r="AB432" s="6" t="s">
        <v>226</v>
      </c>
      <c r="AC432" s="63"/>
      <c r="AD432" s="444"/>
      <c r="AE432" s="440"/>
      <c r="AF432" s="440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32" s="442" t="str">
        <f t="shared" si="116"/>
        <v>-</v>
      </c>
      <c r="AH432" s="440"/>
      <c r="AI432" s="447" t="s">
        <v>532</v>
      </c>
      <c r="AJ432" s="444"/>
      <c r="AK432" s="440"/>
      <c r="AL432" s="440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32" s="442" t="str">
        <f t="shared" si="117"/>
        <v>-</v>
      </c>
      <c r="AN432" s="440"/>
      <c r="AO432" s="447" t="s">
        <v>532</v>
      </c>
      <c r="AP432" s="444"/>
      <c r="AQ432" s="440"/>
      <c r="AR432" s="440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32" s="447" t="s">
        <v>532</v>
      </c>
      <c r="AT432" s="462"/>
      <c r="AU432" s="447" t="s">
        <v>532</v>
      </c>
      <c r="AV432" s="444"/>
      <c r="AW432" s="440"/>
      <c r="AX432" s="440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32" s="442" t="str">
        <f t="shared" si="118"/>
        <v>-</v>
      </c>
      <c r="AZ432" s="440"/>
      <c r="BA432" s="447" t="s">
        <v>532</v>
      </c>
      <c r="BB432" s="59"/>
      <c r="BC432" s="60"/>
      <c r="BD432" s="60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32" s="213" t="str">
        <f t="shared" si="119"/>
        <v>-</v>
      </c>
      <c r="BF432" s="167"/>
      <c r="BG432" s="225" t="s">
        <v>215</v>
      </c>
      <c r="BH432" s="59"/>
      <c r="BI432" s="60"/>
      <c r="BJ432" s="60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32" s="213" t="s">
        <v>215</v>
      </c>
      <c r="BL432" s="167"/>
      <c r="BM432" s="225" t="s">
        <v>215</v>
      </c>
    </row>
    <row r="433" spans="2:65" s="26" customFormat="1" ht="63.75">
      <c r="B433" s="2">
        <f t="shared" si="128"/>
        <v>426</v>
      </c>
      <c r="C433" s="7"/>
      <c r="D433" s="7"/>
      <c r="E433" s="7"/>
      <c r="F433" s="22" t="s">
        <v>127</v>
      </c>
      <c r="G433" s="16"/>
      <c r="H433" s="13"/>
      <c r="I433" s="8"/>
      <c r="J433" s="8"/>
      <c r="K433" s="8"/>
      <c r="L433" s="8"/>
      <c r="M433" s="11" t="s">
        <v>311</v>
      </c>
      <c r="N433" s="1"/>
      <c r="O433" s="56"/>
      <c r="P433" s="93">
        <f t="shared" si="130"/>
        <v>396</v>
      </c>
      <c r="Q433" s="113">
        <v>256</v>
      </c>
      <c r="R433" s="21" t="str">
        <f t="shared" si="129"/>
        <v>NX</v>
      </c>
      <c r="S433" s="96" t="s">
        <v>128</v>
      </c>
      <c r="T433" s="94"/>
      <c r="U433" s="21" t="s">
        <v>226</v>
      </c>
      <c r="V433" s="10"/>
      <c r="W433" s="25">
        <v>3</v>
      </c>
      <c r="X433" s="1" t="s">
        <v>129</v>
      </c>
      <c r="Y433" s="1">
        <v>1</v>
      </c>
      <c r="Z433" s="1">
        <v>256</v>
      </c>
      <c r="AA433" s="8" t="s">
        <v>123</v>
      </c>
      <c r="AB433" s="8" t="s">
        <v>226</v>
      </c>
      <c r="AC433" s="12"/>
      <c r="AD433" s="444"/>
      <c r="AE433" s="445"/>
      <c r="AF433" s="446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33" s="442" t="str">
        <f t="shared" si="116"/>
        <v>-</v>
      </c>
      <c r="AH433" s="445"/>
      <c r="AI433" s="447" t="s">
        <v>532</v>
      </c>
      <c r="AJ433" s="444"/>
      <c r="AK433" s="445"/>
      <c r="AL433" s="446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33" s="442" t="str">
        <f t="shared" si="117"/>
        <v>-</v>
      </c>
      <c r="AN433" s="445"/>
      <c r="AO433" s="447" t="s">
        <v>532</v>
      </c>
      <c r="AP433" s="444"/>
      <c r="AQ433" s="445"/>
      <c r="AR433" s="446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33" s="447" t="s">
        <v>532</v>
      </c>
      <c r="AT433" s="463"/>
      <c r="AU433" s="447" t="s">
        <v>532</v>
      </c>
      <c r="AV433" s="444"/>
      <c r="AW433" s="445"/>
      <c r="AX433" s="446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33" s="442" t="str">
        <f t="shared" si="118"/>
        <v>-</v>
      </c>
      <c r="AZ433" s="445"/>
      <c r="BA433" s="447" t="s">
        <v>532</v>
      </c>
      <c r="BB433" s="59"/>
      <c r="BC433" s="223"/>
      <c r="BD433" s="254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33" s="213" t="str">
        <f t="shared" si="119"/>
        <v>-</v>
      </c>
      <c r="BF433" s="172"/>
      <c r="BG433" s="225" t="s">
        <v>215</v>
      </c>
      <c r="BH433" s="59"/>
      <c r="BI433" s="223"/>
      <c r="BJ433" s="254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33" s="213" t="s">
        <v>215</v>
      </c>
      <c r="BL433" s="172"/>
      <c r="BM433" s="225" t="s">
        <v>215</v>
      </c>
    </row>
    <row r="434" spans="2:65" s="26" customFormat="1" ht="63.75">
      <c r="B434" s="2">
        <f t="shared" si="128"/>
        <v>427</v>
      </c>
      <c r="C434" s="7"/>
      <c r="D434" s="7"/>
      <c r="E434" s="7"/>
      <c r="F434" s="22" t="s">
        <v>130</v>
      </c>
      <c r="G434" s="16"/>
      <c r="H434" s="13"/>
      <c r="I434" s="8"/>
      <c r="J434" s="8"/>
      <c r="K434" s="8"/>
      <c r="L434" s="8"/>
      <c r="M434" s="11" t="s">
        <v>312</v>
      </c>
      <c r="N434" s="1"/>
      <c r="O434" s="56"/>
      <c r="P434" s="93">
        <f t="shared" si="130"/>
        <v>397</v>
      </c>
      <c r="Q434" s="113">
        <v>256</v>
      </c>
      <c r="R434" s="21" t="str">
        <f t="shared" si="129"/>
        <v>NX</v>
      </c>
      <c r="S434" s="96" t="s">
        <v>131</v>
      </c>
      <c r="T434" s="94"/>
      <c r="U434" s="21" t="s">
        <v>226</v>
      </c>
      <c r="V434" s="10"/>
      <c r="W434" s="25">
        <v>3</v>
      </c>
      <c r="X434" s="1" t="s">
        <v>132</v>
      </c>
      <c r="Y434" s="1">
        <v>1</v>
      </c>
      <c r="Z434" s="1">
        <v>256</v>
      </c>
      <c r="AA434" s="8" t="s">
        <v>123</v>
      </c>
      <c r="AB434" s="8" t="s">
        <v>226</v>
      </c>
      <c r="AC434" s="12"/>
      <c r="AD434" s="444"/>
      <c r="AE434" s="445"/>
      <c r="AF434" s="446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34" s="442" t="str">
        <f t="shared" si="116"/>
        <v>-</v>
      </c>
      <c r="AH434" s="445"/>
      <c r="AI434" s="447" t="s">
        <v>532</v>
      </c>
      <c r="AJ434" s="444"/>
      <c r="AK434" s="445"/>
      <c r="AL434" s="446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34" s="442" t="str">
        <f t="shared" si="117"/>
        <v>-</v>
      </c>
      <c r="AN434" s="445"/>
      <c r="AO434" s="447" t="s">
        <v>532</v>
      </c>
      <c r="AP434" s="444"/>
      <c r="AQ434" s="445"/>
      <c r="AR434" s="446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34" s="447" t="s">
        <v>532</v>
      </c>
      <c r="AT434" s="463"/>
      <c r="AU434" s="447" t="s">
        <v>532</v>
      </c>
      <c r="AV434" s="444"/>
      <c r="AW434" s="445"/>
      <c r="AX434" s="446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34" s="442" t="str">
        <f t="shared" si="118"/>
        <v>-</v>
      </c>
      <c r="AZ434" s="445"/>
      <c r="BA434" s="447" t="s">
        <v>532</v>
      </c>
      <c r="BB434" s="59"/>
      <c r="BC434" s="223"/>
      <c r="BD434" s="254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34" s="213" t="str">
        <f t="shared" si="119"/>
        <v>-</v>
      </c>
      <c r="BF434" s="172"/>
      <c r="BG434" s="225" t="s">
        <v>215</v>
      </c>
      <c r="BH434" s="59"/>
      <c r="BI434" s="223"/>
      <c r="BJ434" s="254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34" s="213" t="s">
        <v>215</v>
      </c>
      <c r="BL434" s="172"/>
      <c r="BM434" s="225" t="s">
        <v>215</v>
      </c>
    </row>
    <row r="435" spans="2:65" s="26" customFormat="1" ht="69" customHeight="1">
      <c r="B435" s="19">
        <f t="shared" si="128"/>
        <v>428</v>
      </c>
      <c r="C435" s="7"/>
      <c r="D435" s="7"/>
      <c r="E435" s="7"/>
      <c r="F435" s="110" t="s">
        <v>313</v>
      </c>
      <c r="G435" s="16"/>
      <c r="H435" s="13"/>
      <c r="I435" s="8"/>
      <c r="J435" s="8" t="s">
        <v>231</v>
      </c>
      <c r="K435" s="8"/>
      <c r="L435" s="8"/>
      <c r="M435" s="11" t="s">
        <v>253</v>
      </c>
      <c r="N435" s="1"/>
      <c r="O435" s="56"/>
      <c r="P435" s="93">
        <f t="shared" si="130"/>
        <v>398</v>
      </c>
      <c r="Q435" s="113">
        <v>1</v>
      </c>
      <c r="R435" s="21" t="s">
        <v>229</v>
      </c>
      <c r="S435" s="96" t="s">
        <v>133</v>
      </c>
      <c r="T435" s="94"/>
      <c r="U435" s="21" t="s">
        <v>226</v>
      </c>
      <c r="V435" s="10"/>
      <c r="W435" s="25">
        <v>3</v>
      </c>
      <c r="X435" s="1" t="s">
        <v>134</v>
      </c>
      <c r="Y435" s="1">
        <v>1</v>
      </c>
      <c r="Z435" s="1">
        <v>1</v>
      </c>
      <c r="AA435" s="8">
        <v>9</v>
      </c>
      <c r="AB435" s="8" t="s">
        <v>19</v>
      </c>
      <c r="AC435" s="12"/>
      <c r="AD435" s="444"/>
      <c r="AE435" s="445"/>
      <c r="AF435" s="440" t="str">
        <f t="shared" si="120"/>
        <v xml:space="preserve"> </v>
      </c>
      <c r="AG435" s="442" t="str">
        <f t="shared" si="116"/>
        <v>-</v>
      </c>
      <c r="AH435" s="445"/>
      <c r="AI435" s="447" t="s">
        <v>532</v>
      </c>
      <c r="AJ435" s="444"/>
      <c r="AK435" s="445"/>
      <c r="AL435" s="440" t="str">
        <f t="shared" si="121"/>
        <v xml:space="preserve"> </v>
      </c>
      <c r="AM435" s="442" t="str">
        <f t="shared" si="117"/>
        <v>-</v>
      </c>
      <c r="AN435" s="445"/>
      <c r="AO435" s="447" t="s">
        <v>532</v>
      </c>
      <c r="AP435" s="444"/>
      <c r="AQ435" s="445"/>
      <c r="AR435" s="440" t="str">
        <f t="shared" si="122"/>
        <v xml:space="preserve"> </v>
      </c>
      <c r="AS435" s="447" t="s">
        <v>532</v>
      </c>
      <c r="AT435" s="463"/>
      <c r="AU435" s="447" t="s">
        <v>532</v>
      </c>
      <c r="AV435" s="444"/>
      <c r="AW435" s="445"/>
      <c r="AX435" s="440" t="str">
        <f t="shared" si="123"/>
        <v xml:space="preserve"> </v>
      </c>
      <c r="AY435" s="442" t="str">
        <f t="shared" si="118"/>
        <v>-</v>
      </c>
      <c r="AZ435" s="445"/>
      <c r="BA435" s="447" t="s">
        <v>532</v>
      </c>
      <c r="BB435" s="59"/>
      <c r="BC435" s="223"/>
      <c r="BD435" s="60" t="str">
        <f t="shared" si="124"/>
        <v xml:space="preserve"> </v>
      </c>
      <c r="BE435" s="213" t="str">
        <f t="shared" si="119"/>
        <v>-</v>
      </c>
      <c r="BF435" s="172"/>
      <c r="BG435" s="225" t="s">
        <v>215</v>
      </c>
      <c r="BH435" s="59"/>
      <c r="BI435" s="223"/>
      <c r="BJ435" s="60" t="str">
        <f t="shared" si="125"/>
        <v xml:space="preserve"> </v>
      </c>
      <c r="BK435" s="213" t="s">
        <v>215</v>
      </c>
      <c r="BL435" s="172"/>
      <c r="BM435" s="225" t="s">
        <v>215</v>
      </c>
    </row>
    <row r="436" spans="2:65" s="26" customFormat="1" ht="114.75">
      <c r="B436" s="2">
        <f t="shared" si="128"/>
        <v>429</v>
      </c>
      <c r="C436" s="7"/>
      <c r="D436" s="7"/>
      <c r="E436" s="7"/>
      <c r="F436" s="22" t="s">
        <v>135</v>
      </c>
      <c r="G436" s="16"/>
      <c r="H436" s="13"/>
      <c r="I436" s="8"/>
      <c r="J436" s="8"/>
      <c r="K436" s="8"/>
      <c r="L436" s="8"/>
      <c r="M436" s="359" t="s">
        <v>206</v>
      </c>
      <c r="N436" s="1"/>
      <c r="O436" s="56"/>
      <c r="P436" s="93">
        <f t="shared" si="130"/>
        <v>399</v>
      </c>
      <c r="Q436" s="113">
        <v>1</v>
      </c>
      <c r="R436" s="21" t="s">
        <v>229</v>
      </c>
      <c r="S436" s="96" t="s">
        <v>136</v>
      </c>
      <c r="T436" s="94"/>
      <c r="U436" s="21" t="s">
        <v>226</v>
      </c>
      <c r="V436" s="10"/>
      <c r="W436" s="25">
        <v>3</v>
      </c>
      <c r="X436" s="1" t="s">
        <v>18</v>
      </c>
      <c r="Y436" s="1">
        <v>1</v>
      </c>
      <c r="Z436" s="1">
        <v>1</v>
      </c>
      <c r="AA436" s="8">
        <v>9</v>
      </c>
      <c r="AB436" s="8" t="s">
        <v>19</v>
      </c>
      <c r="AC436" s="101"/>
      <c r="AD436" s="444"/>
      <c r="AE436" s="445"/>
      <c r="AF436" s="440" t="str">
        <f t="shared" si="120"/>
        <v xml:space="preserve"> </v>
      </c>
      <c r="AG436" s="442" t="str">
        <f t="shared" si="116"/>
        <v>-</v>
      </c>
      <c r="AH436" s="445"/>
      <c r="AI436" s="447" t="s">
        <v>532</v>
      </c>
      <c r="AJ436" s="444"/>
      <c r="AK436" s="445"/>
      <c r="AL436" s="440" t="str">
        <f t="shared" si="121"/>
        <v xml:space="preserve"> </v>
      </c>
      <c r="AM436" s="442" t="str">
        <f t="shared" si="117"/>
        <v>-</v>
      </c>
      <c r="AN436" s="445"/>
      <c r="AO436" s="447" t="s">
        <v>532</v>
      </c>
      <c r="AP436" s="444"/>
      <c r="AQ436" s="445"/>
      <c r="AR436" s="440" t="str">
        <f t="shared" si="122"/>
        <v xml:space="preserve"> </v>
      </c>
      <c r="AS436" s="447" t="s">
        <v>532</v>
      </c>
      <c r="AT436" s="463"/>
      <c r="AU436" s="447" t="s">
        <v>532</v>
      </c>
      <c r="AV436" s="444"/>
      <c r="AW436" s="445"/>
      <c r="AX436" s="440" t="str">
        <f t="shared" si="123"/>
        <v xml:space="preserve"> </v>
      </c>
      <c r="AY436" s="442" t="str">
        <f t="shared" si="118"/>
        <v>-</v>
      </c>
      <c r="AZ436" s="445"/>
      <c r="BA436" s="447" t="s">
        <v>532</v>
      </c>
      <c r="BB436" s="59"/>
      <c r="BC436" s="223"/>
      <c r="BD436" s="60" t="str">
        <f t="shared" si="124"/>
        <v xml:space="preserve"> </v>
      </c>
      <c r="BE436" s="213" t="str">
        <f t="shared" si="119"/>
        <v>-</v>
      </c>
      <c r="BF436" s="172"/>
      <c r="BG436" s="225" t="s">
        <v>215</v>
      </c>
      <c r="BH436" s="59"/>
      <c r="BI436" s="223"/>
      <c r="BJ436" s="60" t="str">
        <f t="shared" si="125"/>
        <v xml:space="preserve"> </v>
      </c>
      <c r="BK436" s="213" t="s">
        <v>215</v>
      </c>
      <c r="BL436" s="172"/>
      <c r="BM436" s="225" t="s">
        <v>215</v>
      </c>
    </row>
    <row r="437" spans="2:65" s="26" customFormat="1" ht="126.75" customHeight="1">
      <c r="B437" s="64">
        <f t="shared" si="128"/>
        <v>430</v>
      </c>
      <c r="C437" s="7"/>
      <c r="D437" s="7"/>
      <c r="E437" s="7"/>
      <c r="F437" s="110" t="s">
        <v>137</v>
      </c>
      <c r="G437" s="16"/>
      <c r="H437" s="13"/>
      <c r="I437" s="8"/>
      <c r="J437" s="8"/>
      <c r="K437" s="8"/>
      <c r="L437" s="8"/>
      <c r="M437" s="11" t="s">
        <v>479</v>
      </c>
      <c r="N437" s="1"/>
      <c r="O437" s="56"/>
      <c r="P437" s="93">
        <f t="shared" si="130"/>
        <v>400</v>
      </c>
      <c r="Q437" s="113">
        <v>1</v>
      </c>
      <c r="R437" s="21" t="str">
        <f t="shared" si="129"/>
        <v>X</v>
      </c>
      <c r="S437" s="96" t="s">
        <v>183</v>
      </c>
      <c r="T437" s="94"/>
      <c r="U437" s="21" t="s">
        <v>226</v>
      </c>
      <c r="V437" s="10"/>
      <c r="W437" s="25">
        <v>3</v>
      </c>
      <c r="X437" s="1" t="s">
        <v>254</v>
      </c>
      <c r="Y437" s="1">
        <v>1</v>
      </c>
      <c r="Z437" s="1">
        <v>1</v>
      </c>
      <c r="AA437" s="8" t="s">
        <v>229</v>
      </c>
      <c r="AB437" s="8" t="s">
        <v>226</v>
      </c>
      <c r="AC437" s="12"/>
      <c r="AD437" s="444"/>
      <c r="AE437" s="445"/>
      <c r="AF437" s="440" t="str">
        <f t="shared" si="120"/>
        <v xml:space="preserve"> </v>
      </c>
      <c r="AG437" s="442" t="str">
        <f t="shared" si="116"/>
        <v>-</v>
      </c>
      <c r="AH437" s="445"/>
      <c r="AI437" s="447" t="s">
        <v>532</v>
      </c>
      <c r="AJ437" s="444"/>
      <c r="AK437" s="445"/>
      <c r="AL437" s="440" t="str">
        <f t="shared" si="121"/>
        <v xml:space="preserve"> </v>
      </c>
      <c r="AM437" s="442" t="str">
        <f t="shared" si="117"/>
        <v>-</v>
      </c>
      <c r="AN437" s="445"/>
      <c r="AO437" s="447" t="s">
        <v>532</v>
      </c>
      <c r="AP437" s="444"/>
      <c r="AQ437" s="445"/>
      <c r="AR437" s="440" t="str">
        <f t="shared" si="122"/>
        <v xml:space="preserve"> </v>
      </c>
      <c r="AS437" s="447" t="s">
        <v>532</v>
      </c>
      <c r="AT437" s="463"/>
      <c r="AU437" s="447" t="s">
        <v>532</v>
      </c>
      <c r="AV437" s="444"/>
      <c r="AW437" s="445"/>
      <c r="AX437" s="440" t="str">
        <f t="shared" si="123"/>
        <v xml:space="preserve"> </v>
      </c>
      <c r="AY437" s="442" t="str">
        <f t="shared" si="118"/>
        <v>-</v>
      </c>
      <c r="AZ437" s="445"/>
      <c r="BA437" s="447" t="s">
        <v>532</v>
      </c>
      <c r="BB437" s="59"/>
      <c r="BC437" s="223"/>
      <c r="BD437" s="60" t="str">
        <f t="shared" si="124"/>
        <v xml:space="preserve"> </v>
      </c>
      <c r="BE437" s="213" t="str">
        <f t="shared" si="119"/>
        <v>-</v>
      </c>
      <c r="BF437" s="172"/>
      <c r="BG437" s="225" t="s">
        <v>215</v>
      </c>
      <c r="BH437" s="59"/>
      <c r="BI437" s="223"/>
      <c r="BJ437" s="60" t="str">
        <f t="shared" si="125"/>
        <v xml:space="preserve"> </v>
      </c>
      <c r="BK437" s="213" t="s">
        <v>215</v>
      </c>
      <c r="BL437" s="172"/>
      <c r="BM437" s="225" t="s">
        <v>215</v>
      </c>
    </row>
    <row r="438" spans="2:65" s="26" customFormat="1">
      <c r="B438" s="64">
        <f t="shared" si="128"/>
        <v>431</v>
      </c>
      <c r="C438" s="7"/>
      <c r="D438" s="7"/>
      <c r="E438" s="7"/>
      <c r="F438" s="22" t="s">
        <v>138</v>
      </c>
      <c r="G438" s="16"/>
      <c r="H438" s="13"/>
      <c r="I438" s="8"/>
      <c r="J438" s="8"/>
      <c r="K438" s="8"/>
      <c r="L438" s="8"/>
      <c r="M438" s="359" t="s">
        <v>139</v>
      </c>
      <c r="N438" s="1"/>
      <c r="O438" s="56"/>
      <c r="P438" s="93">
        <f t="shared" si="130"/>
        <v>401</v>
      </c>
      <c r="Q438" s="113">
        <v>400</v>
      </c>
      <c r="R438" s="21" t="str">
        <f t="shared" si="129"/>
        <v>NX</v>
      </c>
      <c r="S438" s="96" t="s">
        <v>140</v>
      </c>
      <c r="T438" s="94"/>
      <c r="U438" s="21" t="s">
        <v>226</v>
      </c>
      <c r="V438" s="10"/>
      <c r="W438" s="25">
        <v>3</v>
      </c>
      <c r="X438" s="1" t="s">
        <v>141</v>
      </c>
      <c r="Y438" s="1">
        <v>1</v>
      </c>
      <c r="Z438" s="1">
        <v>400</v>
      </c>
      <c r="AA438" s="8" t="s">
        <v>123</v>
      </c>
      <c r="AB438" s="8" t="s">
        <v>226</v>
      </c>
      <c r="AC438" s="12"/>
      <c r="AD438" s="444"/>
      <c r="AE438" s="445"/>
      <c r="AF438" s="449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38" s="442" t="str">
        <f t="shared" si="116"/>
        <v>-</v>
      </c>
      <c r="AH438" s="445"/>
      <c r="AI438" s="447" t="s">
        <v>532</v>
      </c>
      <c r="AJ438" s="444"/>
      <c r="AK438" s="445"/>
      <c r="AL438" s="449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38" s="442" t="str">
        <f t="shared" si="117"/>
        <v>-</v>
      </c>
      <c r="AN438" s="445"/>
      <c r="AO438" s="447" t="s">
        <v>532</v>
      </c>
      <c r="AP438" s="444"/>
      <c r="AQ438" s="445"/>
      <c r="AR438" s="449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38" s="447" t="s">
        <v>532</v>
      </c>
      <c r="AT438" s="463"/>
      <c r="AU438" s="447" t="s">
        <v>532</v>
      </c>
      <c r="AV438" s="444"/>
      <c r="AW438" s="445"/>
      <c r="AX438" s="449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38" s="442" t="str">
        <f t="shared" si="118"/>
        <v>-</v>
      </c>
      <c r="AZ438" s="445"/>
      <c r="BA438" s="447" t="s">
        <v>532</v>
      </c>
      <c r="BB438" s="59"/>
      <c r="BC438" s="223"/>
      <c r="BD438" s="252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38" s="213" t="str">
        <f t="shared" si="119"/>
        <v>-</v>
      </c>
      <c r="BF438" s="172"/>
      <c r="BG438" s="225" t="s">
        <v>215</v>
      </c>
      <c r="BH438" s="59"/>
      <c r="BI438" s="223"/>
      <c r="BJ438" s="252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38" s="213" t="s">
        <v>215</v>
      </c>
      <c r="BL438" s="172"/>
      <c r="BM438" s="225" t="s">
        <v>215</v>
      </c>
    </row>
    <row r="439" spans="2:65" s="26" customFormat="1" ht="63.75">
      <c r="B439" s="64">
        <f t="shared" si="128"/>
        <v>432</v>
      </c>
      <c r="C439" s="7"/>
      <c r="D439" s="7"/>
      <c r="E439" s="7"/>
      <c r="F439" s="22" t="s">
        <v>142</v>
      </c>
      <c r="G439" s="16"/>
      <c r="H439" s="13"/>
      <c r="I439" s="8"/>
      <c r="J439" s="8"/>
      <c r="K439" s="8"/>
      <c r="L439" s="8"/>
      <c r="M439" s="359" t="s">
        <v>314</v>
      </c>
      <c r="N439" s="1"/>
      <c r="O439" s="56"/>
      <c r="P439" s="93">
        <f t="shared" si="130"/>
        <v>402</v>
      </c>
      <c r="Q439" s="113">
        <v>400</v>
      </c>
      <c r="R439" s="21" t="str">
        <f t="shared" si="129"/>
        <v>NX</v>
      </c>
      <c r="S439" s="96" t="s">
        <v>143</v>
      </c>
      <c r="T439" s="94"/>
      <c r="U439" s="21" t="s">
        <v>226</v>
      </c>
      <c r="V439" s="10"/>
      <c r="W439" s="25">
        <v>3</v>
      </c>
      <c r="X439" s="1" t="s">
        <v>144</v>
      </c>
      <c r="Y439" s="1">
        <v>1</v>
      </c>
      <c r="Z439" s="1">
        <v>400</v>
      </c>
      <c r="AA439" s="8" t="s">
        <v>123</v>
      </c>
      <c r="AB439" s="8" t="s">
        <v>226</v>
      </c>
      <c r="AC439" s="12"/>
      <c r="AD439" s="444"/>
      <c r="AE439" s="445"/>
      <c r="AF439" s="450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39" s="442" t="str">
        <f t="shared" si="116"/>
        <v>-</v>
      </c>
      <c r="AH439" s="445"/>
      <c r="AI439" s="447" t="s">
        <v>532</v>
      </c>
      <c r="AJ439" s="444"/>
      <c r="AK439" s="445"/>
      <c r="AL439" s="450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39" s="442" t="str">
        <f t="shared" si="117"/>
        <v>-</v>
      </c>
      <c r="AN439" s="445"/>
      <c r="AO439" s="447" t="s">
        <v>532</v>
      </c>
      <c r="AP439" s="444"/>
      <c r="AQ439" s="445"/>
      <c r="AR439" s="450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39" s="447" t="s">
        <v>532</v>
      </c>
      <c r="AT439" s="463"/>
      <c r="AU439" s="447" t="s">
        <v>532</v>
      </c>
      <c r="AV439" s="444"/>
      <c r="AW439" s="445"/>
      <c r="AX439" s="450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39" s="442" t="str">
        <f t="shared" si="118"/>
        <v>-</v>
      </c>
      <c r="AZ439" s="445"/>
      <c r="BA439" s="447" t="s">
        <v>532</v>
      </c>
      <c r="BB439" s="59"/>
      <c r="BC439" s="223"/>
      <c r="BD439" s="90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39" s="213" t="str">
        <f t="shared" si="119"/>
        <v>-</v>
      </c>
      <c r="BF439" s="172"/>
      <c r="BG439" s="225" t="s">
        <v>215</v>
      </c>
      <c r="BH439" s="59"/>
      <c r="BI439" s="223"/>
      <c r="BJ439" s="90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39" s="213" t="s">
        <v>215</v>
      </c>
      <c r="BL439" s="172"/>
      <c r="BM439" s="225" t="s">
        <v>215</v>
      </c>
    </row>
    <row r="440" spans="2:65" s="26" customFormat="1">
      <c r="B440" s="64">
        <f t="shared" si="128"/>
        <v>433</v>
      </c>
      <c r="C440" s="7"/>
      <c r="D440" s="7"/>
      <c r="E440" s="7"/>
      <c r="F440" s="22" t="s">
        <v>145</v>
      </c>
      <c r="G440" s="16"/>
      <c r="H440" s="13"/>
      <c r="I440" s="8"/>
      <c r="J440" s="8"/>
      <c r="K440" s="8"/>
      <c r="L440" s="8"/>
      <c r="M440" s="11" t="s">
        <v>146</v>
      </c>
      <c r="N440" s="1"/>
      <c r="O440" s="56"/>
      <c r="P440" s="93">
        <f t="shared" si="130"/>
        <v>403</v>
      </c>
      <c r="Q440" s="113">
        <v>400</v>
      </c>
      <c r="R440" s="21" t="str">
        <f t="shared" si="129"/>
        <v>NX</v>
      </c>
      <c r="S440" s="96" t="s">
        <v>147</v>
      </c>
      <c r="T440" s="94"/>
      <c r="U440" s="21" t="s">
        <v>226</v>
      </c>
      <c r="V440" s="10"/>
      <c r="W440" s="25">
        <v>3</v>
      </c>
      <c r="X440" s="1" t="s">
        <v>148</v>
      </c>
      <c r="Y440" s="1">
        <v>1</v>
      </c>
      <c r="Z440" s="1">
        <v>400</v>
      </c>
      <c r="AA440" s="8" t="s">
        <v>123</v>
      </c>
      <c r="AB440" s="8" t="s">
        <v>226</v>
      </c>
      <c r="AC440" s="12"/>
      <c r="AD440" s="444"/>
      <c r="AE440" s="440"/>
      <c r="AF440" s="450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40" s="442" t="str">
        <f t="shared" si="116"/>
        <v>-</v>
      </c>
      <c r="AH440" s="440"/>
      <c r="AI440" s="447" t="s">
        <v>532</v>
      </c>
      <c r="AJ440" s="444"/>
      <c r="AK440" s="440"/>
      <c r="AL440" s="450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40" s="442" t="str">
        <f t="shared" si="117"/>
        <v>-</v>
      </c>
      <c r="AN440" s="440"/>
      <c r="AO440" s="447" t="s">
        <v>532</v>
      </c>
      <c r="AP440" s="444"/>
      <c r="AQ440" s="440"/>
      <c r="AR440" s="450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40" s="447" t="s">
        <v>532</v>
      </c>
      <c r="AT440" s="462"/>
      <c r="AU440" s="447" t="s">
        <v>532</v>
      </c>
      <c r="AV440" s="444"/>
      <c r="AW440" s="440"/>
      <c r="AX440" s="450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40" s="442" t="str">
        <f t="shared" si="118"/>
        <v>-</v>
      </c>
      <c r="AZ440" s="440"/>
      <c r="BA440" s="447" t="s">
        <v>532</v>
      </c>
      <c r="BB440" s="59"/>
      <c r="BC440" s="60"/>
      <c r="BD440" s="90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40" s="213" t="str">
        <f t="shared" si="119"/>
        <v>-</v>
      </c>
      <c r="BF440" s="167"/>
      <c r="BG440" s="225" t="s">
        <v>215</v>
      </c>
      <c r="BH440" s="59"/>
      <c r="BI440" s="60"/>
      <c r="BJ440" s="90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40" s="213" t="s">
        <v>215</v>
      </c>
      <c r="BL440" s="167"/>
      <c r="BM440" s="225" t="s">
        <v>215</v>
      </c>
    </row>
    <row r="441" spans="2:65" s="26" customFormat="1" ht="76.5">
      <c r="B441" s="64">
        <f t="shared" si="128"/>
        <v>434</v>
      </c>
      <c r="C441" s="7"/>
      <c r="D441" s="7"/>
      <c r="E441" s="7"/>
      <c r="F441" s="22" t="s">
        <v>149</v>
      </c>
      <c r="G441" s="16"/>
      <c r="H441" s="13"/>
      <c r="I441" s="8"/>
      <c r="J441" s="8"/>
      <c r="K441" s="8"/>
      <c r="L441" s="8"/>
      <c r="M441" s="11" t="s">
        <v>315</v>
      </c>
      <c r="N441" s="1"/>
      <c r="O441" s="56"/>
      <c r="P441" s="93">
        <f t="shared" si="130"/>
        <v>404</v>
      </c>
      <c r="Q441" s="113">
        <v>400</v>
      </c>
      <c r="R441" s="21" t="str">
        <f t="shared" si="129"/>
        <v>NX</v>
      </c>
      <c r="S441" s="96" t="s">
        <v>150</v>
      </c>
      <c r="T441" s="94"/>
      <c r="U441" s="21" t="s">
        <v>226</v>
      </c>
      <c r="V441" s="10"/>
      <c r="W441" s="25">
        <v>3</v>
      </c>
      <c r="X441" s="1" t="s">
        <v>151</v>
      </c>
      <c r="Y441" s="1">
        <v>1</v>
      </c>
      <c r="Z441" s="1">
        <v>400</v>
      </c>
      <c r="AA441" s="8" t="s">
        <v>123</v>
      </c>
      <c r="AB441" s="8" t="s">
        <v>226</v>
      </c>
      <c r="AC441" s="12"/>
      <c r="AD441" s="444"/>
      <c r="AE441" s="440"/>
      <c r="AF441" s="450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41" s="442" t="str">
        <f t="shared" si="116"/>
        <v>-</v>
      </c>
      <c r="AH441" s="440"/>
      <c r="AI441" s="447" t="s">
        <v>532</v>
      </c>
      <c r="AJ441" s="444"/>
      <c r="AK441" s="440"/>
      <c r="AL441" s="450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41" s="442" t="str">
        <f t="shared" si="117"/>
        <v>-</v>
      </c>
      <c r="AN441" s="440"/>
      <c r="AO441" s="447" t="s">
        <v>532</v>
      </c>
      <c r="AP441" s="444"/>
      <c r="AQ441" s="440"/>
      <c r="AR441" s="450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41" s="447" t="s">
        <v>532</v>
      </c>
      <c r="AT441" s="462"/>
      <c r="AU441" s="447" t="s">
        <v>532</v>
      </c>
      <c r="AV441" s="444"/>
      <c r="AW441" s="440"/>
      <c r="AX441" s="450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41" s="442" t="str">
        <f t="shared" si="118"/>
        <v>-</v>
      </c>
      <c r="AZ441" s="440"/>
      <c r="BA441" s="447" t="s">
        <v>532</v>
      </c>
      <c r="BB441" s="59"/>
      <c r="BC441" s="60"/>
      <c r="BD441" s="90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41" s="213" t="str">
        <f t="shared" si="119"/>
        <v>-</v>
      </c>
      <c r="BF441" s="167"/>
      <c r="BG441" s="225" t="s">
        <v>215</v>
      </c>
      <c r="BH441" s="59"/>
      <c r="BI441" s="60"/>
      <c r="BJ441" s="90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41" s="213" t="s">
        <v>215</v>
      </c>
      <c r="BL441" s="167"/>
      <c r="BM441" s="225" t="s">
        <v>215</v>
      </c>
    </row>
    <row r="442" spans="2:65" s="26" customFormat="1">
      <c r="B442" s="64">
        <f t="shared" si="128"/>
        <v>435</v>
      </c>
      <c r="C442" s="7"/>
      <c r="D442" s="7"/>
      <c r="E442" s="7"/>
      <c r="F442" s="22" t="s">
        <v>152</v>
      </c>
      <c r="G442" s="16"/>
      <c r="H442" s="13"/>
      <c r="I442" s="8"/>
      <c r="J442" s="8"/>
      <c r="K442" s="8"/>
      <c r="L442" s="8"/>
      <c r="M442" s="11" t="s">
        <v>146</v>
      </c>
      <c r="N442" s="1"/>
      <c r="O442" s="56"/>
      <c r="P442" s="93">
        <f t="shared" si="130"/>
        <v>405</v>
      </c>
      <c r="Q442" s="113">
        <v>400</v>
      </c>
      <c r="R442" s="21" t="str">
        <f t="shared" si="129"/>
        <v>NX</v>
      </c>
      <c r="S442" s="96" t="s">
        <v>153</v>
      </c>
      <c r="T442" s="94"/>
      <c r="U442" s="21" t="s">
        <v>226</v>
      </c>
      <c r="V442" s="10"/>
      <c r="W442" s="25">
        <v>3</v>
      </c>
      <c r="X442" s="1" t="s">
        <v>154</v>
      </c>
      <c r="Y442" s="1">
        <v>1</v>
      </c>
      <c r="Z442" s="1">
        <v>400</v>
      </c>
      <c r="AA442" s="8" t="s">
        <v>123</v>
      </c>
      <c r="AB442" s="8" t="s">
        <v>226</v>
      </c>
      <c r="AC442" s="12"/>
      <c r="AD442" s="444"/>
      <c r="AE442" s="440"/>
      <c r="AF442" s="450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42" s="442" t="str">
        <f t="shared" si="116"/>
        <v>-</v>
      </c>
      <c r="AH442" s="440"/>
      <c r="AI442" s="447" t="s">
        <v>532</v>
      </c>
      <c r="AJ442" s="444"/>
      <c r="AK442" s="440"/>
      <c r="AL442" s="450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42" s="442" t="str">
        <f t="shared" si="117"/>
        <v>-</v>
      </c>
      <c r="AN442" s="440"/>
      <c r="AO442" s="447" t="s">
        <v>532</v>
      </c>
      <c r="AP442" s="444"/>
      <c r="AQ442" s="440"/>
      <c r="AR442" s="450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42" s="447" t="s">
        <v>532</v>
      </c>
      <c r="AT442" s="462"/>
      <c r="AU442" s="447" t="s">
        <v>532</v>
      </c>
      <c r="AV442" s="444"/>
      <c r="AW442" s="440"/>
      <c r="AX442" s="450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42" s="442" t="str">
        <f t="shared" si="118"/>
        <v>-</v>
      </c>
      <c r="AZ442" s="440"/>
      <c r="BA442" s="447" t="s">
        <v>532</v>
      </c>
      <c r="BB442" s="59"/>
      <c r="BC442" s="60"/>
      <c r="BD442" s="90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42" s="213" t="str">
        <f t="shared" si="119"/>
        <v>-</v>
      </c>
      <c r="BF442" s="167"/>
      <c r="BG442" s="225" t="s">
        <v>215</v>
      </c>
      <c r="BH442" s="59"/>
      <c r="BI442" s="60"/>
      <c r="BJ442" s="90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42" s="213" t="s">
        <v>215</v>
      </c>
      <c r="BL442" s="167"/>
      <c r="BM442" s="225" t="s">
        <v>215</v>
      </c>
    </row>
    <row r="443" spans="2:65" s="26" customFormat="1">
      <c r="B443" s="64">
        <f t="shared" si="128"/>
        <v>436</v>
      </c>
      <c r="C443" s="7"/>
      <c r="D443" s="7"/>
      <c r="E443" s="7"/>
      <c r="F443" s="22" t="s">
        <v>155</v>
      </c>
      <c r="G443" s="16"/>
      <c r="H443" s="13"/>
      <c r="I443" s="8"/>
      <c r="J443" s="8"/>
      <c r="K443" s="8"/>
      <c r="L443" s="8"/>
      <c r="M443" s="11" t="s">
        <v>146</v>
      </c>
      <c r="N443" s="1"/>
      <c r="O443" s="56"/>
      <c r="P443" s="93">
        <f t="shared" si="130"/>
        <v>406</v>
      </c>
      <c r="Q443" s="113">
        <v>400</v>
      </c>
      <c r="R443" s="21" t="str">
        <f t="shared" si="129"/>
        <v>NX</v>
      </c>
      <c r="S443" s="96" t="s">
        <v>156</v>
      </c>
      <c r="T443" s="94"/>
      <c r="U443" s="21" t="s">
        <v>226</v>
      </c>
      <c r="V443" s="10"/>
      <c r="W443" s="25">
        <v>3</v>
      </c>
      <c r="X443" s="1" t="s">
        <v>157</v>
      </c>
      <c r="Y443" s="1">
        <v>1</v>
      </c>
      <c r="Z443" s="1">
        <v>400</v>
      </c>
      <c r="AA443" s="8" t="s">
        <v>123</v>
      </c>
      <c r="AB443" s="8" t="s">
        <v>226</v>
      </c>
      <c r="AC443" s="12"/>
      <c r="AD443" s="444"/>
      <c r="AE443" s="440"/>
      <c r="AF443" s="450" t="str">
        <f t="shared" si="120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G443" s="442" t="str">
        <f t="shared" si="116"/>
        <v>-</v>
      </c>
      <c r="AH443" s="440"/>
      <c r="AI443" s="447" t="s">
        <v>532</v>
      </c>
      <c r="AJ443" s="444"/>
      <c r="AK443" s="440"/>
      <c r="AL443" s="450" t="str">
        <f t="shared" si="121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M443" s="442" t="str">
        <f t="shared" si="117"/>
        <v>-</v>
      </c>
      <c r="AN443" s="440"/>
      <c r="AO443" s="447" t="s">
        <v>532</v>
      </c>
      <c r="AP443" s="444"/>
      <c r="AQ443" s="440"/>
      <c r="AR443" s="450" t="str">
        <f t="shared" si="122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S443" s="447" t="s">
        <v>532</v>
      </c>
      <c r="AT443" s="462"/>
      <c r="AU443" s="447" t="s">
        <v>532</v>
      </c>
      <c r="AV443" s="444"/>
      <c r="AW443" s="440"/>
      <c r="AX443" s="450" t="str">
        <f t="shared" si="123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AY443" s="442" t="str">
        <f t="shared" si="118"/>
        <v>-</v>
      </c>
      <c r="AZ443" s="440"/>
      <c r="BA443" s="447" t="s">
        <v>532</v>
      </c>
      <c r="BB443" s="59"/>
      <c r="BC443" s="60"/>
      <c r="BD443" s="90" t="str">
        <f t="shared" si="124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E443" s="213" t="str">
        <f t="shared" si="119"/>
        <v>-</v>
      </c>
      <c r="BF443" s="167"/>
      <c r="BG443" s="225" t="s">
        <v>215</v>
      </c>
      <c r="BH443" s="59"/>
      <c r="BI443" s="60"/>
      <c r="BJ443" s="90" t="str">
        <f t="shared" si="125"/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BK443" s="213" t="s">
        <v>215</v>
      </c>
      <c r="BL443" s="167"/>
      <c r="BM443" s="225" t="s">
        <v>215</v>
      </c>
    </row>
    <row r="444" spans="2:65" s="26" customFormat="1" ht="89.25">
      <c r="B444" s="64">
        <f t="shared" si="128"/>
        <v>437</v>
      </c>
      <c r="C444" s="7"/>
      <c r="D444" s="7"/>
      <c r="E444" s="7"/>
      <c r="F444" s="22" t="s">
        <v>158</v>
      </c>
      <c r="G444" s="16"/>
      <c r="H444" s="13"/>
      <c r="I444" s="8"/>
      <c r="J444" s="8"/>
      <c r="K444" s="8"/>
      <c r="L444" s="8"/>
      <c r="M444" s="11" t="s">
        <v>316</v>
      </c>
      <c r="N444" s="1"/>
      <c r="O444" s="56"/>
      <c r="P444" s="93">
        <f t="shared" si="130"/>
        <v>407</v>
      </c>
      <c r="Q444" s="113">
        <v>1</v>
      </c>
      <c r="R444" s="21" t="str">
        <f t="shared" si="129"/>
        <v>X</v>
      </c>
      <c r="S444" s="96" t="s">
        <v>159</v>
      </c>
      <c r="T444" s="94"/>
      <c r="U444" s="21" t="s">
        <v>226</v>
      </c>
      <c r="V444" s="10"/>
      <c r="W444" s="25">
        <v>3</v>
      </c>
      <c r="X444" s="1" t="s">
        <v>255</v>
      </c>
      <c r="Y444" s="1">
        <v>1</v>
      </c>
      <c r="Z444" s="1">
        <v>1</v>
      </c>
      <c r="AA444" s="8" t="s">
        <v>109</v>
      </c>
      <c r="AB444" s="8" t="s">
        <v>19</v>
      </c>
      <c r="AC444" s="102"/>
      <c r="AD444" s="444"/>
      <c r="AE444" s="445"/>
      <c r="AF444" s="440" t="str">
        <f t="shared" si="120"/>
        <v xml:space="preserve"> </v>
      </c>
      <c r="AG444" s="442" t="str">
        <f t="shared" si="116"/>
        <v>-</v>
      </c>
      <c r="AH444" s="445"/>
      <c r="AI444" s="447" t="s">
        <v>532</v>
      </c>
      <c r="AJ444" s="444"/>
      <c r="AK444" s="445"/>
      <c r="AL444" s="440" t="str">
        <f t="shared" si="121"/>
        <v xml:space="preserve"> </v>
      </c>
      <c r="AM444" s="442" t="str">
        <f t="shared" si="117"/>
        <v>-</v>
      </c>
      <c r="AN444" s="445"/>
      <c r="AO444" s="447" t="s">
        <v>532</v>
      </c>
      <c r="AP444" s="444"/>
      <c r="AQ444" s="445"/>
      <c r="AR444" s="440" t="str">
        <f t="shared" si="122"/>
        <v xml:space="preserve"> </v>
      </c>
      <c r="AS444" s="447" t="s">
        <v>532</v>
      </c>
      <c r="AT444" s="463"/>
      <c r="AU444" s="447" t="s">
        <v>532</v>
      </c>
      <c r="AV444" s="444"/>
      <c r="AW444" s="445"/>
      <c r="AX444" s="440" t="str">
        <f t="shared" si="123"/>
        <v xml:space="preserve"> </v>
      </c>
      <c r="AY444" s="442" t="str">
        <f t="shared" si="118"/>
        <v>-</v>
      </c>
      <c r="AZ444" s="445"/>
      <c r="BA444" s="447" t="s">
        <v>532</v>
      </c>
      <c r="BB444" s="59"/>
      <c r="BC444" s="223"/>
      <c r="BD444" s="60" t="str">
        <f t="shared" si="124"/>
        <v xml:space="preserve"> </v>
      </c>
      <c r="BE444" s="213" t="str">
        <f t="shared" si="119"/>
        <v>-</v>
      </c>
      <c r="BF444" s="172"/>
      <c r="BG444" s="225" t="s">
        <v>215</v>
      </c>
      <c r="BH444" s="59"/>
      <c r="BI444" s="223"/>
      <c r="BJ444" s="60" t="str">
        <f t="shared" si="125"/>
        <v xml:space="preserve"> </v>
      </c>
      <c r="BK444" s="213" t="s">
        <v>215</v>
      </c>
      <c r="BL444" s="172"/>
      <c r="BM444" s="225" t="s">
        <v>215</v>
      </c>
    </row>
    <row r="445" spans="2:65" s="26" customFormat="1">
      <c r="B445" s="64">
        <f t="shared" si="128"/>
        <v>438</v>
      </c>
      <c r="C445" s="7"/>
      <c r="D445" s="7"/>
      <c r="E445" s="7"/>
      <c r="F445" s="22" t="s">
        <v>160</v>
      </c>
      <c r="G445" s="16"/>
      <c r="H445" s="13"/>
      <c r="I445" s="8"/>
      <c r="J445" s="8"/>
      <c r="K445" s="8"/>
      <c r="L445" s="8"/>
      <c r="M445" s="11"/>
      <c r="N445" s="1"/>
      <c r="O445" s="56"/>
      <c r="P445" s="93">
        <f t="shared" si="130"/>
        <v>408</v>
      </c>
      <c r="Q445" s="113">
        <v>128</v>
      </c>
      <c r="R445" s="21" t="str">
        <f t="shared" si="129"/>
        <v>X</v>
      </c>
      <c r="S445" s="96" t="s">
        <v>161</v>
      </c>
      <c r="T445" s="94"/>
      <c r="U445" s="21" t="s">
        <v>226</v>
      </c>
      <c r="V445" s="10"/>
      <c r="W445" s="25">
        <v>3</v>
      </c>
      <c r="X445" s="1" t="s">
        <v>256</v>
      </c>
      <c r="Y445" s="1">
        <v>1</v>
      </c>
      <c r="Z445" s="1">
        <v>128</v>
      </c>
      <c r="AA445" s="8" t="s">
        <v>109</v>
      </c>
      <c r="AB445" s="8" t="s">
        <v>19</v>
      </c>
      <c r="AC445" s="12"/>
      <c r="AD445" s="444"/>
      <c r="AE445" s="440"/>
      <c r="AF445" s="440" t="str">
        <f t="shared" si="120"/>
        <v xml:space="preserve">                                                                                                                                </v>
      </c>
      <c r="AG445" s="442" t="str">
        <f t="shared" si="116"/>
        <v>-</v>
      </c>
      <c r="AH445" s="440"/>
      <c r="AI445" s="447" t="s">
        <v>532</v>
      </c>
      <c r="AJ445" s="444"/>
      <c r="AK445" s="440"/>
      <c r="AL445" s="440" t="str">
        <f t="shared" si="121"/>
        <v xml:space="preserve">                                                                                                                                </v>
      </c>
      <c r="AM445" s="442" t="str">
        <f t="shared" si="117"/>
        <v>-</v>
      </c>
      <c r="AN445" s="440"/>
      <c r="AO445" s="447" t="s">
        <v>532</v>
      </c>
      <c r="AP445" s="444"/>
      <c r="AQ445" s="440"/>
      <c r="AR445" s="440" t="str">
        <f t="shared" si="122"/>
        <v xml:space="preserve">                                                                                                                                </v>
      </c>
      <c r="AS445" s="447" t="s">
        <v>532</v>
      </c>
      <c r="AT445" s="462"/>
      <c r="AU445" s="447" t="s">
        <v>532</v>
      </c>
      <c r="AV445" s="444"/>
      <c r="AW445" s="440"/>
      <c r="AX445" s="440" t="str">
        <f t="shared" si="123"/>
        <v xml:space="preserve">                                                                                                                                </v>
      </c>
      <c r="AY445" s="442" t="str">
        <f t="shared" si="118"/>
        <v>-</v>
      </c>
      <c r="AZ445" s="440"/>
      <c r="BA445" s="447" t="s">
        <v>532</v>
      </c>
      <c r="BB445" s="59"/>
      <c r="BC445" s="60"/>
      <c r="BD445" s="60" t="str">
        <f t="shared" si="124"/>
        <v xml:space="preserve">                                                                                                                                </v>
      </c>
      <c r="BE445" s="213" t="str">
        <f t="shared" si="119"/>
        <v>-</v>
      </c>
      <c r="BF445" s="167"/>
      <c r="BG445" s="225" t="s">
        <v>215</v>
      </c>
      <c r="BH445" s="59"/>
      <c r="BI445" s="60"/>
      <c r="BJ445" s="60" t="str">
        <f t="shared" si="125"/>
        <v xml:space="preserve">                                                                                                                                </v>
      </c>
      <c r="BK445" s="213" t="s">
        <v>215</v>
      </c>
      <c r="BL445" s="167"/>
      <c r="BM445" s="225" t="s">
        <v>215</v>
      </c>
    </row>
    <row r="446" spans="2:65" s="26" customFormat="1" ht="114.75">
      <c r="B446" s="64">
        <f t="shared" si="128"/>
        <v>439</v>
      </c>
      <c r="C446" s="7"/>
      <c r="D446" s="7"/>
      <c r="E446" s="7"/>
      <c r="F446" s="22" t="s">
        <v>162</v>
      </c>
      <c r="G446" s="16"/>
      <c r="H446" s="13"/>
      <c r="I446" s="8"/>
      <c r="J446" s="8"/>
      <c r="K446" s="8"/>
      <c r="L446" s="8"/>
      <c r="M446" s="11" t="s">
        <v>294</v>
      </c>
      <c r="N446" s="1"/>
      <c r="O446" s="56"/>
      <c r="P446" s="93">
        <f t="shared" si="130"/>
        <v>409</v>
      </c>
      <c r="Q446" s="113">
        <v>1</v>
      </c>
      <c r="R446" s="21" t="str">
        <f t="shared" si="129"/>
        <v>X</v>
      </c>
      <c r="S446" s="96" t="s">
        <v>163</v>
      </c>
      <c r="T446" s="94"/>
      <c r="U446" s="21" t="s">
        <v>226</v>
      </c>
      <c r="V446" s="10"/>
      <c r="W446" s="25">
        <v>3</v>
      </c>
      <c r="X446" s="1" t="s">
        <v>257</v>
      </c>
      <c r="Y446" s="1">
        <v>1</v>
      </c>
      <c r="Z446" s="1">
        <v>1</v>
      </c>
      <c r="AA446" s="8" t="s">
        <v>109</v>
      </c>
      <c r="AB446" s="8" t="s">
        <v>19</v>
      </c>
      <c r="AC446" s="102"/>
      <c r="AD446" s="444"/>
      <c r="AE446" s="445"/>
      <c r="AF446" s="440" t="str">
        <f t="shared" si="120"/>
        <v xml:space="preserve"> </v>
      </c>
      <c r="AG446" s="442" t="str">
        <f t="shared" si="116"/>
        <v>-</v>
      </c>
      <c r="AH446" s="445"/>
      <c r="AI446" s="447" t="s">
        <v>532</v>
      </c>
      <c r="AJ446" s="444"/>
      <c r="AK446" s="445"/>
      <c r="AL446" s="440" t="str">
        <f t="shared" si="121"/>
        <v xml:space="preserve"> </v>
      </c>
      <c r="AM446" s="442" t="str">
        <f t="shared" si="117"/>
        <v>-</v>
      </c>
      <c r="AN446" s="445"/>
      <c r="AO446" s="447" t="s">
        <v>532</v>
      </c>
      <c r="AP446" s="444"/>
      <c r="AQ446" s="445"/>
      <c r="AR446" s="440" t="str">
        <f t="shared" si="122"/>
        <v xml:space="preserve"> </v>
      </c>
      <c r="AS446" s="447" t="s">
        <v>532</v>
      </c>
      <c r="AT446" s="463"/>
      <c r="AU446" s="447" t="s">
        <v>532</v>
      </c>
      <c r="AV446" s="444"/>
      <c r="AW446" s="445"/>
      <c r="AX446" s="440" t="str">
        <f t="shared" si="123"/>
        <v xml:space="preserve"> </v>
      </c>
      <c r="AY446" s="442" t="str">
        <f t="shared" si="118"/>
        <v>-</v>
      </c>
      <c r="AZ446" s="445"/>
      <c r="BA446" s="447" t="s">
        <v>532</v>
      </c>
      <c r="BB446" s="59"/>
      <c r="BC446" s="223"/>
      <c r="BD446" s="60" t="str">
        <f t="shared" si="124"/>
        <v xml:space="preserve"> </v>
      </c>
      <c r="BE446" s="213" t="str">
        <f t="shared" si="119"/>
        <v>-</v>
      </c>
      <c r="BF446" s="172"/>
      <c r="BG446" s="225" t="s">
        <v>215</v>
      </c>
      <c r="BH446" s="59"/>
      <c r="BI446" s="223"/>
      <c r="BJ446" s="60" t="str">
        <f t="shared" si="125"/>
        <v xml:space="preserve"> </v>
      </c>
      <c r="BK446" s="213" t="s">
        <v>215</v>
      </c>
      <c r="BL446" s="172"/>
      <c r="BM446" s="225" t="s">
        <v>215</v>
      </c>
    </row>
    <row r="447" spans="2:65" s="26" customFormat="1" ht="127.5">
      <c r="B447" s="64">
        <f t="shared" si="128"/>
        <v>440</v>
      </c>
      <c r="C447" s="7"/>
      <c r="D447" s="7"/>
      <c r="E447" s="7"/>
      <c r="F447" s="22" t="s">
        <v>164</v>
      </c>
      <c r="G447" s="16"/>
      <c r="H447" s="13"/>
      <c r="I447" s="8"/>
      <c r="J447" s="8" t="s">
        <v>231</v>
      </c>
      <c r="K447" s="8"/>
      <c r="L447" s="8"/>
      <c r="M447" s="359" t="s">
        <v>317</v>
      </c>
      <c r="N447" s="1"/>
      <c r="O447" s="56"/>
      <c r="P447" s="93">
        <f t="shared" si="130"/>
        <v>410</v>
      </c>
      <c r="Q447" s="113">
        <v>1</v>
      </c>
      <c r="R447" s="21" t="str">
        <f t="shared" si="129"/>
        <v>X</v>
      </c>
      <c r="S447" s="96" t="s">
        <v>165</v>
      </c>
      <c r="T447" s="94"/>
      <c r="U447" s="21" t="s">
        <v>226</v>
      </c>
      <c r="V447" s="10"/>
      <c r="W447" s="25">
        <v>3</v>
      </c>
      <c r="X447" s="1" t="s">
        <v>258</v>
      </c>
      <c r="Y447" s="1">
        <v>1</v>
      </c>
      <c r="Z447" s="1">
        <v>1</v>
      </c>
      <c r="AA447" s="8" t="s">
        <v>109</v>
      </c>
      <c r="AB447" s="8" t="s">
        <v>19</v>
      </c>
      <c r="AC447" s="102"/>
      <c r="AD447" s="444"/>
      <c r="AE447" s="445"/>
      <c r="AF447" s="440" t="str">
        <f t="shared" si="120"/>
        <v xml:space="preserve"> </v>
      </c>
      <c r="AG447" s="442" t="str">
        <f t="shared" si="116"/>
        <v>-</v>
      </c>
      <c r="AH447" s="445"/>
      <c r="AI447" s="447" t="s">
        <v>532</v>
      </c>
      <c r="AJ447" s="444"/>
      <c r="AK447" s="445"/>
      <c r="AL447" s="440" t="str">
        <f t="shared" si="121"/>
        <v xml:space="preserve"> </v>
      </c>
      <c r="AM447" s="442" t="str">
        <f t="shared" si="117"/>
        <v>-</v>
      </c>
      <c r="AN447" s="445"/>
      <c r="AO447" s="447" t="s">
        <v>532</v>
      </c>
      <c r="AP447" s="444"/>
      <c r="AQ447" s="445"/>
      <c r="AR447" s="440" t="str">
        <f t="shared" si="122"/>
        <v xml:space="preserve"> </v>
      </c>
      <c r="AS447" s="447" t="s">
        <v>532</v>
      </c>
      <c r="AT447" s="463"/>
      <c r="AU447" s="447" t="s">
        <v>532</v>
      </c>
      <c r="AV447" s="444"/>
      <c r="AW447" s="445"/>
      <c r="AX447" s="440" t="str">
        <f t="shared" si="123"/>
        <v xml:space="preserve"> </v>
      </c>
      <c r="AY447" s="442" t="str">
        <f t="shared" si="118"/>
        <v>-</v>
      </c>
      <c r="AZ447" s="445"/>
      <c r="BA447" s="447" t="s">
        <v>532</v>
      </c>
      <c r="BB447" s="59"/>
      <c r="BC447" s="223"/>
      <c r="BD447" s="60" t="str">
        <f t="shared" si="124"/>
        <v xml:space="preserve"> </v>
      </c>
      <c r="BE447" s="213" t="str">
        <f t="shared" si="119"/>
        <v>-</v>
      </c>
      <c r="BF447" s="172"/>
      <c r="BG447" s="225" t="s">
        <v>215</v>
      </c>
      <c r="BH447" s="59"/>
      <c r="BI447" s="223"/>
      <c r="BJ447" s="60" t="str">
        <f t="shared" si="125"/>
        <v xml:space="preserve"> </v>
      </c>
      <c r="BK447" s="213" t="s">
        <v>215</v>
      </c>
      <c r="BL447" s="172"/>
      <c r="BM447" s="225" t="s">
        <v>215</v>
      </c>
    </row>
    <row r="448" spans="2:65" s="26" customFormat="1" ht="409.5" customHeight="1">
      <c r="B448" s="64">
        <f t="shared" si="128"/>
        <v>441</v>
      </c>
      <c r="C448" s="7"/>
      <c r="D448" s="7"/>
      <c r="E448" s="53"/>
      <c r="F448" s="111" t="s">
        <v>367</v>
      </c>
      <c r="G448" s="66"/>
      <c r="H448" s="61"/>
      <c r="I448" s="8"/>
      <c r="J448" s="8" t="s">
        <v>231</v>
      </c>
      <c r="K448" s="8"/>
      <c r="L448" s="8"/>
      <c r="M448" s="356" t="s">
        <v>493</v>
      </c>
      <c r="N448" s="16"/>
      <c r="O448" s="56"/>
      <c r="P448" s="93">
        <f t="shared" si="130"/>
        <v>411</v>
      </c>
      <c r="Q448" s="113">
        <v>2</v>
      </c>
      <c r="R448" s="21" t="str">
        <f t="shared" si="129"/>
        <v>X</v>
      </c>
      <c r="S448" s="96" t="s">
        <v>166</v>
      </c>
      <c r="T448" s="94"/>
      <c r="U448" s="21" t="s">
        <v>226</v>
      </c>
      <c r="V448" s="10"/>
      <c r="W448" s="25">
        <v>3</v>
      </c>
      <c r="X448" s="1" t="s">
        <v>260</v>
      </c>
      <c r="Y448" s="1">
        <v>2</v>
      </c>
      <c r="Z448" s="1">
        <v>2</v>
      </c>
      <c r="AA448" s="8" t="s">
        <v>229</v>
      </c>
      <c r="AB448" s="8" t="s">
        <v>226</v>
      </c>
      <c r="AC448" s="67"/>
      <c r="AD448" s="444"/>
      <c r="AE448" s="445"/>
      <c r="AF448" s="446" t="str">
        <f t="shared" si="120"/>
        <v xml:space="preserve">  </v>
      </c>
      <c r="AG448" s="442" t="str">
        <f t="shared" si="116"/>
        <v>-</v>
      </c>
      <c r="AH448" s="445"/>
      <c r="AI448" s="448" t="s">
        <v>532</v>
      </c>
      <c r="AJ448" s="444"/>
      <c r="AK448" s="445"/>
      <c r="AL448" s="446" t="str">
        <f t="shared" si="121"/>
        <v xml:space="preserve">  </v>
      </c>
      <c r="AM448" s="442" t="str">
        <f t="shared" si="117"/>
        <v>-</v>
      </c>
      <c r="AN448" s="445"/>
      <c r="AO448" s="448" t="s">
        <v>532</v>
      </c>
      <c r="AP448" s="444"/>
      <c r="AQ448" s="445"/>
      <c r="AR448" s="446" t="str">
        <f t="shared" si="122"/>
        <v xml:space="preserve">  </v>
      </c>
      <c r="AS448" s="442" t="s">
        <v>532</v>
      </c>
      <c r="AT448" s="463"/>
      <c r="AU448" s="448" t="s">
        <v>532</v>
      </c>
      <c r="AV448" s="444"/>
      <c r="AW448" s="445"/>
      <c r="AX448" s="446" t="str">
        <f t="shared" si="123"/>
        <v xml:space="preserve">  </v>
      </c>
      <c r="AY448" s="442" t="str">
        <f t="shared" si="118"/>
        <v>-</v>
      </c>
      <c r="AZ448" s="445"/>
      <c r="BA448" s="448" t="s">
        <v>532</v>
      </c>
      <c r="BB448" s="59"/>
      <c r="BC448" s="223"/>
      <c r="BD448" s="254" t="str">
        <f t="shared" si="124"/>
        <v>N1</v>
      </c>
      <c r="BE448" s="213" t="str">
        <f t="shared" si="119"/>
        <v>-</v>
      </c>
      <c r="BF448" s="172" t="s">
        <v>551</v>
      </c>
      <c r="BG448" s="405" t="str">
        <f>IF(OR(BC$8="判定対象外",BF$8="判定対象外",BF448="-"),"-",IF(BC448=BF448,"OK","NG"))</f>
        <v>NG</v>
      </c>
      <c r="BH448" s="59"/>
      <c r="BI448" s="223"/>
      <c r="BJ448" s="254" t="str">
        <f t="shared" si="125"/>
        <v>Z2</v>
      </c>
      <c r="BK448" s="213" t="str">
        <f>IF(OR(BI$8="判定対象外",BJ$8="判定対象外",BJ448="-"),"-",IF(BI448=BJ448,"OK","NG"))</f>
        <v>NG</v>
      </c>
      <c r="BL448" s="172" t="s">
        <v>585</v>
      </c>
      <c r="BM448" s="405" t="str">
        <f>IF(OR(BI$8="判定対象外",BL$8="判定対象外",BL448="-"),"-",IF(BI448=BL448,"OK","NG"))</f>
        <v>NG</v>
      </c>
    </row>
    <row r="449" spans="1:65" s="26" customFormat="1" ht="25.5">
      <c r="B449" s="64">
        <f t="shared" si="128"/>
        <v>442</v>
      </c>
      <c r="C449" s="7"/>
      <c r="D449" s="7"/>
      <c r="E449" s="53"/>
      <c r="F449" s="65" t="s">
        <v>167</v>
      </c>
      <c r="G449" s="66"/>
      <c r="H449" s="61"/>
      <c r="I449" s="8"/>
      <c r="J449" s="8"/>
      <c r="K449" s="8"/>
      <c r="L449" s="8"/>
      <c r="M449" s="11" t="s">
        <v>274</v>
      </c>
      <c r="N449" s="16"/>
      <c r="O449" s="56"/>
      <c r="P449" s="93">
        <f t="shared" si="130"/>
        <v>412</v>
      </c>
      <c r="Q449" s="113">
        <v>7</v>
      </c>
      <c r="R449" s="21" t="str">
        <f t="shared" si="129"/>
        <v>X</v>
      </c>
      <c r="S449" s="96" t="s">
        <v>168</v>
      </c>
      <c r="T449" s="94"/>
      <c r="U449" s="21" t="s">
        <v>226</v>
      </c>
      <c r="V449" s="10"/>
      <c r="W449" s="25">
        <v>3</v>
      </c>
      <c r="X449" s="1" t="s">
        <v>261</v>
      </c>
      <c r="Y449" s="1">
        <v>7</v>
      </c>
      <c r="Z449" s="1">
        <v>7</v>
      </c>
      <c r="AA449" s="8" t="s">
        <v>229</v>
      </c>
      <c r="AB449" s="8" t="s">
        <v>226</v>
      </c>
      <c r="AC449" s="103"/>
      <c r="AD449" s="444"/>
      <c r="AE449" s="440"/>
      <c r="AF449" s="440" t="str">
        <f t="shared" si="120"/>
        <v xml:space="preserve">       </v>
      </c>
      <c r="AG449" s="442" t="str">
        <f t="shared" si="116"/>
        <v>-</v>
      </c>
      <c r="AH449" s="440"/>
      <c r="AI449" s="447" t="s">
        <v>532</v>
      </c>
      <c r="AJ449" s="444"/>
      <c r="AK449" s="440"/>
      <c r="AL449" s="440" t="str">
        <f t="shared" si="121"/>
        <v xml:space="preserve">       </v>
      </c>
      <c r="AM449" s="442" t="str">
        <f t="shared" si="117"/>
        <v>-</v>
      </c>
      <c r="AN449" s="440"/>
      <c r="AO449" s="447" t="s">
        <v>532</v>
      </c>
      <c r="AP449" s="444"/>
      <c r="AQ449" s="440"/>
      <c r="AR449" s="440" t="str">
        <f t="shared" si="122"/>
        <v xml:space="preserve">       </v>
      </c>
      <c r="AS449" s="447" t="s">
        <v>532</v>
      </c>
      <c r="AT449" s="462"/>
      <c r="AU449" s="447" t="s">
        <v>532</v>
      </c>
      <c r="AV449" s="444"/>
      <c r="AW449" s="440"/>
      <c r="AX449" s="440" t="str">
        <f t="shared" si="123"/>
        <v xml:space="preserve">       </v>
      </c>
      <c r="AY449" s="442" t="str">
        <f t="shared" si="118"/>
        <v>-</v>
      </c>
      <c r="AZ449" s="440"/>
      <c r="BA449" s="447" t="s">
        <v>532</v>
      </c>
      <c r="BB449" s="59"/>
      <c r="BC449" s="60"/>
      <c r="BD449" s="60" t="str">
        <f t="shared" si="124"/>
        <v xml:space="preserve">       </v>
      </c>
      <c r="BE449" s="213" t="str">
        <f t="shared" si="119"/>
        <v>-</v>
      </c>
      <c r="BF449" s="167"/>
      <c r="BG449" s="225" t="s">
        <v>215</v>
      </c>
      <c r="BH449" s="59"/>
      <c r="BI449" s="60"/>
      <c r="BJ449" s="60" t="str">
        <f t="shared" si="125"/>
        <v xml:space="preserve">       </v>
      </c>
      <c r="BK449" s="213" t="s">
        <v>215</v>
      </c>
      <c r="BL449" s="167"/>
      <c r="BM449" s="225" t="s">
        <v>215</v>
      </c>
    </row>
    <row r="450" spans="1:65" s="80" customFormat="1" ht="25.5">
      <c r="B450" s="64">
        <f t="shared" si="128"/>
        <v>443</v>
      </c>
      <c r="C450" s="68"/>
      <c r="D450" s="68"/>
      <c r="E450" s="69"/>
      <c r="F450" s="70" t="s">
        <v>275</v>
      </c>
      <c r="G450" s="71"/>
      <c r="H450" s="72"/>
      <c r="I450" s="73"/>
      <c r="J450" s="73"/>
      <c r="K450" s="74"/>
      <c r="L450" s="74"/>
      <c r="M450" s="83" t="s">
        <v>274</v>
      </c>
      <c r="N450" s="75"/>
      <c r="O450" s="76"/>
      <c r="P450" s="93">
        <f t="shared" si="130"/>
        <v>413</v>
      </c>
      <c r="Q450" s="117">
        <v>10</v>
      </c>
      <c r="R450" s="21" t="str">
        <f t="shared" si="129"/>
        <v>X</v>
      </c>
      <c r="S450" s="96" t="s">
        <v>169</v>
      </c>
      <c r="T450" s="104"/>
      <c r="U450" s="21" t="s">
        <v>226</v>
      </c>
      <c r="V450" s="76"/>
      <c r="W450" s="77">
        <v>3</v>
      </c>
      <c r="X450" s="55" t="s">
        <v>170</v>
      </c>
      <c r="Y450" s="55">
        <v>10</v>
      </c>
      <c r="Z450" s="55">
        <v>10</v>
      </c>
      <c r="AA450" s="73" t="s">
        <v>109</v>
      </c>
      <c r="AB450" s="73" t="s">
        <v>19</v>
      </c>
      <c r="AC450" s="103"/>
      <c r="AD450" s="451"/>
      <c r="AE450" s="452"/>
      <c r="AF450" s="453" t="str">
        <f t="shared" si="120"/>
        <v xml:space="preserve">          </v>
      </c>
      <c r="AG450" s="442" t="str">
        <f t="shared" si="116"/>
        <v>-</v>
      </c>
      <c r="AH450" s="452"/>
      <c r="AI450" s="447" t="s">
        <v>532</v>
      </c>
      <c r="AJ450" s="451"/>
      <c r="AK450" s="452"/>
      <c r="AL450" s="453" t="str">
        <f t="shared" si="121"/>
        <v xml:space="preserve">          </v>
      </c>
      <c r="AM450" s="442" t="str">
        <f t="shared" si="117"/>
        <v>-</v>
      </c>
      <c r="AN450" s="452"/>
      <c r="AO450" s="447" t="s">
        <v>532</v>
      </c>
      <c r="AP450" s="451"/>
      <c r="AQ450" s="452"/>
      <c r="AR450" s="453" t="str">
        <f t="shared" si="122"/>
        <v xml:space="preserve">          </v>
      </c>
      <c r="AS450" s="447" t="s">
        <v>532</v>
      </c>
      <c r="AT450" s="464"/>
      <c r="AU450" s="447" t="s">
        <v>532</v>
      </c>
      <c r="AV450" s="451"/>
      <c r="AW450" s="452"/>
      <c r="AX450" s="453" t="str">
        <f t="shared" si="123"/>
        <v xml:space="preserve">          </v>
      </c>
      <c r="AY450" s="442" t="str">
        <f t="shared" si="118"/>
        <v>-</v>
      </c>
      <c r="AZ450" s="452"/>
      <c r="BA450" s="447" t="s">
        <v>532</v>
      </c>
      <c r="BB450" s="78"/>
      <c r="BC450" s="420"/>
      <c r="BD450" s="79" t="str">
        <f t="shared" si="124"/>
        <v xml:space="preserve">          </v>
      </c>
      <c r="BE450" s="213" t="str">
        <f t="shared" si="119"/>
        <v>-</v>
      </c>
      <c r="BF450" s="378"/>
      <c r="BG450" s="225" t="s">
        <v>215</v>
      </c>
      <c r="BH450" s="78"/>
      <c r="BI450" s="420"/>
      <c r="BJ450" s="79" t="str">
        <f t="shared" si="125"/>
        <v xml:space="preserve">          </v>
      </c>
      <c r="BK450" s="213" t="s">
        <v>215</v>
      </c>
      <c r="BL450" s="378"/>
      <c r="BM450" s="225" t="s">
        <v>215</v>
      </c>
    </row>
    <row r="451" spans="1:65" s="80" customFormat="1" ht="25.5">
      <c r="B451" s="64">
        <f t="shared" si="128"/>
        <v>444</v>
      </c>
      <c r="C451" s="68"/>
      <c r="D451" s="68"/>
      <c r="E451" s="68"/>
      <c r="F451" s="81" t="s">
        <v>171</v>
      </c>
      <c r="G451" s="14"/>
      <c r="H451" s="82"/>
      <c r="I451" s="73"/>
      <c r="J451" s="73"/>
      <c r="K451" s="74"/>
      <c r="L451" s="74"/>
      <c r="M451" s="83" t="s">
        <v>274</v>
      </c>
      <c r="N451" s="75"/>
      <c r="O451" s="76"/>
      <c r="P451" s="93">
        <f t="shared" si="130"/>
        <v>414</v>
      </c>
      <c r="Q451" s="117">
        <v>3</v>
      </c>
      <c r="R451" s="21" t="str">
        <f t="shared" si="129"/>
        <v>X</v>
      </c>
      <c r="S451" s="96" t="s">
        <v>172</v>
      </c>
      <c r="T451" s="104"/>
      <c r="U451" s="21" t="s">
        <v>226</v>
      </c>
      <c r="V451" s="76"/>
      <c r="W451" s="77">
        <v>3</v>
      </c>
      <c r="X451" s="55" t="s">
        <v>173</v>
      </c>
      <c r="Y451" s="55">
        <v>3</v>
      </c>
      <c r="Z451" s="55">
        <v>3</v>
      </c>
      <c r="AA451" s="73" t="s">
        <v>109</v>
      </c>
      <c r="AB451" s="73" t="s">
        <v>19</v>
      </c>
      <c r="AC451" s="103"/>
      <c r="AD451" s="451"/>
      <c r="AE451" s="452"/>
      <c r="AF451" s="453" t="str">
        <f t="shared" si="120"/>
        <v xml:space="preserve">   </v>
      </c>
      <c r="AG451" s="442" t="str">
        <f t="shared" si="116"/>
        <v>-</v>
      </c>
      <c r="AH451" s="452"/>
      <c r="AI451" s="447" t="s">
        <v>532</v>
      </c>
      <c r="AJ451" s="451"/>
      <c r="AK451" s="452"/>
      <c r="AL451" s="453" t="str">
        <f t="shared" si="121"/>
        <v xml:space="preserve">   </v>
      </c>
      <c r="AM451" s="442" t="str">
        <f t="shared" si="117"/>
        <v>-</v>
      </c>
      <c r="AN451" s="452"/>
      <c r="AO451" s="447" t="s">
        <v>532</v>
      </c>
      <c r="AP451" s="451"/>
      <c r="AQ451" s="452"/>
      <c r="AR451" s="453" t="str">
        <f t="shared" si="122"/>
        <v xml:space="preserve">   </v>
      </c>
      <c r="AS451" s="447" t="s">
        <v>532</v>
      </c>
      <c r="AT451" s="464"/>
      <c r="AU451" s="447" t="s">
        <v>532</v>
      </c>
      <c r="AV451" s="451"/>
      <c r="AW451" s="452"/>
      <c r="AX451" s="453" t="str">
        <f t="shared" si="123"/>
        <v xml:space="preserve">   </v>
      </c>
      <c r="AY451" s="442" t="str">
        <f t="shared" si="118"/>
        <v>-</v>
      </c>
      <c r="AZ451" s="452"/>
      <c r="BA451" s="447" t="s">
        <v>532</v>
      </c>
      <c r="BB451" s="78"/>
      <c r="BC451" s="420"/>
      <c r="BD451" s="79" t="str">
        <f t="shared" si="124"/>
        <v xml:space="preserve">   </v>
      </c>
      <c r="BE451" s="213" t="str">
        <f t="shared" si="119"/>
        <v>-</v>
      </c>
      <c r="BF451" s="378"/>
      <c r="BG451" s="225" t="s">
        <v>215</v>
      </c>
      <c r="BH451" s="78"/>
      <c r="BI451" s="420"/>
      <c r="BJ451" s="79" t="str">
        <f t="shared" si="125"/>
        <v xml:space="preserve">   </v>
      </c>
      <c r="BK451" s="213" t="s">
        <v>215</v>
      </c>
      <c r="BL451" s="378"/>
      <c r="BM451" s="225" t="s">
        <v>215</v>
      </c>
    </row>
    <row r="452" spans="1:65" s="80" customFormat="1" ht="25.5">
      <c r="B452" s="64">
        <f t="shared" si="128"/>
        <v>445</v>
      </c>
      <c r="C452" s="68"/>
      <c r="D452" s="68"/>
      <c r="E452" s="68"/>
      <c r="F452" s="81" t="s">
        <v>174</v>
      </c>
      <c r="G452" s="14"/>
      <c r="H452" s="82"/>
      <c r="I452" s="73"/>
      <c r="J452" s="73"/>
      <c r="K452" s="74"/>
      <c r="L452" s="74"/>
      <c r="M452" s="83" t="s">
        <v>274</v>
      </c>
      <c r="N452" s="75"/>
      <c r="O452" s="76"/>
      <c r="P452" s="93">
        <f>P451+1</f>
        <v>415</v>
      </c>
      <c r="Q452" s="117">
        <v>2</v>
      </c>
      <c r="R452" s="21" t="str">
        <f t="shared" si="129"/>
        <v>X</v>
      </c>
      <c r="S452" s="96" t="s">
        <v>175</v>
      </c>
      <c r="T452" s="104"/>
      <c r="U452" s="21" t="s">
        <v>226</v>
      </c>
      <c r="V452" s="76"/>
      <c r="W452" s="77">
        <v>3</v>
      </c>
      <c r="X452" s="55" t="s">
        <v>176</v>
      </c>
      <c r="Y452" s="55">
        <v>2</v>
      </c>
      <c r="Z452" s="55">
        <v>2</v>
      </c>
      <c r="AA452" s="73" t="s">
        <v>109</v>
      </c>
      <c r="AB452" s="73" t="s">
        <v>19</v>
      </c>
      <c r="AC452" s="103"/>
      <c r="AD452" s="451"/>
      <c r="AE452" s="452"/>
      <c r="AF452" s="453" t="str">
        <f t="shared" si="120"/>
        <v xml:space="preserve">  </v>
      </c>
      <c r="AG452" s="442" t="str">
        <f t="shared" si="116"/>
        <v>-</v>
      </c>
      <c r="AH452" s="452"/>
      <c r="AI452" s="447" t="s">
        <v>532</v>
      </c>
      <c r="AJ452" s="451"/>
      <c r="AK452" s="452"/>
      <c r="AL452" s="453" t="str">
        <f t="shared" si="121"/>
        <v xml:space="preserve">  </v>
      </c>
      <c r="AM452" s="442" t="str">
        <f t="shared" si="117"/>
        <v>-</v>
      </c>
      <c r="AN452" s="452"/>
      <c r="AO452" s="447" t="s">
        <v>532</v>
      </c>
      <c r="AP452" s="451"/>
      <c r="AQ452" s="452"/>
      <c r="AR452" s="453" t="str">
        <f t="shared" si="122"/>
        <v xml:space="preserve">  </v>
      </c>
      <c r="AS452" s="447" t="s">
        <v>532</v>
      </c>
      <c r="AT452" s="464"/>
      <c r="AU452" s="447" t="s">
        <v>532</v>
      </c>
      <c r="AV452" s="451"/>
      <c r="AW452" s="452"/>
      <c r="AX452" s="453" t="str">
        <f t="shared" si="123"/>
        <v xml:space="preserve">  </v>
      </c>
      <c r="AY452" s="442" t="str">
        <f t="shared" si="118"/>
        <v>-</v>
      </c>
      <c r="AZ452" s="452"/>
      <c r="BA452" s="447" t="s">
        <v>532</v>
      </c>
      <c r="BB452" s="78"/>
      <c r="BC452" s="420"/>
      <c r="BD452" s="79" t="str">
        <f t="shared" si="124"/>
        <v xml:space="preserve">  </v>
      </c>
      <c r="BE452" s="213" t="str">
        <f t="shared" si="119"/>
        <v>-</v>
      </c>
      <c r="BF452" s="378"/>
      <c r="BG452" s="225" t="s">
        <v>215</v>
      </c>
      <c r="BH452" s="78"/>
      <c r="BI452" s="420"/>
      <c r="BJ452" s="79" t="str">
        <f t="shared" si="125"/>
        <v xml:space="preserve">  </v>
      </c>
      <c r="BK452" s="213" t="s">
        <v>215</v>
      </c>
      <c r="BL452" s="378"/>
      <c r="BM452" s="225" t="s">
        <v>215</v>
      </c>
    </row>
    <row r="453" spans="1:65" s="80" customFormat="1" ht="51.75" customHeight="1">
      <c r="B453" s="64">
        <f t="shared" si="128"/>
        <v>446</v>
      </c>
      <c r="C453" s="68"/>
      <c r="D453" s="68"/>
      <c r="E453" s="68"/>
      <c r="F453" s="228" t="s">
        <v>177</v>
      </c>
      <c r="G453" s="229"/>
      <c r="H453" s="230"/>
      <c r="I453" s="73"/>
      <c r="J453" s="73"/>
      <c r="K453" s="74"/>
      <c r="L453" s="74"/>
      <c r="M453" s="83" t="s">
        <v>178</v>
      </c>
      <c r="N453" s="75"/>
      <c r="O453" s="76"/>
      <c r="P453" s="93">
        <f>P452+1</f>
        <v>416</v>
      </c>
      <c r="Q453" s="117">
        <v>5</v>
      </c>
      <c r="R453" s="21" t="str">
        <f t="shared" si="129"/>
        <v>X</v>
      </c>
      <c r="S453" s="96" t="s">
        <v>179</v>
      </c>
      <c r="T453" s="104"/>
      <c r="U453" s="21" t="s">
        <v>226</v>
      </c>
      <c r="V453" s="76"/>
      <c r="W453" s="77">
        <v>3</v>
      </c>
      <c r="X453" s="55" t="s">
        <v>262</v>
      </c>
      <c r="Y453" s="55">
        <v>5</v>
      </c>
      <c r="Z453" s="55">
        <v>5</v>
      </c>
      <c r="AA453" s="73" t="s">
        <v>109</v>
      </c>
      <c r="AB453" s="73" t="s">
        <v>19</v>
      </c>
      <c r="AC453" s="84"/>
      <c r="AD453" s="451"/>
      <c r="AE453" s="459"/>
      <c r="AF453" s="453" t="str">
        <f t="shared" si="120"/>
        <v xml:space="preserve">     </v>
      </c>
      <c r="AG453" s="442" t="str">
        <f t="shared" si="116"/>
        <v>-</v>
      </c>
      <c r="AH453" s="459"/>
      <c r="AI453" s="447" t="s">
        <v>532</v>
      </c>
      <c r="AJ453" s="451"/>
      <c r="AK453" s="459"/>
      <c r="AL453" s="453" t="str">
        <f t="shared" si="121"/>
        <v xml:space="preserve">     </v>
      </c>
      <c r="AM453" s="442" t="str">
        <f t="shared" si="117"/>
        <v>-</v>
      </c>
      <c r="AN453" s="459"/>
      <c r="AO453" s="447" t="s">
        <v>532</v>
      </c>
      <c r="AP453" s="451"/>
      <c r="AQ453" s="459"/>
      <c r="AR453" s="453" t="str">
        <f t="shared" si="122"/>
        <v xml:space="preserve">     </v>
      </c>
      <c r="AS453" s="447" t="s">
        <v>532</v>
      </c>
      <c r="AT453" s="466"/>
      <c r="AU453" s="447" t="s">
        <v>532</v>
      </c>
      <c r="AV453" s="451"/>
      <c r="AW453" s="459"/>
      <c r="AX453" s="453" t="str">
        <f t="shared" si="123"/>
        <v xml:space="preserve">     </v>
      </c>
      <c r="AY453" s="442" t="str">
        <f t="shared" si="118"/>
        <v>-</v>
      </c>
      <c r="AZ453" s="459"/>
      <c r="BA453" s="447" t="s">
        <v>532</v>
      </c>
      <c r="BB453" s="78"/>
      <c r="BC453" s="421"/>
      <c r="BD453" s="79" t="str">
        <f t="shared" si="124"/>
        <v xml:space="preserve">     </v>
      </c>
      <c r="BE453" s="213" t="str">
        <f t="shared" si="119"/>
        <v>-</v>
      </c>
      <c r="BF453" s="382"/>
      <c r="BG453" s="225" t="s">
        <v>215</v>
      </c>
      <c r="BH453" s="78"/>
      <c r="BI453" s="421"/>
      <c r="BJ453" s="79" t="str">
        <f t="shared" si="125"/>
        <v xml:space="preserve">     </v>
      </c>
      <c r="BK453" s="213" t="s">
        <v>215</v>
      </c>
      <c r="BL453" s="378"/>
      <c r="BM453" s="225" t="s">
        <v>215</v>
      </c>
    </row>
    <row r="454" spans="1:65" s="80" customFormat="1" ht="51.75" customHeight="1">
      <c r="B454" s="64">
        <f t="shared" si="128"/>
        <v>447</v>
      </c>
      <c r="C454" s="68"/>
      <c r="D454" s="68"/>
      <c r="E454" s="68"/>
      <c r="F454" s="228" t="s">
        <v>180</v>
      </c>
      <c r="G454" s="229"/>
      <c r="H454" s="230"/>
      <c r="I454" s="73"/>
      <c r="J454" s="73"/>
      <c r="K454" s="74"/>
      <c r="L454" s="74"/>
      <c r="M454" s="83" t="s">
        <v>181</v>
      </c>
      <c r="N454" s="75"/>
      <c r="O454" s="76"/>
      <c r="P454" s="93">
        <f>P453+1</f>
        <v>417</v>
      </c>
      <c r="Q454" s="117">
        <v>64</v>
      </c>
      <c r="R454" s="21" t="str">
        <f>IF(AA454="M","NX",AA454)</f>
        <v>NX</v>
      </c>
      <c r="S454" s="96" t="s">
        <v>182</v>
      </c>
      <c r="T454" s="104"/>
      <c r="U454" s="21" t="s">
        <v>226</v>
      </c>
      <c r="V454" s="76" t="s">
        <v>263</v>
      </c>
      <c r="W454" s="77">
        <v>3</v>
      </c>
      <c r="X454" s="55" t="s">
        <v>264</v>
      </c>
      <c r="Y454" s="55">
        <v>1</v>
      </c>
      <c r="Z454" s="55">
        <v>64</v>
      </c>
      <c r="AA454" s="73" t="s">
        <v>252</v>
      </c>
      <c r="AB454" s="73" t="s">
        <v>19</v>
      </c>
      <c r="AC454" s="84" t="s">
        <v>263</v>
      </c>
      <c r="AD454" s="451"/>
      <c r="AE454" s="459"/>
      <c r="AF454" s="453" t="str">
        <f t="shared" si="120"/>
        <v xml:space="preserve">                                                                </v>
      </c>
      <c r="AG454" s="442" t="str">
        <f t="shared" si="116"/>
        <v>-</v>
      </c>
      <c r="AH454" s="459"/>
      <c r="AI454" s="447" t="s">
        <v>532</v>
      </c>
      <c r="AJ454" s="451"/>
      <c r="AK454" s="459"/>
      <c r="AL454" s="453" t="str">
        <f t="shared" si="121"/>
        <v xml:space="preserve">                                                                </v>
      </c>
      <c r="AM454" s="442" t="str">
        <f t="shared" si="117"/>
        <v>-</v>
      </c>
      <c r="AN454" s="459"/>
      <c r="AO454" s="447" t="s">
        <v>532</v>
      </c>
      <c r="AP454" s="451"/>
      <c r="AQ454" s="459"/>
      <c r="AR454" s="453" t="str">
        <f t="shared" si="122"/>
        <v xml:space="preserve">                                                                </v>
      </c>
      <c r="AS454" s="447" t="s">
        <v>532</v>
      </c>
      <c r="AT454" s="466"/>
      <c r="AU454" s="447" t="s">
        <v>532</v>
      </c>
      <c r="AV454" s="451"/>
      <c r="AW454" s="459"/>
      <c r="AX454" s="453" t="str">
        <f t="shared" si="123"/>
        <v xml:space="preserve">                                                                </v>
      </c>
      <c r="AY454" s="442" t="str">
        <f t="shared" si="118"/>
        <v>-</v>
      </c>
      <c r="AZ454" s="459"/>
      <c r="BA454" s="447" t="s">
        <v>532</v>
      </c>
      <c r="BB454" s="78"/>
      <c r="BC454" s="421"/>
      <c r="BD454" s="79" t="str">
        <f t="shared" si="124"/>
        <v xml:space="preserve">                                                                </v>
      </c>
      <c r="BE454" s="213" t="str">
        <f t="shared" si="119"/>
        <v>-</v>
      </c>
      <c r="BF454" s="382"/>
      <c r="BG454" s="225" t="s">
        <v>215</v>
      </c>
      <c r="BH454" s="78"/>
      <c r="BI454" s="421"/>
      <c r="BJ454" s="79" t="str">
        <f t="shared" si="125"/>
        <v xml:space="preserve">                                                                </v>
      </c>
      <c r="BK454" s="213" t="s">
        <v>215</v>
      </c>
      <c r="BL454" s="378"/>
      <c r="BM454" s="225" t="s">
        <v>215</v>
      </c>
    </row>
    <row r="455" spans="1:65" s="80" customFormat="1" ht="92.25" customHeight="1">
      <c r="B455" s="64">
        <f t="shared" si="128"/>
        <v>448</v>
      </c>
      <c r="C455" s="68"/>
      <c r="D455" s="68"/>
      <c r="E455" s="68"/>
      <c r="F455" s="81" t="s">
        <v>276</v>
      </c>
      <c r="G455" s="14"/>
      <c r="H455" s="82"/>
      <c r="I455" s="73"/>
      <c r="J455" s="73"/>
      <c r="K455" s="74"/>
      <c r="L455" s="74"/>
      <c r="M455" s="415" t="s">
        <v>207</v>
      </c>
      <c r="N455" s="75"/>
      <c r="O455" s="76"/>
      <c r="P455" s="93">
        <f>P454+1</f>
        <v>418</v>
      </c>
      <c r="Q455" s="117">
        <v>7</v>
      </c>
      <c r="R455" s="21" t="s">
        <v>229</v>
      </c>
      <c r="S455" s="96" t="s">
        <v>265</v>
      </c>
      <c r="T455" s="104"/>
      <c r="U455" s="21" t="s">
        <v>226</v>
      </c>
      <c r="V455" s="76"/>
      <c r="W455" s="77">
        <v>3</v>
      </c>
      <c r="X455" s="55" t="s">
        <v>266</v>
      </c>
      <c r="Y455" s="55">
        <v>7</v>
      </c>
      <c r="Z455" s="55">
        <v>7</v>
      </c>
      <c r="AA455" s="73" t="s">
        <v>229</v>
      </c>
      <c r="AB455" s="73" t="s">
        <v>19</v>
      </c>
      <c r="AC455" s="84"/>
      <c r="AD455" s="451"/>
      <c r="AE455" s="452"/>
      <c r="AF455" s="453" t="str">
        <f t="shared" si="120"/>
        <v xml:space="preserve">       </v>
      </c>
      <c r="AG455" s="442" t="str">
        <f t="shared" si="116"/>
        <v>-</v>
      </c>
      <c r="AH455" s="452"/>
      <c r="AI455" s="447" t="s">
        <v>532</v>
      </c>
      <c r="AJ455" s="451"/>
      <c r="AK455" s="452"/>
      <c r="AL455" s="453" t="str">
        <f t="shared" si="121"/>
        <v xml:space="preserve">       </v>
      </c>
      <c r="AM455" s="442" t="str">
        <f t="shared" si="117"/>
        <v>-</v>
      </c>
      <c r="AN455" s="452"/>
      <c r="AO455" s="447" t="s">
        <v>532</v>
      </c>
      <c r="AP455" s="451"/>
      <c r="AQ455" s="452"/>
      <c r="AR455" s="453" t="str">
        <f t="shared" si="122"/>
        <v xml:space="preserve">       </v>
      </c>
      <c r="AS455" s="447" t="s">
        <v>532</v>
      </c>
      <c r="AT455" s="464"/>
      <c r="AU455" s="447" t="s">
        <v>532</v>
      </c>
      <c r="AV455" s="451"/>
      <c r="AW455" s="452"/>
      <c r="AX455" s="453" t="str">
        <f t="shared" si="123"/>
        <v xml:space="preserve">       </v>
      </c>
      <c r="AY455" s="442" t="str">
        <f t="shared" si="118"/>
        <v>-</v>
      </c>
      <c r="AZ455" s="452"/>
      <c r="BA455" s="447" t="s">
        <v>532</v>
      </c>
      <c r="BB455" s="78"/>
      <c r="BC455" s="420"/>
      <c r="BD455" s="79" t="str">
        <f t="shared" si="124"/>
        <v xml:space="preserve">       </v>
      </c>
      <c r="BE455" s="213" t="str">
        <f t="shared" si="119"/>
        <v>-</v>
      </c>
      <c r="BF455" s="353"/>
      <c r="BG455" s="225" t="s">
        <v>215</v>
      </c>
      <c r="BH455" s="78"/>
      <c r="BI455" s="420"/>
      <c r="BJ455" s="79" t="str">
        <f t="shared" si="125"/>
        <v xml:space="preserve">       </v>
      </c>
      <c r="BK455" s="213" t="s">
        <v>215</v>
      </c>
      <c r="BL455" s="353"/>
      <c r="BM455" s="225" t="s">
        <v>215</v>
      </c>
    </row>
    <row r="456" spans="1:65" s="80" customFormat="1" ht="127.9" thickBot="1">
      <c r="A456" s="216"/>
      <c r="B456" s="231">
        <f t="shared" si="128"/>
        <v>449</v>
      </c>
      <c r="C456" s="232"/>
      <c r="D456" s="232"/>
      <c r="E456" s="232"/>
      <c r="F456" s="234" t="s">
        <v>267</v>
      </c>
      <c r="G456" s="235"/>
      <c r="H456" s="236"/>
      <c r="I456" s="237"/>
      <c r="J456" s="237"/>
      <c r="K456" s="237"/>
      <c r="L456" s="237"/>
      <c r="M456" s="416" t="s">
        <v>277</v>
      </c>
      <c r="N456" s="417"/>
      <c r="O456" s="419"/>
      <c r="P456" s="429">
        <f>P455+1</f>
        <v>419</v>
      </c>
      <c r="Q456" s="430">
        <v>1</v>
      </c>
      <c r="R456" s="431">
        <v>9</v>
      </c>
      <c r="S456" s="430" t="s">
        <v>268</v>
      </c>
      <c r="T456" s="430"/>
      <c r="U456" s="431" t="s">
        <v>226</v>
      </c>
      <c r="V456" s="432"/>
      <c r="W456" s="433" t="str">
        <f>IF(C456&lt;&gt;"","0",IF(D456&lt;&gt;"","1",IF(E456&lt;&gt;"","2",IF(F456&lt;&gt;"","3",IF(G456&lt;&gt;"","4",IF(H456&lt;&gt;"","5"))))))</f>
        <v>3</v>
      </c>
      <c r="X456" s="434" t="s">
        <v>269</v>
      </c>
      <c r="Y456" s="434">
        <v>1</v>
      </c>
      <c r="Z456" s="434">
        <v>1</v>
      </c>
      <c r="AA456" s="435">
        <v>9</v>
      </c>
      <c r="AB456" s="237" t="s">
        <v>226</v>
      </c>
      <c r="AC456" s="436"/>
      <c r="AD456" s="454"/>
      <c r="AE456" s="455"/>
      <c r="AF456" s="456" t="str">
        <f t="shared" si="120"/>
        <v xml:space="preserve"> </v>
      </c>
      <c r="AG456" s="457" t="str">
        <f>IF(OR(AE$8="判定対象外",AF$8="判定対象外",AF456="-"),"-",IF(AE456=AF456,"OK","NG"))</f>
        <v>-</v>
      </c>
      <c r="AH456" s="455"/>
      <c r="AI456" s="458" t="s">
        <v>532</v>
      </c>
      <c r="AJ456" s="454"/>
      <c r="AK456" s="455"/>
      <c r="AL456" s="456" t="str">
        <f t="shared" si="121"/>
        <v xml:space="preserve"> </v>
      </c>
      <c r="AM456" s="457" t="str">
        <f>IF(OR(AK$8="判定対象外",AL$8="判定対象外",AL456="-"),"-",IF(AK456=AL456,"OK","NG"))</f>
        <v>-</v>
      </c>
      <c r="AN456" s="455"/>
      <c r="AO456" s="458" t="s">
        <v>532</v>
      </c>
      <c r="AP456" s="454"/>
      <c r="AQ456" s="455"/>
      <c r="AR456" s="456" t="str">
        <f t="shared" si="122"/>
        <v xml:space="preserve"> </v>
      </c>
      <c r="AS456" s="457" t="s">
        <v>532</v>
      </c>
      <c r="AT456" s="465"/>
      <c r="AU456" s="458" t="s">
        <v>532</v>
      </c>
      <c r="AV456" s="454"/>
      <c r="AW456" s="455"/>
      <c r="AX456" s="456" t="str">
        <f t="shared" si="123"/>
        <v xml:space="preserve"> </v>
      </c>
      <c r="AY456" s="457" t="str">
        <f>IF(OR(AW$8="判定対象外",AX$8="判定対象外",AX456="-"),"-",IF(AW456=AX456,"OK","NG"))</f>
        <v>-</v>
      </c>
      <c r="AZ456" s="455"/>
      <c r="BA456" s="458" t="s">
        <v>532</v>
      </c>
      <c r="BB456" s="211"/>
      <c r="BC456" s="422"/>
      <c r="BD456" s="212" t="str">
        <f t="shared" si="124"/>
        <v xml:space="preserve"> </v>
      </c>
      <c r="BE456" s="226" t="str">
        <f>IF(OR(BC$8="判定対象外",BD$8="判定対象外",BD456="-"),"-",IF(BC456=BD456,"OK","NG"))</f>
        <v>-</v>
      </c>
      <c r="BF456" s="380"/>
      <c r="BG456" s="403" t="s">
        <v>215</v>
      </c>
      <c r="BH456" s="211"/>
      <c r="BI456" s="422"/>
      <c r="BJ456" s="212" t="str">
        <f t="shared" si="125"/>
        <v xml:space="preserve"> </v>
      </c>
      <c r="BK456" s="226" t="s">
        <v>215</v>
      </c>
      <c r="BL456" s="471"/>
      <c r="BM456" s="403" t="s">
        <v>215</v>
      </c>
    </row>
    <row r="457" spans="1:65" ht="13.15" thickTop="1"/>
  </sheetData>
  <autoFilter ref="A7:AI456" xr:uid="{00000000-0009-0000-0000-000003000000}">
    <filterColumn colId="2" showButton="0"/>
    <filterColumn colId="3" showButton="0"/>
    <filterColumn colId="4" showButton="0"/>
    <filterColumn colId="5" showButton="0"/>
    <filterColumn colId="6" showButton="0"/>
  </autoFilter>
  <mergeCells count="26">
    <mergeCell ref="C7:H7"/>
    <mergeCell ref="E24:H24"/>
    <mergeCell ref="E25:H25"/>
    <mergeCell ref="E26:H26"/>
    <mergeCell ref="E27:H27"/>
    <mergeCell ref="E28:H28"/>
    <mergeCell ref="E30:H30"/>
    <mergeCell ref="T2:V2"/>
    <mergeCell ref="W6:AC6"/>
    <mergeCell ref="AD6:AI6"/>
    <mergeCell ref="B3:K3"/>
    <mergeCell ref="L3:V3"/>
    <mergeCell ref="B4:K4"/>
    <mergeCell ref="L4:V4"/>
    <mergeCell ref="B6:O6"/>
    <mergeCell ref="P6:V6"/>
    <mergeCell ref="B2:E2"/>
    <mergeCell ref="F2:H2"/>
    <mergeCell ref="I2:K2"/>
    <mergeCell ref="L2:O2"/>
    <mergeCell ref="P2:S2"/>
    <mergeCell ref="AJ6:AO6"/>
    <mergeCell ref="AP6:AU6"/>
    <mergeCell ref="AV6:BA6"/>
    <mergeCell ref="BB6:BG6"/>
    <mergeCell ref="BH6:BM6"/>
  </mergeCells>
  <phoneticPr fontId="3"/>
  <hyperlinks>
    <hyperlink ref="L4" r:id="rId1" xr:uid="{00000000-0004-0000-0300-000000000000}"/>
    <hyperlink ref="L3" r:id="rId2" xr:uid="{00000000-0004-0000-0300-000001000000}"/>
  </hyperlinks>
  <pageMargins left="0.62992125984251968" right="0.55118110236220474" top="0.51181102362204722" bottom="0.47244094488188981" header="0.31496062992125984" footer="0.31496062992125984"/>
  <pageSetup paperSize="9" scale="10" fitToHeight="10" orientation="landscape" r:id="rId3"/>
  <headerFooter alignWithMargins="0">
    <oddHeader xml:space="preserve">&amp;R&amp;"ＭＳ Ｐゴシック"&amp;9 &amp;"ＭＳ Ｐゴシック"&amp;11 &amp;"ＭＳ Ｐゴシック"&amp;9 【社外秘B】&amp;"ＭＳ Ｐゴシック,標準"&amp;11 
</oddHeader>
    <oddFooter xml:space="preserve">&amp;C&amp;"ＭＳ Ｐゴシック"&amp;11 &amp;"ＭＳ Ｐゴシック"&amp;9 KDDI情報システム開発PJ関係各社　情報システム開発関係者のみ&amp;"ＭＳ Ｐゴシック,標準"&amp;11 
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287676697870445AE99785712142278" ma:contentTypeVersion="0" ma:contentTypeDescription="新しいドキュメントを作成します。" ma:contentTypeScope="" ma:versionID="9cd4863f177160b87af747e3a1c91e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3fc15230516dd5e85220f060eed4ba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B186A1-BF90-456C-A261-58B704DE73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774246A-0D92-41AB-A898-173DF98CD758}">
  <ds:schemaRefs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3383601-D44B-4393-ACED-D9B90FC74A4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Generator</vt:lpstr>
      <vt:lpstr>試験概要</vt:lpstr>
      <vt:lpstr>試験票</vt:lpstr>
      <vt:lpstr>B004</vt:lpstr>
      <vt:lpstr>'B004'!Print_Area</vt:lpstr>
      <vt:lpstr>試験票!Print_Area</vt:lpstr>
      <vt:lpstr>'B004'!Print_Titles</vt:lpstr>
      <vt:lpstr>試験票!Print_Titles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Liang, Zhao-Fei (ES-Apps-GD-CQ)</dc:creator>
  <cp:lastModifiedBy>Nobuyuki.Sakurai</cp:lastModifiedBy>
  <cp:lastPrinted>2016-04-05T09:02:14Z</cp:lastPrinted>
  <dcterms:created xsi:type="dcterms:W3CDTF">2008-03-12T10:22:56Z</dcterms:created>
  <dcterms:modified xsi:type="dcterms:W3CDTF">2018-06-28T07:11:21Z</dcterms:modified>
</cp:coreProperties>
</file>