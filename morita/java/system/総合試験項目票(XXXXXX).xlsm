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C:\Users\Nobuyuki.Sakurai\Documents\@Traning\制作\テスト\"/>
    </mc:Choice>
  </mc:AlternateContent>
  <xr:revisionPtr revIDLastSave="0" documentId="8_{8E6EF127-9E21-463B-927C-BF7DDCB71F08}" xr6:coauthVersionLast="33" xr6:coauthVersionMax="33" xr10:uidLastSave="{00000000-0000-0000-0000-000000000000}"/>
  <bookViews>
    <workbookView xWindow="32768" yWindow="30" windowWidth="19185" windowHeight="4755" activeTab="1"/>
  </bookViews>
  <sheets>
    <sheet name="Generator" sheetId="5" r:id="rId1"/>
    <sheet name="試験概要" sheetId="58" r:id="rId2"/>
    <sheet name="試験票" sheetId="53" r:id="rId3"/>
    <sheet name="B004" sheetId="56"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s>
  <definedNames>
    <definedName name="_CHK01" localSheetId="3">#REF!</definedName>
    <definedName name="_CHK01" localSheetId="2">#REF!</definedName>
    <definedName name="_CHK01">#REF!</definedName>
    <definedName name="_CHK02" localSheetId="3">#REF!</definedName>
    <definedName name="_CHK02" localSheetId="2">#REF!</definedName>
    <definedName name="_CHK02">#REF!</definedName>
    <definedName name="_CHK03" localSheetId="3">#REF!</definedName>
    <definedName name="_CHK03" localSheetId="2">#REF!</definedName>
    <definedName name="_CHK03">#REF!</definedName>
    <definedName name="_CHK04" localSheetId="3">#REF!</definedName>
    <definedName name="_CHK04" localSheetId="2">#REF!</definedName>
    <definedName name="_CHK04">#REF!</definedName>
    <definedName name="_CHK05" localSheetId="3">#REF!</definedName>
    <definedName name="_CHK05" localSheetId="2">#REF!</definedName>
    <definedName name="_CHK05">#REF!</definedName>
    <definedName name="_D">#REF!</definedName>
    <definedName name="_E">[8]Sheet1!$EZ$2:$EZ$2</definedName>
    <definedName name="_Fill" hidden="1">#REF!</definedName>
    <definedName name="_xlnm._FilterDatabase" localSheetId="3" hidden="1">'B004'!$A$7:$DC$396</definedName>
    <definedName name="_xlnm._FilterDatabase" hidden="1">#REF!</definedName>
    <definedName name="_Key1" hidden="1">#REF!</definedName>
    <definedName name="_Order1" hidden="1">255</definedName>
    <definedName name="_Regression_X" hidden="1">#REF!</definedName>
    <definedName name="_Sort" hidden="1">#REF!</definedName>
    <definedName name="aaaaa">#REF!</definedName>
    <definedName name="ADSL">#REF!</definedName>
    <definedName name="ADSL数">#REF!</definedName>
    <definedName name="CATEGORY">#REF!</definedName>
    <definedName name="caza">#REF!</definedName>
    <definedName name="CHECK">[32]会社ﾏｽﾀ!$J$8</definedName>
    <definedName name="__CHK01">#REF!</definedName>
    <definedName name="__CHK02">#REF!</definedName>
    <definedName name="__CHK03">#REF!</definedName>
    <definedName name="__CHK04">#REF!</definedName>
    <definedName name="__CHK05" localSheetId="3">#REF!</definedName>
    <definedName name="__CHK05" localSheetId="2">#REF!</definedName>
    <definedName name="__CHK05">#REF!</definedName>
    <definedName name="CreateSQL">[33]!CreateSQL</definedName>
    <definedName name="dbcount">#REF!</definedName>
    <definedName name="DU">#REF!</definedName>
    <definedName name="DU数">#REF!</definedName>
    <definedName name="ERRMSG">[15]errMsg一覧!$C$7:$C$14</definedName>
    <definedName name="FromConcordeLS" localSheetId="3">#REF!,#REF!,#REF!,#REF!,#REF!</definedName>
    <definedName name="FromConcordeLS" localSheetId="2">#REF!,#REF!,#REF!,#REF!,#REF!</definedName>
    <definedName name="FromConcordeLS">#REF!,#REF!,#REF!,#REF!,#REF!</definedName>
    <definedName name="IDX_NEXT">[32]会社ﾏｽﾀ!$N$23</definedName>
    <definedName name="IDX_PctFree">[32]会社ﾏｽﾀ!$N$21</definedName>
    <definedName name="IDX_SPACE">[32]会社ﾏｽﾀ!$N$20</definedName>
    <definedName name="IDX_Storage">[32]会社ﾏｽﾀ!$N$22</definedName>
    <definedName name="IFGS" localSheetId="3">#REF!</definedName>
    <definedName name="IFGS" localSheetId="2">#REF!</definedName>
    <definedName name="IFGS">#REF!</definedName>
    <definedName name="IFLS">#REF!</definedName>
    <definedName name="IFMALGS">#REF!</definedName>
    <definedName name="IFMALLS">#REF!</definedName>
    <definedName name="IFVPN">#REF!</definedName>
    <definedName name="in_ＡＤＳＬ利用">#REF!</definedName>
    <definedName name="in_PBﾀﾞｲﾔﾙｲﾝ・ﾓﾃﾞﾑﾀﾞｲﾔﾙｲﾝ">#REF!</definedName>
    <definedName name="in_ダイヤルイン桁数指定">#REF!</definedName>
    <definedName name="in_回線種別">#REF!</definedName>
    <definedName name="in_実回線・追加番号">#REF!</definedName>
    <definedName name="in_接続方式">#REF!</definedName>
    <definedName name="in_代表グループ">#REF!</definedName>
    <definedName name="in_代表ハント方式">#REF!</definedName>
    <definedName name="in_代表順位">#REF!</definedName>
    <definedName name="in_発着信専用">#REF!</definedName>
    <definedName name="in_利用有無">#REF!</definedName>
    <definedName name="INDEX">[32]会社ﾏｽﾀ!$H$8</definedName>
    <definedName name="Index_Length">[32]会社ﾏｽﾀ!$N$19</definedName>
    <definedName name="INITVALUE">[32]会社ﾏｽﾀ!$I$8</definedName>
    <definedName name="ITEM">[32]会社ﾏｽﾀ!$C$8</definedName>
    <definedName name="k" hidden="1">#REF!</definedName>
    <definedName name="KEITAI">#REF!</definedName>
    <definedName name="KETA">[32]会社ﾏｽﾀ!$E$8</definedName>
    <definedName name="KEY">[32]会社ﾏｽﾀ!$F$8</definedName>
    <definedName name="KOUTEI">#REF!</definedName>
    <definedName name="LANG">#REF!</definedName>
    <definedName name="Layout_Exp_Set" localSheetId="3">'B004'!Layout_Exp_Set</definedName>
    <definedName name="Layout_Exp_Set" localSheetId="1">試験概要!Layout_Exp_Set</definedName>
    <definedName name="Layout_Exp_Set" localSheetId="2">試験票!Layout_Exp_Set</definedName>
    <definedName name="Layout_Exp_Set">[0]!Layout_Exp_Set</definedName>
    <definedName name="Layout_Exp_Set2" localSheetId="3">'B004'!Layout_Exp_Set2</definedName>
    <definedName name="Layout_Exp_Set2" localSheetId="1">試験概要!Layout_Exp_Set2</definedName>
    <definedName name="Layout_Exp_Set2" localSheetId="2">試験票!Layout_Exp_Set2</definedName>
    <definedName name="Layout_Exp_Set2">[0]!Layout_Exp_Set2</definedName>
    <definedName name="Layout_Exp_Set3" localSheetId="3">'B004'!Layout_Exp_Set3</definedName>
    <definedName name="Layout_Exp_Set3" localSheetId="1">試験概要!Layout_Exp_Set3</definedName>
    <definedName name="Layout_Exp_Set3" localSheetId="2">試験票!Layout_Exp_Set3</definedName>
    <definedName name="Layout_Exp_Set3">[0]!Layout_Exp_Set3</definedName>
    <definedName name="LIST_ACTION">#REF!</definedName>
    <definedName name="LIST_EVENT">#REF!</definedName>
    <definedName name="LIST_FORM">#REF!</definedName>
    <definedName name="LIST_IO">#REF!</definedName>
    <definedName name="LIST_JPTBL">#REF!</definedName>
    <definedName name="LIST_OBJ">#REF!</definedName>
    <definedName name="LIST_SIZE">#REF!</definedName>
    <definedName name="LIST_TABLE">#REF!</definedName>
    <definedName name="LIST_VAL">#REF!</definedName>
    <definedName name="LIST_WIN">#REF!</definedName>
    <definedName name="maica">#REF!</definedName>
    <definedName name="NewBook☆">[18]!NewBook☆</definedName>
    <definedName name="NewBook★">[18]!NewBook★</definedName>
    <definedName name="NOTNULL">[32]会社ﾏｽﾀ!$G$8</definedName>
    <definedName name="P_ALL">#REF!</definedName>
    <definedName name="P_LOG">#REF!</definedName>
    <definedName name="ｐｒｉｎｔ">#REF!</definedName>
    <definedName name="_xlnm.Print_Area" localSheetId="3">'B004'!$A$1:$DC$396</definedName>
    <definedName name="_xlnm.Print_Area" localSheetId="2">試験票!$A$1:$AV$176</definedName>
    <definedName name="_xlnm.Print_Area">#REF!</definedName>
    <definedName name="Print_Title">#REF!</definedName>
    <definedName name="_xlnm.Print_Titles" localSheetId="3">'B004'!$6:$7</definedName>
    <definedName name="_xlnm.Print_Titles" localSheetId="2">試験票!$A:$AH,試験票!$2:$8</definedName>
    <definedName name="_xlnm.Print_Titles">#N/A</definedName>
    <definedName name="Print_Titles_MI">#REF!</definedName>
    <definedName name="Q">#REF!</definedName>
    <definedName name="R_LOG">#REF!</definedName>
    <definedName name="Rec_Length">[32]会社ﾏｽﾀ!$N$9</definedName>
    <definedName name="Return_Menu" localSheetId="3">'B004'!Return_Menu</definedName>
    <definedName name="Return_Menu" localSheetId="1">試験概要!Return_Menu</definedName>
    <definedName name="Return_Menu" localSheetId="2">試験票!Return_Menu</definedName>
    <definedName name="Return_Menu">[0]!Return_Menu</definedName>
    <definedName name="Return_Menu2" localSheetId="3">'B004'!Return_Menu2</definedName>
    <definedName name="Return_Menu2" localSheetId="1">試験概要!Return_Menu2</definedName>
    <definedName name="Return_Menu2" localSheetId="2">試験票!Return_Menu2</definedName>
    <definedName name="Return_Menu2">[0]!Return_Menu2</definedName>
    <definedName name="SortNewBook">[18]!SortNewBook</definedName>
    <definedName name="SortモジュｰルID">[18]!SortモジュｰルID</definedName>
    <definedName name="Sort確認用">[18]!Sort確認用</definedName>
    <definedName name="Sort完了予定">[18]!Sort完了予定</definedName>
    <definedName name="Sort管理No">[18]!Sort管理No</definedName>
    <definedName name="SPUSER_SERVER_SHUBETSU">#REF!</definedName>
    <definedName name="TBL_NEXT">[32]会社ﾏｽﾀ!$N$15</definedName>
    <definedName name="TBL_PctFree">[32]会社ﾏｽﾀ!$N$12</definedName>
    <definedName name="TBL_PctUsed">[32]会社ﾏｽﾀ!$N$13</definedName>
    <definedName name="TBL_SPACE">[32]会社ﾏｽﾀ!$N$11</definedName>
    <definedName name="TBL_Storage">[32]会社ﾏｽﾀ!$N$14</definedName>
    <definedName name="TEKIYOU">#REF!</definedName>
    <definedName name="Ｔｐ名称">[2]Ｔｐ資料!$A$1:$A$120</definedName>
    <definedName name="TYPE">[32]会社ﾏｽﾀ!$D$8</definedName>
    <definedName name="UserID">[35]data!#REF!</definedName>
    <definedName name="ああ">#REF!</definedName>
    <definedName name="さああ">[32]会社ﾏｽﾀ!$J$8</definedName>
    <definedName name="テーブル物理名称">OFFSET([23]テーブル定義!$A$1,0,0,1,COUNTA([23]テーブル定義!$A$1:$IV$1))</definedName>
    <definedName name="ね表紙" hidden="1">#REF!</definedName>
    <definedName name="バリデータ">[15]選択!$A$2:$A$6</definedName>
    <definedName name="プロジェクト名">[25]表紙!$N$2</definedName>
    <definedName name="ﾛｰｶﾙ得意先マスタ">#REF!</definedName>
    <definedName name="ﾛｰｶﾙ得意先商品マスタ">#REF!</definedName>
    <definedName name="科目コード表抽出クエリ">#REF!</definedName>
    <definedName name="回線">#REF!</definedName>
    <definedName name="回線数">#REF!</definedName>
    <definedName name="勘定科目①">[36]Sheet1!$F$4:$F$6</definedName>
    <definedName name="関連表" hidden="1">#REF!</definedName>
    <definedName name="項番１" localSheetId="3">#REF!</definedName>
    <definedName name="項番１" localSheetId="2">#REF!</definedName>
    <definedName name="項番１">#REF!</definedName>
    <definedName name="項目☆">[18]!項目☆</definedName>
    <definedName name="項目ＤＢ">[27]項目一覧!$A$3:$D$2998</definedName>
    <definedName name="項目一覧">[28]項目一覧!$C$7:$C$28</definedName>
    <definedName name="作成者">[25]表紙!$N$7</definedName>
    <definedName name="作成日">[25]表紙!$N$9</definedName>
    <definedName name="集計">[18]!集計</definedName>
    <definedName name="重複">[23]凡例!$C$8:$C$9</definedName>
    <definedName name="条件式">#REF!</definedName>
    <definedName name="申込数">#REF!</definedName>
    <definedName name="請求ＤＢ">#REF!</definedName>
    <definedName name="電話帳数">#REF!</definedName>
    <definedName name="版数">[25]表紙!$N$6</definedName>
    <definedName name="品目コード表抽出クエリ_GATE">#REF!</definedName>
    <definedName name="分析ﾃﾞｰﾀ">[29]データ!$A$1:$B$60</definedName>
    <definedName name="文書名">[25]表紙!$N$4</definedName>
    <definedName name="料金科目TBL">[30]料金科目テーブル!$F$1:$N$190</definedName>
  </definedNames>
  <calcPr calcId="179017" fullCalcOnLoad="1"/>
</workbook>
</file>

<file path=xl/calcChain.xml><?xml version="1.0" encoding="utf-8"?>
<calcChain xmlns="http://schemas.openxmlformats.org/spreadsheetml/2006/main">
  <c r="CP30" i="56" l="1"/>
  <c r="CP29" i="56"/>
  <c r="CP28" i="56"/>
  <c r="CP27" i="56"/>
  <c r="CN27" i="56"/>
  <c r="CO27" i="56"/>
  <c r="CP26" i="56"/>
  <c r="CP25" i="56"/>
  <c r="CP24" i="56"/>
  <c r="CO23" i="56"/>
  <c r="BW36" i="56"/>
  <c r="BW35" i="56"/>
  <c r="BW34" i="56"/>
  <c r="BW33" i="56"/>
  <c r="BM9" i="56"/>
  <c r="BJ396" i="56"/>
  <c r="BJ395" i="56"/>
  <c r="BJ376" i="56"/>
  <c r="BJ375" i="56"/>
  <c r="BJ367" i="56"/>
  <c r="BJ366" i="56"/>
  <c r="BJ365" i="56"/>
  <c r="BJ346" i="56"/>
  <c r="BJ345" i="56"/>
  <c r="BJ337" i="56"/>
  <c r="BJ336" i="56"/>
  <c r="BJ335" i="56"/>
  <c r="BJ316" i="56"/>
  <c r="BJ315" i="56"/>
  <c r="BJ307" i="56"/>
  <c r="BJ306" i="56"/>
  <c r="BJ305" i="56"/>
  <c r="BJ286" i="56"/>
  <c r="BJ285" i="56"/>
  <c r="BJ277" i="56"/>
  <c r="BJ276" i="56"/>
  <c r="BJ275" i="56"/>
  <c r="BJ256" i="56"/>
  <c r="BJ255" i="56"/>
  <c r="BJ247" i="56"/>
  <c r="BJ246" i="56"/>
  <c r="BJ245" i="56"/>
  <c r="BJ226" i="56"/>
  <c r="BJ225" i="56"/>
  <c r="BJ217" i="56"/>
  <c r="BJ216" i="56"/>
  <c r="BJ215" i="56"/>
  <c r="BJ196" i="56"/>
  <c r="BJ195" i="56"/>
  <c r="BJ187" i="56"/>
  <c r="BJ186" i="56"/>
  <c r="BJ185" i="56"/>
  <c r="BJ166" i="56"/>
  <c r="BJ165" i="56"/>
  <c r="BJ157" i="56"/>
  <c r="BJ156" i="56"/>
  <c r="BJ155" i="56"/>
  <c r="BJ136" i="56"/>
  <c r="BJ135" i="56"/>
  <c r="BJ127" i="56"/>
  <c r="BJ126" i="56"/>
  <c r="BJ125" i="56"/>
  <c r="BJ106" i="56"/>
  <c r="BJ105" i="56"/>
  <c r="BJ97" i="56"/>
  <c r="BJ96" i="56"/>
  <c r="BJ95" i="56"/>
  <c r="BJ76" i="56"/>
  <c r="BJ75" i="56"/>
  <c r="BJ67" i="56"/>
  <c r="BJ66" i="56"/>
  <c r="BK66" i="56"/>
  <c r="BJ65" i="56"/>
  <c r="BK65" i="56"/>
  <c r="BJ46" i="56"/>
  <c r="BK46" i="56"/>
  <c r="BJ45" i="56"/>
  <c r="BK45" i="56"/>
  <c r="BJ37" i="56"/>
  <c r="BK37" i="56"/>
  <c r="BJ36" i="56"/>
  <c r="BK36" i="56"/>
  <c r="BJ35" i="56"/>
  <c r="BK35" i="56"/>
  <c r="BJ31" i="56"/>
  <c r="BK31" i="56"/>
  <c r="BJ25" i="56"/>
  <c r="BK25" i="56"/>
  <c r="BJ23" i="56"/>
  <c r="BK23" i="56"/>
  <c r="BJ22" i="56"/>
  <c r="BK22" i="56"/>
  <c r="BJ21" i="56"/>
  <c r="BK21" i="56"/>
  <c r="BK11" i="56"/>
  <c r="BK10" i="56"/>
  <c r="BJ10" i="56"/>
  <c r="BJ9" i="56"/>
  <c r="BK9" i="56"/>
  <c r="BK8" i="56"/>
  <c r="BL31" i="56"/>
  <c r="BL32" i="56"/>
  <c r="BJ32" i="56"/>
  <c r="BK32" i="56"/>
  <c r="BL30" i="56"/>
  <c r="BL29" i="56"/>
  <c r="BL28" i="56"/>
  <c r="BJ28" i="56"/>
  <c r="BK28" i="56"/>
  <c r="BL27" i="56"/>
  <c r="BJ27" i="56"/>
  <c r="BK27" i="56"/>
  <c r="BL26" i="56"/>
  <c r="BJ26" i="56"/>
  <c r="BK26" i="56"/>
  <c r="BL25" i="56"/>
  <c r="BL24" i="56"/>
  <c r="AR307" i="56"/>
  <c r="CZ396" i="56"/>
  <c r="DA396" i="56"/>
  <c r="CZ395" i="56"/>
  <c r="DA395" i="56"/>
  <c r="CZ376" i="56"/>
  <c r="DA376" i="56"/>
  <c r="CZ375" i="56"/>
  <c r="DA375" i="56"/>
  <c r="CZ367" i="56"/>
  <c r="DA367" i="56"/>
  <c r="CZ366" i="56"/>
  <c r="DA366" i="56"/>
  <c r="CZ365" i="56"/>
  <c r="DA365" i="56"/>
  <c r="CZ346" i="56"/>
  <c r="DA346" i="56"/>
  <c r="CZ345" i="56"/>
  <c r="DA345" i="56"/>
  <c r="CZ337" i="56"/>
  <c r="DA337" i="56"/>
  <c r="CZ336" i="56"/>
  <c r="DA336" i="56"/>
  <c r="CZ335" i="56"/>
  <c r="DA335" i="56"/>
  <c r="CZ316" i="56"/>
  <c r="DA316" i="56"/>
  <c r="CZ315" i="56"/>
  <c r="DA315" i="56"/>
  <c r="CZ307" i="56"/>
  <c r="DA307" i="56"/>
  <c r="CZ306" i="56"/>
  <c r="DA306" i="56"/>
  <c r="CZ305" i="56"/>
  <c r="DA305" i="56"/>
  <c r="CZ286" i="56"/>
  <c r="DA286" i="56"/>
  <c r="CZ285" i="56"/>
  <c r="DA285" i="56"/>
  <c r="CZ277" i="56"/>
  <c r="DA277" i="56"/>
  <c r="CZ276" i="56"/>
  <c r="DA276" i="56"/>
  <c r="CZ275" i="56"/>
  <c r="DA275" i="56"/>
  <c r="CZ256" i="56"/>
  <c r="DA256" i="56"/>
  <c r="CZ255" i="56"/>
  <c r="DA255" i="56"/>
  <c r="CZ247" i="56"/>
  <c r="DA247" i="56"/>
  <c r="CZ246" i="56"/>
  <c r="DA246" i="56"/>
  <c r="CZ245" i="56"/>
  <c r="DA245" i="56"/>
  <c r="CZ226" i="56"/>
  <c r="DA226" i="56"/>
  <c r="CZ225" i="56"/>
  <c r="DA225" i="56"/>
  <c r="CZ217" i="56"/>
  <c r="DA217" i="56"/>
  <c r="CZ216" i="56"/>
  <c r="DA216" i="56"/>
  <c r="CZ215" i="56"/>
  <c r="DA215" i="56"/>
  <c r="CZ196" i="56"/>
  <c r="DA196" i="56"/>
  <c r="CZ195" i="56"/>
  <c r="DA195" i="56"/>
  <c r="CZ187" i="56"/>
  <c r="DA187" i="56"/>
  <c r="CZ186" i="56"/>
  <c r="DA186" i="56"/>
  <c r="CZ185" i="56"/>
  <c r="DA185" i="56"/>
  <c r="CZ166" i="56"/>
  <c r="DA166" i="56"/>
  <c r="CZ165" i="56"/>
  <c r="DA165" i="56"/>
  <c r="CZ157" i="56"/>
  <c r="DA157" i="56"/>
  <c r="CZ156" i="56"/>
  <c r="DA156" i="56"/>
  <c r="CZ155" i="56"/>
  <c r="DA155" i="56"/>
  <c r="CZ136" i="56"/>
  <c r="DA136" i="56"/>
  <c r="CZ135" i="56"/>
  <c r="DA135" i="56"/>
  <c r="CZ127" i="56"/>
  <c r="DA127" i="56"/>
  <c r="CZ126" i="56"/>
  <c r="DA126" i="56"/>
  <c r="CZ125" i="56"/>
  <c r="DA125" i="56"/>
  <c r="CZ106" i="56"/>
  <c r="DA106" i="56"/>
  <c r="CZ105" i="56"/>
  <c r="DA105" i="56"/>
  <c r="CZ97" i="56"/>
  <c r="DA97" i="56"/>
  <c r="CZ96" i="56"/>
  <c r="DA96" i="56"/>
  <c r="CZ95" i="56"/>
  <c r="DA95" i="56"/>
  <c r="CZ76" i="56"/>
  <c r="DA76" i="56"/>
  <c r="CZ75" i="56"/>
  <c r="DA75" i="56"/>
  <c r="CZ67" i="56"/>
  <c r="DA67" i="56"/>
  <c r="CZ66" i="56"/>
  <c r="DA66" i="56"/>
  <c r="CZ65" i="56"/>
  <c r="DA65" i="56"/>
  <c r="CZ46" i="56"/>
  <c r="DA46" i="56"/>
  <c r="CZ45" i="56"/>
  <c r="DA45" i="56"/>
  <c r="CZ37" i="56"/>
  <c r="DA37" i="56"/>
  <c r="DC36" i="56"/>
  <c r="CZ36" i="56"/>
  <c r="DA36" i="56"/>
  <c r="DC35" i="56"/>
  <c r="CZ35" i="56"/>
  <c r="DA35" i="56"/>
  <c r="DC34" i="56"/>
  <c r="DC33" i="56"/>
  <c r="DC32" i="56"/>
  <c r="CZ32" i="56"/>
  <c r="DA32" i="56"/>
  <c r="DC31" i="56"/>
  <c r="CZ31" i="56"/>
  <c r="DA31" i="56"/>
  <c r="DC30" i="56"/>
  <c r="DC29" i="56"/>
  <c r="DC28" i="56"/>
  <c r="CZ28" i="56"/>
  <c r="DA28" i="56"/>
  <c r="DC27" i="56"/>
  <c r="CZ27" i="56"/>
  <c r="DA27" i="56"/>
  <c r="DC26" i="56"/>
  <c r="CZ26" i="56"/>
  <c r="DA26" i="56"/>
  <c r="DC25" i="56"/>
  <c r="CZ25" i="56"/>
  <c r="DA25" i="56"/>
  <c r="DC24" i="56"/>
  <c r="DC23" i="56"/>
  <c r="CZ23" i="56"/>
  <c r="DA23" i="56"/>
  <c r="DC22" i="56"/>
  <c r="CZ22" i="56"/>
  <c r="DA22" i="56"/>
  <c r="DC21" i="56"/>
  <c r="CZ21" i="56"/>
  <c r="DA21" i="56"/>
  <c r="DB20" i="56"/>
  <c r="DC20" i="56"/>
  <c r="DB19" i="56"/>
  <c r="CZ19" i="56"/>
  <c r="DA19" i="56"/>
  <c r="DB18" i="56"/>
  <c r="CZ18" i="56"/>
  <c r="DA18" i="56"/>
  <c r="DB17" i="56"/>
  <c r="DB16" i="56"/>
  <c r="DB15" i="56"/>
  <c r="DB14" i="56"/>
  <c r="DB13" i="56"/>
  <c r="DB12" i="56"/>
  <c r="DB11" i="56"/>
  <c r="DC11" i="56"/>
  <c r="DA11" i="56"/>
  <c r="DC10" i="56"/>
  <c r="CZ10" i="56"/>
  <c r="DA10" i="56"/>
  <c r="DC9" i="56"/>
  <c r="CZ9" i="56"/>
  <c r="DA9" i="56"/>
  <c r="DA8" i="56"/>
  <c r="CT396" i="56"/>
  <c r="CU396" i="56"/>
  <c r="CT395" i="56"/>
  <c r="CU395" i="56"/>
  <c r="CT376" i="56"/>
  <c r="CU376" i="56"/>
  <c r="CT375" i="56"/>
  <c r="CU375" i="56"/>
  <c r="CT367" i="56"/>
  <c r="CU367" i="56"/>
  <c r="CT366" i="56"/>
  <c r="CU366" i="56"/>
  <c r="CT365" i="56"/>
  <c r="CU365" i="56"/>
  <c r="CT346" i="56"/>
  <c r="CU346" i="56"/>
  <c r="CT345" i="56"/>
  <c r="CU345" i="56"/>
  <c r="CT337" i="56"/>
  <c r="CU337" i="56"/>
  <c r="CT336" i="56"/>
  <c r="CU336" i="56"/>
  <c r="CT335" i="56"/>
  <c r="CU335" i="56"/>
  <c r="CT316" i="56"/>
  <c r="CU316" i="56"/>
  <c r="CT315" i="56"/>
  <c r="CU315" i="56"/>
  <c r="CT307" i="56"/>
  <c r="CU307" i="56"/>
  <c r="CT306" i="56"/>
  <c r="CU306" i="56"/>
  <c r="CT305" i="56"/>
  <c r="CU305" i="56"/>
  <c r="CT286" i="56"/>
  <c r="CU286" i="56"/>
  <c r="CT285" i="56"/>
  <c r="CU285" i="56"/>
  <c r="CT277" i="56"/>
  <c r="CU277" i="56"/>
  <c r="CT276" i="56"/>
  <c r="CU276" i="56"/>
  <c r="CT275" i="56"/>
  <c r="CU275" i="56"/>
  <c r="CT256" i="56"/>
  <c r="CU256" i="56"/>
  <c r="CT255" i="56"/>
  <c r="CU255" i="56"/>
  <c r="CT247" i="56"/>
  <c r="CU247" i="56"/>
  <c r="CT246" i="56"/>
  <c r="CU246" i="56"/>
  <c r="CT245" i="56"/>
  <c r="CU245" i="56"/>
  <c r="CT226" i="56"/>
  <c r="CU226" i="56"/>
  <c r="CT225" i="56"/>
  <c r="CU225" i="56"/>
  <c r="CT217" i="56"/>
  <c r="CU217" i="56"/>
  <c r="CT216" i="56"/>
  <c r="CU216" i="56"/>
  <c r="CT215" i="56"/>
  <c r="CU215" i="56"/>
  <c r="CT196" i="56"/>
  <c r="CU196" i="56"/>
  <c r="CT195" i="56"/>
  <c r="CU195" i="56"/>
  <c r="CT187" i="56"/>
  <c r="CU187" i="56"/>
  <c r="CT186" i="56"/>
  <c r="CU186" i="56"/>
  <c r="CT185" i="56"/>
  <c r="CU185" i="56"/>
  <c r="CT166" i="56"/>
  <c r="CU166" i="56"/>
  <c r="CT165" i="56"/>
  <c r="CU165" i="56"/>
  <c r="CT157" i="56"/>
  <c r="CU157" i="56"/>
  <c r="CT156" i="56"/>
  <c r="CU156" i="56"/>
  <c r="CT155" i="56"/>
  <c r="CU155" i="56"/>
  <c r="CT136" i="56"/>
  <c r="CU136" i="56"/>
  <c r="CT135" i="56"/>
  <c r="CU135" i="56"/>
  <c r="CT127" i="56"/>
  <c r="CU127" i="56"/>
  <c r="CT126" i="56"/>
  <c r="CU126" i="56"/>
  <c r="CT125" i="56"/>
  <c r="CU125" i="56"/>
  <c r="CT106" i="56"/>
  <c r="CU106" i="56"/>
  <c r="CT105" i="56"/>
  <c r="CU105" i="56"/>
  <c r="CT97" i="56"/>
  <c r="CU97" i="56"/>
  <c r="CT96" i="56"/>
  <c r="CU96" i="56"/>
  <c r="CT95" i="56"/>
  <c r="CU95" i="56"/>
  <c r="CT76" i="56"/>
  <c r="CU76" i="56"/>
  <c r="CT75" i="56"/>
  <c r="CU75" i="56"/>
  <c r="CT67" i="56"/>
  <c r="CU67" i="56"/>
  <c r="CT66" i="56"/>
  <c r="CU66" i="56"/>
  <c r="CT65" i="56"/>
  <c r="CU65" i="56"/>
  <c r="CT46" i="56"/>
  <c r="CU46" i="56"/>
  <c r="CT45" i="56"/>
  <c r="CU45" i="56"/>
  <c r="CT37" i="56"/>
  <c r="CU37" i="56"/>
  <c r="CW36" i="56"/>
  <c r="CT36" i="56"/>
  <c r="CU36" i="56"/>
  <c r="CW35" i="56"/>
  <c r="CT35" i="56"/>
  <c r="CU35" i="56"/>
  <c r="CW34" i="56"/>
  <c r="CW33" i="56"/>
  <c r="CW32" i="56"/>
  <c r="CT32" i="56"/>
  <c r="CU32" i="56"/>
  <c r="CW31" i="56"/>
  <c r="CT31" i="56"/>
  <c r="CU31" i="56"/>
  <c r="CW30" i="56"/>
  <c r="CW29" i="56"/>
  <c r="CW28" i="56"/>
  <c r="CT28" i="56"/>
  <c r="CU28" i="56"/>
  <c r="CW27" i="56"/>
  <c r="CT27" i="56"/>
  <c r="CU27" i="56"/>
  <c r="CW26" i="56"/>
  <c r="CT26" i="56"/>
  <c r="CU26" i="56"/>
  <c r="CW25" i="56"/>
  <c r="CT25" i="56"/>
  <c r="CU25" i="56"/>
  <c r="CW24" i="56"/>
  <c r="CW23" i="56"/>
  <c r="CT23" i="56"/>
  <c r="CU23" i="56"/>
  <c r="CW22" i="56"/>
  <c r="CT22" i="56"/>
  <c r="CU22" i="56"/>
  <c r="CW21" i="56"/>
  <c r="CT21" i="56"/>
  <c r="CU21" i="56"/>
  <c r="CV20" i="56"/>
  <c r="CW20" i="56"/>
  <c r="CV19" i="56"/>
  <c r="CW19" i="56"/>
  <c r="CV18" i="56"/>
  <c r="CW18" i="56"/>
  <c r="CV17" i="56"/>
  <c r="CW17" i="56"/>
  <c r="CV16" i="56"/>
  <c r="CW16" i="56"/>
  <c r="CV15" i="56"/>
  <c r="CW15" i="56"/>
  <c r="CV14" i="56"/>
  <c r="CW14" i="56"/>
  <c r="CV13" i="56"/>
  <c r="CT13" i="56"/>
  <c r="CU13" i="56"/>
  <c r="CV12" i="56"/>
  <c r="CW12" i="56"/>
  <c r="CV11" i="56"/>
  <c r="CW11" i="56"/>
  <c r="CU11" i="56"/>
  <c r="CW10" i="56"/>
  <c r="CT10" i="56"/>
  <c r="CU10" i="56"/>
  <c r="CW9" i="56"/>
  <c r="CT9" i="56"/>
  <c r="CU9" i="56"/>
  <c r="CU8" i="56"/>
  <c r="CN396" i="56"/>
  <c r="CN395" i="56"/>
  <c r="CN376" i="56"/>
  <c r="CN375" i="56"/>
  <c r="CN367" i="56"/>
  <c r="CN366" i="56"/>
  <c r="CN365" i="56"/>
  <c r="CN346" i="56"/>
  <c r="CN345" i="56"/>
  <c r="CN337" i="56"/>
  <c r="CN336" i="56"/>
  <c r="CN335" i="56"/>
  <c r="CN316" i="56"/>
  <c r="CN315" i="56"/>
  <c r="CN307" i="56"/>
  <c r="CN306" i="56"/>
  <c r="CN305" i="56"/>
  <c r="CN286" i="56"/>
  <c r="CN285" i="56"/>
  <c r="CN277" i="56"/>
  <c r="CN276" i="56"/>
  <c r="CN275" i="56"/>
  <c r="CN256" i="56"/>
  <c r="CN255" i="56"/>
  <c r="CN247" i="56"/>
  <c r="CN246" i="56"/>
  <c r="CN245" i="56"/>
  <c r="CN226" i="56"/>
  <c r="CN225" i="56"/>
  <c r="CN217" i="56"/>
  <c r="CN216" i="56"/>
  <c r="CN215" i="56"/>
  <c r="CN196" i="56"/>
  <c r="CN195" i="56"/>
  <c r="CN187" i="56"/>
  <c r="CN186" i="56"/>
  <c r="CN185" i="56"/>
  <c r="CN166" i="56"/>
  <c r="CN165" i="56"/>
  <c r="CN157" i="56"/>
  <c r="CN156" i="56"/>
  <c r="CN155" i="56"/>
  <c r="CN136" i="56"/>
  <c r="CN135" i="56"/>
  <c r="CN127" i="56"/>
  <c r="CN126" i="56"/>
  <c r="CN125" i="56"/>
  <c r="CN106" i="56"/>
  <c r="CN105" i="56"/>
  <c r="CN97" i="56"/>
  <c r="CN96" i="56"/>
  <c r="CN95" i="56"/>
  <c r="CN76" i="56"/>
  <c r="CN75" i="56"/>
  <c r="CN67" i="56"/>
  <c r="CN66" i="56"/>
  <c r="CN65" i="56"/>
  <c r="CN46" i="56"/>
  <c r="CN45" i="56"/>
  <c r="CN37" i="56"/>
  <c r="CN36" i="56"/>
  <c r="CN35" i="56"/>
  <c r="CN32" i="56"/>
  <c r="CO32" i="56"/>
  <c r="CN31" i="56"/>
  <c r="CO31" i="56"/>
  <c r="CN23" i="56"/>
  <c r="CN22" i="56"/>
  <c r="CO22" i="56"/>
  <c r="CN21" i="56"/>
  <c r="CO21" i="56"/>
  <c r="CP20" i="56"/>
  <c r="CN20" i="56"/>
  <c r="CO20" i="56"/>
  <c r="CP19" i="56"/>
  <c r="CN19" i="56"/>
  <c r="CO19" i="56"/>
  <c r="CP18" i="56"/>
  <c r="CN18" i="56"/>
  <c r="CO18" i="56"/>
  <c r="CP17" i="56"/>
  <c r="CN17" i="56"/>
  <c r="CO17" i="56"/>
  <c r="CP16" i="56"/>
  <c r="CN16" i="56"/>
  <c r="CO16" i="56"/>
  <c r="CP15" i="56"/>
  <c r="CN15" i="56"/>
  <c r="CO15" i="56"/>
  <c r="CP14" i="56"/>
  <c r="CN14" i="56"/>
  <c r="CO14" i="56"/>
  <c r="CP13" i="56"/>
  <c r="CN13" i="56"/>
  <c r="CO13" i="56"/>
  <c r="CP12" i="56"/>
  <c r="CN12" i="56"/>
  <c r="CO12" i="56"/>
  <c r="CP11" i="56"/>
  <c r="CO11" i="56"/>
  <c r="CN10" i="56"/>
  <c r="CO10" i="56"/>
  <c r="CN9" i="56"/>
  <c r="CO9" i="56"/>
  <c r="CO8" i="56"/>
  <c r="CQ358" i="56"/>
  <c r="CK396" i="56"/>
  <c r="CH396" i="56"/>
  <c r="CI396" i="56"/>
  <c r="CK395" i="56"/>
  <c r="CH395" i="56"/>
  <c r="CI395" i="56"/>
  <c r="CK394" i="56"/>
  <c r="CK393" i="56"/>
  <c r="CK392" i="56"/>
  <c r="CK391" i="56"/>
  <c r="CK390" i="56"/>
  <c r="CK389" i="56"/>
  <c r="CK388" i="56"/>
  <c r="CK387" i="56"/>
  <c r="CK386" i="56"/>
  <c r="CK385" i="56"/>
  <c r="CK384" i="56"/>
  <c r="CK383" i="56"/>
  <c r="CK382" i="56"/>
  <c r="CK381" i="56"/>
  <c r="CK380" i="56"/>
  <c r="CK379" i="56"/>
  <c r="CK378" i="56"/>
  <c r="CK377" i="56"/>
  <c r="CK376" i="56"/>
  <c r="CH376" i="56"/>
  <c r="CI376" i="56"/>
  <c r="CK375" i="56"/>
  <c r="CH375" i="56"/>
  <c r="CI375" i="56"/>
  <c r="CK374" i="56"/>
  <c r="CK373" i="56"/>
  <c r="CK372" i="56"/>
  <c r="CK371" i="56"/>
  <c r="CK370" i="56"/>
  <c r="CK369" i="56"/>
  <c r="CK368" i="56"/>
  <c r="CK367" i="56"/>
  <c r="CH367" i="56"/>
  <c r="CI367" i="56"/>
  <c r="CK366" i="56"/>
  <c r="CH366" i="56"/>
  <c r="CI366" i="56"/>
  <c r="CK365" i="56"/>
  <c r="CH365" i="56"/>
  <c r="CI365" i="56"/>
  <c r="CK364" i="56"/>
  <c r="CK363" i="56"/>
  <c r="CK362" i="56"/>
  <c r="CK361" i="56"/>
  <c r="CK360" i="56"/>
  <c r="CK359" i="56"/>
  <c r="CK358" i="56"/>
  <c r="CK357" i="56"/>
  <c r="CK356" i="56"/>
  <c r="CK355" i="56"/>
  <c r="CK354" i="56"/>
  <c r="CK353" i="56"/>
  <c r="CK352" i="56"/>
  <c r="CK351" i="56"/>
  <c r="CK350" i="56"/>
  <c r="CK349" i="56"/>
  <c r="CK348" i="56"/>
  <c r="CK347" i="56"/>
  <c r="CK346" i="56"/>
  <c r="CH346" i="56"/>
  <c r="CI346" i="56"/>
  <c r="CK345" i="56"/>
  <c r="CH345" i="56"/>
  <c r="CI345" i="56"/>
  <c r="CK344" i="56"/>
  <c r="CK343" i="56"/>
  <c r="CK342" i="56"/>
  <c r="CK341" i="56"/>
  <c r="CK340" i="56"/>
  <c r="CK339" i="56"/>
  <c r="CK338" i="56"/>
  <c r="CK337" i="56"/>
  <c r="CH337" i="56"/>
  <c r="CI337" i="56"/>
  <c r="CK336" i="56"/>
  <c r="CH336" i="56"/>
  <c r="CI336" i="56"/>
  <c r="CK335" i="56"/>
  <c r="CH335" i="56"/>
  <c r="CI335" i="56"/>
  <c r="CK334" i="56"/>
  <c r="CK333" i="56"/>
  <c r="CK332" i="56"/>
  <c r="CK331" i="56"/>
  <c r="CK330" i="56"/>
  <c r="CK329" i="56"/>
  <c r="CK328" i="56"/>
  <c r="CK327" i="56"/>
  <c r="CK326" i="56"/>
  <c r="CK325" i="56"/>
  <c r="CK324" i="56"/>
  <c r="CK323" i="56"/>
  <c r="CK322" i="56"/>
  <c r="CK321" i="56"/>
  <c r="CK320" i="56"/>
  <c r="CK319" i="56"/>
  <c r="CK318" i="56"/>
  <c r="CK317" i="56"/>
  <c r="CK316" i="56"/>
  <c r="CH316" i="56"/>
  <c r="CI316" i="56"/>
  <c r="CK315" i="56"/>
  <c r="CH315" i="56"/>
  <c r="CI315" i="56"/>
  <c r="CK314" i="56"/>
  <c r="CK313" i="56"/>
  <c r="CK312" i="56"/>
  <c r="CK311" i="56"/>
  <c r="CK310" i="56"/>
  <c r="CK309" i="56"/>
  <c r="CK308" i="56"/>
  <c r="CK307" i="56"/>
  <c r="CH307" i="56"/>
  <c r="CI307" i="56"/>
  <c r="CK306" i="56"/>
  <c r="CH306" i="56"/>
  <c r="CI306" i="56"/>
  <c r="CK305" i="56"/>
  <c r="CH305" i="56"/>
  <c r="CI305" i="56"/>
  <c r="CK304" i="56"/>
  <c r="CK303" i="56"/>
  <c r="CK302" i="56"/>
  <c r="CK301" i="56"/>
  <c r="CK300" i="56"/>
  <c r="CK299" i="56"/>
  <c r="CK298" i="56"/>
  <c r="CK297" i="56"/>
  <c r="CK296" i="56"/>
  <c r="CK295" i="56"/>
  <c r="CK294" i="56"/>
  <c r="CK293" i="56"/>
  <c r="CK292" i="56"/>
  <c r="CK291" i="56"/>
  <c r="CK290" i="56"/>
  <c r="CK289" i="56"/>
  <c r="CK288" i="56"/>
  <c r="CK287" i="56"/>
  <c r="CK286" i="56"/>
  <c r="CH286" i="56"/>
  <c r="CI286" i="56"/>
  <c r="CK285" i="56"/>
  <c r="CH285" i="56"/>
  <c r="CI285" i="56"/>
  <c r="CK284" i="56"/>
  <c r="CK283" i="56"/>
  <c r="CK282" i="56"/>
  <c r="CK281" i="56"/>
  <c r="CK280" i="56"/>
  <c r="CK279" i="56"/>
  <c r="CK278" i="56"/>
  <c r="CK277" i="56"/>
  <c r="CH277" i="56"/>
  <c r="CI277" i="56"/>
  <c r="CK276" i="56"/>
  <c r="CH276" i="56"/>
  <c r="CI276" i="56"/>
  <c r="CK275" i="56"/>
  <c r="CH275" i="56"/>
  <c r="CI275" i="56"/>
  <c r="CK274" i="56"/>
  <c r="CK273" i="56"/>
  <c r="CK272" i="56"/>
  <c r="CK271" i="56"/>
  <c r="CK270" i="56"/>
  <c r="CK269" i="56"/>
  <c r="CK268" i="56"/>
  <c r="CK267" i="56"/>
  <c r="CK266" i="56"/>
  <c r="CK265" i="56"/>
  <c r="CK264" i="56"/>
  <c r="CK263" i="56"/>
  <c r="CK262" i="56"/>
  <c r="CK261" i="56"/>
  <c r="CK260" i="56"/>
  <c r="CK259" i="56"/>
  <c r="CK258" i="56"/>
  <c r="CK257" i="56"/>
  <c r="CK256" i="56"/>
  <c r="CH256" i="56"/>
  <c r="CI256" i="56"/>
  <c r="CK255" i="56"/>
  <c r="CH255" i="56"/>
  <c r="CI255" i="56"/>
  <c r="CK254" i="56"/>
  <c r="CK253" i="56"/>
  <c r="CK252" i="56"/>
  <c r="CK251" i="56"/>
  <c r="CK250" i="56"/>
  <c r="CK249" i="56"/>
  <c r="CK248" i="56"/>
  <c r="CK247" i="56"/>
  <c r="CH247" i="56"/>
  <c r="CI247" i="56"/>
  <c r="CK246" i="56"/>
  <c r="CH246" i="56"/>
  <c r="CI246" i="56"/>
  <c r="CK245" i="56"/>
  <c r="CH245" i="56"/>
  <c r="CI245" i="56"/>
  <c r="CK244" i="56"/>
  <c r="CK243" i="56"/>
  <c r="CK242" i="56"/>
  <c r="CK241" i="56"/>
  <c r="CK240" i="56"/>
  <c r="CK239" i="56"/>
  <c r="CK238" i="56"/>
  <c r="CK237" i="56"/>
  <c r="CK236" i="56"/>
  <c r="CK235" i="56"/>
  <c r="CK234" i="56"/>
  <c r="CK233" i="56"/>
  <c r="CK232" i="56"/>
  <c r="CK231" i="56"/>
  <c r="CK230" i="56"/>
  <c r="CK229" i="56"/>
  <c r="CK228" i="56"/>
  <c r="CK227" i="56"/>
  <c r="CK226" i="56"/>
  <c r="CH226" i="56"/>
  <c r="CI226" i="56"/>
  <c r="CK225" i="56"/>
  <c r="CH225" i="56"/>
  <c r="CI225" i="56"/>
  <c r="CK224" i="56"/>
  <c r="CK223" i="56"/>
  <c r="CK222" i="56"/>
  <c r="CK221" i="56"/>
  <c r="CK220" i="56"/>
  <c r="CK219" i="56"/>
  <c r="CK218" i="56"/>
  <c r="CK217" i="56"/>
  <c r="CH217" i="56"/>
  <c r="CI217" i="56"/>
  <c r="CK216" i="56"/>
  <c r="CH216" i="56"/>
  <c r="CI216" i="56"/>
  <c r="CK215" i="56"/>
  <c r="CH215" i="56"/>
  <c r="CI215" i="56"/>
  <c r="CK214" i="56"/>
  <c r="CK213" i="56"/>
  <c r="CK212" i="56"/>
  <c r="CK211" i="56"/>
  <c r="CK210" i="56"/>
  <c r="CK209" i="56"/>
  <c r="CK208" i="56"/>
  <c r="CK207" i="56"/>
  <c r="CK206" i="56"/>
  <c r="CK205" i="56"/>
  <c r="CK204" i="56"/>
  <c r="CK203" i="56"/>
  <c r="CK202" i="56"/>
  <c r="CK201" i="56"/>
  <c r="CK200" i="56"/>
  <c r="CK199" i="56"/>
  <c r="CK198" i="56"/>
  <c r="CK197" i="56"/>
  <c r="CK196" i="56"/>
  <c r="CH196" i="56"/>
  <c r="CI196" i="56"/>
  <c r="CK195" i="56"/>
  <c r="CH195" i="56"/>
  <c r="CI195" i="56"/>
  <c r="CK194" i="56"/>
  <c r="CK193" i="56"/>
  <c r="CK192" i="56"/>
  <c r="CK191" i="56"/>
  <c r="CK190" i="56"/>
  <c r="CK189" i="56"/>
  <c r="CK188" i="56"/>
  <c r="CK187" i="56"/>
  <c r="CH187" i="56"/>
  <c r="CI187" i="56"/>
  <c r="CK186" i="56"/>
  <c r="CH186" i="56"/>
  <c r="CI186" i="56"/>
  <c r="CK185" i="56"/>
  <c r="CH185" i="56"/>
  <c r="CI185" i="56"/>
  <c r="CK184" i="56"/>
  <c r="CK183" i="56"/>
  <c r="CK182" i="56"/>
  <c r="CK181" i="56"/>
  <c r="CK180" i="56"/>
  <c r="CK179" i="56"/>
  <c r="CK178" i="56"/>
  <c r="CK177" i="56"/>
  <c r="CK176" i="56"/>
  <c r="CK175" i="56"/>
  <c r="CK174" i="56"/>
  <c r="CK173" i="56"/>
  <c r="CK172" i="56"/>
  <c r="CK171" i="56"/>
  <c r="CK170" i="56"/>
  <c r="CK169" i="56"/>
  <c r="CK168" i="56"/>
  <c r="CK167" i="56"/>
  <c r="CK166" i="56"/>
  <c r="CH166" i="56"/>
  <c r="CI166" i="56"/>
  <c r="CK165" i="56"/>
  <c r="CH165" i="56"/>
  <c r="CI165" i="56"/>
  <c r="CK164" i="56"/>
  <c r="CK163" i="56"/>
  <c r="CK162" i="56"/>
  <c r="CK161" i="56"/>
  <c r="CK160" i="56"/>
  <c r="CK159" i="56"/>
  <c r="CK158" i="56"/>
  <c r="CK157" i="56"/>
  <c r="CH157" i="56"/>
  <c r="CI157" i="56"/>
  <c r="CK156" i="56"/>
  <c r="CH156" i="56"/>
  <c r="CI156" i="56"/>
  <c r="CK155" i="56"/>
  <c r="CH155" i="56"/>
  <c r="CI155" i="56"/>
  <c r="CK154" i="56"/>
  <c r="CK153" i="56"/>
  <c r="CK152" i="56"/>
  <c r="CK151" i="56"/>
  <c r="CK150" i="56"/>
  <c r="CK149" i="56"/>
  <c r="CK148" i="56"/>
  <c r="CK147" i="56"/>
  <c r="CK146" i="56"/>
  <c r="CK145" i="56"/>
  <c r="CK144" i="56"/>
  <c r="CK143" i="56"/>
  <c r="CK142" i="56"/>
  <c r="CK141" i="56"/>
  <c r="CK140" i="56"/>
  <c r="CK139" i="56"/>
  <c r="CK138" i="56"/>
  <c r="CK137" i="56"/>
  <c r="CK136" i="56"/>
  <c r="CH136" i="56"/>
  <c r="CI136" i="56"/>
  <c r="CK135" i="56"/>
  <c r="CH135" i="56"/>
  <c r="CI135" i="56"/>
  <c r="CK134" i="56"/>
  <c r="CK133" i="56"/>
  <c r="CK132" i="56"/>
  <c r="CK131" i="56"/>
  <c r="CK130" i="56"/>
  <c r="CK129" i="56"/>
  <c r="CK128" i="56"/>
  <c r="CK127" i="56"/>
  <c r="CH127" i="56"/>
  <c r="CI127" i="56"/>
  <c r="CK126" i="56"/>
  <c r="CH126" i="56"/>
  <c r="CI126" i="56"/>
  <c r="CK125" i="56"/>
  <c r="CH125" i="56"/>
  <c r="CI125" i="56"/>
  <c r="CK124" i="56"/>
  <c r="CK123" i="56"/>
  <c r="CK122" i="56"/>
  <c r="CK121" i="56"/>
  <c r="CK120" i="56"/>
  <c r="CK119" i="56"/>
  <c r="CK118" i="56"/>
  <c r="CK117" i="56"/>
  <c r="CK116" i="56"/>
  <c r="CK115" i="56"/>
  <c r="CK114" i="56"/>
  <c r="CK113" i="56"/>
  <c r="CK112" i="56"/>
  <c r="CK111" i="56"/>
  <c r="CK110" i="56"/>
  <c r="CK109" i="56"/>
  <c r="CK108" i="56"/>
  <c r="CK107" i="56"/>
  <c r="CK106" i="56"/>
  <c r="CH106" i="56"/>
  <c r="CI106" i="56"/>
  <c r="CK105" i="56"/>
  <c r="CH105" i="56"/>
  <c r="CI105" i="56"/>
  <c r="CK104" i="56"/>
  <c r="CK103" i="56"/>
  <c r="CK102" i="56"/>
  <c r="CK101" i="56"/>
  <c r="CK100" i="56"/>
  <c r="CK99" i="56"/>
  <c r="CK98" i="56"/>
  <c r="CK97" i="56"/>
  <c r="CH97" i="56"/>
  <c r="CI97" i="56"/>
  <c r="CK96" i="56"/>
  <c r="CH96" i="56"/>
  <c r="CI96" i="56"/>
  <c r="CK95" i="56"/>
  <c r="CH95" i="56"/>
  <c r="CI95" i="56"/>
  <c r="CK94" i="56"/>
  <c r="CK93" i="56"/>
  <c r="CK92" i="56"/>
  <c r="CK91" i="56"/>
  <c r="CK90" i="56"/>
  <c r="CK89" i="56"/>
  <c r="CK88" i="56"/>
  <c r="CK87" i="56"/>
  <c r="CK86" i="56"/>
  <c r="CK85" i="56"/>
  <c r="CK84" i="56"/>
  <c r="CK83" i="56"/>
  <c r="CK82" i="56"/>
  <c r="CK81" i="56"/>
  <c r="CK80" i="56"/>
  <c r="CK79" i="56"/>
  <c r="CK78" i="56"/>
  <c r="CK77" i="56"/>
  <c r="CK76" i="56"/>
  <c r="CH76" i="56"/>
  <c r="CI76" i="56"/>
  <c r="CK75" i="56"/>
  <c r="CH75" i="56"/>
  <c r="CI75" i="56"/>
  <c r="CK74" i="56"/>
  <c r="CK73" i="56"/>
  <c r="CK72" i="56"/>
  <c r="CK71" i="56"/>
  <c r="CK70" i="56"/>
  <c r="CK69" i="56"/>
  <c r="CK68" i="56"/>
  <c r="CK67" i="56"/>
  <c r="CH67" i="56"/>
  <c r="CI67" i="56"/>
  <c r="CK66" i="56"/>
  <c r="CH66" i="56"/>
  <c r="CI66" i="56"/>
  <c r="CK65" i="56"/>
  <c r="CH65" i="56"/>
  <c r="CI65" i="56"/>
  <c r="CK64" i="56"/>
  <c r="CK63" i="56"/>
  <c r="CK62" i="56"/>
  <c r="CK61" i="56"/>
  <c r="CK60" i="56"/>
  <c r="CK59" i="56"/>
  <c r="CK58" i="56"/>
  <c r="CK57" i="56"/>
  <c r="CK56" i="56"/>
  <c r="CK55" i="56"/>
  <c r="CK54" i="56"/>
  <c r="CK53" i="56"/>
  <c r="CK52" i="56"/>
  <c r="CK51" i="56"/>
  <c r="CK50" i="56"/>
  <c r="CK49" i="56"/>
  <c r="CK48" i="56"/>
  <c r="CK47" i="56"/>
  <c r="CK46" i="56"/>
  <c r="CH46" i="56"/>
  <c r="CI46" i="56"/>
  <c r="CK45" i="56"/>
  <c r="CH45" i="56"/>
  <c r="CI45" i="56"/>
  <c r="CK44" i="56"/>
  <c r="CK43" i="56"/>
  <c r="CK42" i="56"/>
  <c r="CK41" i="56"/>
  <c r="CK40" i="56"/>
  <c r="CK39" i="56"/>
  <c r="CK38" i="56"/>
  <c r="CK37" i="56"/>
  <c r="CH37" i="56"/>
  <c r="CI37" i="56"/>
  <c r="CK36" i="56"/>
  <c r="CH36" i="56"/>
  <c r="CI36" i="56"/>
  <c r="CK35" i="56"/>
  <c r="CH35" i="56"/>
  <c r="CI35" i="56"/>
  <c r="CK34" i="56"/>
  <c r="CK33" i="56"/>
  <c r="CK32" i="56"/>
  <c r="CH32" i="56"/>
  <c r="CI32" i="56"/>
  <c r="CK31" i="56"/>
  <c r="CH31" i="56"/>
  <c r="CI31" i="56"/>
  <c r="CK30" i="56"/>
  <c r="CK29" i="56"/>
  <c r="CK28" i="56"/>
  <c r="CH28" i="56"/>
  <c r="CI28" i="56"/>
  <c r="CK27" i="56"/>
  <c r="CH27" i="56"/>
  <c r="CI27" i="56"/>
  <c r="CK26" i="56"/>
  <c r="CH26" i="56"/>
  <c r="CI26" i="56"/>
  <c r="CK25" i="56"/>
  <c r="CH25" i="56"/>
  <c r="CI25" i="56"/>
  <c r="CK24" i="56"/>
  <c r="CK23" i="56"/>
  <c r="CH23" i="56"/>
  <c r="CI23" i="56"/>
  <c r="CK22" i="56"/>
  <c r="CH22" i="56"/>
  <c r="CI22" i="56"/>
  <c r="CK21" i="56"/>
  <c r="CH21" i="56"/>
  <c r="CI21" i="56"/>
  <c r="CJ20" i="56"/>
  <c r="CJ19" i="56"/>
  <c r="CJ18" i="56"/>
  <c r="CJ17" i="56"/>
  <c r="CJ16" i="56"/>
  <c r="CJ15" i="56"/>
  <c r="CJ14" i="56"/>
  <c r="CJ13" i="56"/>
  <c r="CJ12" i="56"/>
  <c r="CJ11" i="56"/>
  <c r="CK11" i="56"/>
  <c r="CI11" i="56"/>
  <c r="CK10" i="56"/>
  <c r="CH10" i="56"/>
  <c r="CI10" i="56"/>
  <c r="CK9" i="56"/>
  <c r="CH9" i="56"/>
  <c r="CI9" i="56"/>
  <c r="CI8" i="56"/>
  <c r="CE396" i="56"/>
  <c r="CB396" i="56"/>
  <c r="CC396" i="56"/>
  <c r="CE395" i="56"/>
  <c r="CB395" i="56"/>
  <c r="CC395" i="56"/>
  <c r="CE394" i="56"/>
  <c r="CE393" i="56"/>
  <c r="CE392" i="56"/>
  <c r="CE391" i="56"/>
  <c r="CE390" i="56"/>
  <c r="CE389" i="56"/>
  <c r="CE388" i="56"/>
  <c r="CE387" i="56"/>
  <c r="CE386" i="56"/>
  <c r="CE385" i="56"/>
  <c r="CE384" i="56"/>
  <c r="CE383" i="56"/>
  <c r="CE382" i="56"/>
  <c r="CE381" i="56"/>
  <c r="CE380" i="56"/>
  <c r="CE379" i="56"/>
  <c r="CE378" i="56"/>
  <c r="CE377" i="56"/>
  <c r="CE376" i="56"/>
  <c r="CB376" i="56"/>
  <c r="CC376" i="56"/>
  <c r="CE375" i="56"/>
  <c r="CB375" i="56"/>
  <c r="CC375" i="56"/>
  <c r="CE374" i="56"/>
  <c r="CE373" i="56"/>
  <c r="CE372" i="56"/>
  <c r="CE371" i="56"/>
  <c r="CE370" i="56"/>
  <c r="CE369" i="56"/>
  <c r="CE368" i="56"/>
  <c r="CE367" i="56"/>
  <c r="CB367" i="56"/>
  <c r="CC367" i="56"/>
  <c r="CE366" i="56"/>
  <c r="CB366" i="56"/>
  <c r="CC366" i="56"/>
  <c r="CE365" i="56"/>
  <c r="CB365" i="56"/>
  <c r="CC365" i="56"/>
  <c r="CE364" i="56"/>
  <c r="CE363" i="56"/>
  <c r="CE362" i="56"/>
  <c r="CE361" i="56"/>
  <c r="CE360" i="56"/>
  <c r="CE359" i="56"/>
  <c r="CE358" i="56"/>
  <c r="CE357" i="56"/>
  <c r="CE356" i="56"/>
  <c r="CE355" i="56"/>
  <c r="CE354" i="56"/>
  <c r="CE353" i="56"/>
  <c r="CE352" i="56"/>
  <c r="CE351" i="56"/>
  <c r="CE350" i="56"/>
  <c r="CE349" i="56"/>
  <c r="CE348" i="56"/>
  <c r="CE347" i="56"/>
  <c r="CE346" i="56"/>
  <c r="CC346" i="56"/>
  <c r="CB346" i="56"/>
  <c r="CE345" i="56"/>
  <c r="CB345" i="56"/>
  <c r="CC345" i="56"/>
  <c r="CE344" i="56"/>
  <c r="CE343" i="56"/>
  <c r="CE342" i="56"/>
  <c r="CE341" i="56"/>
  <c r="CE340" i="56"/>
  <c r="CE339" i="56"/>
  <c r="CE338" i="56"/>
  <c r="CE337" i="56"/>
  <c r="CB337" i="56"/>
  <c r="CC337" i="56"/>
  <c r="CE336" i="56"/>
  <c r="CB336" i="56"/>
  <c r="CC336" i="56"/>
  <c r="CE335" i="56"/>
  <c r="CB335" i="56"/>
  <c r="CC335" i="56"/>
  <c r="CE334" i="56"/>
  <c r="CE333" i="56"/>
  <c r="CE332" i="56"/>
  <c r="CE331" i="56"/>
  <c r="CE330" i="56"/>
  <c r="CE329" i="56"/>
  <c r="CE328" i="56"/>
  <c r="CE327" i="56"/>
  <c r="CE326" i="56"/>
  <c r="CE325" i="56"/>
  <c r="CE324" i="56"/>
  <c r="CE323" i="56"/>
  <c r="CE322" i="56"/>
  <c r="CE321" i="56"/>
  <c r="CE320" i="56"/>
  <c r="CE319" i="56"/>
  <c r="CE318" i="56"/>
  <c r="CE317" i="56"/>
  <c r="CE316" i="56"/>
  <c r="CB316" i="56"/>
  <c r="CC316" i="56"/>
  <c r="CE315" i="56"/>
  <c r="CB315" i="56"/>
  <c r="CC315" i="56"/>
  <c r="CE314" i="56"/>
  <c r="CE313" i="56"/>
  <c r="CE312" i="56"/>
  <c r="CE311" i="56"/>
  <c r="CE310" i="56"/>
  <c r="CE309" i="56"/>
  <c r="CE308" i="56"/>
  <c r="CE307" i="56"/>
  <c r="CB307" i="56"/>
  <c r="CC307" i="56"/>
  <c r="CE306" i="56"/>
  <c r="CB306" i="56"/>
  <c r="CC306" i="56"/>
  <c r="CE305" i="56"/>
  <c r="CB305" i="56"/>
  <c r="CC305" i="56"/>
  <c r="CE304" i="56"/>
  <c r="CE303" i="56"/>
  <c r="CE302" i="56"/>
  <c r="CE301" i="56"/>
  <c r="CE300" i="56"/>
  <c r="CE299" i="56"/>
  <c r="CE298" i="56"/>
  <c r="CE297" i="56"/>
  <c r="CE296" i="56"/>
  <c r="CE295" i="56"/>
  <c r="CE294" i="56"/>
  <c r="CE293" i="56"/>
  <c r="CE292" i="56"/>
  <c r="CE291" i="56"/>
  <c r="CE290" i="56"/>
  <c r="CE289" i="56"/>
  <c r="CE288" i="56"/>
  <c r="CE287" i="56"/>
  <c r="CE286" i="56"/>
  <c r="CB286" i="56"/>
  <c r="CC286" i="56"/>
  <c r="CE285" i="56"/>
  <c r="CB285" i="56"/>
  <c r="CC285" i="56"/>
  <c r="CE284" i="56"/>
  <c r="CE283" i="56"/>
  <c r="CE282" i="56"/>
  <c r="CE281" i="56"/>
  <c r="CE280" i="56"/>
  <c r="CE279" i="56"/>
  <c r="CE278" i="56"/>
  <c r="CE277" i="56"/>
  <c r="CB277" i="56"/>
  <c r="CC277" i="56"/>
  <c r="CE276" i="56"/>
  <c r="CB276" i="56"/>
  <c r="CC276" i="56"/>
  <c r="CE275" i="56"/>
  <c r="CB275" i="56"/>
  <c r="CC275" i="56"/>
  <c r="CE274" i="56"/>
  <c r="CE273" i="56"/>
  <c r="CE272" i="56"/>
  <c r="CE271" i="56"/>
  <c r="CE270" i="56"/>
  <c r="CE269" i="56"/>
  <c r="CE268" i="56"/>
  <c r="CE267" i="56"/>
  <c r="CE266" i="56"/>
  <c r="CE265" i="56"/>
  <c r="CE264" i="56"/>
  <c r="CE263" i="56"/>
  <c r="CE262" i="56"/>
  <c r="CE261" i="56"/>
  <c r="CE260" i="56"/>
  <c r="CE259" i="56"/>
  <c r="CE258" i="56"/>
  <c r="CE257" i="56"/>
  <c r="CE256" i="56"/>
  <c r="CB256" i="56"/>
  <c r="CC256" i="56"/>
  <c r="CE255" i="56"/>
  <c r="CB255" i="56"/>
  <c r="CC255" i="56"/>
  <c r="CE254" i="56"/>
  <c r="CE253" i="56"/>
  <c r="CE252" i="56"/>
  <c r="CE251" i="56"/>
  <c r="CE250" i="56"/>
  <c r="CE249" i="56"/>
  <c r="CE248" i="56"/>
  <c r="CE247" i="56"/>
  <c r="CB247" i="56"/>
  <c r="CC247" i="56"/>
  <c r="CE246" i="56"/>
  <c r="CB246" i="56"/>
  <c r="CC246" i="56"/>
  <c r="CE245" i="56"/>
  <c r="CB245" i="56"/>
  <c r="CC245" i="56"/>
  <c r="CE244" i="56"/>
  <c r="CE243" i="56"/>
  <c r="CE242" i="56"/>
  <c r="CE241" i="56"/>
  <c r="CE240" i="56"/>
  <c r="CE239" i="56"/>
  <c r="CE238" i="56"/>
  <c r="CE237" i="56"/>
  <c r="CE236" i="56"/>
  <c r="CE235" i="56"/>
  <c r="CE234" i="56"/>
  <c r="CE233" i="56"/>
  <c r="CE232" i="56"/>
  <c r="CE231" i="56"/>
  <c r="CE230" i="56"/>
  <c r="CE229" i="56"/>
  <c r="CE228" i="56"/>
  <c r="CE227" i="56"/>
  <c r="CE226" i="56"/>
  <c r="CB226" i="56"/>
  <c r="CC226" i="56"/>
  <c r="CE225" i="56"/>
  <c r="CB225" i="56"/>
  <c r="CC225" i="56"/>
  <c r="CE224" i="56"/>
  <c r="CE223" i="56"/>
  <c r="CE222" i="56"/>
  <c r="CE221" i="56"/>
  <c r="CE220" i="56"/>
  <c r="CE219" i="56"/>
  <c r="CE218" i="56"/>
  <c r="CE217" i="56"/>
  <c r="CB217" i="56"/>
  <c r="CC217" i="56"/>
  <c r="CE216" i="56"/>
  <c r="CB216" i="56"/>
  <c r="CC216" i="56"/>
  <c r="CE215" i="56"/>
  <c r="CB215" i="56"/>
  <c r="CC215" i="56"/>
  <c r="CE214" i="56"/>
  <c r="CE213" i="56"/>
  <c r="CE212" i="56"/>
  <c r="CE211" i="56"/>
  <c r="CE210" i="56"/>
  <c r="CE209" i="56"/>
  <c r="CE208" i="56"/>
  <c r="CE207" i="56"/>
  <c r="CE206" i="56"/>
  <c r="CE205" i="56"/>
  <c r="CE204" i="56"/>
  <c r="CE203" i="56"/>
  <c r="CE202" i="56"/>
  <c r="CE201" i="56"/>
  <c r="CE200" i="56"/>
  <c r="CE199" i="56"/>
  <c r="CE198" i="56"/>
  <c r="CE197" i="56"/>
  <c r="CE196" i="56"/>
  <c r="CB196" i="56"/>
  <c r="CC196" i="56"/>
  <c r="CE195" i="56"/>
  <c r="CB195" i="56"/>
  <c r="CC195" i="56"/>
  <c r="CE194" i="56"/>
  <c r="CE193" i="56"/>
  <c r="CE192" i="56"/>
  <c r="CE191" i="56"/>
  <c r="CE190" i="56"/>
  <c r="CE189" i="56"/>
  <c r="CE188" i="56"/>
  <c r="CE187" i="56"/>
  <c r="CB187" i="56"/>
  <c r="CC187" i="56"/>
  <c r="CE186" i="56"/>
  <c r="CB186" i="56"/>
  <c r="CC186" i="56"/>
  <c r="CE185" i="56"/>
  <c r="CB185" i="56"/>
  <c r="CC185" i="56"/>
  <c r="CE184" i="56"/>
  <c r="CE183" i="56"/>
  <c r="CE182" i="56"/>
  <c r="CE181" i="56"/>
  <c r="CE180" i="56"/>
  <c r="CE179" i="56"/>
  <c r="CE178" i="56"/>
  <c r="CE177" i="56"/>
  <c r="CE176" i="56"/>
  <c r="CE175" i="56"/>
  <c r="CE174" i="56"/>
  <c r="CE173" i="56"/>
  <c r="CE172" i="56"/>
  <c r="CE171" i="56"/>
  <c r="CE170" i="56"/>
  <c r="CE169" i="56"/>
  <c r="CE168" i="56"/>
  <c r="CE167" i="56"/>
  <c r="CE166" i="56"/>
  <c r="CB166" i="56"/>
  <c r="CC166" i="56"/>
  <c r="CE165" i="56"/>
  <c r="CB165" i="56"/>
  <c r="CC165" i="56"/>
  <c r="CE164" i="56"/>
  <c r="CE163" i="56"/>
  <c r="CE162" i="56"/>
  <c r="CE161" i="56"/>
  <c r="CE160" i="56"/>
  <c r="CE159" i="56"/>
  <c r="CE158" i="56"/>
  <c r="CE157" i="56"/>
  <c r="CB157" i="56"/>
  <c r="CC157" i="56"/>
  <c r="CE156" i="56"/>
  <c r="CB156" i="56"/>
  <c r="CC156" i="56"/>
  <c r="CE155" i="56"/>
  <c r="CB155" i="56"/>
  <c r="CC155" i="56"/>
  <c r="CE154" i="56"/>
  <c r="CE153" i="56"/>
  <c r="CE152" i="56"/>
  <c r="CE151" i="56"/>
  <c r="CE150" i="56"/>
  <c r="CE149" i="56"/>
  <c r="CE148" i="56"/>
  <c r="CE147" i="56"/>
  <c r="CE146" i="56"/>
  <c r="CE145" i="56"/>
  <c r="CE144" i="56"/>
  <c r="CE143" i="56"/>
  <c r="CE142" i="56"/>
  <c r="CE141" i="56"/>
  <c r="CE140" i="56"/>
  <c r="CE139" i="56"/>
  <c r="CE138" i="56"/>
  <c r="CE137" i="56"/>
  <c r="CE136" i="56"/>
  <c r="CB136" i="56"/>
  <c r="CC136" i="56"/>
  <c r="CE135" i="56"/>
  <c r="CB135" i="56"/>
  <c r="CC135" i="56"/>
  <c r="CE134" i="56"/>
  <c r="CE133" i="56"/>
  <c r="CE132" i="56"/>
  <c r="CE131" i="56"/>
  <c r="CE130" i="56"/>
  <c r="CE129" i="56"/>
  <c r="CE128" i="56"/>
  <c r="CE127" i="56"/>
  <c r="CB127" i="56"/>
  <c r="CC127" i="56"/>
  <c r="CE126" i="56"/>
  <c r="CB126" i="56"/>
  <c r="CC126" i="56"/>
  <c r="CE125" i="56"/>
  <c r="CB125" i="56"/>
  <c r="CC125" i="56"/>
  <c r="CE124" i="56"/>
  <c r="CE123" i="56"/>
  <c r="CE122" i="56"/>
  <c r="CE121" i="56"/>
  <c r="CE120" i="56"/>
  <c r="CE119" i="56"/>
  <c r="CE118" i="56"/>
  <c r="CE117" i="56"/>
  <c r="CE116" i="56"/>
  <c r="CE115" i="56"/>
  <c r="CE114" i="56"/>
  <c r="CE113" i="56"/>
  <c r="CE112" i="56"/>
  <c r="CE111" i="56"/>
  <c r="CE110" i="56"/>
  <c r="CE109" i="56"/>
  <c r="CE108" i="56"/>
  <c r="CE107" i="56"/>
  <c r="CE106" i="56"/>
  <c r="CB106" i="56"/>
  <c r="CC106" i="56"/>
  <c r="CE105" i="56"/>
  <c r="CB105" i="56"/>
  <c r="CC105" i="56"/>
  <c r="CE104" i="56"/>
  <c r="CE103" i="56"/>
  <c r="CE102" i="56"/>
  <c r="CE101" i="56"/>
  <c r="CE100" i="56"/>
  <c r="CE99" i="56"/>
  <c r="CE98" i="56"/>
  <c r="CE97" i="56"/>
  <c r="CB97" i="56"/>
  <c r="CC97" i="56"/>
  <c r="CE96" i="56"/>
  <c r="CB96" i="56"/>
  <c r="CC96" i="56"/>
  <c r="CE95" i="56"/>
  <c r="CB95" i="56"/>
  <c r="CC95" i="56"/>
  <c r="CE94" i="56"/>
  <c r="CE93" i="56"/>
  <c r="CE92" i="56"/>
  <c r="CE91" i="56"/>
  <c r="CE90" i="56"/>
  <c r="CE89" i="56"/>
  <c r="CE88" i="56"/>
  <c r="CE87" i="56"/>
  <c r="CE86" i="56"/>
  <c r="CE85" i="56"/>
  <c r="CE84" i="56"/>
  <c r="CE83" i="56"/>
  <c r="CE82" i="56"/>
  <c r="CE81" i="56"/>
  <c r="CE80" i="56"/>
  <c r="CE79" i="56"/>
  <c r="CE78" i="56"/>
  <c r="CE77" i="56"/>
  <c r="CE76" i="56"/>
  <c r="CB76" i="56"/>
  <c r="CC76" i="56"/>
  <c r="CE75" i="56"/>
  <c r="CB75" i="56"/>
  <c r="CC75" i="56"/>
  <c r="CE74" i="56"/>
  <c r="CE73" i="56"/>
  <c r="CE72" i="56"/>
  <c r="CE71" i="56"/>
  <c r="CE70" i="56"/>
  <c r="CE69" i="56"/>
  <c r="CE68" i="56"/>
  <c r="CE67" i="56"/>
  <c r="CB67" i="56"/>
  <c r="CC67" i="56"/>
  <c r="CE66" i="56"/>
  <c r="CB66" i="56"/>
  <c r="CC66" i="56"/>
  <c r="CE65" i="56"/>
  <c r="CB65" i="56"/>
  <c r="CC65" i="56"/>
  <c r="CE64" i="56"/>
  <c r="CE63" i="56"/>
  <c r="CE62" i="56"/>
  <c r="CE61" i="56"/>
  <c r="CE60" i="56"/>
  <c r="CE59" i="56"/>
  <c r="CE58" i="56"/>
  <c r="CE57" i="56"/>
  <c r="CE56" i="56"/>
  <c r="CE55" i="56"/>
  <c r="CE54" i="56"/>
  <c r="CE53" i="56"/>
  <c r="CE52" i="56"/>
  <c r="CE51" i="56"/>
  <c r="CE50" i="56"/>
  <c r="CE49" i="56"/>
  <c r="CE48" i="56"/>
  <c r="CE47" i="56"/>
  <c r="CE46" i="56"/>
  <c r="CB46" i="56"/>
  <c r="CC46" i="56"/>
  <c r="CE45" i="56"/>
  <c r="CB45" i="56"/>
  <c r="CC45" i="56"/>
  <c r="CE44" i="56"/>
  <c r="CE43" i="56"/>
  <c r="CE42" i="56"/>
  <c r="CE41" i="56"/>
  <c r="CE40" i="56"/>
  <c r="CE39" i="56"/>
  <c r="CE38" i="56"/>
  <c r="CE37" i="56"/>
  <c r="CB37" i="56"/>
  <c r="CC37" i="56"/>
  <c r="CE36" i="56"/>
  <c r="CB36" i="56"/>
  <c r="CC36" i="56"/>
  <c r="CE35" i="56"/>
  <c r="CB35" i="56"/>
  <c r="CC35" i="56"/>
  <c r="CE34" i="56"/>
  <c r="CE33" i="56"/>
  <c r="CE32" i="56"/>
  <c r="CB32" i="56"/>
  <c r="CC32" i="56"/>
  <c r="CE31" i="56"/>
  <c r="CB31" i="56"/>
  <c r="CC31" i="56"/>
  <c r="CE30" i="56"/>
  <c r="CE29" i="56"/>
  <c r="CE28" i="56"/>
  <c r="CB28" i="56"/>
  <c r="CC28" i="56"/>
  <c r="CE27" i="56"/>
  <c r="CB27" i="56"/>
  <c r="CC27" i="56"/>
  <c r="CE26" i="56"/>
  <c r="CB26" i="56"/>
  <c r="CC26" i="56"/>
  <c r="CE25" i="56"/>
  <c r="CB25" i="56"/>
  <c r="CC25" i="56"/>
  <c r="CE24" i="56"/>
  <c r="CE23" i="56"/>
  <c r="CB23" i="56"/>
  <c r="CC23" i="56"/>
  <c r="CE22" i="56"/>
  <c r="CB22" i="56"/>
  <c r="CC22" i="56"/>
  <c r="CE21" i="56"/>
  <c r="CB21" i="56"/>
  <c r="CC21" i="56"/>
  <c r="CD20" i="56"/>
  <c r="CE20" i="56"/>
  <c r="CD19" i="56"/>
  <c r="CB19" i="56"/>
  <c r="CC19" i="56"/>
  <c r="CD18" i="56"/>
  <c r="CB18" i="56"/>
  <c r="CC18" i="56"/>
  <c r="CD17" i="56"/>
  <c r="CB17" i="56"/>
  <c r="CC17" i="56"/>
  <c r="CD16" i="56"/>
  <c r="CB16" i="56"/>
  <c r="CE16" i="56"/>
  <c r="CC16" i="56"/>
  <c r="CD15" i="56"/>
  <c r="CB15" i="56"/>
  <c r="CC15" i="56"/>
  <c r="CD14" i="56"/>
  <c r="CB14" i="56"/>
  <c r="CC14" i="56"/>
  <c r="CD13" i="56"/>
  <c r="CB13" i="56"/>
  <c r="CC13" i="56"/>
  <c r="CD12" i="56"/>
  <c r="CE12" i="56"/>
  <c r="CD11" i="56"/>
  <c r="CE11" i="56"/>
  <c r="CC11" i="56"/>
  <c r="CE10" i="56"/>
  <c r="CB10" i="56"/>
  <c r="CC10" i="56"/>
  <c r="CE9" i="56"/>
  <c r="CB9" i="56"/>
  <c r="CC9" i="56"/>
  <c r="CC8" i="56"/>
  <c r="BV22" i="56"/>
  <c r="BW22" i="56"/>
  <c r="BV396" i="56"/>
  <c r="BV395" i="56"/>
  <c r="BV376" i="56"/>
  <c r="BV375" i="56"/>
  <c r="BV367" i="56"/>
  <c r="BV366" i="56"/>
  <c r="BV365" i="56"/>
  <c r="BV346" i="56"/>
  <c r="BV345" i="56"/>
  <c r="BV337" i="56"/>
  <c r="BV336" i="56"/>
  <c r="BV335" i="56"/>
  <c r="BV316" i="56"/>
  <c r="BV315" i="56"/>
  <c r="BV307" i="56"/>
  <c r="BV306" i="56"/>
  <c r="BV305" i="56"/>
  <c r="BV286" i="56"/>
  <c r="BV285" i="56"/>
  <c r="BV277" i="56"/>
  <c r="BV276" i="56"/>
  <c r="BV275" i="56"/>
  <c r="BV256" i="56"/>
  <c r="BV255" i="56"/>
  <c r="BV247" i="56"/>
  <c r="BV246" i="56"/>
  <c r="BV245" i="56"/>
  <c r="BV226" i="56"/>
  <c r="BV225" i="56"/>
  <c r="BV217" i="56"/>
  <c r="BV216" i="56"/>
  <c r="BV215" i="56"/>
  <c r="BV196" i="56"/>
  <c r="BV195" i="56"/>
  <c r="BV187" i="56"/>
  <c r="BV186" i="56"/>
  <c r="BV185" i="56"/>
  <c r="BV166" i="56"/>
  <c r="BV165" i="56"/>
  <c r="BV157" i="56"/>
  <c r="BV156" i="56"/>
  <c r="BV155" i="56"/>
  <c r="BV136" i="56"/>
  <c r="BV135" i="56"/>
  <c r="BV127" i="56"/>
  <c r="BV126" i="56"/>
  <c r="BV125" i="56"/>
  <c r="BV106" i="56"/>
  <c r="BV105" i="56"/>
  <c r="BV97" i="56"/>
  <c r="BV96" i="56"/>
  <c r="BV95" i="56"/>
  <c r="BV76" i="56"/>
  <c r="BV75" i="56"/>
  <c r="BV67" i="56"/>
  <c r="BV66" i="56"/>
  <c r="BV65" i="56"/>
  <c r="BV46" i="56"/>
  <c r="BV45" i="56"/>
  <c r="BV37" i="56"/>
  <c r="BX32" i="56"/>
  <c r="BV32" i="56"/>
  <c r="BW32" i="56"/>
  <c r="BX31" i="56"/>
  <c r="BV31" i="56"/>
  <c r="BW31" i="56"/>
  <c r="BX30" i="56"/>
  <c r="BX29" i="56"/>
  <c r="BX28" i="56"/>
  <c r="BV28" i="56"/>
  <c r="BW28" i="56"/>
  <c r="BX27" i="56"/>
  <c r="BV27" i="56"/>
  <c r="BW27" i="56"/>
  <c r="BX26" i="56"/>
  <c r="BV26" i="56"/>
  <c r="BW26" i="56"/>
  <c r="BX25" i="56"/>
  <c r="BV25" i="56"/>
  <c r="BW25" i="56"/>
  <c r="BX24" i="56"/>
  <c r="BV23" i="56"/>
  <c r="BW23" i="56"/>
  <c r="BV21" i="56"/>
  <c r="BW21" i="56"/>
  <c r="BX20" i="56"/>
  <c r="BV20" i="56"/>
  <c r="BW20" i="56"/>
  <c r="BX19" i="56"/>
  <c r="BV19" i="56"/>
  <c r="BW19" i="56"/>
  <c r="BX18" i="56"/>
  <c r="BV18" i="56"/>
  <c r="BW18" i="56"/>
  <c r="BX17" i="56"/>
  <c r="BV17" i="56"/>
  <c r="BW17" i="56"/>
  <c r="BX16" i="56"/>
  <c r="BV16" i="56"/>
  <c r="BW16" i="56"/>
  <c r="BX15" i="56"/>
  <c r="BV15" i="56"/>
  <c r="BW15" i="56"/>
  <c r="BX14" i="56"/>
  <c r="BV14" i="56"/>
  <c r="BW14" i="56"/>
  <c r="BX13" i="56"/>
  <c r="BV13" i="56"/>
  <c r="BW13" i="56"/>
  <c r="BX12" i="56"/>
  <c r="BV12" i="56"/>
  <c r="BW12" i="56"/>
  <c r="BX11" i="56"/>
  <c r="BW11" i="56"/>
  <c r="BV10" i="56"/>
  <c r="BW10" i="56"/>
  <c r="BV9" i="56"/>
  <c r="BW9" i="56"/>
  <c r="BW8" i="56"/>
  <c r="BS396" i="56"/>
  <c r="BP396" i="56"/>
  <c r="BQ396" i="56"/>
  <c r="BS395" i="56"/>
  <c r="BP395" i="56"/>
  <c r="BQ395" i="56"/>
  <c r="BS394" i="56"/>
  <c r="BS393" i="56"/>
  <c r="BS392" i="56"/>
  <c r="BS391" i="56"/>
  <c r="BS390" i="56"/>
  <c r="BS389" i="56"/>
  <c r="BS388" i="56"/>
  <c r="BS387" i="56"/>
  <c r="BS386" i="56"/>
  <c r="BS385" i="56"/>
  <c r="BS384" i="56"/>
  <c r="BS383" i="56"/>
  <c r="BS382" i="56"/>
  <c r="BS381" i="56"/>
  <c r="BS380" i="56"/>
  <c r="BS379" i="56"/>
  <c r="BS378" i="56"/>
  <c r="BS377" i="56"/>
  <c r="BS376" i="56"/>
  <c r="BP376" i="56"/>
  <c r="BQ376" i="56"/>
  <c r="BS375" i="56"/>
  <c r="BP375" i="56"/>
  <c r="BQ375" i="56"/>
  <c r="BS374" i="56"/>
  <c r="BS373" i="56"/>
  <c r="BS372" i="56"/>
  <c r="BS371" i="56"/>
  <c r="BS370" i="56"/>
  <c r="BS369" i="56"/>
  <c r="BS368" i="56"/>
  <c r="BS367" i="56"/>
  <c r="BP367" i="56"/>
  <c r="BQ367" i="56"/>
  <c r="BP366" i="56"/>
  <c r="BQ366" i="56"/>
  <c r="BP365" i="56"/>
  <c r="BQ365" i="56"/>
  <c r="BS358" i="56"/>
  <c r="BP346" i="56"/>
  <c r="BQ346" i="56"/>
  <c r="BP345" i="56"/>
  <c r="BQ345" i="56"/>
  <c r="BS342" i="56"/>
  <c r="BS341" i="56"/>
  <c r="BS340" i="56"/>
  <c r="BS339" i="56"/>
  <c r="BS337" i="56"/>
  <c r="BQ337" i="56"/>
  <c r="BP337" i="56"/>
  <c r="BP336" i="56"/>
  <c r="BQ336" i="56"/>
  <c r="BP335" i="56"/>
  <c r="BQ335" i="56"/>
  <c r="BS328" i="56"/>
  <c r="BP316" i="56"/>
  <c r="BQ316" i="56"/>
  <c r="BP315" i="56"/>
  <c r="BQ315" i="56"/>
  <c r="BS312" i="56"/>
  <c r="BS311" i="56"/>
  <c r="BS310" i="56"/>
  <c r="BS309" i="56"/>
  <c r="BS307" i="56"/>
  <c r="BP307" i="56"/>
  <c r="BQ307" i="56"/>
  <c r="BP306" i="56"/>
  <c r="BQ306" i="56"/>
  <c r="BP305" i="56"/>
  <c r="BQ305" i="56"/>
  <c r="BS298" i="56"/>
  <c r="BP286" i="56"/>
  <c r="BQ286" i="56"/>
  <c r="BP285" i="56"/>
  <c r="BQ285" i="56"/>
  <c r="BS282" i="56"/>
  <c r="BS281" i="56"/>
  <c r="BS280" i="56"/>
  <c r="BS279" i="56"/>
  <c r="BS277" i="56"/>
  <c r="BP277" i="56"/>
  <c r="BQ277" i="56"/>
  <c r="BP276" i="56"/>
  <c r="BQ276" i="56"/>
  <c r="BP275" i="56"/>
  <c r="BQ275" i="56"/>
  <c r="BS268" i="56"/>
  <c r="BP256" i="56"/>
  <c r="BQ256" i="56"/>
  <c r="BP255" i="56"/>
  <c r="BQ255" i="56"/>
  <c r="BS252" i="56"/>
  <c r="BS251" i="56"/>
  <c r="BS250" i="56"/>
  <c r="BS249" i="56"/>
  <c r="BS247" i="56"/>
  <c r="BP247" i="56"/>
  <c r="BQ247" i="56"/>
  <c r="BP246" i="56"/>
  <c r="BQ246" i="56"/>
  <c r="BP245" i="56"/>
  <c r="BQ245" i="56"/>
  <c r="BS238" i="56"/>
  <c r="BP226" i="56"/>
  <c r="BQ226" i="56"/>
  <c r="BP225" i="56"/>
  <c r="BQ225" i="56"/>
  <c r="BS222" i="56"/>
  <c r="BS221" i="56"/>
  <c r="BS220" i="56"/>
  <c r="BS219" i="56"/>
  <c r="BS217" i="56"/>
  <c r="BQ217" i="56"/>
  <c r="BP217" i="56"/>
  <c r="BP216" i="56"/>
  <c r="BQ216" i="56"/>
  <c r="BP215" i="56"/>
  <c r="BQ215" i="56"/>
  <c r="BS208" i="56"/>
  <c r="BP196" i="56"/>
  <c r="BQ196" i="56"/>
  <c r="BP195" i="56"/>
  <c r="BQ195" i="56"/>
  <c r="BS192" i="56"/>
  <c r="BS191" i="56"/>
  <c r="BS190" i="56"/>
  <c r="BS189" i="56"/>
  <c r="BS187" i="56"/>
  <c r="BP187" i="56"/>
  <c r="BQ187" i="56"/>
  <c r="BP186" i="56"/>
  <c r="BQ186" i="56"/>
  <c r="BP185" i="56"/>
  <c r="BQ185" i="56"/>
  <c r="BS178" i="56"/>
  <c r="BP166" i="56"/>
  <c r="BQ166" i="56"/>
  <c r="BP165" i="56"/>
  <c r="BQ165" i="56"/>
  <c r="BS162" i="56"/>
  <c r="BS161" i="56"/>
  <c r="BS160" i="56"/>
  <c r="BS159" i="56"/>
  <c r="BS157" i="56"/>
  <c r="BP157" i="56"/>
  <c r="BQ157" i="56"/>
  <c r="BP156" i="56"/>
  <c r="BQ156" i="56"/>
  <c r="BP155" i="56"/>
  <c r="BQ155" i="56"/>
  <c r="BS148" i="56"/>
  <c r="BP136" i="56"/>
  <c r="BQ136" i="56"/>
  <c r="BP135" i="56"/>
  <c r="BQ135" i="56"/>
  <c r="BS132" i="56"/>
  <c r="BS131" i="56"/>
  <c r="BS130" i="56"/>
  <c r="BS129" i="56"/>
  <c r="BS127" i="56"/>
  <c r="BP127" i="56"/>
  <c r="BQ127" i="56"/>
  <c r="BP126" i="56"/>
  <c r="BQ126" i="56"/>
  <c r="BP125" i="56"/>
  <c r="BQ125" i="56"/>
  <c r="BS118" i="56"/>
  <c r="BP106" i="56"/>
  <c r="BQ106" i="56"/>
  <c r="BP105" i="56"/>
  <c r="BQ105" i="56"/>
  <c r="BS102" i="56"/>
  <c r="BS101" i="56"/>
  <c r="BS100" i="56"/>
  <c r="BS99" i="56"/>
  <c r="BS97" i="56"/>
  <c r="BP97" i="56"/>
  <c r="BQ97" i="56"/>
  <c r="BP96" i="56"/>
  <c r="BQ96" i="56"/>
  <c r="BP95" i="56"/>
  <c r="BQ95" i="56"/>
  <c r="BS88" i="56"/>
  <c r="BP76" i="56"/>
  <c r="BQ76" i="56"/>
  <c r="BP75" i="56"/>
  <c r="BQ75" i="56"/>
  <c r="BS72" i="56"/>
  <c r="BS71" i="56"/>
  <c r="BS70" i="56"/>
  <c r="BS69" i="56"/>
  <c r="BS67" i="56"/>
  <c r="BP67" i="56"/>
  <c r="BQ67" i="56"/>
  <c r="BP66" i="56"/>
  <c r="BQ66" i="56"/>
  <c r="BP65" i="56"/>
  <c r="BQ65" i="56"/>
  <c r="BS58" i="56"/>
  <c r="BP46" i="56"/>
  <c r="BQ46" i="56"/>
  <c r="BP45" i="56"/>
  <c r="BQ45" i="56"/>
  <c r="BS42" i="56"/>
  <c r="BS41" i="56"/>
  <c r="BS40" i="56"/>
  <c r="BS39" i="56"/>
  <c r="BS37" i="56"/>
  <c r="BP37" i="56"/>
  <c r="BQ37" i="56"/>
  <c r="BS36" i="56"/>
  <c r="BP36" i="56"/>
  <c r="BQ36" i="56"/>
  <c r="BS35" i="56"/>
  <c r="BP35" i="56"/>
  <c r="BQ35" i="56"/>
  <c r="BS34" i="56"/>
  <c r="BS33" i="56"/>
  <c r="BS32" i="56"/>
  <c r="BP32" i="56"/>
  <c r="BQ32" i="56"/>
  <c r="BS31" i="56"/>
  <c r="BP31" i="56"/>
  <c r="BQ31" i="56"/>
  <c r="BS30" i="56"/>
  <c r="BS29" i="56"/>
  <c r="BS28" i="56"/>
  <c r="BP28" i="56"/>
  <c r="BQ28" i="56"/>
  <c r="BS27" i="56"/>
  <c r="BP27" i="56"/>
  <c r="BQ27" i="56"/>
  <c r="BS26" i="56"/>
  <c r="BP26" i="56"/>
  <c r="BQ26" i="56"/>
  <c r="BS25" i="56"/>
  <c r="BQ25" i="56"/>
  <c r="BP25" i="56"/>
  <c r="BS24" i="56"/>
  <c r="BS23" i="56"/>
  <c r="BP23" i="56"/>
  <c r="BQ23" i="56"/>
  <c r="BS22" i="56"/>
  <c r="BP22" i="56"/>
  <c r="BQ22" i="56"/>
  <c r="BS21" i="56"/>
  <c r="BP21" i="56"/>
  <c r="BQ21" i="56"/>
  <c r="BR20" i="56"/>
  <c r="BS20" i="56"/>
  <c r="BR19" i="56"/>
  <c r="BS19" i="56"/>
  <c r="BR18" i="56"/>
  <c r="BS18" i="56"/>
  <c r="BR17" i="56"/>
  <c r="BS17" i="56"/>
  <c r="BR16" i="56"/>
  <c r="BS16" i="56"/>
  <c r="BR15" i="56"/>
  <c r="BS15" i="56"/>
  <c r="BR14" i="56"/>
  <c r="BP14" i="56"/>
  <c r="BQ14" i="56"/>
  <c r="BR13" i="56"/>
  <c r="BS13" i="56"/>
  <c r="BR12" i="56"/>
  <c r="BS12" i="56"/>
  <c r="BR11" i="56"/>
  <c r="BS11" i="56"/>
  <c r="BQ11" i="56"/>
  <c r="BS10" i="56"/>
  <c r="BP10" i="56"/>
  <c r="BQ10" i="56"/>
  <c r="BS9" i="56"/>
  <c r="BP9" i="56"/>
  <c r="BQ9" i="56"/>
  <c r="BQ8" i="56"/>
  <c r="BM388" i="56"/>
  <c r="BM372" i="56"/>
  <c r="BM371" i="56"/>
  <c r="BM370" i="56"/>
  <c r="BM369" i="56"/>
  <c r="BM367" i="56"/>
  <c r="BM366" i="56"/>
  <c r="BM365" i="56"/>
  <c r="BM364" i="56"/>
  <c r="BM363" i="56"/>
  <c r="BM362" i="56"/>
  <c r="BM361" i="56"/>
  <c r="BM360" i="56"/>
  <c r="BM359" i="56"/>
  <c r="BM358" i="56"/>
  <c r="BM357" i="56"/>
  <c r="BM356" i="56"/>
  <c r="BM355" i="56"/>
  <c r="BM354" i="56"/>
  <c r="BM353" i="56"/>
  <c r="BM352" i="56"/>
  <c r="BM351" i="56"/>
  <c r="BM350" i="56"/>
  <c r="BM349" i="56"/>
  <c r="BM348" i="56"/>
  <c r="BM347" i="56"/>
  <c r="BM346" i="56"/>
  <c r="BM345" i="56"/>
  <c r="BM344" i="56"/>
  <c r="BM343" i="56"/>
  <c r="BM342" i="56"/>
  <c r="BM341" i="56"/>
  <c r="BM340" i="56"/>
  <c r="BM339" i="56"/>
  <c r="BM338" i="56"/>
  <c r="BM337" i="56"/>
  <c r="BM328" i="56"/>
  <c r="BM312" i="56"/>
  <c r="BM311" i="56"/>
  <c r="BM310" i="56"/>
  <c r="BM309" i="56"/>
  <c r="BM307" i="56"/>
  <c r="BM298" i="56"/>
  <c r="BM282" i="56"/>
  <c r="BM281" i="56"/>
  <c r="BM280" i="56"/>
  <c r="BM279" i="56"/>
  <c r="BM277" i="56"/>
  <c r="BM268" i="56"/>
  <c r="BM252" i="56"/>
  <c r="BM251" i="56"/>
  <c r="BM250" i="56"/>
  <c r="BM249" i="56"/>
  <c r="BM247" i="56"/>
  <c r="BM238" i="56"/>
  <c r="BM222" i="56"/>
  <c r="BM221" i="56"/>
  <c r="BM220" i="56"/>
  <c r="BM219" i="56"/>
  <c r="BM217" i="56"/>
  <c r="BM208" i="56"/>
  <c r="BM192" i="56"/>
  <c r="BM191" i="56"/>
  <c r="BM190" i="56"/>
  <c r="BM189" i="56"/>
  <c r="BM187" i="56"/>
  <c r="BM178" i="56"/>
  <c r="BM162" i="56"/>
  <c r="BM161" i="56"/>
  <c r="BM160" i="56"/>
  <c r="BM159" i="56"/>
  <c r="BM157" i="56"/>
  <c r="BM148" i="56"/>
  <c r="BM132" i="56"/>
  <c r="BM131" i="56"/>
  <c r="BM130" i="56"/>
  <c r="BM129" i="56"/>
  <c r="BM127" i="56"/>
  <c r="BM118" i="56"/>
  <c r="BM102" i="56"/>
  <c r="BM101" i="56"/>
  <c r="BM100" i="56"/>
  <c r="BM99" i="56"/>
  <c r="BM97" i="56"/>
  <c r="BM88" i="56"/>
  <c r="BM72" i="56"/>
  <c r="BM71" i="56"/>
  <c r="BM70" i="56"/>
  <c r="BM69" i="56"/>
  <c r="BM67" i="56"/>
  <c r="BM58" i="56"/>
  <c r="BM42" i="56"/>
  <c r="BM41" i="56"/>
  <c r="BM40" i="56"/>
  <c r="BM39" i="56"/>
  <c r="BM37" i="56"/>
  <c r="BM36" i="56"/>
  <c r="BM35" i="56"/>
  <c r="BM34" i="56"/>
  <c r="BM33" i="56"/>
  <c r="BM32" i="56"/>
  <c r="BM31" i="56"/>
  <c r="BM30" i="56"/>
  <c r="BM28" i="56"/>
  <c r="BM27" i="56"/>
  <c r="BM26" i="56"/>
  <c r="BM25" i="56"/>
  <c r="BM24" i="56"/>
  <c r="BM23" i="56"/>
  <c r="BM22" i="56"/>
  <c r="BM21" i="56"/>
  <c r="BL20" i="56"/>
  <c r="BJ20" i="56"/>
  <c r="BK20" i="56"/>
  <c r="BL19" i="56"/>
  <c r="BJ19" i="56"/>
  <c r="BK19" i="56"/>
  <c r="BL18" i="56"/>
  <c r="BJ18" i="56"/>
  <c r="BK18" i="56"/>
  <c r="BL17" i="56"/>
  <c r="BJ17" i="56"/>
  <c r="BK17" i="56"/>
  <c r="BL16" i="56"/>
  <c r="BJ16" i="56"/>
  <c r="BK16" i="56"/>
  <c r="BL15" i="56"/>
  <c r="BJ15" i="56"/>
  <c r="BK15" i="56"/>
  <c r="BL14" i="56"/>
  <c r="BJ14" i="56"/>
  <c r="BK14" i="56"/>
  <c r="BM14" i="56"/>
  <c r="BL13" i="56"/>
  <c r="BJ13" i="56"/>
  <c r="BK13" i="56"/>
  <c r="BL12" i="56"/>
  <c r="BJ12" i="56"/>
  <c r="BK12" i="56"/>
  <c r="BL11" i="56"/>
  <c r="BM11" i="56"/>
  <c r="BM10" i="56"/>
  <c r="BG358" i="56"/>
  <c r="BG342" i="56"/>
  <c r="BG341" i="56"/>
  <c r="BG340" i="56"/>
  <c r="BG339" i="56"/>
  <c r="BG337" i="56"/>
  <c r="BG396" i="56"/>
  <c r="BG395" i="56"/>
  <c r="BG394" i="56"/>
  <c r="BG393" i="56"/>
  <c r="BG392" i="56"/>
  <c r="BG391" i="56"/>
  <c r="BG390" i="56"/>
  <c r="BG389" i="56"/>
  <c r="BG388" i="56"/>
  <c r="BG387" i="56"/>
  <c r="BG386" i="56"/>
  <c r="BG385" i="56"/>
  <c r="BG384" i="56"/>
  <c r="BG383" i="56"/>
  <c r="BG382" i="56"/>
  <c r="BG381" i="56"/>
  <c r="BG380" i="56"/>
  <c r="BG379" i="56"/>
  <c r="BG378" i="56"/>
  <c r="BG377" i="56"/>
  <c r="BG376" i="56"/>
  <c r="BG375" i="56"/>
  <c r="BG374" i="56"/>
  <c r="BG373" i="56"/>
  <c r="BG372" i="56"/>
  <c r="BG371" i="56"/>
  <c r="BG370" i="56"/>
  <c r="BG369" i="56"/>
  <c r="BG368" i="56"/>
  <c r="BG367" i="56"/>
  <c r="BF20" i="56"/>
  <c r="BD20" i="56"/>
  <c r="BE20" i="56"/>
  <c r="BF19" i="56"/>
  <c r="BF18" i="56"/>
  <c r="BF17" i="56"/>
  <c r="BD17" i="56"/>
  <c r="BE17" i="56"/>
  <c r="BF16" i="56"/>
  <c r="BD16" i="56"/>
  <c r="BE16" i="56"/>
  <c r="BF15" i="56"/>
  <c r="BG15" i="56"/>
  <c r="BF14" i="56"/>
  <c r="BF13" i="56"/>
  <c r="BG13" i="56"/>
  <c r="BF12" i="56"/>
  <c r="BD12" i="56"/>
  <c r="BE12" i="56"/>
  <c r="BF11" i="56"/>
  <c r="BD396" i="56"/>
  <c r="BE396" i="56"/>
  <c r="BD395" i="56"/>
  <c r="BE395" i="56"/>
  <c r="BD376" i="56"/>
  <c r="BE376" i="56"/>
  <c r="BD375" i="56"/>
  <c r="BE375" i="56"/>
  <c r="BD367" i="56"/>
  <c r="BE367" i="56"/>
  <c r="BD366" i="56"/>
  <c r="BE366" i="56"/>
  <c r="BD365" i="56"/>
  <c r="BE365" i="56"/>
  <c r="BD346" i="56"/>
  <c r="BE346" i="56"/>
  <c r="BD345" i="56"/>
  <c r="BE345" i="56"/>
  <c r="BD337" i="56"/>
  <c r="BE337" i="56"/>
  <c r="BD336" i="56"/>
  <c r="BE336" i="56"/>
  <c r="BD335" i="56"/>
  <c r="BE335" i="56"/>
  <c r="BG328" i="56"/>
  <c r="BD316" i="56"/>
  <c r="BE316" i="56"/>
  <c r="BD315" i="56"/>
  <c r="BE315" i="56"/>
  <c r="BG312" i="56"/>
  <c r="BG311" i="56"/>
  <c r="BG310" i="56"/>
  <c r="BG309" i="56"/>
  <c r="BG307" i="56"/>
  <c r="BD307" i="56"/>
  <c r="BE307" i="56"/>
  <c r="BD306" i="56"/>
  <c r="BE306" i="56"/>
  <c r="BD305" i="56"/>
  <c r="BE305" i="56"/>
  <c r="BG298" i="56"/>
  <c r="BD286" i="56"/>
  <c r="BE286" i="56"/>
  <c r="BD285" i="56"/>
  <c r="BE285" i="56"/>
  <c r="BG282" i="56"/>
  <c r="BG281" i="56"/>
  <c r="BG280" i="56"/>
  <c r="BG279" i="56"/>
  <c r="BG277" i="56"/>
  <c r="BD277" i="56"/>
  <c r="BE277" i="56"/>
  <c r="BD276" i="56"/>
  <c r="BE276" i="56"/>
  <c r="BD275" i="56"/>
  <c r="BE275" i="56"/>
  <c r="BG268" i="56"/>
  <c r="BD256" i="56"/>
  <c r="BE256" i="56"/>
  <c r="BD255" i="56"/>
  <c r="BE255" i="56"/>
  <c r="BG252" i="56"/>
  <c r="BG251" i="56"/>
  <c r="BG250" i="56"/>
  <c r="BG249" i="56"/>
  <c r="BG247" i="56"/>
  <c r="BD247" i="56"/>
  <c r="BE247" i="56"/>
  <c r="BD246" i="56"/>
  <c r="BE246" i="56"/>
  <c r="BD245" i="56"/>
  <c r="BE245" i="56"/>
  <c r="BG238" i="56"/>
  <c r="BD226" i="56"/>
  <c r="BE226" i="56"/>
  <c r="BD225" i="56"/>
  <c r="BE225" i="56"/>
  <c r="BG222" i="56"/>
  <c r="BG221" i="56"/>
  <c r="BG220" i="56"/>
  <c r="BG219" i="56"/>
  <c r="BG217" i="56"/>
  <c r="BD217" i="56"/>
  <c r="BE217" i="56"/>
  <c r="BD216" i="56"/>
  <c r="BE216" i="56"/>
  <c r="BD215" i="56"/>
  <c r="BE215" i="56"/>
  <c r="BG208" i="56"/>
  <c r="BD196" i="56"/>
  <c r="BE196" i="56"/>
  <c r="BD195" i="56"/>
  <c r="BE195" i="56"/>
  <c r="BG192" i="56"/>
  <c r="BG191" i="56"/>
  <c r="BG190" i="56"/>
  <c r="BG189" i="56"/>
  <c r="BG187" i="56"/>
  <c r="BD187" i="56"/>
  <c r="BE187" i="56"/>
  <c r="BD186" i="56"/>
  <c r="BE186" i="56"/>
  <c r="BD185" i="56"/>
  <c r="BE185" i="56"/>
  <c r="BG178" i="56"/>
  <c r="BD166" i="56"/>
  <c r="BE166" i="56"/>
  <c r="BD165" i="56"/>
  <c r="BE165" i="56"/>
  <c r="BG162" i="56"/>
  <c r="BG161" i="56"/>
  <c r="BG160" i="56"/>
  <c r="BG159" i="56"/>
  <c r="BG157" i="56"/>
  <c r="BD157" i="56"/>
  <c r="BE157" i="56"/>
  <c r="BD156" i="56"/>
  <c r="BE156" i="56"/>
  <c r="BD155" i="56"/>
  <c r="BE155" i="56"/>
  <c r="BG148" i="56"/>
  <c r="BD136" i="56"/>
  <c r="BE136" i="56"/>
  <c r="BD135" i="56"/>
  <c r="BE135" i="56"/>
  <c r="BG132" i="56"/>
  <c r="BG131" i="56"/>
  <c r="BG130" i="56"/>
  <c r="BG129" i="56"/>
  <c r="BG127" i="56"/>
  <c r="BD127" i="56"/>
  <c r="BE127" i="56"/>
  <c r="BD126" i="56"/>
  <c r="BE126" i="56"/>
  <c r="BD125" i="56"/>
  <c r="BE125" i="56"/>
  <c r="BG118" i="56"/>
  <c r="BD106" i="56"/>
  <c r="BE106" i="56"/>
  <c r="BD105" i="56"/>
  <c r="BE105" i="56"/>
  <c r="BG102" i="56"/>
  <c r="BG101" i="56"/>
  <c r="BG100" i="56"/>
  <c r="BG99" i="56"/>
  <c r="BG97" i="56"/>
  <c r="BD97" i="56"/>
  <c r="BE97" i="56"/>
  <c r="BD96" i="56"/>
  <c r="BE96" i="56"/>
  <c r="BD95" i="56"/>
  <c r="BE95" i="56"/>
  <c r="BG88" i="56"/>
  <c r="BD76" i="56"/>
  <c r="BE76" i="56"/>
  <c r="BD75" i="56"/>
  <c r="BE75" i="56"/>
  <c r="BG72" i="56"/>
  <c r="BG71" i="56"/>
  <c r="BG70" i="56"/>
  <c r="BG69" i="56"/>
  <c r="BG67" i="56"/>
  <c r="BD67" i="56"/>
  <c r="BE67" i="56"/>
  <c r="BD66" i="56"/>
  <c r="BE66" i="56"/>
  <c r="BD65" i="56"/>
  <c r="BE65" i="56"/>
  <c r="BG58" i="56"/>
  <c r="BD46" i="56"/>
  <c r="BE46" i="56"/>
  <c r="BD45" i="56"/>
  <c r="BE45" i="56"/>
  <c r="BG42" i="56"/>
  <c r="BG41" i="56"/>
  <c r="BG40" i="56"/>
  <c r="BG39" i="56"/>
  <c r="BG37" i="56"/>
  <c r="BD37" i="56"/>
  <c r="BE37" i="56"/>
  <c r="BG36" i="56"/>
  <c r="BD36" i="56"/>
  <c r="BE36" i="56"/>
  <c r="BG35" i="56"/>
  <c r="BD35" i="56"/>
  <c r="BE35" i="56"/>
  <c r="BG34" i="56"/>
  <c r="BG33" i="56"/>
  <c r="BG32" i="56"/>
  <c r="BD32" i="56"/>
  <c r="BE32" i="56"/>
  <c r="BG31" i="56"/>
  <c r="BD31" i="56"/>
  <c r="BE31" i="56"/>
  <c r="BG30" i="56"/>
  <c r="BG29" i="56"/>
  <c r="BG28" i="56"/>
  <c r="BD28" i="56"/>
  <c r="BE28" i="56"/>
  <c r="BG27" i="56"/>
  <c r="BD27" i="56"/>
  <c r="BE27" i="56"/>
  <c r="BG26" i="56"/>
  <c r="BD26" i="56"/>
  <c r="BE26" i="56"/>
  <c r="BG25" i="56"/>
  <c r="BD25" i="56"/>
  <c r="BE25" i="56"/>
  <c r="BG24" i="56"/>
  <c r="BG23" i="56"/>
  <c r="BD23" i="56"/>
  <c r="BE23" i="56"/>
  <c r="BG22" i="56"/>
  <c r="BD22" i="56"/>
  <c r="BE22" i="56"/>
  <c r="BG21" i="56"/>
  <c r="BD21" i="56"/>
  <c r="BE21" i="56"/>
  <c r="BG19" i="56"/>
  <c r="BD19" i="56"/>
  <c r="BE19" i="56"/>
  <c r="BD15" i="56"/>
  <c r="BE15" i="56"/>
  <c r="BG11" i="56"/>
  <c r="BE11" i="56"/>
  <c r="BG10" i="56"/>
  <c r="BD10" i="56"/>
  <c r="BE10" i="56"/>
  <c r="BG9" i="56"/>
  <c r="BD9" i="56"/>
  <c r="BE9" i="56"/>
  <c r="BE8" i="56"/>
  <c r="BA388" i="56"/>
  <c r="BA372" i="56"/>
  <c r="BA371" i="56"/>
  <c r="BA370" i="56"/>
  <c r="BA369" i="56"/>
  <c r="BA367" i="56"/>
  <c r="BA337" i="56"/>
  <c r="BA366" i="56"/>
  <c r="BA365" i="56"/>
  <c r="BA364" i="56"/>
  <c r="BA363" i="56"/>
  <c r="BA362" i="56"/>
  <c r="BA361" i="56"/>
  <c r="BA360" i="56"/>
  <c r="BA359" i="56"/>
  <c r="BA358" i="56"/>
  <c r="BA357" i="56"/>
  <c r="BA356" i="56"/>
  <c r="BA355" i="56"/>
  <c r="BA354" i="56"/>
  <c r="BA353" i="56"/>
  <c r="BA352" i="56"/>
  <c r="BA351" i="56"/>
  <c r="BA350" i="56"/>
  <c r="BA349" i="56"/>
  <c r="BA348" i="56"/>
  <c r="BA347" i="56"/>
  <c r="BA346" i="56"/>
  <c r="BA345" i="56"/>
  <c r="BA344" i="56"/>
  <c r="BA343" i="56"/>
  <c r="BA342" i="56"/>
  <c r="BA341" i="56"/>
  <c r="BA340" i="56"/>
  <c r="BA339" i="56"/>
  <c r="BA338" i="56"/>
  <c r="AZ20" i="56"/>
  <c r="AZ19" i="56"/>
  <c r="AZ18" i="56"/>
  <c r="AZ17" i="56"/>
  <c r="AZ16" i="56"/>
  <c r="AZ15" i="56"/>
  <c r="AZ14" i="56"/>
  <c r="AZ13" i="56"/>
  <c r="AZ12" i="56"/>
  <c r="AZ11" i="56"/>
  <c r="BA11" i="56"/>
  <c r="AT32" i="56"/>
  <c r="AT31" i="56"/>
  <c r="AT30" i="56"/>
  <c r="AT29" i="56"/>
  <c r="AT28" i="56"/>
  <c r="AR28" i="56"/>
  <c r="AS28" i="56"/>
  <c r="AT27" i="56"/>
  <c r="AT26" i="56"/>
  <c r="AT25" i="56"/>
  <c r="AR25" i="56"/>
  <c r="AS25" i="56"/>
  <c r="AT24" i="56"/>
  <c r="AT20" i="56"/>
  <c r="AR20" i="56"/>
  <c r="AS20" i="56"/>
  <c r="AT19" i="56"/>
  <c r="AR19" i="56"/>
  <c r="AS19" i="56"/>
  <c r="AT18" i="56"/>
  <c r="AR18" i="56"/>
  <c r="AS18" i="56"/>
  <c r="AT17" i="56"/>
  <c r="AR17" i="56"/>
  <c r="AS17" i="56"/>
  <c r="AT16" i="56"/>
  <c r="AT15" i="56"/>
  <c r="AR15" i="56"/>
  <c r="AS15" i="56"/>
  <c r="AT14" i="56"/>
  <c r="AT13" i="56"/>
  <c r="AT12" i="56"/>
  <c r="AT11" i="56"/>
  <c r="AX396" i="56"/>
  <c r="AY396" i="56"/>
  <c r="AX395" i="56"/>
  <c r="AY395" i="56"/>
  <c r="AX376" i="56"/>
  <c r="AY376" i="56"/>
  <c r="AX375" i="56"/>
  <c r="AY375" i="56"/>
  <c r="AX367" i="56"/>
  <c r="AY367" i="56"/>
  <c r="AX366" i="56"/>
  <c r="AY366" i="56"/>
  <c r="AX365" i="56"/>
  <c r="AY365" i="56"/>
  <c r="AX346" i="56"/>
  <c r="AY346" i="56"/>
  <c r="AX345" i="56"/>
  <c r="AY345" i="56"/>
  <c r="AX337" i="56"/>
  <c r="AY337" i="56"/>
  <c r="AX336" i="56"/>
  <c r="AY336" i="56"/>
  <c r="AX335" i="56"/>
  <c r="AY335" i="56"/>
  <c r="BA328" i="56"/>
  <c r="AX316" i="56"/>
  <c r="AY316" i="56"/>
  <c r="AX315" i="56"/>
  <c r="AY315" i="56"/>
  <c r="BA312" i="56"/>
  <c r="BA311" i="56"/>
  <c r="BA310" i="56"/>
  <c r="BA309" i="56"/>
  <c r="BA307" i="56"/>
  <c r="AX307" i="56"/>
  <c r="AY307" i="56"/>
  <c r="AX306" i="56"/>
  <c r="AY306" i="56"/>
  <c r="AX305" i="56"/>
  <c r="AY305" i="56"/>
  <c r="BA298" i="56"/>
  <c r="AX286" i="56"/>
  <c r="AY286" i="56"/>
  <c r="AX285" i="56"/>
  <c r="AY285" i="56"/>
  <c r="BA282" i="56"/>
  <c r="BA281" i="56"/>
  <c r="BA280" i="56"/>
  <c r="BA279" i="56"/>
  <c r="BA277" i="56"/>
  <c r="AX277" i="56"/>
  <c r="AY277" i="56"/>
  <c r="AX276" i="56"/>
  <c r="AY276" i="56"/>
  <c r="AX275" i="56"/>
  <c r="AY275" i="56"/>
  <c r="BA268" i="56"/>
  <c r="AX256" i="56"/>
  <c r="AY256" i="56"/>
  <c r="AX255" i="56"/>
  <c r="AY255" i="56"/>
  <c r="BA252" i="56"/>
  <c r="BA251" i="56"/>
  <c r="BA250" i="56"/>
  <c r="BA249" i="56"/>
  <c r="BA247" i="56"/>
  <c r="AX247" i="56"/>
  <c r="AY247" i="56"/>
  <c r="AX246" i="56"/>
  <c r="AY246" i="56"/>
  <c r="AX245" i="56"/>
  <c r="AY245" i="56"/>
  <c r="BA238" i="56"/>
  <c r="AX226" i="56"/>
  <c r="AY226" i="56"/>
  <c r="AX225" i="56"/>
  <c r="AY225" i="56"/>
  <c r="BA222" i="56"/>
  <c r="BA221" i="56"/>
  <c r="BA220" i="56"/>
  <c r="BA219" i="56"/>
  <c r="BA217" i="56"/>
  <c r="AX217" i="56"/>
  <c r="AY217" i="56"/>
  <c r="AX216" i="56"/>
  <c r="AY216" i="56"/>
  <c r="AX215" i="56"/>
  <c r="AY215" i="56"/>
  <c r="BA208" i="56"/>
  <c r="AX196" i="56"/>
  <c r="AY196" i="56"/>
  <c r="AX195" i="56"/>
  <c r="AY195" i="56"/>
  <c r="BA192" i="56"/>
  <c r="BA191" i="56"/>
  <c r="BA190" i="56"/>
  <c r="BA189" i="56"/>
  <c r="BA187" i="56"/>
  <c r="AX187" i="56"/>
  <c r="AY187" i="56"/>
  <c r="AX186" i="56"/>
  <c r="AY186" i="56"/>
  <c r="AX185" i="56"/>
  <c r="AY185" i="56"/>
  <c r="BA178" i="56"/>
  <c r="AX166" i="56"/>
  <c r="AY166" i="56"/>
  <c r="AX165" i="56"/>
  <c r="AY165" i="56"/>
  <c r="BA162" i="56"/>
  <c r="BA161" i="56"/>
  <c r="BA160" i="56"/>
  <c r="BA159" i="56"/>
  <c r="BA157" i="56"/>
  <c r="AX157" i="56"/>
  <c r="AY157" i="56"/>
  <c r="AX156" i="56"/>
  <c r="AY156" i="56"/>
  <c r="AX155" i="56"/>
  <c r="AY155" i="56"/>
  <c r="BA148" i="56"/>
  <c r="AX136" i="56"/>
  <c r="AY136" i="56"/>
  <c r="AX135" i="56"/>
  <c r="AY135" i="56"/>
  <c r="BA132" i="56"/>
  <c r="BA131" i="56"/>
  <c r="BA130" i="56"/>
  <c r="BA129" i="56"/>
  <c r="BA127" i="56"/>
  <c r="AX127" i="56"/>
  <c r="AY127" i="56"/>
  <c r="AX126" i="56"/>
  <c r="AY126" i="56"/>
  <c r="AX125" i="56"/>
  <c r="AY125" i="56"/>
  <c r="BA118" i="56"/>
  <c r="AX106" i="56"/>
  <c r="AY106" i="56"/>
  <c r="AX105" i="56"/>
  <c r="AY105" i="56"/>
  <c r="BA102" i="56"/>
  <c r="BA101" i="56"/>
  <c r="BA100" i="56"/>
  <c r="BA99" i="56"/>
  <c r="BA97" i="56"/>
  <c r="AX97" i="56"/>
  <c r="AY97" i="56"/>
  <c r="AX96" i="56"/>
  <c r="AY96" i="56"/>
  <c r="AX95" i="56"/>
  <c r="AY95" i="56"/>
  <c r="BA88" i="56"/>
  <c r="AX76" i="56"/>
  <c r="AY76" i="56"/>
  <c r="AX75" i="56"/>
  <c r="AY75" i="56"/>
  <c r="BA72" i="56"/>
  <c r="BA71" i="56"/>
  <c r="BA70" i="56"/>
  <c r="BA69" i="56"/>
  <c r="BA67" i="56"/>
  <c r="AX67" i="56"/>
  <c r="AY67" i="56"/>
  <c r="AX66" i="56"/>
  <c r="AY66" i="56"/>
  <c r="AX65" i="56"/>
  <c r="AY65" i="56"/>
  <c r="BA58" i="56"/>
  <c r="AX46" i="56"/>
  <c r="AY46" i="56"/>
  <c r="AX45" i="56"/>
  <c r="AY45" i="56"/>
  <c r="BA42" i="56"/>
  <c r="BA41" i="56"/>
  <c r="BA40" i="56"/>
  <c r="BA39" i="56"/>
  <c r="BA37" i="56"/>
  <c r="AX37" i="56"/>
  <c r="AY37" i="56"/>
  <c r="BA36" i="56"/>
  <c r="AX36" i="56"/>
  <c r="AY36" i="56"/>
  <c r="BA35" i="56"/>
  <c r="AX35" i="56"/>
  <c r="AY35" i="56"/>
  <c r="BA34" i="56"/>
  <c r="BA33" i="56"/>
  <c r="BA32" i="56"/>
  <c r="AX32" i="56"/>
  <c r="AY32" i="56"/>
  <c r="BA31" i="56"/>
  <c r="AX31" i="56"/>
  <c r="AY31" i="56"/>
  <c r="BA30" i="56"/>
  <c r="BA29" i="56"/>
  <c r="BA28" i="56"/>
  <c r="AX28" i="56"/>
  <c r="AY28" i="56"/>
  <c r="BA27" i="56"/>
  <c r="AX27" i="56"/>
  <c r="AY27" i="56"/>
  <c r="BA26" i="56"/>
  <c r="AX26" i="56"/>
  <c r="AY26" i="56"/>
  <c r="BA25" i="56"/>
  <c r="AX25" i="56"/>
  <c r="AY25" i="56"/>
  <c r="BA24" i="56"/>
  <c r="BA23" i="56"/>
  <c r="AX23" i="56"/>
  <c r="AY23" i="56"/>
  <c r="BA22" i="56"/>
  <c r="AX22" i="56"/>
  <c r="AY22" i="56"/>
  <c r="BA21" i="56"/>
  <c r="AX21" i="56"/>
  <c r="AY21" i="56"/>
  <c r="AY11" i="56"/>
  <c r="BA10" i="56"/>
  <c r="AX10" i="56"/>
  <c r="AY10" i="56"/>
  <c r="BA9" i="56"/>
  <c r="AX9" i="56"/>
  <c r="AY9" i="56"/>
  <c r="AY8" i="56"/>
  <c r="AO396" i="56"/>
  <c r="AO395" i="56"/>
  <c r="AO394" i="56"/>
  <c r="AO393" i="56"/>
  <c r="AO392" i="56"/>
  <c r="AO391" i="56"/>
  <c r="AO390" i="56"/>
  <c r="AO389" i="56"/>
  <c r="AO388" i="56"/>
  <c r="AO387" i="56"/>
  <c r="AO386" i="56"/>
  <c r="AO385" i="56"/>
  <c r="AO384" i="56"/>
  <c r="AO383" i="56"/>
  <c r="AO382" i="56"/>
  <c r="AO381" i="56"/>
  <c r="AO380" i="56"/>
  <c r="AO379" i="56"/>
  <c r="AO378" i="56"/>
  <c r="AO377" i="56"/>
  <c r="AO376" i="56"/>
  <c r="AO375" i="56"/>
  <c r="AO374" i="56"/>
  <c r="AO373" i="56"/>
  <c r="AO372" i="56"/>
  <c r="AO371" i="56"/>
  <c r="AO370" i="56"/>
  <c r="AO369" i="56"/>
  <c r="AO368" i="56"/>
  <c r="AO367" i="56"/>
  <c r="AO366" i="56"/>
  <c r="AO365" i="56"/>
  <c r="AO364" i="56"/>
  <c r="AO363" i="56"/>
  <c r="AO362" i="56"/>
  <c r="AO361" i="56"/>
  <c r="AO360" i="56"/>
  <c r="AO359" i="56"/>
  <c r="AO358" i="56"/>
  <c r="AO357" i="56"/>
  <c r="AO356" i="56"/>
  <c r="AO355" i="56"/>
  <c r="AO354" i="56"/>
  <c r="AO353" i="56"/>
  <c r="AO352" i="56"/>
  <c r="AO351" i="56"/>
  <c r="AO350" i="56"/>
  <c r="AO349" i="56"/>
  <c r="AO348" i="56"/>
  <c r="AO347" i="56"/>
  <c r="AO346" i="56"/>
  <c r="AO345" i="56"/>
  <c r="AO344" i="56"/>
  <c r="AO343" i="56"/>
  <c r="AO342" i="56"/>
  <c r="AO341" i="56"/>
  <c r="AO340" i="56"/>
  <c r="AO339" i="56"/>
  <c r="AO338" i="56"/>
  <c r="AO337" i="56"/>
  <c r="AO336" i="56"/>
  <c r="AO335" i="56"/>
  <c r="AO334" i="56"/>
  <c r="AO333" i="56"/>
  <c r="AO332" i="56"/>
  <c r="AO331" i="56"/>
  <c r="AO330" i="56"/>
  <c r="AO329" i="56"/>
  <c r="AO328" i="56"/>
  <c r="AO327" i="56"/>
  <c r="AO326" i="56"/>
  <c r="AO325" i="56"/>
  <c r="AO324" i="56"/>
  <c r="AO323" i="56"/>
  <c r="AO322" i="56"/>
  <c r="AO321" i="56"/>
  <c r="AO320" i="56"/>
  <c r="AO319" i="56"/>
  <c r="AO318" i="56"/>
  <c r="AO317" i="56"/>
  <c r="AO316" i="56"/>
  <c r="AO315" i="56"/>
  <c r="AO314" i="56"/>
  <c r="AO313" i="56"/>
  <c r="AO312" i="56"/>
  <c r="AO311" i="56"/>
  <c r="AO310" i="56"/>
  <c r="AO309" i="56"/>
  <c r="AO308" i="56"/>
  <c r="AO307" i="56"/>
  <c r="AO306" i="56"/>
  <c r="AO305" i="56"/>
  <c r="AO304" i="56"/>
  <c r="AO303" i="56"/>
  <c r="AO302" i="56"/>
  <c r="AO301" i="56"/>
  <c r="AO300" i="56"/>
  <c r="AO299" i="56"/>
  <c r="AO298" i="56"/>
  <c r="AO297" i="56"/>
  <c r="AO296" i="56"/>
  <c r="AO295" i="56"/>
  <c r="AO294" i="56"/>
  <c r="AO293" i="56"/>
  <c r="AO292" i="56"/>
  <c r="AO291" i="56"/>
  <c r="AO290" i="56"/>
  <c r="AO289" i="56"/>
  <c r="AO288" i="56"/>
  <c r="AO287" i="56"/>
  <c r="AO286" i="56"/>
  <c r="AO285" i="56"/>
  <c r="AO284" i="56"/>
  <c r="AO283" i="56"/>
  <c r="AO282" i="56"/>
  <c r="AO281" i="56"/>
  <c r="AO280" i="56"/>
  <c r="AO279" i="56"/>
  <c r="AO278" i="56"/>
  <c r="AO277" i="56"/>
  <c r="AO276" i="56"/>
  <c r="AO275" i="56"/>
  <c r="AO274" i="56"/>
  <c r="AO273" i="56"/>
  <c r="AO272" i="56"/>
  <c r="AO271" i="56"/>
  <c r="AO270" i="56"/>
  <c r="AO269" i="56"/>
  <c r="AO268" i="56"/>
  <c r="AO267" i="56"/>
  <c r="AO266" i="56"/>
  <c r="AO265" i="56"/>
  <c r="AO264" i="56"/>
  <c r="AO263" i="56"/>
  <c r="AO262" i="56"/>
  <c r="AO261" i="56"/>
  <c r="AO260" i="56"/>
  <c r="AO259" i="56"/>
  <c r="AO258" i="56"/>
  <c r="AO257" i="56"/>
  <c r="AO256" i="56"/>
  <c r="AO255" i="56"/>
  <c r="AO254" i="56"/>
  <c r="AO253" i="56"/>
  <c r="AO252" i="56"/>
  <c r="AO251" i="56"/>
  <c r="AO250" i="56"/>
  <c r="AO249" i="56"/>
  <c r="AO248" i="56"/>
  <c r="AO247" i="56"/>
  <c r="AO246" i="56"/>
  <c r="AO245" i="56"/>
  <c r="AO244" i="56"/>
  <c r="AO243" i="56"/>
  <c r="AO242" i="56"/>
  <c r="AO241" i="56"/>
  <c r="AO240" i="56"/>
  <c r="AO239" i="56"/>
  <c r="AO238" i="56"/>
  <c r="AO237" i="56"/>
  <c r="AO236" i="56"/>
  <c r="AO235" i="56"/>
  <c r="AO234" i="56"/>
  <c r="AO233" i="56"/>
  <c r="AO232" i="56"/>
  <c r="AO231" i="56"/>
  <c r="AO230" i="56"/>
  <c r="AO229" i="56"/>
  <c r="AO228" i="56"/>
  <c r="AO227" i="56"/>
  <c r="AO226" i="56"/>
  <c r="AO225" i="56"/>
  <c r="AO224" i="56"/>
  <c r="AO223" i="56"/>
  <c r="AO222" i="56"/>
  <c r="AO221" i="56"/>
  <c r="AO220" i="56"/>
  <c r="AO219" i="56"/>
  <c r="AO218" i="56"/>
  <c r="AO217" i="56"/>
  <c r="AO216" i="56"/>
  <c r="AO215" i="56"/>
  <c r="AO214" i="56"/>
  <c r="AO213" i="56"/>
  <c r="AO212" i="56"/>
  <c r="AO211" i="56"/>
  <c r="AO210" i="56"/>
  <c r="AO209" i="56"/>
  <c r="AO208" i="56"/>
  <c r="AO207" i="56"/>
  <c r="AO206" i="56"/>
  <c r="AO205" i="56"/>
  <c r="AO204" i="56"/>
  <c r="AO203" i="56"/>
  <c r="AO202" i="56"/>
  <c r="AO201" i="56"/>
  <c r="AO200" i="56"/>
  <c r="AO199" i="56"/>
  <c r="AO198" i="56"/>
  <c r="AO197" i="56"/>
  <c r="AO196" i="56"/>
  <c r="AO195" i="56"/>
  <c r="AO194" i="56"/>
  <c r="AO193" i="56"/>
  <c r="AO192" i="56"/>
  <c r="AO191" i="56"/>
  <c r="AO190" i="56"/>
  <c r="AO189" i="56"/>
  <c r="AO188" i="56"/>
  <c r="AO187" i="56"/>
  <c r="AO186" i="56"/>
  <c r="AO185" i="56"/>
  <c r="AO184" i="56"/>
  <c r="AO183" i="56"/>
  <c r="AO182" i="56"/>
  <c r="AO181" i="56"/>
  <c r="AO180" i="56"/>
  <c r="AO179" i="56"/>
  <c r="AO178" i="56"/>
  <c r="AO177" i="56"/>
  <c r="AO176" i="56"/>
  <c r="AO175" i="56"/>
  <c r="AO174" i="56"/>
  <c r="AO173" i="56"/>
  <c r="AO172" i="56"/>
  <c r="AO171" i="56"/>
  <c r="AO170" i="56"/>
  <c r="AO169" i="56"/>
  <c r="AO168" i="56"/>
  <c r="AO167" i="56"/>
  <c r="AO166" i="56"/>
  <c r="AO165" i="56"/>
  <c r="AO164" i="56"/>
  <c r="AO163" i="56"/>
  <c r="AO162" i="56"/>
  <c r="AO161" i="56"/>
  <c r="AO160" i="56"/>
  <c r="AO159" i="56"/>
  <c r="AO158" i="56"/>
  <c r="AO157" i="56"/>
  <c r="AO156" i="56"/>
  <c r="AO155" i="56"/>
  <c r="AO154" i="56"/>
  <c r="AO153" i="56"/>
  <c r="AO152" i="56"/>
  <c r="AO151" i="56"/>
  <c r="AO150" i="56"/>
  <c r="AO149" i="56"/>
  <c r="AO148" i="56"/>
  <c r="AO147" i="56"/>
  <c r="AO146" i="56"/>
  <c r="AO145" i="56"/>
  <c r="AO144" i="56"/>
  <c r="AO143" i="56"/>
  <c r="AO142" i="56"/>
  <c r="AO141" i="56"/>
  <c r="AO140" i="56"/>
  <c r="AO139" i="56"/>
  <c r="AO138" i="56"/>
  <c r="AO137" i="56"/>
  <c r="AO136" i="56"/>
  <c r="AO135" i="56"/>
  <c r="AO134" i="56"/>
  <c r="AO133" i="56"/>
  <c r="AO132" i="56"/>
  <c r="AO131" i="56"/>
  <c r="AO130" i="56"/>
  <c r="AO129" i="56"/>
  <c r="AO128" i="56"/>
  <c r="AO127" i="56"/>
  <c r="AO126" i="56"/>
  <c r="AO125" i="56"/>
  <c r="AO124" i="56"/>
  <c r="AO123" i="56"/>
  <c r="AO122" i="56"/>
  <c r="AO121" i="56"/>
  <c r="AO120" i="56"/>
  <c r="AO119" i="56"/>
  <c r="AO118" i="56"/>
  <c r="AO117" i="56"/>
  <c r="AO116" i="56"/>
  <c r="AO115" i="56"/>
  <c r="AO114" i="56"/>
  <c r="AO113" i="56"/>
  <c r="AO112" i="56"/>
  <c r="AO111" i="56"/>
  <c r="AO110" i="56"/>
  <c r="AO109" i="56"/>
  <c r="AO108" i="56"/>
  <c r="AO107" i="56"/>
  <c r="AO106" i="56"/>
  <c r="AO105" i="56"/>
  <c r="AO104" i="56"/>
  <c r="AO103" i="56"/>
  <c r="AO102" i="56"/>
  <c r="AO101" i="56"/>
  <c r="AO100" i="56"/>
  <c r="AO99" i="56"/>
  <c r="AO98" i="56"/>
  <c r="AO97" i="56"/>
  <c r="AO96" i="56"/>
  <c r="AO95" i="56"/>
  <c r="AO94" i="56"/>
  <c r="AO93" i="56"/>
  <c r="AO92" i="56"/>
  <c r="AO91" i="56"/>
  <c r="AO90" i="56"/>
  <c r="AO89" i="56"/>
  <c r="AO88" i="56"/>
  <c r="AO87" i="56"/>
  <c r="AO86" i="56"/>
  <c r="AO85" i="56"/>
  <c r="AO84" i="56"/>
  <c r="AO83" i="56"/>
  <c r="AO82" i="56"/>
  <c r="AO81" i="56"/>
  <c r="AO80" i="56"/>
  <c r="AO79" i="56"/>
  <c r="AO78" i="56"/>
  <c r="AO77" i="56"/>
  <c r="AO76" i="56"/>
  <c r="AO75" i="56"/>
  <c r="AO74" i="56"/>
  <c r="AO73" i="56"/>
  <c r="AO72" i="56"/>
  <c r="AO71" i="56"/>
  <c r="AO70" i="56"/>
  <c r="AO69" i="56"/>
  <c r="AO68" i="56"/>
  <c r="AO67" i="56"/>
  <c r="AO66" i="56"/>
  <c r="AO65" i="56"/>
  <c r="AO64" i="56"/>
  <c r="AO63" i="56"/>
  <c r="AO62" i="56"/>
  <c r="AO61" i="56"/>
  <c r="AO60" i="56"/>
  <c r="AO59" i="56"/>
  <c r="AO58" i="56"/>
  <c r="AO57" i="56"/>
  <c r="AO56" i="56"/>
  <c r="AO55" i="56"/>
  <c r="AO54" i="56"/>
  <c r="AO53" i="56"/>
  <c r="AO52" i="56"/>
  <c r="AO51" i="56"/>
  <c r="AO50" i="56"/>
  <c r="AO49" i="56"/>
  <c r="AO48" i="56"/>
  <c r="AO47" i="56"/>
  <c r="AO46" i="56"/>
  <c r="AO45" i="56"/>
  <c r="AO44" i="56"/>
  <c r="AO43" i="56"/>
  <c r="AO42" i="56"/>
  <c r="AO41" i="56"/>
  <c r="AO40" i="56"/>
  <c r="AO39" i="56"/>
  <c r="AO38" i="56"/>
  <c r="AO37" i="56"/>
  <c r="AO36" i="56"/>
  <c r="AO35" i="56"/>
  <c r="AO34" i="56"/>
  <c r="AO33" i="56"/>
  <c r="AO32" i="56"/>
  <c r="AO31" i="56"/>
  <c r="AO30" i="56"/>
  <c r="AO29" i="56"/>
  <c r="AO28" i="56"/>
  <c r="AO27" i="56"/>
  <c r="AO26" i="56"/>
  <c r="AO25" i="56"/>
  <c r="AO24" i="56"/>
  <c r="AO23" i="56"/>
  <c r="AO22" i="56"/>
  <c r="AO21" i="56"/>
  <c r="AN20" i="56"/>
  <c r="AO20" i="56"/>
  <c r="AN19" i="56"/>
  <c r="AO19" i="56"/>
  <c r="AN18" i="56"/>
  <c r="AO18" i="56"/>
  <c r="AN17" i="56"/>
  <c r="AL17" i="56"/>
  <c r="AM17" i="56"/>
  <c r="AN16" i="56"/>
  <c r="AO16" i="56"/>
  <c r="AN15" i="56"/>
  <c r="AN14" i="56"/>
  <c r="AO14" i="56"/>
  <c r="AN13" i="56"/>
  <c r="AO13" i="56"/>
  <c r="AN12" i="56"/>
  <c r="AO12" i="56"/>
  <c r="AN11" i="56"/>
  <c r="AO11" i="56"/>
  <c r="AO10" i="56"/>
  <c r="AO9" i="56"/>
  <c r="AR396" i="56"/>
  <c r="AR395" i="56"/>
  <c r="AR376" i="56"/>
  <c r="AR375" i="56"/>
  <c r="AR367" i="56"/>
  <c r="AR366" i="56"/>
  <c r="AR365" i="56"/>
  <c r="AR346" i="56"/>
  <c r="AR345" i="56"/>
  <c r="AR337" i="56"/>
  <c r="AR336" i="56"/>
  <c r="AR335" i="56"/>
  <c r="AR316" i="56"/>
  <c r="AR315" i="56"/>
  <c r="AR306" i="56"/>
  <c r="AR305" i="56"/>
  <c r="AR286" i="56"/>
  <c r="AR285" i="56"/>
  <c r="AR277" i="56"/>
  <c r="AR276" i="56"/>
  <c r="AR275" i="56"/>
  <c r="AR256" i="56"/>
  <c r="AR255" i="56"/>
  <c r="AR247" i="56"/>
  <c r="AR246" i="56"/>
  <c r="AR245" i="56"/>
  <c r="AR226" i="56"/>
  <c r="AR225" i="56"/>
  <c r="AR217" i="56"/>
  <c r="AR216" i="56"/>
  <c r="AR215" i="56"/>
  <c r="AR196" i="56"/>
  <c r="AR195" i="56"/>
  <c r="AR187" i="56"/>
  <c r="AR186" i="56"/>
  <c r="AR185" i="56"/>
  <c r="AR166" i="56"/>
  <c r="AR165" i="56"/>
  <c r="AR157" i="56"/>
  <c r="AR156" i="56"/>
  <c r="AR155" i="56"/>
  <c r="AR136" i="56"/>
  <c r="AR135" i="56"/>
  <c r="AR127" i="56"/>
  <c r="AR126" i="56"/>
  <c r="AR125" i="56"/>
  <c r="AR106" i="56"/>
  <c r="AR105" i="56"/>
  <c r="AR97" i="56"/>
  <c r="AR96" i="56"/>
  <c r="AR95" i="56"/>
  <c r="AR76" i="56"/>
  <c r="AR75" i="56"/>
  <c r="AR67" i="56"/>
  <c r="AR66" i="56"/>
  <c r="AS66" i="56"/>
  <c r="AR65" i="56"/>
  <c r="AS65" i="56"/>
  <c r="AR46" i="56"/>
  <c r="AS46" i="56"/>
  <c r="AR45" i="56"/>
  <c r="AS45" i="56"/>
  <c r="AR37" i="56"/>
  <c r="AS37" i="56"/>
  <c r="AR36" i="56"/>
  <c r="AS36" i="56"/>
  <c r="AR35" i="56"/>
  <c r="AS35" i="56"/>
  <c r="AR32" i="56"/>
  <c r="AS32" i="56"/>
  <c r="AR26" i="56"/>
  <c r="AS26" i="56"/>
  <c r="AR23" i="56"/>
  <c r="AS23" i="56"/>
  <c r="AR22" i="56"/>
  <c r="AS22" i="56"/>
  <c r="AR21" i="56"/>
  <c r="AS21" i="56"/>
  <c r="AR16" i="56"/>
  <c r="AS16" i="56"/>
  <c r="AR14" i="56"/>
  <c r="AS14" i="56"/>
  <c r="AR13" i="56"/>
  <c r="AS13" i="56"/>
  <c r="AR12" i="56"/>
  <c r="AS12" i="56"/>
  <c r="AS11" i="56"/>
  <c r="AR10" i="56"/>
  <c r="AS10" i="56"/>
  <c r="AR9" i="56"/>
  <c r="AS9" i="56"/>
  <c r="AS8" i="56"/>
  <c r="AU306" i="56"/>
  <c r="AI396" i="56"/>
  <c r="AI395" i="56"/>
  <c r="AI394" i="56"/>
  <c r="AI393" i="56"/>
  <c r="AI392" i="56"/>
  <c r="AI391" i="56"/>
  <c r="AI390" i="56"/>
  <c r="AI389" i="56"/>
  <c r="AI388" i="56"/>
  <c r="AI387" i="56"/>
  <c r="AI386" i="56"/>
  <c r="AI385" i="56"/>
  <c r="AI384" i="56"/>
  <c r="AI383" i="56"/>
  <c r="AI382" i="56"/>
  <c r="AI381" i="56"/>
  <c r="AI380" i="56"/>
  <c r="AI379" i="56"/>
  <c r="AI378" i="56"/>
  <c r="AI377" i="56"/>
  <c r="AI376" i="56"/>
  <c r="AI375" i="56"/>
  <c r="AI374" i="56"/>
  <c r="AI373" i="56"/>
  <c r="AI372" i="56"/>
  <c r="AI371" i="56"/>
  <c r="AI370" i="56"/>
  <c r="AI369" i="56"/>
  <c r="AI368" i="56"/>
  <c r="AI367" i="56"/>
  <c r="AI366" i="56"/>
  <c r="AI365" i="56"/>
  <c r="AI364" i="56"/>
  <c r="AI363" i="56"/>
  <c r="AI362" i="56"/>
  <c r="AI361" i="56"/>
  <c r="AI360" i="56"/>
  <c r="AI359" i="56"/>
  <c r="AI358" i="56"/>
  <c r="AI357" i="56"/>
  <c r="AI356" i="56"/>
  <c r="AI355" i="56"/>
  <c r="AI354" i="56"/>
  <c r="AI353" i="56"/>
  <c r="AI352" i="56"/>
  <c r="AI351" i="56"/>
  <c r="AI350" i="56"/>
  <c r="AI349" i="56"/>
  <c r="AI348" i="56"/>
  <c r="AI347" i="56"/>
  <c r="AI346" i="56"/>
  <c r="AI345" i="56"/>
  <c r="AI344" i="56"/>
  <c r="AI343" i="56"/>
  <c r="AI342" i="56"/>
  <c r="AI341" i="56"/>
  <c r="AI340" i="56"/>
  <c r="AI339" i="56"/>
  <c r="AI338" i="56"/>
  <c r="AI337" i="56"/>
  <c r="AI336" i="56"/>
  <c r="AI335" i="56"/>
  <c r="AI334" i="56"/>
  <c r="AI333" i="56"/>
  <c r="AI332" i="56"/>
  <c r="AI331" i="56"/>
  <c r="AI330" i="56"/>
  <c r="AI329" i="56"/>
  <c r="AI328" i="56"/>
  <c r="AI327" i="56"/>
  <c r="AI326" i="56"/>
  <c r="AI325" i="56"/>
  <c r="AI324" i="56"/>
  <c r="AI323" i="56"/>
  <c r="AI322" i="56"/>
  <c r="AI321" i="56"/>
  <c r="AI320" i="56"/>
  <c r="AI319" i="56"/>
  <c r="AI318" i="56"/>
  <c r="AI317" i="56"/>
  <c r="AI316" i="56"/>
  <c r="AI315" i="56"/>
  <c r="AI314" i="56"/>
  <c r="AI313" i="56"/>
  <c r="AI312" i="56"/>
  <c r="AI311" i="56"/>
  <c r="AI310" i="56"/>
  <c r="AI309" i="56"/>
  <c r="AI308" i="56"/>
  <c r="AI307" i="56"/>
  <c r="AI306" i="56"/>
  <c r="AI305" i="56"/>
  <c r="AI304" i="56"/>
  <c r="AI303" i="56"/>
  <c r="AI302" i="56"/>
  <c r="AI301" i="56"/>
  <c r="AI300" i="56"/>
  <c r="AI299" i="56"/>
  <c r="AI298" i="56"/>
  <c r="AI297" i="56"/>
  <c r="AI296" i="56"/>
  <c r="AI295" i="56"/>
  <c r="AI294" i="56"/>
  <c r="AI293" i="56"/>
  <c r="AI292" i="56"/>
  <c r="AI291" i="56"/>
  <c r="AI290" i="56"/>
  <c r="AI289" i="56"/>
  <c r="AI288" i="56"/>
  <c r="AI287" i="56"/>
  <c r="AI286" i="56"/>
  <c r="AI285" i="56"/>
  <c r="AI284" i="56"/>
  <c r="AI283" i="56"/>
  <c r="AI282" i="56"/>
  <c r="AI281" i="56"/>
  <c r="AI280" i="56"/>
  <c r="AI279" i="56"/>
  <c r="AI278" i="56"/>
  <c r="AI277" i="56"/>
  <c r="AI276" i="56"/>
  <c r="AI275" i="56"/>
  <c r="AI274" i="56"/>
  <c r="AI273" i="56"/>
  <c r="AI272" i="56"/>
  <c r="AI271" i="56"/>
  <c r="AI270" i="56"/>
  <c r="AI269" i="56"/>
  <c r="AI268" i="56"/>
  <c r="AI267" i="56"/>
  <c r="AI266" i="56"/>
  <c r="AI265" i="56"/>
  <c r="AI264" i="56"/>
  <c r="AI263" i="56"/>
  <c r="AI262" i="56"/>
  <c r="AI261" i="56"/>
  <c r="AI260" i="56"/>
  <c r="AI259" i="56"/>
  <c r="AI258" i="56"/>
  <c r="AI257" i="56"/>
  <c r="AI256" i="56"/>
  <c r="AI255" i="56"/>
  <c r="AI254" i="56"/>
  <c r="AI253" i="56"/>
  <c r="AI252" i="56"/>
  <c r="AI251" i="56"/>
  <c r="AI250" i="56"/>
  <c r="AI249" i="56"/>
  <c r="AI248" i="56"/>
  <c r="AI247" i="56"/>
  <c r="AI246" i="56"/>
  <c r="AI245" i="56"/>
  <c r="AI244" i="56"/>
  <c r="AI243" i="56"/>
  <c r="AI242" i="56"/>
  <c r="AI241" i="56"/>
  <c r="AI240" i="56"/>
  <c r="AI239" i="56"/>
  <c r="AI238" i="56"/>
  <c r="AI237" i="56"/>
  <c r="AI236" i="56"/>
  <c r="AI235" i="56"/>
  <c r="AI234" i="56"/>
  <c r="AI233" i="56"/>
  <c r="AI232" i="56"/>
  <c r="AI231" i="56"/>
  <c r="AI230" i="56"/>
  <c r="AI229" i="56"/>
  <c r="AI228" i="56"/>
  <c r="AI227" i="56"/>
  <c r="AI226" i="56"/>
  <c r="AI225" i="56"/>
  <c r="AI224" i="56"/>
  <c r="AI223" i="56"/>
  <c r="AI222" i="56"/>
  <c r="AI221" i="56"/>
  <c r="AI220" i="56"/>
  <c r="AI219" i="56"/>
  <c r="AI218" i="56"/>
  <c r="AI217" i="56"/>
  <c r="AI216" i="56"/>
  <c r="AI215" i="56"/>
  <c r="AI214" i="56"/>
  <c r="AI213" i="56"/>
  <c r="AI212" i="56"/>
  <c r="AI211" i="56"/>
  <c r="AI210" i="56"/>
  <c r="AI209" i="56"/>
  <c r="AI208" i="56"/>
  <c r="AI207" i="56"/>
  <c r="AI206" i="56"/>
  <c r="AI205" i="56"/>
  <c r="AI204" i="56"/>
  <c r="AI203" i="56"/>
  <c r="AI202" i="56"/>
  <c r="AI201" i="56"/>
  <c r="AI200" i="56"/>
  <c r="AI199" i="56"/>
  <c r="AI198" i="56"/>
  <c r="AI197" i="56"/>
  <c r="AI196" i="56"/>
  <c r="AI195" i="56"/>
  <c r="AI194" i="56"/>
  <c r="AI193" i="56"/>
  <c r="AI192" i="56"/>
  <c r="AI191" i="56"/>
  <c r="AI190" i="56"/>
  <c r="AI189" i="56"/>
  <c r="AI188" i="56"/>
  <c r="AI187" i="56"/>
  <c r="AI186" i="56"/>
  <c r="AI185" i="56"/>
  <c r="AI184" i="56"/>
  <c r="AI183" i="56"/>
  <c r="AI182" i="56"/>
  <c r="AI181" i="56"/>
  <c r="AI180" i="56"/>
  <c r="AI179" i="56"/>
  <c r="AI178" i="56"/>
  <c r="AI177" i="56"/>
  <c r="AI176" i="56"/>
  <c r="AI175" i="56"/>
  <c r="AI174" i="56"/>
  <c r="AI173" i="56"/>
  <c r="AI172" i="56"/>
  <c r="AI171" i="56"/>
  <c r="AI170" i="56"/>
  <c r="AI169" i="56"/>
  <c r="AI168" i="56"/>
  <c r="AI167" i="56"/>
  <c r="AI166" i="56"/>
  <c r="AI165" i="56"/>
  <c r="AI164" i="56"/>
  <c r="AI163" i="56"/>
  <c r="AI162" i="56"/>
  <c r="AI161" i="56"/>
  <c r="AI160" i="56"/>
  <c r="AI159" i="56"/>
  <c r="AI158" i="56"/>
  <c r="AI157" i="56"/>
  <c r="AI156" i="56"/>
  <c r="AI155" i="56"/>
  <c r="AI154" i="56"/>
  <c r="AI153" i="56"/>
  <c r="AI152" i="56"/>
  <c r="AI151" i="56"/>
  <c r="AI150" i="56"/>
  <c r="AI149" i="56"/>
  <c r="AI148" i="56"/>
  <c r="AI147" i="56"/>
  <c r="AI146" i="56"/>
  <c r="AI145" i="56"/>
  <c r="AI144" i="56"/>
  <c r="AI143" i="56"/>
  <c r="AI142" i="56"/>
  <c r="AI141" i="56"/>
  <c r="AI140" i="56"/>
  <c r="AI139" i="56"/>
  <c r="AI138" i="56"/>
  <c r="AI137" i="56"/>
  <c r="AI136" i="56"/>
  <c r="AI135" i="56"/>
  <c r="AI134" i="56"/>
  <c r="AI133" i="56"/>
  <c r="AI132" i="56"/>
  <c r="AI131" i="56"/>
  <c r="AI130" i="56"/>
  <c r="AI129" i="56"/>
  <c r="AI128" i="56"/>
  <c r="AI127" i="56"/>
  <c r="AI126" i="56"/>
  <c r="AI125" i="56"/>
  <c r="AI124" i="56"/>
  <c r="AI123" i="56"/>
  <c r="AI122" i="56"/>
  <c r="AI121" i="56"/>
  <c r="AI120" i="56"/>
  <c r="AI119" i="56"/>
  <c r="AI118" i="56"/>
  <c r="AI117" i="56"/>
  <c r="AI116" i="56"/>
  <c r="AI115" i="56"/>
  <c r="AI114" i="56"/>
  <c r="AI113" i="56"/>
  <c r="AI112" i="56"/>
  <c r="AI111" i="56"/>
  <c r="AI110" i="56"/>
  <c r="AI109" i="56"/>
  <c r="AI108" i="56"/>
  <c r="AI107" i="56"/>
  <c r="AI106" i="56"/>
  <c r="AI105" i="56"/>
  <c r="AI104" i="56"/>
  <c r="AI103" i="56"/>
  <c r="AI102" i="56"/>
  <c r="AI101" i="56"/>
  <c r="AI100" i="56"/>
  <c r="AI99" i="56"/>
  <c r="AI98" i="56"/>
  <c r="AI97" i="56"/>
  <c r="AI96" i="56"/>
  <c r="AI95" i="56"/>
  <c r="AI94" i="56"/>
  <c r="AI93" i="56"/>
  <c r="AI92" i="56"/>
  <c r="AI91" i="56"/>
  <c r="AI90" i="56"/>
  <c r="AI89" i="56"/>
  <c r="AI88" i="56"/>
  <c r="AI87" i="56"/>
  <c r="AI86" i="56"/>
  <c r="AI85" i="56"/>
  <c r="AI84" i="56"/>
  <c r="AI83" i="56"/>
  <c r="AI82" i="56"/>
  <c r="AI81" i="56"/>
  <c r="AI80" i="56"/>
  <c r="AI79" i="56"/>
  <c r="AI78" i="56"/>
  <c r="AI77" i="56"/>
  <c r="AI76" i="56"/>
  <c r="AI75" i="56"/>
  <c r="AI74" i="56"/>
  <c r="AI73" i="56"/>
  <c r="AI72" i="56"/>
  <c r="AI71" i="56"/>
  <c r="AI70" i="56"/>
  <c r="AI69" i="56"/>
  <c r="AI68" i="56"/>
  <c r="AI67" i="56"/>
  <c r="AI66" i="56"/>
  <c r="AI65" i="56"/>
  <c r="AI64" i="56"/>
  <c r="AI63" i="56"/>
  <c r="AI62" i="56"/>
  <c r="AI61" i="56"/>
  <c r="AI60" i="56"/>
  <c r="AI59" i="56"/>
  <c r="AI58" i="56"/>
  <c r="AI57" i="56"/>
  <c r="AI56" i="56"/>
  <c r="AI55" i="56"/>
  <c r="AI54" i="56"/>
  <c r="AI53" i="56"/>
  <c r="AI52" i="56"/>
  <c r="AI51" i="56"/>
  <c r="AI50" i="56"/>
  <c r="AI49" i="56"/>
  <c r="AI48" i="56"/>
  <c r="AI47" i="56"/>
  <c r="AI46" i="56"/>
  <c r="AI45" i="56"/>
  <c r="AI44" i="56"/>
  <c r="AI43" i="56"/>
  <c r="AI42" i="56"/>
  <c r="AI41" i="56"/>
  <c r="AI40" i="56"/>
  <c r="AI39" i="56"/>
  <c r="AI38" i="56"/>
  <c r="AI37" i="56"/>
  <c r="AL396" i="56"/>
  <c r="AM396" i="56"/>
  <c r="AL395" i="56"/>
  <c r="AM395" i="56"/>
  <c r="AL376" i="56"/>
  <c r="AM376" i="56"/>
  <c r="AL375" i="56"/>
  <c r="AM375" i="56"/>
  <c r="AL367" i="56"/>
  <c r="AM367" i="56"/>
  <c r="AL366" i="56"/>
  <c r="AM366" i="56"/>
  <c r="AL365" i="56"/>
  <c r="AM365" i="56"/>
  <c r="AL346" i="56"/>
  <c r="AM346" i="56"/>
  <c r="AL345" i="56"/>
  <c r="AM345" i="56"/>
  <c r="AL337" i="56"/>
  <c r="AM337" i="56"/>
  <c r="AL336" i="56"/>
  <c r="AM336" i="56"/>
  <c r="AL335" i="56"/>
  <c r="AM335" i="56"/>
  <c r="AL316" i="56"/>
  <c r="AM316" i="56"/>
  <c r="AL315" i="56"/>
  <c r="AM315" i="56"/>
  <c r="AL307" i="56"/>
  <c r="AM307" i="56"/>
  <c r="AL306" i="56"/>
  <c r="AM306" i="56"/>
  <c r="AL305" i="56"/>
  <c r="AM305" i="56"/>
  <c r="AL286" i="56"/>
  <c r="AM286" i="56"/>
  <c r="AL285" i="56"/>
  <c r="AM285" i="56"/>
  <c r="AL277" i="56"/>
  <c r="AM277" i="56"/>
  <c r="AL276" i="56"/>
  <c r="AM276" i="56"/>
  <c r="AL275" i="56"/>
  <c r="AM275" i="56"/>
  <c r="AL256" i="56"/>
  <c r="AM256" i="56"/>
  <c r="AL255" i="56"/>
  <c r="AM255" i="56"/>
  <c r="AL247" i="56"/>
  <c r="AM247" i="56"/>
  <c r="AL246" i="56"/>
  <c r="AM246" i="56"/>
  <c r="AL245" i="56"/>
  <c r="AM245" i="56"/>
  <c r="AL226" i="56"/>
  <c r="AM226" i="56"/>
  <c r="AL225" i="56"/>
  <c r="AM225" i="56"/>
  <c r="AL217" i="56"/>
  <c r="AM217" i="56"/>
  <c r="AL216" i="56"/>
  <c r="AM216" i="56"/>
  <c r="AL215" i="56"/>
  <c r="AM215" i="56"/>
  <c r="AL196" i="56"/>
  <c r="AM196" i="56"/>
  <c r="AL195" i="56"/>
  <c r="AM195" i="56"/>
  <c r="AL187" i="56"/>
  <c r="AM187" i="56"/>
  <c r="AL186" i="56"/>
  <c r="AM186" i="56"/>
  <c r="AL185" i="56"/>
  <c r="AM185" i="56"/>
  <c r="AL166" i="56"/>
  <c r="AM166" i="56"/>
  <c r="AL165" i="56"/>
  <c r="AM165" i="56"/>
  <c r="AL157" i="56"/>
  <c r="AM157" i="56"/>
  <c r="AL156" i="56"/>
  <c r="AM156" i="56"/>
  <c r="AL155" i="56"/>
  <c r="AM155" i="56"/>
  <c r="AL136" i="56"/>
  <c r="AM136" i="56"/>
  <c r="AL135" i="56"/>
  <c r="AM135" i="56"/>
  <c r="AL127" i="56"/>
  <c r="AM127" i="56"/>
  <c r="AL126" i="56"/>
  <c r="AM126" i="56"/>
  <c r="AL125" i="56"/>
  <c r="AM125" i="56"/>
  <c r="AL106" i="56"/>
  <c r="AM106" i="56"/>
  <c r="AL105" i="56"/>
  <c r="AM105" i="56"/>
  <c r="AL97" i="56"/>
  <c r="AM97" i="56"/>
  <c r="AL96" i="56"/>
  <c r="AM96" i="56"/>
  <c r="AL95" i="56"/>
  <c r="AM95" i="56"/>
  <c r="AL76" i="56"/>
  <c r="AM76" i="56"/>
  <c r="AL75" i="56"/>
  <c r="AM75" i="56"/>
  <c r="AL67" i="56"/>
  <c r="AM67" i="56"/>
  <c r="AL66" i="56"/>
  <c r="AM66" i="56"/>
  <c r="AL65" i="56"/>
  <c r="AM65" i="56"/>
  <c r="AL46" i="56"/>
  <c r="AM46" i="56"/>
  <c r="AL45" i="56"/>
  <c r="AM45" i="56"/>
  <c r="AL37" i="56"/>
  <c r="AM37" i="56"/>
  <c r="AL36" i="56"/>
  <c r="AM36" i="56"/>
  <c r="AL35" i="56"/>
  <c r="AM35" i="56"/>
  <c r="AL32" i="56"/>
  <c r="AM32" i="56"/>
  <c r="AL31" i="56"/>
  <c r="AM31" i="56"/>
  <c r="AL28" i="56"/>
  <c r="AM28" i="56"/>
  <c r="AL27" i="56"/>
  <c r="AM27" i="56"/>
  <c r="AL26" i="56"/>
  <c r="AM26" i="56"/>
  <c r="AL25" i="56"/>
  <c r="AM25" i="56"/>
  <c r="AL23" i="56"/>
  <c r="AM23" i="56"/>
  <c r="AL22" i="56"/>
  <c r="AM22" i="56"/>
  <c r="AL21" i="56"/>
  <c r="AM21" i="56"/>
  <c r="AL12" i="56"/>
  <c r="AM12" i="56"/>
  <c r="AM11" i="56"/>
  <c r="AL10" i="56"/>
  <c r="AM10" i="56"/>
  <c r="AL9" i="56"/>
  <c r="AM9" i="56"/>
  <c r="AM8" i="56"/>
  <c r="AF396" i="56"/>
  <c r="AG396" i="56"/>
  <c r="W396" i="56"/>
  <c r="B396" i="56"/>
  <c r="AF395" i="56"/>
  <c r="AG395" i="56"/>
  <c r="B395" i="56"/>
  <c r="R394" i="56"/>
  <c r="BJ394" i="56"/>
  <c r="B394" i="56"/>
  <c r="R393" i="56"/>
  <c r="BJ393" i="56"/>
  <c r="B393" i="56"/>
  <c r="R392" i="56"/>
  <c r="BJ392" i="56"/>
  <c r="B392" i="56"/>
  <c r="R391" i="56"/>
  <c r="BJ391" i="56"/>
  <c r="AL391" i="56"/>
  <c r="AM391" i="56"/>
  <c r="B391" i="56"/>
  <c r="R390" i="56"/>
  <c r="BJ390" i="56"/>
  <c r="B390" i="56"/>
  <c r="R389" i="56"/>
  <c r="BJ389" i="56"/>
  <c r="B389" i="56"/>
  <c r="R388" i="56"/>
  <c r="BJ388" i="56"/>
  <c r="B388" i="56"/>
  <c r="R387" i="56"/>
  <c r="BJ387" i="56"/>
  <c r="B387" i="56"/>
  <c r="R386" i="56"/>
  <c r="BJ386" i="56"/>
  <c r="B386" i="56"/>
  <c r="R385" i="56"/>
  <c r="BJ385" i="56"/>
  <c r="BP385" i="56"/>
  <c r="BQ385" i="56"/>
  <c r="B385" i="56"/>
  <c r="R384" i="56"/>
  <c r="BJ384" i="56"/>
  <c r="B384" i="56"/>
  <c r="R383" i="56"/>
  <c r="BJ383" i="56"/>
  <c r="B383" i="56"/>
  <c r="R382" i="56"/>
  <c r="BJ382" i="56"/>
  <c r="AL382" i="56"/>
  <c r="AM382" i="56"/>
  <c r="B382" i="56"/>
  <c r="R381" i="56"/>
  <c r="BJ381" i="56"/>
  <c r="B381" i="56"/>
  <c r="R380" i="56"/>
  <c r="BJ380" i="56"/>
  <c r="B380" i="56"/>
  <c r="R379" i="56"/>
  <c r="BJ379" i="56"/>
  <c r="B379" i="56"/>
  <c r="R378" i="56"/>
  <c r="BJ378" i="56"/>
  <c r="B378" i="56"/>
  <c r="R377" i="56"/>
  <c r="BJ377" i="56"/>
  <c r="B377" i="56"/>
  <c r="AF376" i="56"/>
  <c r="AG376" i="56"/>
  <c r="B376" i="56"/>
  <c r="AF375" i="56"/>
  <c r="AG375" i="56"/>
  <c r="B375" i="56"/>
  <c r="R374" i="56"/>
  <c r="BJ374" i="56"/>
  <c r="B374" i="56"/>
  <c r="R373" i="56"/>
  <c r="BJ373" i="56"/>
  <c r="B373" i="56"/>
  <c r="R372" i="56"/>
  <c r="BJ372" i="56"/>
  <c r="B372" i="56"/>
  <c r="R371" i="56"/>
  <c r="BJ371" i="56"/>
  <c r="AF371" i="56"/>
  <c r="AG371" i="56"/>
  <c r="B371" i="56"/>
  <c r="R370" i="56"/>
  <c r="BJ370" i="56"/>
  <c r="BV370" i="56"/>
  <c r="B370" i="56"/>
  <c r="R369" i="56"/>
  <c r="BJ369" i="56"/>
  <c r="AL369" i="56"/>
  <c r="AM369" i="56"/>
  <c r="B369" i="56"/>
  <c r="W368" i="56"/>
  <c r="R368" i="56"/>
  <c r="BJ368" i="56"/>
  <c r="B368" i="56"/>
  <c r="AF367" i="56"/>
  <c r="AG367" i="56"/>
  <c r="W367" i="56"/>
  <c r="B367" i="56"/>
  <c r="R364" i="56"/>
  <c r="BJ364" i="56"/>
  <c r="R363" i="56"/>
  <c r="BJ363" i="56"/>
  <c r="R362" i="56"/>
  <c r="BJ362" i="56"/>
  <c r="R361" i="56"/>
  <c r="BJ361" i="56"/>
  <c r="AX361" i="56"/>
  <c r="AY361" i="56"/>
  <c r="R360" i="56"/>
  <c r="BJ360" i="56"/>
  <c r="R359" i="56"/>
  <c r="BJ359" i="56"/>
  <c r="R358" i="56"/>
  <c r="BJ358" i="56"/>
  <c r="R357" i="56"/>
  <c r="BJ357" i="56"/>
  <c r="R356" i="56"/>
  <c r="BJ356" i="56"/>
  <c r="R355" i="56"/>
  <c r="BJ355" i="56"/>
  <c r="R354" i="56"/>
  <c r="BJ354" i="56"/>
  <c r="R353" i="56"/>
  <c r="BJ353" i="56"/>
  <c r="R352" i="56"/>
  <c r="R351" i="56"/>
  <c r="BJ351" i="56"/>
  <c r="AX351" i="56"/>
  <c r="AY351" i="56"/>
  <c r="R350" i="56"/>
  <c r="BJ350" i="56"/>
  <c r="R349" i="56"/>
  <c r="BJ349" i="56"/>
  <c r="R348" i="56"/>
  <c r="BJ348" i="56"/>
  <c r="R347" i="56"/>
  <c r="BJ347" i="56"/>
  <c r="R344" i="56"/>
  <c r="BJ344" i="56"/>
  <c r="R343" i="56"/>
  <c r="BJ343" i="56"/>
  <c r="R342" i="56"/>
  <c r="BJ342" i="56"/>
  <c r="R341" i="56"/>
  <c r="BJ341" i="56"/>
  <c r="R340" i="56"/>
  <c r="BJ340" i="56"/>
  <c r="R339" i="56"/>
  <c r="BJ339" i="56"/>
  <c r="R338" i="56"/>
  <c r="BJ338" i="56"/>
  <c r="R334" i="56"/>
  <c r="BJ334" i="56"/>
  <c r="R333" i="56"/>
  <c r="BJ333" i="56"/>
  <c r="R332" i="56"/>
  <c r="BJ332" i="56"/>
  <c r="R331" i="56"/>
  <c r="R330" i="56"/>
  <c r="BJ330" i="56"/>
  <c r="R329" i="56"/>
  <c r="R328" i="56"/>
  <c r="BJ328" i="56"/>
  <c r="AR328" i="56"/>
  <c r="R327" i="56"/>
  <c r="BJ327" i="56"/>
  <c r="R326" i="56"/>
  <c r="BJ326" i="56"/>
  <c r="R325" i="56"/>
  <c r="BJ325" i="56"/>
  <c r="R324" i="56"/>
  <c r="BJ324" i="56"/>
  <c r="R323" i="56"/>
  <c r="BJ323" i="56"/>
  <c r="R322" i="56"/>
  <c r="BJ322" i="56"/>
  <c r="R321" i="56"/>
  <c r="R320" i="56"/>
  <c r="BJ320" i="56"/>
  <c r="BD320" i="56"/>
  <c r="BE320" i="56"/>
  <c r="R319" i="56"/>
  <c r="BJ319" i="56"/>
  <c r="R318" i="56"/>
  <c r="BJ318" i="56"/>
  <c r="R317" i="56"/>
  <c r="BJ317" i="56"/>
  <c r="R314" i="56"/>
  <c r="BJ314" i="56"/>
  <c r="R313" i="56"/>
  <c r="BJ313" i="56"/>
  <c r="R312" i="56"/>
  <c r="BJ312" i="56"/>
  <c r="AF312" i="56"/>
  <c r="AG312" i="56"/>
  <c r="R311" i="56"/>
  <c r="BJ311" i="56"/>
  <c r="R310" i="56"/>
  <c r="BJ310" i="56"/>
  <c r="R309" i="56"/>
  <c r="BJ309" i="56"/>
  <c r="R308" i="56"/>
  <c r="BJ308" i="56"/>
  <c r="R304" i="56"/>
  <c r="BJ304" i="56"/>
  <c r="R303" i="56"/>
  <c r="BJ303" i="56"/>
  <c r="R302" i="56"/>
  <c r="R301" i="56"/>
  <c r="BJ301" i="56"/>
  <c r="R300" i="56"/>
  <c r="BJ300" i="56"/>
  <c r="R299" i="56"/>
  <c r="BJ299" i="56"/>
  <c r="R298" i="56"/>
  <c r="BJ298" i="56"/>
  <c r="R297" i="56"/>
  <c r="BJ297" i="56"/>
  <c r="R296" i="56"/>
  <c r="BJ296" i="56"/>
  <c r="R295" i="56"/>
  <c r="BJ295" i="56"/>
  <c r="R294" i="56"/>
  <c r="BJ294" i="56"/>
  <c r="AL294" i="56"/>
  <c r="AM294" i="56"/>
  <c r="R293" i="56"/>
  <c r="BJ293" i="56"/>
  <c r="R292" i="56"/>
  <c r="BJ292" i="56"/>
  <c r="AR292" i="56"/>
  <c r="R291" i="56"/>
  <c r="BJ291" i="56"/>
  <c r="R290" i="56"/>
  <c r="BJ290" i="56"/>
  <c r="R289" i="56"/>
  <c r="BJ289" i="56"/>
  <c r="R288" i="56"/>
  <c r="BJ288" i="56"/>
  <c r="R287" i="56"/>
  <c r="BJ287" i="56"/>
  <c r="R284" i="56"/>
  <c r="R283" i="56"/>
  <c r="BJ283" i="56"/>
  <c r="R282" i="56"/>
  <c r="R281" i="56"/>
  <c r="BJ281" i="56"/>
  <c r="R280" i="56"/>
  <c r="R279" i="56"/>
  <c r="BJ279" i="56"/>
  <c r="R278" i="56"/>
  <c r="BJ278" i="56"/>
  <c r="R274" i="56"/>
  <c r="BJ274" i="56"/>
  <c r="R273" i="56"/>
  <c r="BJ273" i="56"/>
  <c r="R272" i="56"/>
  <c r="BJ272" i="56"/>
  <c r="R271" i="56"/>
  <c r="BJ271" i="56"/>
  <c r="R270" i="56"/>
  <c r="BJ270" i="56"/>
  <c r="R269" i="56"/>
  <c r="BJ269" i="56"/>
  <c r="R268" i="56"/>
  <c r="R267" i="56"/>
  <c r="BJ267" i="56"/>
  <c r="R266" i="56"/>
  <c r="BJ266" i="56"/>
  <c r="R265" i="56"/>
  <c r="BJ265" i="56"/>
  <c r="R264" i="56"/>
  <c r="BJ264" i="56"/>
  <c r="R263" i="56"/>
  <c r="BJ263" i="56"/>
  <c r="AF263" i="56"/>
  <c r="AG263" i="56"/>
  <c r="R262" i="56"/>
  <c r="BJ262" i="56"/>
  <c r="R261" i="56"/>
  <c r="BJ261" i="56"/>
  <c r="R260" i="56"/>
  <c r="BJ260" i="56"/>
  <c r="R259" i="56"/>
  <c r="BJ259" i="56"/>
  <c r="R258" i="56"/>
  <c r="BJ258" i="56"/>
  <c r="R257" i="56"/>
  <c r="R254" i="56"/>
  <c r="BJ254" i="56"/>
  <c r="R253" i="56"/>
  <c r="R252" i="56"/>
  <c r="BJ252" i="56"/>
  <c r="R251" i="56"/>
  <c r="R250" i="56"/>
  <c r="BJ250" i="56"/>
  <c r="R249" i="56"/>
  <c r="BJ249" i="56"/>
  <c r="R248" i="56"/>
  <c r="BJ248" i="56"/>
  <c r="R244" i="56"/>
  <c r="BJ244" i="56"/>
  <c r="R243" i="56"/>
  <c r="BJ243" i="56"/>
  <c r="R242" i="56"/>
  <c r="BJ242" i="56"/>
  <c r="R241" i="56"/>
  <c r="BJ241" i="56"/>
  <c r="R240" i="56"/>
  <c r="BJ240" i="56"/>
  <c r="R239" i="56"/>
  <c r="R238" i="56"/>
  <c r="BJ238" i="56"/>
  <c r="AF238" i="56"/>
  <c r="AG238" i="56"/>
  <c r="R237" i="56"/>
  <c r="BJ237" i="56"/>
  <c r="R236" i="56"/>
  <c r="BJ236" i="56"/>
  <c r="AF236" i="56"/>
  <c r="AG236" i="56"/>
  <c r="R235" i="56"/>
  <c r="BJ235" i="56"/>
  <c r="R234" i="56"/>
  <c r="R233" i="56"/>
  <c r="BJ233" i="56"/>
  <c r="AX233" i="56"/>
  <c r="AY233" i="56"/>
  <c r="R232" i="56"/>
  <c r="BJ232" i="56"/>
  <c r="R231" i="56"/>
  <c r="BJ231" i="56"/>
  <c r="AF231" i="56"/>
  <c r="AG231" i="56"/>
  <c r="R230" i="56"/>
  <c r="BJ230" i="56"/>
  <c r="R229" i="56"/>
  <c r="BJ229" i="56"/>
  <c r="AF229" i="56"/>
  <c r="AG229" i="56"/>
  <c r="R228" i="56"/>
  <c r="BJ228" i="56"/>
  <c r="AR228" i="56"/>
  <c r="R227" i="56"/>
  <c r="BJ227" i="56"/>
  <c r="R224" i="56"/>
  <c r="BJ224" i="56"/>
  <c r="R223" i="56"/>
  <c r="BJ223" i="56"/>
  <c r="R222" i="56"/>
  <c r="BJ222" i="56"/>
  <c r="AF222" i="56"/>
  <c r="AG222" i="56"/>
  <c r="R221" i="56"/>
  <c r="BJ221" i="56"/>
  <c r="AX221" i="56"/>
  <c r="AY221" i="56"/>
  <c r="R220" i="56"/>
  <c r="BJ220" i="56"/>
  <c r="R219" i="56"/>
  <c r="BJ219" i="56"/>
  <c r="R218" i="56"/>
  <c r="BJ218" i="56"/>
  <c r="BD218" i="56"/>
  <c r="BE218" i="56"/>
  <c r="R214" i="56"/>
  <c r="BJ214" i="56"/>
  <c r="R213" i="56"/>
  <c r="BJ213" i="56"/>
  <c r="AL213" i="56"/>
  <c r="AM213" i="56"/>
  <c r="R212" i="56"/>
  <c r="BJ212" i="56"/>
  <c r="R211" i="56"/>
  <c r="BJ211" i="56"/>
  <c r="R210" i="56"/>
  <c r="BJ210" i="56"/>
  <c r="R209" i="56"/>
  <c r="R208" i="56"/>
  <c r="BJ208" i="56"/>
  <c r="R207" i="56"/>
  <c r="BJ207" i="56"/>
  <c r="R206" i="56"/>
  <c r="BJ206" i="56"/>
  <c r="R205" i="56"/>
  <c r="BJ205" i="56"/>
  <c r="R204" i="56"/>
  <c r="BJ204" i="56"/>
  <c r="R203" i="56"/>
  <c r="R202" i="56"/>
  <c r="BJ202" i="56"/>
  <c r="R201" i="56"/>
  <c r="BJ201" i="56"/>
  <c r="BV201" i="56"/>
  <c r="R200" i="56"/>
  <c r="R199" i="56"/>
  <c r="BJ199" i="56"/>
  <c r="R198" i="56"/>
  <c r="R197" i="56"/>
  <c r="BJ197" i="56"/>
  <c r="AX197" i="56"/>
  <c r="R194" i="56"/>
  <c r="BJ194" i="56"/>
  <c r="R193" i="56"/>
  <c r="BJ193" i="56"/>
  <c r="BV193" i="56"/>
  <c r="R192" i="56"/>
  <c r="BJ192" i="56"/>
  <c r="R191" i="56"/>
  <c r="BJ191" i="56"/>
  <c r="AF191" i="56"/>
  <c r="AG191" i="56"/>
  <c r="R190" i="56"/>
  <c r="BJ190" i="56"/>
  <c r="R189" i="56"/>
  <c r="BJ189" i="56"/>
  <c r="AF189" i="56"/>
  <c r="AG189" i="56"/>
  <c r="R188" i="56"/>
  <c r="R184" i="56"/>
  <c r="BJ184" i="56"/>
  <c r="R183" i="56"/>
  <c r="R182" i="56"/>
  <c r="BJ182" i="56"/>
  <c r="R181" i="56"/>
  <c r="R180" i="56"/>
  <c r="BJ180" i="56"/>
  <c r="AF180" i="56"/>
  <c r="AG180" i="56"/>
  <c r="R179" i="56"/>
  <c r="BJ179" i="56"/>
  <c r="AF179" i="56"/>
  <c r="AG179" i="56"/>
  <c r="R178" i="56"/>
  <c r="BJ178" i="56"/>
  <c r="R177" i="56"/>
  <c r="BJ177" i="56"/>
  <c r="BV177" i="56"/>
  <c r="R176" i="56"/>
  <c r="BJ176" i="56"/>
  <c r="R175" i="56"/>
  <c r="BJ175" i="56"/>
  <c r="AX175" i="56"/>
  <c r="AY175" i="56"/>
  <c r="BD175" i="56"/>
  <c r="BE175" i="56"/>
  <c r="R174" i="56"/>
  <c r="BJ174" i="56"/>
  <c r="R173" i="56"/>
  <c r="BJ173" i="56"/>
  <c r="BV173" i="56"/>
  <c r="R172" i="56"/>
  <c r="BJ172" i="56"/>
  <c r="R171" i="56"/>
  <c r="BJ171" i="56"/>
  <c r="AF171" i="56"/>
  <c r="AG171" i="56"/>
  <c r="R170" i="56"/>
  <c r="BJ170" i="56"/>
  <c r="AF170" i="56"/>
  <c r="AG170" i="56"/>
  <c r="R169" i="56"/>
  <c r="R168" i="56"/>
  <c r="BJ168" i="56"/>
  <c r="AF168" i="56"/>
  <c r="AG168" i="56"/>
  <c r="R167" i="56"/>
  <c r="BJ167" i="56"/>
  <c r="AF167" i="56"/>
  <c r="AG167" i="56"/>
  <c r="R164" i="56"/>
  <c r="BJ164" i="56"/>
  <c r="R163" i="56"/>
  <c r="BJ163" i="56"/>
  <c r="R162" i="56"/>
  <c r="BJ162" i="56"/>
  <c r="R161" i="56"/>
  <c r="BJ161" i="56"/>
  <c r="R160" i="56"/>
  <c r="BJ160" i="56"/>
  <c r="R159" i="56"/>
  <c r="BJ159" i="56"/>
  <c r="R158" i="56"/>
  <c r="BJ158" i="56"/>
  <c r="AL158" i="56"/>
  <c r="AM158" i="56"/>
  <c r="R154" i="56"/>
  <c r="BJ154" i="56"/>
  <c r="AL154" i="56"/>
  <c r="AM154" i="56"/>
  <c r="R153" i="56"/>
  <c r="BJ153" i="56"/>
  <c r="R152" i="56"/>
  <c r="BJ152" i="56"/>
  <c r="AL152" i="56"/>
  <c r="AM152" i="56"/>
  <c r="R151" i="56"/>
  <c r="BJ151" i="56"/>
  <c r="R150" i="56"/>
  <c r="BJ150" i="56"/>
  <c r="R149" i="56"/>
  <c r="BJ149" i="56"/>
  <c r="R148" i="56"/>
  <c r="BJ148" i="56"/>
  <c r="R147" i="56"/>
  <c r="BJ147" i="56"/>
  <c r="R146" i="56"/>
  <c r="BJ146" i="56"/>
  <c r="AF146" i="56"/>
  <c r="AG146" i="56"/>
  <c r="R145" i="56"/>
  <c r="BJ145" i="56"/>
  <c r="R144" i="56"/>
  <c r="BJ144" i="56"/>
  <c r="R143" i="56"/>
  <c r="BJ143" i="56"/>
  <c r="R142" i="56"/>
  <c r="R141" i="56"/>
  <c r="BJ141" i="56"/>
  <c r="BV141" i="56"/>
  <c r="R140" i="56"/>
  <c r="R139" i="56"/>
  <c r="BJ139" i="56"/>
  <c r="R138" i="56"/>
  <c r="R137" i="56"/>
  <c r="BJ137" i="56"/>
  <c r="R134" i="56"/>
  <c r="BJ134" i="56"/>
  <c r="R133" i="56"/>
  <c r="BJ133" i="56"/>
  <c r="R132" i="56"/>
  <c r="BJ132" i="56"/>
  <c r="AR132" i="56"/>
  <c r="R131" i="56"/>
  <c r="BJ131" i="56"/>
  <c r="R130" i="56"/>
  <c r="BJ130" i="56"/>
  <c r="AL130" i="56"/>
  <c r="AM130" i="56"/>
  <c r="R129" i="56"/>
  <c r="BJ129" i="56"/>
  <c r="R128" i="56"/>
  <c r="BJ128" i="56"/>
  <c r="B126" i="56"/>
  <c r="B125" i="56"/>
  <c r="R124" i="56"/>
  <c r="BJ124" i="56"/>
  <c r="B124" i="56"/>
  <c r="R123" i="56"/>
  <c r="BJ123" i="56"/>
  <c r="B123" i="56"/>
  <c r="R122" i="56"/>
  <c r="BJ122" i="56"/>
  <c r="B122" i="56"/>
  <c r="R121" i="56"/>
  <c r="BJ121" i="56"/>
  <c r="AL121" i="56"/>
  <c r="AM121" i="56"/>
  <c r="B121" i="56"/>
  <c r="R120" i="56"/>
  <c r="BJ120" i="56"/>
  <c r="B120" i="56"/>
  <c r="R119" i="56"/>
  <c r="BJ119" i="56"/>
  <c r="B119" i="56"/>
  <c r="R118" i="56"/>
  <c r="BJ118" i="56"/>
  <c r="B118" i="56"/>
  <c r="R117" i="56"/>
  <c r="BJ117" i="56"/>
  <c r="B117" i="56"/>
  <c r="R116" i="56"/>
  <c r="BJ116" i="56"/>
  <c r="B116" i="56"/>
  <c r="R115" i="56"/>
  <c r="B115" i="56"/>
  <c r="R114" i="56"/>
  <c r="B114" i="56"/>
  <c r="R113" i="56"/>
  <c r="BJ113" i="56"/>
  <c r="B113" i="56"/>
  <c r="R112" i="56"/>
  <c r="BJ112" i="56"/>
  <c r="B112" i="56"/>
  <c r="R111" i="56"/>
  <c r="BJ111" i="56"/>
  <c r="B111" i="56"/>
  <c r="R110" i="56"/>
  <c r="BJ110" i="56"/>
  <c r="B110" i="56"/>
  <c r="R109" i="56"/>
  <c r="BJ109" i="56"/>
  <c r="B109" i="56"/>
  <c r="R108" i="56"/>
  <c r="BJ108" i="56"/>
  <c r="B108" i="56"/>
  <c r="R107" i="56"/>
  <c r="BJ107" i="56"/>
  <c r="B107" i="56"/>
  <c r="B106" i="56"/>
  <c r="B105" i="56"/>
  <c r="R104" i="56"/>
  <c r="B104" i="56"/>
  <c r="R103" i="56"/>
  <c r="BJ103" i="56"/>
  <c r="BP103" i="56"/>
  <c r="BQ103" i="56"/>
  <c r="B103" i="56"/>
  <c r="R102" i="56"/>
  <c r="BJ102" i="56"/>
  <c r="B102" i="56"/>
  <c r="R101" i="56"/>
  <c r="BJ101" i="56"/>
  <c r="B101" i="56"/>
  <c r="R100" i="56"/>
  <c r="BJ100" i="56"/>
  <c r="B100" i="56"/>
  <c r="R99" i="56"/>
  <c r="BJ99" i="56"/>
  <c r="B99" i="56"/>
  <c r="R98" i="56"/>
  <c r="BJ98" i="56"/>
  <c r="AF98" i="56"/>
  <c r="AG98" i="56"/>
  <c r="B98" i="56"/>
  <c r="B97" i="56"/>
  <c r="B96" i="56"/>
  <c r="B95" i="56"/>
  <c r="R94" i="56"/>
  <c r="BJ94" i="56"/>
  <c r="B94" i="56"/>
  <c r="R93" i="56"/>
  <c r="BJ93" i="56"/>
  <c r="B93" i="56"/>
  <c r="R92" i="56"/>
  <c r="BJ92" i="56"/>
  <c r="B92" i="56"/>
  <c r="R91" i="56"/>
  <c r="BJ91" i="56"/>
  <c r="B91" i="56"/>
  <c r="R90" i="56"/>
  <c r="BJ90" i="56"/>
  <c r="B90" i="56"/>
  <c r="R89" i="56"/>
  <c r="BJ89" i="56"/>
  <c r="B89" i="56"/>
  <c r="R88" i="56"/>
  <c r="BJ88" i="56"/>
  <c r="AL88" i="56"/>
  <c r="AM88" i="56"/>
  <c r="B88" i="56"/>
  <c r="R87" i="56"/>
  <c r="BJ87" i="56"/>
  <c r="AR87" i="56"/>
  <c r="B87" i="56"/>
  <c r="R86" i="56"/>
  <c r="BJ86" i="56"/>
  <c r="AL86" i="56"/>
  <c r="AM86" i="56"/>
  <c r="B86" i="56"/>
  <c r="R85" i="56"/>
  <c r="BJ85" i="56"/>
  <c r="AX85" i="56"/>
  <c r="AY85" i="56"/>
  <c r="B85" i="56"/>
  <c r="R84" i="56"/>
  <c r="BJ84" i="56"/>
  <c r="AL84" i="56"/>
  <c r="AM84" i="56"/>
  <c r="B84" i="56"/>
  <c r="R83" i="56"/>
  <c r="BJ83" i="56"/>
  <c r="B83" i="56"/>
  <c r="R82" i="56"/>
  <c r="BJ82" i="56"/>
  <c r="B82" i="56"/>
  <c r="R81" i="56"/>
  <c r="BJ81" i="56"/>
  <c r="AR81" i="56"/>
  <c r="B81" i="56"/>
  <c r="R80" i="56"/>
  <c r="B80" i="56"/>
  <c r="R79" i="56"/>
  <c r="BJ79" i="56"/>
  <c r="B79" i="56"/>
  <c r="R78" i="56"/>
  <c r="BJ78" i="56"/>
  <c r="B78" i="56"/>
  <c r="R77" i="56"/>
  <c r="BJ77" i="56"/>
  <c r="B77" i="56"/>
  <c r="B76" i="56"/>
  <c r="B75" i="56"/>
  <c r="R74" i="56"/>
  <c r="B74" i="56"/>
  <c r="R73" i="56"/>
  <c r="BJ73" i="56"/>
  <c r="B73" i="56"/>
  <c r="R72" i="56"/>
  <c r="BJ72" i="56"/>
  <c r="B72" i="56"/>
  <c r="R71" i="56"/>
  <c r="BJ71" i="56"/>
  <c r="B71" i="56"/>
  <c r="R70" i="56"/>
  <c r="BJ70" i="56"/>
  <c r="B70" i="56"/>
  <c r="R69" i="56"/>
  <c r="B69" i="56"/>
  <c r="R68" i="56"/>
  <c r="BJ68" i="56"/>
  <c r="B68" i="56"/>
  <c r="B67" i="56"/>
  <c r="R58" i="56"/>
  <c r="BJ58" i="56"/>
  <c r="BK58" i="56"/>
  <c r="R57" i="56"/>
  <c r="R56" i="56"/>
  <c r="BJ56" i="56"/>
  <c r="BK56" i="56"/>
  <c r="R55" i="56"/>
  <c r="R54" i="56"/>
  <c r="BJ54" i="56"/>
  <c r="BK54" i="56"/>
  <c r="AX54" i="56"/>
  <c r="AY54" i="56"/>
  <c r="R53" i="56"/>
  <c r="BJ53" i="56"/>
  <c r="BK53" i="56"/>
  <c r="AF53" i="56"/>
  <c r="AG53" i="56"/>
  <c r="R52" i="56"/>
  <c r="BJ52" i="56"/>
  <c r="BK52" i="56"/>
  <c r="R51" i="56"/>
  <c r="BJ51" i="56"/>
  <c r="BK51" i="56"/>
  <c r="AR51" i="56"/>
  <c r="AS51" i="56"/>
  <c r="R50" i="56"/>
  <c r="BJ50" i="56"/>
  <c r="BK50" i="56"/>
  <c r="R49" i="56"/>
  <c r="BJ49" i="56"/>
  <c r="BK49" i="56"/>
  <c r="R48" i="56"/>
  <c r="BJ48" i="56"/>
  <c r="BK48" i="56"/>
  <c r="AL48" i="56"/>
  <c r="AM48" i="56"/>
  <c r="R47" i="56"/>
  <c r="BJ47" i="56"/>
  <c r="BK47" i="56"/>
  <c r="AF47" i="56"/>
  <c r="AG47" i="56"/>
  <c r="R44" i="56"/>
  <c r="BJ44" i="56"/>
  <c r="BK44" i="56"/>
  <c r="R43" i="56"/>
  <c r="BJ43" i="56"/>
  <c r="BK43" i="56"/>
  <c r="AX43" i="56"/>
  <c r="AY43" i="56"/>
  <c r="R42" i="56"/>
  <c r="BJ42" i="56"/>
  <c r="BK42" i="56"/>
  <c r="R41" i="56"/>
  <c r="BJ41" i="56"/>
  <c r="BK41" i="56"/>
  <c r="R40" i="56"/>
  <c r="BJ40" i="56"/>
  <c r="BK40" i="56"/>
  <c r="R39" i="56"/>
  <c r="R38" i="56"/>
  <c r="BJ38" i="56"/>
  <c r="BK38" i="56"/>
  <c r="R34" i="56"/>
  <c r="R33" i="56"/>
  <c r="BJ33" i="56"/>
  <c r="BK33" i="56"/>
  <c r="R30" i="56"/>
  <c r="BV30" i="56"/>
  <c r="BW30" i="56"/>
  <c r="R29" i="56"/>
  <c r="AF29" i="56"/>
  <c r="AG29" i="56"/>
  <c r="P25" i="56"/>
  <c r="P26" i="56"/>
  <c r="P27" i="56"/>
  <c r="P28" i="56"/>
  <c r="P29" i="56"/>
  <c r="P30" i="56"/>
  <c r="P31" i="56"/>
  <c r="P32" i="56"/>
  <c r="P33" i="56"/>
  <c r="P34" i="56"/>
  <c r="P35" i="56"/>
  <c r="P36" i="56"/>
  <c r="P38" i="56"/>
  <c r="P39" i="56"/>
  <c r="P40" i="56"/>
  <c r="P41" i="56"/>
  <c r="P42" i="56"/>
  <c r="P43" i="56"/>
  <c r="P44" i="56"/>
  <c r="P45" i="56"/>
  <c r="P46" i="56"/>
  <c r="P47" i="56"/>
  <c r="P48" i="56"/>
  <c r="P49" i="56"/>
  <c r="P50" i="56"/>
  <c r="P51" i="56"/>
  <c r="P52" i="56"/>
  <c r="P53" i="56"/>
  <c r="P54" i="56"/>
  <c r="P55" i="56"/>
  <c r="P56" i="56"/>
  <c r="P57" i="56"/>
  <c r="P58" i="56"/>
  <c r="P59" i="56"/>
  <c r="P60" i="56"/>
  <c r="P61" i="56"/>
  <c r="P62" i="56"/>
  <c r="P63" i="56"/>
  <c r="P64" i="56"/>
  <c r="P65" i="56"/>
  <c r="P66" i="56"/>
  <c r="P68" i="56"/>
  <c r="P69" i="56"/>
  <c r="P70" i="56"/>
  <c r="P71" i="56"/>
  <c r="P72" i="56"/>
  <c r="P73" i="56"/>
  <c r="P74" i="56"/>
  <c r="P75" i="56"/>
  <c r="P76" i="56"/>
  <c r="P77" i="56"/>
  <c r="P78" i="56"/>
  <c r="P79" i="56"/>
  <c r="P80" i="56"/>
  <c r="P81" i="56"/>
  <c r="P82" i="56"/>
  <c r="P83" i="56"/>
  <c r="P84" i="56"/>
  <c r="P85" i="56"/>
  <c r="P86" i="56"/>
  <c r="P87" i="56"/>
  <c r="P88" i="56"/>
  <c r="P89" i="56"/>
  <c r="P90" i="56"/>
  <c r="P91" i="56"/>
  <c r="P92" i="56"/>
  <c r="P93" i="56"/>
  <c r="P94" i="56"/>
  <c r="P95" i="56"/>
  <c r="P96" i="56"/>
  <c r="P98" i="56"/>
  <c r="P99" i="56"/>
  <c r="P100" i="56"/>
  <c r="P101" i="56"/>
  <c r="P102" i="56"/>
  <c r="P103" i="56"/>
  <c r="P104" i="56"/>
  <c r="P105" i="56"/>
  <c r="P106" i="56"/>
  <c r="P107" i="56"/>
  <c r="P108" i="56"/>
  <c r="P109" i="56"/>
  <c r="P110" i="56"/>
  <c r="P111" i="56"/>
  <c r="P112" i="56"/>
  <c r="P113" i="56"/>
  <c r="P114" i="56"/>
  <c r="P115" i="56"/>
  <c r="P116" i="56"/>
  <c r="P117" i="56"/>
  <c r="P118" i="56"/>
  <c r="P119" i="56"/>
  <c r="P120" i="56"/>
  <c r="P121" i="56"/>
  <c r="P122" i="56"/>
  <c r="P123" i="56"/>
  <c r="P124" i="56"/>
  <c r="P125" i="56"/>
  <c r="P126" i="56"/>
  <c r="P128" i="56"/>
  <c r="P129" i="56"/>
  <c r="P130" i="56"/>
  <c r="P131" i="56"/>
  <c r="P132" i="56"/>
  <c r="P133" i="56"/>
  <c r="P134" i="56"/>
  <c r="P135" i="56"/>
  <c r="P136" i="56"/>
  <c r="P137" i="56"/>
  <c r="P138" i="56"/>
  <c r="P139" i="56"/>
  <c r="P140" i="56"/>
  <c r="P141" i="56"/>
  <c r="P142" i="56"/>
  <c r="P143" i="56"/>
  <c r="P144" i="56"/>
  <c r="P145" i="56"/>
  <c r="P146" i="56"/>
  <c r="P147" i="56"/>
  <c r="P148" i="56"/>
  <c r="P149" i="56"/>
  <c r="P150" i="56"/>
  <c r="P151" i="56"/>
  <c r="P152" i="56"/>
  <c r="P153" i="56"/>
  <c r="P154" i="56"/>
  <c r="P155" i="56"/>
  <c r="P156" i="56"/>
  <c r="P158" i="56"/>
  <c r="P159" i="56"/>
  <c r="P160" i="56"/>
  <c r="P161" i="56"/>
  <c r="P162" i="56"/>
  <c r="P163" i="56"/>
  <c r="P164" i="56"/>
  <c r="P165" i="56"/>
  <c r="P166" i="56"/>
  <c r="P167" i="56"/>
  <c r="P168" i="56"/>
  <c r="P169" i="56"/>
  <c r="P170" i="56"/>
  <c r="P171" i="56"/>
  <c r="P172" i="56"/>
  <c r="P173" i="56"/>
  <c r="P174" i="56"/>
  <c r="P175" i="56"/>
  <c r="P176" i="56"/>
  <c r="P177" i="56"/>
  <c r="P178" i="56"/>
  <c r="P179" i="56"/>
  <c r="P180" i="56"/>
  <c r="P181" i="56"/>
  <c r="P182" i="56"/>
  <c r="P183" i="56"/>
  <c r="P184" i="56"/>
  <c r="P185" i="56"/>
  <c r="P186" i="56"/>
  <c r="P188" i="56"/>
  <c r="P189" i="56"/>
  <c r="P190" i="56"/>
  <c r="P191" i="56"/>
  <c r="P192" i="56"/>
  <c r="P193" i="56"/>
  <c r="P194" i="56"/>
  <c r="P195" i="56"/>
  <c r="P196" i="56"/>
  <c r="P197" i="56"/>
  <c r="P198" i="56"/>
  <c r="P199" i="56"/>
  <c r="P200" i="56"/>
  <c r="P201" i="56"/>
  <c r="P202" i="56"/>
  <c r="P203" i="56"/>
  <c r="P204" i="56"/>
  <c r="P205" i="56"/>
  <c r="P206" i="56"/>
  <c r="P207" i="56"/>
  <c r="P208" i="56"/>
  <c r="P209" i="56"/>
  <c r="P210" i="56"/>
  <c r="P211" i="56"/>
  <c r="P212" i="56"/>
  <c r="P213" i="56"/>
  <c r="P214" i="56"/>
  <c r="P215" i="56"/>
  <c r="P216" i="56"/>
  <c r="P218" i="56"/>
  <c r="P219" i="56"/>
  <c r="P220" i="56"/>
  <c r="P221" i="56"/>
  <c r="P222" i="56"/>
  <c r="P223" i="56"/>
  <c r="P224" i="56"/>
  <c r="P225" i="56"/>
  <c r="P226" i="56"/>
  <c r="P227" i="56"/>
  <c r="P228" i="56"/>
  <c r="P229" i="56"/>
  <c r="P230" i="56"/>
  <c r="P231" i="56"/>
  <c r="P232" i="56"/>
  <c r="P233" i="56"/>
  <c r="P234" i="56"/>
  <c r="P235" i="56"/>
  <c r="P236" i="56"/>
  <c r="P237" i="56"/>
  <c r="P238" i="56"/>
  <c r="P239" i="56"/>
  <c r="P240" i="56"/>
  <c r="P241" i="56"/>
  <c r="P242" i="56"/>
  <c r="P243" i="56"/>
  <c r="P244" i="56"/>
  <c r="P245" i="56"/>
  <c r="P246" i="56"/>
  <c r="P248" i="56"/>
  <c r="P249" i="56"/>
  <c r="P250" i="56"/>
  <c r="P251" i="56"/>
  <c r="P252" i="56"/>
  <c r="P253" i="56"/>
  <c r="P254" i="56"/>
  <c r="P255" i="56"/>
  <c r="P256" i="56"/>
  <c r="P257" i="56"/>
  <c r="P258" i="56"/>
  <c r="P259" i="56"/>
  <c r="P260" i="56"/>
  <c r="P261" i="56"/>
  <c r="P262" i="56"/>
  <c r="P263" i="56"/>
  <c r="P264" i="56"/>
  <c r="P265" i="56"/>
  <c r="P266" i="56"/>
  <c r="P267" i="56"/>
  <c r="P268" i="56"/>
  <c r="P269" i="56"/>
  <c r="P270" i="56"/>
  <c r="P271" i="56"/>
  <c r="P272" i="56"/>
  <c r="P273" i="56"/>
  <c r="P274" i="56"/>
  <c r="P275" i="56"/>
  <c r="P276" i="56"/>
  <c r="P278" i="56"/>
  <c r="P279" i="56"/>
  <c r="P280" i="56"/>
  <c r="P281" i="56"/>
  <c r="P282" i="56"/>
  <c r="P283" i="56"/>
  <c r="P284" i="56"/>
  <c r="P285" i="56"/>
  <c r="P286" i="56"/>
  <c r="P287" i="56"/>
  <c r="P288" i="56"/>
  <c r="P289" i="56"/>
  <c r="P290" i="56"/>
  <c r="P291" i="56"/>
  <c r="P292" i="56"/>
  <c r="P293" i="56"/>
  <c r="P294" i="56"/>
  <c r="P295" i="56"/>
  <c r="P296" i="56"/>
  <c r="P297" i="56"/>
  <c r="P298" i="56"/>
  <c r="P299" i="56"/>
  <c r="P300" i="56"/>
  <c r="P301" i="56"/>
  <c r="P302" i="56"/>
  <c r="P303" i="56"/>
  <c r="P304" i="56"/>
  <c r="P305" i="56"/>
  <c r="P306" i="56"/>
  <c r="P308" i="56"/>
  <c r="P309" i="56"/>
  <c r="P310" i="56"/>
  <c r="P311" i="56"/>
  <c r="P312" i="56"/>
  <c r="P313" i="56"/>
  <c r="P314" i="56"/>
  <c r="P315" i="56"/>
  <c r="P316" i="56"/>
  <c r="P317" i="56"/>
  <c r="P318" i="56"/>
  <c r="P319" i="56"/>
  <c r="P320" i="56"/>
  <c r="P321" i="56"/>
  <c r="P322" i="56"/>
  <c r="P323" i="56"/>
  <c r="P324" i="56"/>
  <c r="P325" i="56"/>
  <c r="P326" i="56"/>
  <c r="P327" i="56"/>
  <c r="P328" i="56"/>
  <c r="P329" i="56"/>
  <c r="P330" i="56"/>
  <c r="P331" i="56"/>
  <c r="P332" i="56"/>
  <c r="P333" i="56"/>
  <c r="P334" i="56"/>
  <c r="P335" i="56"/>
  <c r="P336" i="56"/>
  <c r="P338" i="56"/>
  <c r="P339" i="56"/>
  <c r="P340" i="56"/>
  <c r="P341" i="56"/>
  <c r="P342" i="56"/>
  <c r="P343" i="56"/>
  <c r="P344" i="56"/>
  <c r="P345" i="56"/>
  <c r="P346" i="56"/>
  <c r="P347" i="56"/>
  <c r="P348" i="56"/>
  <c r="P349" i="56"/>
  <c r="P350" i="56"/>
  <c r="P351" i="56"/>
  <c r="P352" i="56"/>
  <c r="P353" i="56"/>
  <c r="P354" i="56"/>
  <c r="P355" i="56"/>
  <c r="P356" i="56"/>
  <c r="P357" i="56"/>
  <c r="P358" i="56"/>
  <c r="P359" i="56"/>
  <c r="P360" i="56"/>
  <c r="P361" i="56"/>
  <c r="P362" i="56"/>
  <c r="P363" i="56"/>
  <c r="P364" i="56"/>
  <c r="P365" i="56"/>
  <c r="P366" i="56"/>
  <c r="P368" i="56"/>
  <c r="P369" i="56"/>
  <c r="P370" i="56"/>
  <c r="P371" i="56"/>
  <c r="P372" i="56"/>
  <c r="P373" i="56"/>
  <c r="P374" i="56"/>
  <c r="P375" i="56"/>
  <c r="P376" i="56"/>
  <c r="P377" i="56"/>
  <c r="P378" i="56"/>
  <c r="P379" i="56"/>
  <c r="P380" i="56"/>
  <c r="P381" i="56"/>
  <c r="P382" i="56"/>
  <c r="P383" i="56"/>
  <c r="P384" i="56"/>
  <c r="P385" i="56"/>
  <c r="P386" i="56"/>
  <c r="P387" i="56"/>
  <c r="P388" i="56"/>
  <c r="P389" i="56"/>
  <c r="P390" i="56"/>
  <c r="P391" i="56"/>
  <c r="P392" i="56"/>
  <c r="P393" i="56"/>
  <c r="P394" i="56"/>
  <c r="P395" i="56"/>
  <c r="P396" i="56"/>
  <c r="R24" i="56"/>
  <c r="BP24" i="56"/>
  <c r="BQ24" i="56"/>
  <c r="AH11" i="56"/>
  <c r="AI11" i="56"/>
  <c r="AH12" i="56"/>
  <c r="AH13" i="56"/>
  <c r="AH14" i="56"/>
  <c r="AH15" i="56"/>
  <c r="AI15" i="56"/>
  <c r="AH16" i="56"/>
  <c r="AI16" i="56"/>
  <c r="AH17" i="56"/>
  <c r="AH18" i="56"/>
  <c r="AI18" i="56"/>
  <c r="AH19" i="56"/>
  <c r="AH20" i="56"/>
  <c r="AI36" i="56"/>
  <c r="AI35" i="56"/>
  <c r="AI34" i="56"/>
  <c r="AI33" i="56"/>
  <c r="AI32" i="56"/>
  <c r="AI31" i="56"/>
  <c r="AI30" i="56"/>
  <c r="AI29" i="56"/>
  <c r="AI28" i="56"/>
  <c r="AI27" i="56"/>
  <c r="AI26" i="56"/>
  <c r="AI25" i="56"/>
  <c r="AI24" i="56"/>
  <c r="AI23" i="56"/>
  <c r="AG11" i="56"/>
  <c r="AI22" i="56"/>
  <c r="AG8" i="56"/>
  <c r="AF366" i="56"/>
  <c r="AG366" i="56"/>
  <c r="AF365" i="56"/>
  <c r="AG365" i="56"/>
  <c r="AF346" i="56"/>
  <c r="AG346" i="56"/>
  <c r="AF345" i="56"/>
  <c r="AG345" i="56"/>
  <c r="AF337" i="56"/>
  <c r="AG337" i="56"/>
  <c r="AF336" i="56"/>
  <c r="AG336" i="56"/>
  <c r="AF335" i="56"/>
  <c r="AG335" i="56"/>
  <c r="AF316" i="56"/>
  <c r="AG316" i="56"/>
  <c r="AF315" i="56"/>
  <c r="AG315" i="56"/>
  <c r="AF307" i="56"/>
  <c r="AG307" i="56"/>
  <c r="AF306" i="56"/>
  <c r="AG306" i="56"/>
  <c r="AF305" i="56"/>
  <c r="AG305" i="56"/>
  <c r="AF286" i="56"/>
  <c r="AG286" i="56"/>
  <c r="AF285" i="56"/>
  <c r="AG285" i="56"/>
  <c r="AF277" i="56"/>
  <c r="AG277" i="56"/>
  <c r="AF276" i="56"/>
  <c r="AG276" i="56"/>
  <c r="AF275" i="56"/>
  <c r="AG275" i="56"/>
  <c r="AF256" i="56"/>
  <c r="AG256" i="56"/>
  <c r="AF255" i="56"/>
  <c r="AG255" i="56"/>
  <c r="AF247" i="56"/>
  <c r="AG247" i="56"/>
  <c r="AF246" i="56"/>
  <c r="AG246" i="56"/>
  <c r="AF245" i="56"/>
  <c r="AG245" i="56"/>
  <c r="AF226" i="56"/>
  <c r="AG226" i="56"/>
  <c r="AF225" i="56"/>
  <c r="AG225" i="56"/>
  <c r="AF217" i="56"/>
  <c r="AG217" i="56"/>
  <c r="AF216" i="56"/>
  <c r="AG216" i="56"/>
  <c r="AF215" i="56"/>
  <c r="AG215" i="56"/>
  <c r="AF196" i="56"/>
  <c r="AG196" i="56"/>
  <c r="AF195" i="56"/>
  <c r="AG195" i="56"/>
  <c r="AF187" i="56"/>
  <c r="AG187" i="56"/>
  <c r="AF186" i="56"/>
  <c r="AG186" i="56"/>
  <c r="AF185" i="56"/>
  <c r="AG185" i="56"/>
  <c r="AF166" i="56"/>
  <c r="AG166" i="56"/>
  <c r="AF165" i="56"/>
  <c r="AG165" i="56"/>
  <c r="AF157" i="56"/>
  <c r="AG157" i="56"/>
  <c r="AF156" i="56"/>
  <c r="AG156" i="56"/>
  <c r="AF155" i="56"/>
  <c r="AG155" i="56"/>
  <c r="AF136" i="56"/>
  <c r="AG136" i="56"/>
  <c r="AF135" i="56"/>
  <c r="AG135" i="56"/>
  <c r="AF127" i="56"/>
  <c r="AG127" i="56"/>
  <c r="AF126" i="56"/>
  <c r="AG126" i="56"/>
  <c r="AF125" i="56"/>
  <c r="AG125" i="56"/>
  <c r="AF106" i="56"/>
  <c r="AG106" i="56"/>
  <c r="AF105" i="56"/>
  <c r="AG105" i="56"/>
  <c r="AF97" i="56"/>
  <c r="AG97" i="56"/>
  <c r="AF96" i="56"/>
  <c r="AG96" i="56"/>
  <c r="AF95" i="56"/>
  <c r="AG95" i="56"/>
  <c r="AF76" i="56"/>
  <c r="AG76" i="56"/>
  <c r="AF75" i="56"/>
  <c r="AG75" i="56"/>
  <c r="AF67" i="56"/>
  <c r="AG67" i="56"/>
  <c r="AF66" i="56"/>
  <c r="AG66" i="56"/>
  <c r="AF65" i="56"/>
  <c r="AG65" i="56"/>
  <c r="AF46" i="56"/>
  <c r="AG46" i="56"/>
  <c r="AF45" i="56"/>
  <c r="AG45" i="56"/>
  <c r="AF37" i="56"/>
  <c r="AG37" i="56"/>
  <c r="AF36" i="56"/>
  <c r="AG36" i="56"/>
  <c r="AF35" i="56"/>
  <c r="AG35" i="56"/>
  <c r="AF32" i="56"/>
  <c r="AG32" i="56"/>
  <c r="AF31" i="56"/>
  <c r="AG31" i="56"/>
  <c r="AF28" i="56"/>
  <c r="AG28" i="56"/>
  <c r="AF27" i="56"/>
  <c r="AG27" i="56"/>
  <c r="AF26" i="56"/>
  <c r="AG26" i="56"/>
  <c r="AF25" i="56"/>
  <c r="AG25" i="56"/>
  <c r="AF23" i="56"/>
  <c r="AG23" i="56"/>
  <c r="AF22" i="56"/>
  <c r="AG22" i="56"/>
  <c r="AF21" i="56"/>
  <c r="AG21" i="56"/>
  <c r="AF10" i="56"/>
  <c r="AG10" i="56"/>
  <c r="AF9" i="56"/>
  <c r="AG9" i="56"/>
  <c r="W366" i="56"/>
  <c r="B366" i="56"/>
  <c r="B365" i="56"/>
  <c r="B364" i="56"/>
  <c r="B363" i="56"/>
  <c r="B362" i="56"/>
  <c r="B361" i="56"/>
  <c r="B360" i="56"/>
  <c r="B359" i="56"/>
  <c r="B358" i="56"/>
  <c r="B357" i="56"/>
  <c r="B356" i="56"/>
  <c r="B355" i="56"/>
  <c r="B354" i="56"/>
  <c r="B353" i="56"/>
  <c r="B352" i="56"/>
  <c r="B351" i="56"/>
  <c r="B350" i="56"/>
  <c r="B349" i="56"/>
  <c r="B348" i="56"/>
  <c r="B347" i="56"/>
  <c r="B346" i="56"/>
  <c r="B345" i="56"/>
  <c r="B344" i="56"/>
  <c r="B343" i="56"/>
  <c r="B342" i="56"/>
  <c r="B341" i="56"/>
  <c r="B340" i="56"/>
  <c r="B339" i="56"/>
  <c r="W338" i="56"/>
  <c r="B338" i="56"/>
  <c r="W337" i="56"/>
  <c r="B337" i="56"/>
  <c r="B156" i="56"/>
  <c r="B186" i="56"/>
  <c r="B216" i="56"/>
  <c r="B246" i="56"/>
  <c r="B276" i="56"/>
  <c r="W336" i="56"/>
  <c r="W308" i="56"/>
  <c r="W307" i="56"/>
  <c r="W306" i="56"/>
  <c r="W278" i="56"/>
  <c r="W277" i="56"/>
  <c r="W276" i="56"/>
  <c r="W248" i="56"/>
  <c r="W247" i="56"/>
  <c r="W246" i="56"/>
  <c r="W218" i="56"/>
  <c r="W217" i="56"/>
  <c r="W216" i="56"/>
  <c r="W188" i="56"/>
  <c r="W187" i="56"/>
  <c r="W186" i="56"/>
  <c r="W158" i="56"/>
  <c r="W157" i="56"/>
  <c r="W156" i="56"/>
  <c r="W128" i="56"/>
  <c r="W127" i="56"/>
  <c r="W126" i="56"/>
  <c r="W98" i="56"/>
  <c r="W97" i="56"/>
  <c r="W96" i="56"/>
  <c r="W68" i="56"/>
  <c r="W67" i="56"/>
  <c r="B66" i="56"/>
  <c r="B65" i="56"/>
  <c r="B64" i="56"/>
  <c r="B63" i="56"/>
  <c r="B62" i="56"/>
  <c r="B61" i="56"/>
  <c r="B60" i="56"/>
  <c r="B59" i="56"/>
  <c r="B58" i="56"/>
  <c r="B57" i="56"/>
  <c r="B56" i="56"/>
  <c r="B55" i="56"/>
  <c r="B54" i="56"/>
  <c r="B53" i="56"/>
  <c r="B52" i="56"/>
  <c r="B51" i="56"/>
  <c r="B50" i="56"/>
  <c r="B49" i="56"/>
  <c r="B48" i="56"/>
  <c r="B47" i="56"/>
  <c r="B46" i="56"/>
  <c r="B45" i="56"/>
  <c r="B44" i="56"/>
  <c r="B43" i="56"/>
  <c r="B42" i="56"/>
  <c r="B41" i="56"/>
  <c r="B40" i="56"/>
  <c r="B39" i="56"/>
  <c r="B38" i="56"/>
  <c r="B37" i="56"/>
  <c r="B36" i="56"/>
  <c r="B35" i="56"/>
  <c r="B34" i="56"/>
  <c r="B33" i="56"/>
  <c r="B32" i="56"/>
  <c r="B31" i="56"/>
  <c r="B30" i="56"/>
  <c r="B29" i="56"/>
  <c r="B28" i="56"/>
  <c r="B27" i="56"/>
  <c r="B26" i="56"/>
  <c r="B25" i="56"/>
  <c r="B24" i="56"/>
  <c r="B23" i="56"/>
  <c r="AF18" i="56"/>
  <c r="AG18" i="56"/>
  <c r="AI21" i="56"/>
  <c r="AI9" i="56"/>
  <c r="AI10" i="56"/>
  <c r="B336" i="56"/>
  <c r="B335" i="56"/>
  <c r="B334" i="56"/>
  <c r="B333" i="56"/>
  <c r="B332" i="56"/>
  <c r="B331" i="56"/>
  <c r="B330" i="56"/>
  <c r="B329" i="56"/>
  <c r="B328" i="56"/>
  <c r="B327" i="56"/>
  <c r="B326" i="56"/>
  <c r="B325" i="56"/>
  <c r="B324" i="56"/>
  <c r="B323" i="56"/>
  <c r="B322" i="56"/>
  <c r="B321" i="56"/>
  <c r="B320" i="56"/>
  <c r="B319" i="56"/>
  <c r="B318" i="56"/>
  <c r="B317" i="56"/>
  <c r="B316" i="56"/>
  <c r="B315" i="56"/>
  <c r="B314" i="56"/>
  <c r="B313" i="56"/>
  <c r="B312" i="56"/>
  <c r="B311" i="56"/>
  <c r="B310" i="56"/>
  <c r="B309" i="56"/>
  <c r="B308" i="56"/>
  <c r="B307" i="56"/>
  <c r="B306" i="56"/>
  <c r="B305" i="56"/>
  <c r="B304" i="56"/>
  <c r="B303" i="56"/>
  <c r="B302" i="56"/>
  <c r="B301" i="56"/>
  <c r="B300" i="56"/>
  <c r="B299" i="56"/>
  <c r="B298" i="56"/>
  <c r="B297" i="56"/>
  <c r="B296" i="56"/>
  <c r="B295" i="56"/>
  <c r="B294" i="56"/>
  <c r="B293" i="56"/>
  <c r="B292" i="56"/>
  <c r="B291" i="56"/>
  <c r="B290" i="56"/>
  <c r="B289" i="56"/>
  <c r="B288" i="56"/>
  <c r="B287" i="56"/>
  <c r="B286" i="56"/>
  <c r="B285" i="56"/>
  <c r="B284" i="56"/>
  <c r="B283" i="56"/>
  <c r="B282" i="56"/>
  <c r="B281" i="56"/>
  <c r="B280" i="56"/>
  <c r="B279" i="56"/>
  <c r="B278" i="56"/>
  <c r="B277" i="56"/>
  <c r="B275" i="56"/>
  <c r="B274" i="56"/>
  <c r="B273" i="56"/>
  <c r="B272" i="56"/>
  <c r="B271" i="56"/>
  <c r="B270" i="56"/>
  <c r="B269" i="56"/>
  <c r="B268" i="56"/>
  <c r="B267" i="56"/>
  <c r="B266" i="56"/>
  <c r="B265" i="56"/>
  <c r="B264" i="56"/>
  <c r="B263" i="56"/>
  <c r="B262" i="56"/>
  <c r="B261" i="56"/>
  <c r="B260" i="56"/>
  <c r="B259" i="56"/>
  <c r="B258" i="56"/>
  <c r="B257" i="56"/>
  <c r="B256" i="56"/>
  <c r="B255" i="56"/>
  <c r="B254" i="56"/>
  <c r="B253" i="56"/>
  <c r="B252" i="56"/>
  <c r="B251" i="56"/>
  <c r="B250" i="56"/>
  <c r="B249" i="56"/>
  <c r="B248" i="56"/>
  <c r="B247" i="56"/>
  <c r="B245" i="56"/>
  <c r="B244" i="56"/>
  <c r="B243" i="56"/>
  <c r="B242" i="56"/>
  <c r="B241" i="56"/>
  <c r="B240" i="56"/>
  <c r="B239" i="56"/>
  <c r="B238" i="56"/>
  <c r="B237" i="56"/>
  <c r="B236" i="56"/>
  <c r="B235" i="56"/>
  <c r="B234" i="56"/>
  <c r="B233" i="56"/>
  <c r="B232" i="56"/>
  <c r="B231" i="56"/>
  <c r="B230" i="56"/>
  <c r="B229" i="56"/>
  <c r="B228" i="56"/>
  <c r="B227" i="56"/>
  <c r="B226" i="56"/>
  <c r="B225" i="56"/>
  <c r="B224" i="56"/>
  <c r="B223" i="56"/>
  <c r="B222" i="56"/>
  <c r="B221" i="56"/>
  <c r="B220" i="56"/>
  <c r="B219" i="56"/>
  <c r="B218" i="56"/>
  <c r="B217" i="56"/>
  <c r="B215" i="56"/>
  <c r="B214" i="56"/>
  <c r="B213" i="56"/>
  <c r="B212" i="56"/>
  <c r="B211" i="56"/>
  <c r="B210" i="56"/>
  <c r="B209" i="56"/>
  <c r="B208" i="56"/>
  <c r="B207" i="56"/>
  <c r="B206" i="56"/>
  <c r="B205" i="56"/>
  <c r="B204" i="56"/>
  <c r="B203" i="56"/>
  <c r="B202" i="56"/>
  <c r="B201" i="56"/>
  <c r="B200" i="56"/>
  <c r="B199" i="56"/>
  <c r="B198" i="56"/>
  <c r="B197" i="56"/>
  <c r="B196" i="56"/>
  <c r="B195" i="56"/>
  <c r="B194" i="56"/>
  <c r="B193" i="56"/>
  <c r="B192" i="56"/>
  <c r="B191" i="56"/>
  <c r="B190" i="56"/>
  <c r="B189" i="56"/>
  <c r="B188" i="56"/>
  <c r="B187" i="56"/>
  <c r="B185" i="56"/>
  <c r="B184" i="56"/>
  <c r="B183" i="56"/>
  <c r="B182" i="56"/>
  <c r="B181" i="56"/>
  <c r="B180" i="56"/>
  <c r="B179" i="56"/>
  <c r="B178" i="56"/>
  <c r="B177" i="56"/>
  <c r="B176" i="56"/>
  <c r="B175" i="56"/>
  <c r="B174" i="56"/>
  <c r="B173" i="56"/>
  <c r="B172" i="56"/>
  <c r="B171" i="56"/>
  <c r="B170" i="56"/>
  <c r="B169" i="56"/>
  <c r="B168" i="56"/>
  <c r="B167" i="56"/>
  <c r="B166" i="56"/>
  <c r="B165" i="56"/>
  <c r="B164" i="56"/>
  <c r="B163" i="56"/>
  <c r="B162" i="56"/>
  <c r="B161" i="56"/>
  <c r="B160" i="56"/>
  <c r="B159" i="56"/>
  <c r="B158" i="56"/>
  <c r="B157" i="56"/>
  <c r="B155" i="56"/>
  <c r="B154" i="56"/>
  <c r="B153" i="56"/>
  <c r="B152" i="56"/>
  <c r="B151" i="56"/>
  <c r="B150" i="56"/>
  <c r="B149" i="56"/>
  <c r="B148" i="56"/>
  <c r="B147" i="56"/>
  <c r="B146" i="56"/>
  <c r="B145" i="56"/>
  <c r="B144" i="56"/>
  <c r="B143" i="56"/>
  <c r="B142" i="56"/>
  <c r="B141" i="56"/>
  <c r="B140" i="56"/>
  <c r="B139" i="56"/>
  <c r="B138" i="56"/>
  <c r="B137" i="56"/>
  <c r="B136" i="56"/>
  <c r="B135" i="56"/>
  <c r="B134" i="56"/>
  <c r="B133" i="56"/>
  <c r="B132" i="56"/>
  <c r="B131" i="56"/>
  <c r="B130" i="56"/>
  <c r="B129" i="56"/>
  <c r="B128" i="56"/>
  <c r="B127" i="56"/>
  <c r="W66" i="56"/>
  <c r="R64" i="56"/>
  <c r="BJ64" i="56"/>
  <c r="BK64" i="56"/>
  <c r="R63" i="56"/>
  <c r="BJ63" i="56"/>
  <c r="BK63" i="56"/>
  <c r="AR63" i="56"/>
  <c r="AS63" i="56"/>
  <c r="R62" i="56"/>
  <c r="BJ62" i="56"/>
  <c r="BK62" i="56"/>
  <c r="R61" i="56"/>
  <c r="BJ61" i="56"/>
  <c r="BK61" i="56"/>
  <c r="AF61" i="56"/>
  <c r="AG61" i="56"/>
  <c r="R60" i="56"/>
  <c r="BJ60" i="56"/>
  <c r="BK60" i="56"/>
  <c r="R59" i="56"/>
  <c r="BJ59" i="56"/>
  <c r="BK59" i="56"/>
  <c r="AL59" i="56"/>
  <c r="AM59" i="56"/>
  <c r="W38" i="56"/>
  <c r="W37" i="56"/>
  <c r="W36" i="56"/>
  <c r="W35" i="56"/>
  <c r="W34" i="56"/>
  <c r="W33" i="56"/>
  <c r="W22" i="56"/>
  <c r="W21" i="56"/>
  <c r="W18" i="56"/>
  <c r="W17" i="56"/>
  <c r="W16" i="56"/>
  <c r="W15" i="56"/>
  <c r="W14" i="56"/>
  <c r="W13" i="56"/>
  <c r="W12" i="56"/>
  <c r="W11" i="56"/>
  <c r="W10" i="56"/>
  <c r="W9" i="56"/>
  <c r="W8" i="56"/>
  <c r="AF242" i="56"/>
  <c r="AG242" i="56"/>
  <c r="AF361" i="56"/>
  <c r="AG361" i="56"/>
  <c r="AF16" i="56"/>
  <c r="AG16" i="56"/>
  <c r="AF330" i="56"/>
  <c r="AG330" i="56"/>
  <c r="AF182" i="56"/>
  <c r="AG182" i="56"/>
  <c r="AF260" i="56"/>
  <c r="AG260" i="56"/>
  <c r="AF207" i="56"/>
  <c r="AG207" i="56"/>
  <c r="AF121" i="56"/>
  <c r="AG121" i="56"/>
  <c r="AF234" i="56"/>
  <c r="AG234" i="56"/>
  <c r="AF223" i="56"/>
  <c r="AG223" i="56"/>
  <c r="AF326" i="56"/>
  <c r="AG326" i="56"/>
  <c r="AF188" i="56"/>
  <c r="AG188" i="56"/>
  <c r="AF257" i="56"/>
  <c r="AG257" i="56"/>
  <c r="AF213" i="56"/>
  <c r="AG213" i="56"/>
  <c r="AF176" i="56"/>
  <c r="AG176" i="56"/>
  <c r="AF313" i="56"/>
  <c r="AG313" i="56"/>
  <c r="AF297" i="56"/>
  <c r="AG297" i="56"/>
  <c r="AF228" i="56"/>
  <c r="AG228" i="56"/>
  <c r="AF352" i="56"/>
  <c r="AG352" i="56"/>
  <c r="AF269" i="56"/>
  <c r="AG269" i="56"/>
  <c r="AF94" i="56"/>
  <c r="AG94" i="56"/>
  <c r="AF232" i="56"/>
  <c r="AG232" i="56"/>
  <c r="AF356" i="56"/>
  <c r="AG356" i="56"/>
  <c r="AF174" i="56"/>
  <c r="AG174" i="56"/>
  <c r="AF202" i="56"/>
  <c r="AG202" i="56"/>
  <c r="AF362" i="56"/>
  <c r="AG362" i="56"/>
  <c r="AF104" i="56"/>
  <c r="AG104" i="56"/>
  <c r="AF272" i="56"/>
  <c r="AG272" i="56"/>
  <c r="AF296" i="56"/>
  <c r="AG296" i="56"/>
  <c r="AF88" i="56"/>
  <c r="AG88" i="56"/>
  <c r="AF148" i="56"/>
  <c r="AG148" i="56"/>
  <c r="AF320" i="56"/>
  <c r="AG320" i="56"/>
  <c r="AF178" i="56"/>
  <c r="AG178" i="56"/>
  <c r="AF299" i="56"/>
  <c r="AG299" i="56"/>
  <c r="AF220" i="56"/>
  <c r="AG220" i="56"/>
  <c r="AF39" i="56"/>
  <c r="AG39" i="56"/>
  <c r="AF204" i="56"/>
  <c r="AG204" i="56"/>
  <c r="AF334" i="56"/>
  <c r="AG334" i="56"/>
  <c r="AF132" i="56"/>
  <c r="AG132" i="56"/>
  <c r="AF327" i="56"/>
  <c r="AG327" i="56"/>
  <c r="AF314" i="56"/>
  <c r="AG314" i="56"/>
  <c r="AF323" i="56"/>
  <c r="AG323" i="56"/>
  <c r="AF160" i="56"/>
  <c r="AG160" i="56"/>
  <c r="AF164" i="56"/>
  <c r="AG164" i="56"/>
  <c r="AF138" i="56"/>
  <c r="AG138" i="56"/>
  <c r="AF101" i="56"/>
  <c r="AG101" i="56"/>
  <c r="AF73" i="56"/>
  <c r="AG73" i="56"/>
  <c r="AF40" i="56"/>
  <c r="AG40" i="56"/>
  <c r="DC19" i="56"/>
  <c r="CW13" i="56"/>
  <c r="CT12" i="56"/>
  <c r="CU12" i="56"/>
  <c r="CT14" i="56"/>
  <c r="CU14" i="56"/>
  <c r="CT15" i="56"/>
  <c r="CU15" i="56"/>
  <c r="CT16" i="56"/>
  <c r="CU16" i="56"/>
  <c r="CT17" i="56"/>
  <c r="CU17" i="56"/>
  <c r="CT18" i="56"/>
  <c r="CU18" i="56"/>
  <c r="CT19" i="56"/>
  <c r="CU19" i="56"/>
  <c r="CT20" i="56"/>
  <c r="CU20" i="56"/>
  <c r="CQ368" i="56"/>
  <c r="CQ372" i="56"/>
  <c r="CQ376" i="56"/>
  <c r="CQ380" i="56"/>
  <c r="CQ384" i="56"/>
  <c r="CQ388" i="56"/>
  <c r="CQ392" i="56"/>
  <c r="CQ396" i="56"/>
  <c r="CQ369" i="56"/>
  <c r="CQ373" i="56"/>
  <c r="CQ377" i="56"/>
  <c r="CQ381" i="56"/>
  <c r="CQ385" i="56"/>
  <c r="CQ389" i="56"/>
  <c r="CQ393" i="56"/>
  <c r="CQ370" i="56"/>
  <c r="CQ374" i="56"/>
  <c r="CQ378" i="56"/>
  <c r="CQ382" i="56"/>
  <c r="CQ386" i="56"/>
  <c r="CQ390" i="56"/>
  <c r="CQ394" i="56"/>
  <c r="CQ367" i="56"/>
  <c r="CQ371" i="56"/>
  <c r="CQ375" i="56"/>
  <c r="CQ379" i="56"/>
  <c r="CQ383" i="56"/>
  <c r="CQ387" i="56"/>
  <c r="CQ391" i="56"/>
  <c r="CQ395" i="56"/>
  <c r="CQ10" i="56"/>
  <c r="CQ14" i="56"/>
  <c r="CQ18" i="56"/>
  <c r="CQ24" i="56"/>
  <c r="CQ28" i="56"/>
  <c r="CQ33" i="56"/>
  <c r="CQ35" i="56"/>
  <c r="CQ62" i="56"/>
  <c r="CQ65" i="56"/>
  <c r="CQ80" i="56"/>
  <c r="CQ96" i="56"/>
  <c r="CQ112" i="56"/>
  <c r="CQ128" i="56"/>
  <c r="CQ144" i="56"/>
  <c r="CQ160" i="56"/>
  <c r="CQ176" i="56"/>
  <c r="CQ192" i="56"/>
  <c r="CQ208" i="56"/>
  <c r="CQ224" i="56"/>
  <c r="CQ240" i="56"/>
  <c r="CQ256" i="56"/>
  <c r="CQ272" i="56"/>
  <c r="CQ288" i="56"/>
  <c r="CQ304" i="56"/>
  <c r="CQ320" i="56"/>
  <c r="CQ336" i="56"/>
  <c r="CQ352" i="56"/>
  <c r="CQ13" i="56"/>
  <c r="CQ17" i="56"/>
  <c r="CQ25" i="56"/>
  <c r="CQ38" i="56"/>
  <c r="CQ41" i="56"/>
  <c r="CQ43" i="56"/>
  <c r="CQ78" i="56"/>
  <c r="CQ94" i="56"/>
  <c r="CQ110" i="56"/>
  <c r="CQ126" i="56"/>
  <c r="CQ142" i="56"/>
  <c r="CQ158" i="56"/>
  <c r="CQ174" i="56"/>
  <c r="CQ190" i="56"/>
  <c r="CQ206" i="56"/>
  <c r="CQ222" i="56"/>
  <c r="CQ238" i="56"/>
  <c r="CQ254" i="56"/>
  <c r="CQ270" i="56"/>
  <c r="CQ286" i="56"/>
  <c r="CQ302" i="56"/>
  <c r="CQ318" i="56"/>
  <c r="CQ334" i="56"/>
  <c r="CQ350" i="56"/>
  <c r="CQ366" i="56"/>
  <c r="CQ12" i="56"/>
  <c r="CQ16" i="56"/>
  <c r="CQ20" i="56"/>
  <c r="CQ26" i="56"/>
  <c r="CQ46" i="56"/>
  <c r="CQ49" i="56"/>
  <c r="CQ51" i="56"/>
  <c r="CQ72" i="56"/>
  <c r="CQ88" i="56"/>
  <c r="CQ104" i="56"/>
  <c r="CQ120" i="56"/>
  <c r="CQ136" i="56"/>
  <c r="CQ152" i="56"/>
  <c r="CQ168" i="56"/>
  <c r="CQ184" i="56"/>
  <c r="CQ200" i="56"/>
  <c r="CQ216" i="56"/>
  <c r="CQ232" i="56"/>
  <c r="CQ248" i="56"/>
  <c r="CQ264" i="56"/>
  <c r="CQ280" i="56"/>
  <c r="CQ296" i="56"/>
  <c r="CQ312" i="56"/>
  <c r="CQ328" i="56"/>
  <c r="CQ344" i="56"/>
  <c r="CQ360" i="56"/>
  <c r="CQ11" i="56"/>
  <c r="CQ15" i="56"/>
  <c r="CQ19" i="56"/>
  <c r="CQ23" i="56"/>
  <c r="CQ27" i="56"/>
  <c r="CQ54" i="56"/>
  <c r="CQ57" i="56"/>
  <c r="CQ59" i="56"/>
  <c r="CQ70" i="56"/>
  <c r="CQ86" i="56"/>
  <c r="CQ102" i="56"/>
  <c r="CQ118" i="56"/>
  <c r="CQ134" i="56"/>
  <c r="CQ150" i="56"/>
  <c r="CQ166" i="56"/>
  <c r="CQ182" i="56"/>
  <c r="CQ198" i="56"/>
  <c r="CQ214" i="56"/>
  <c r="CQ230" i="56"/>
  <c r="CQ246" i="56"/>
  <c r="CQ262" i="56"/>
  <c r="CQ278" i="56"/>
  <c r="CQ294" i="56"/>
  <c r="CQ310" i="56"/>
  <c r="CQ326" i="56"/>
  <c r="CQ342" i="56"/>
  <c r="CQ365" i="56"/>
  <c r="CQ363" i="56"/>
  <c r="CQ361" i="56"/>
  <c r="CQ359" i="56"/>
  <c r="CQ357" i="56"/>
  <c r="CQ355" i="56"/>
  <c r="CQ353" i="56"/>
  <c r="CQ351" i="56"/>
  <c r="CQ349" i="56"/>
  <c r="CQ347" i="56"/>
  <c r="CQ345" i="56"/>
  <c r="CQ343" i="56"/>
  <c r="CQ341" i="56"/>
  <c r="CQ339" i="56"/>
  <c r="CQ337" i="56"/>
  <c r="CQ335" i="56"/>
  <c r="CQ333" i="56"/>
  <c r="CQ331" i="56"/>
  <c r="CQ329" i="56"/>
  <c r="CQ327" i="56"/>
  <c r="CQ325" i="56"/>
  <c r="CQ323" i="56"/>
  <c r="CQ321" i="56"/>
  <c r="CQ319" i="56"/>
  <c r="CQ317" i="56"/>
  <c r="CQ315" i="56"/>
  <c r="CQ313" i="56"/>
  <c r="CQ311" i="56"/>
  <c r="CQ309" i="56"/>
  <c r="CQ307" i="56"/>
  <c r="CQ305" i="56"/>
  <c r="CQ303" i="56"/>
  <c r="CQ301" i="56"/>
  <c r="CQ299" i="56"/>
  <c r="CQ297" i="56"/>
  <c r="CQ295" i="56"/>
  <c r="CQ293" i="56"/>
  <c r="CQ291" i="56"/>
  <c r="CQ289" i="56"/>
  <c r="CQ287" i="56"/>
  <c r="CQ285" i="56"/>
  <c r="CQ283" i="56"/>
  <c r="CQ281" i="56"/>
  <c r="CQ279" i="56"/>
  <c r="CQ277" i="56"/>
  <c r="CQ275" i="56"/>
  <c r="CQ273" i="56"/>
  <c r="CQ271" i="56"/>
  <c r="CQ269" i="56"/>
  <c r="CQ267" i="56"/>
  <c r="CQ265" i="56"/>
  <c r="CQ263" i="56"/>
  <c r="CQ261" i="56"/>
  <c r="CQ259" i="56"/>
  <c r="CQ257" i="56"/>
  <c r="CQ255" i="56"/>
  <c r="CQ253" i="56"/>
  <c r="CQ251" i="56"/>
  <c r="CQ249" i="56"/>
  <c r="CQ247" i="56"/>
  <c r="CQ245" i="56"/>
  <c r="CQ243" i="56"/>
  <c r="CQ241" i="56"/>
  <c r="CQ239" i="56"/>
  <c r="CQ237" i="56"/>
  <c r="CQ235" i="56"/>
  <c r="CQ233" i="56"/>
  <c r="CQ231" i="56"/>
  <c r="CQ229" i="56"/>
  <c r="CQ227" i="56"/>
  <c r="CQ225" i="56"/>
  <c r="CQ223" i="56"/>
  <c r="CQ221" i="56"/>
  <c r="CQ219" i="56"/>
  <c r="CQ217" i="56"/>
  <c r="CQ215" i="56"/>
  <c r="CQ213" i="56"/>
  <c r="CQ211" i="56"/>
  <c r="CQ209" i="56"/>
  <c r="CQ207" i="56"/>
  <c r="CQ205" i="56"/>
  <c r="CQ203" i="56"/>
  <c r="CQ201" i="56"/>
  <c r="CQ199" i="56"/>
  <c r="CQ197" i="56"/>
  <c r="CQ195" i="56"/>
  <c r="CQ193" i="56"/>
  <c r="CQ191" i="56"/>
  <c r="CQ189" i="56"/>
  <c r="CQ187" i="56"/>
  <c r="CQ185" i="56"/>
  <c r="CQ183" i="56"/>
  <c r="CQ181" i="56"/>
  <c r="CQ179" i="56"/>
  <c r="CQ177" i="56"/>
  <c r="CQ175" i="56"/>
  <c r="CQ173" i="56"/>
  <c r="CQ171" i="56"/>
  <c r="CQ169" i="56"/>
  <c r="CQ167" i="56"/>
  <c r="CQ165" i="56"/>
  <c r="CQ163" i="56"/>
  <c r="CQ161" i="56"/>
  <c r="CQ159" i="56"/>
  <c r="CQ157" i="56"/>
  <c r="CQ155" i="56"/>
  <c r="CQ153" i="56"/>
  <c r="CQ151" i="56"/>
  <c r="CQ149" i="56"/>
  <c r="CQ147" i="56"/>
  <c r="CQ145" i="56"/>
  <c r="CQ143" i="56"/>
  <c r="CQ141" i="56"/>
  <c r="CQ139" i="56"/>
  <c r="CQ137" i="56"/>
  <c r="CQ135" i="56"/>
  <c r="CQ133" i="56"/>
  <c r="CQ131" i="56"/>
  <c r="CQ129" i="56"/>
  <c r="CQ127" i="56"/>
  <c r="CQ125" i="56"/>
  <c r="CQ123" i="56"/>
  <c r="CQ121" i="56"/>
  <c r="CQ119" i="56"/>
  <c r="CQ117" i="56"/>
  <c r="CQ115" i="56"/>
  <c r="CQ113" i="56"/>
  <c r="CQ111" i="56"/>
  <c r="CQ109" i="56"/>
  <c r="CQ107" i="56"/>
  <c r="CQ105" i="56"/>
  <c r="CQ103" i="56"/>
  <c r="CQ101" i="56"/>
  <c r="CQ99" i="56"/>
  <c r="CQ97" i="56"/>
  <c r="CQ95" i="56"/>
  <c r="CQ93" i="56"/>
  <c r="CQ91" i="56"/>
  <c r="CQ89" i="56"/>
  <c r="CQ87" i="56"/>
  <c r="CQ85" i="56"/>
  <c r="CQ83" i="56"/>
  <c r="CQ81" i="56"/>
  <c r="CQ79" i="56"/>
  <c r="CQ77" i="56"/>
  <c r="CQ75" i="56"/>
  <c r="CQ73" i="56"/>
  <c r="CQ71" i="56"/>
  <c r="CQ69" i="56"/>
  <c r="CQ67" i="56"/>
  <c r="CQ64" i="56"/>
  <c r="CQ60" i="56"/>
  <c r="CQ56" i="56"/>
  <c r="CQ52" i="56"/>
  <c r="CQ48" i="56"/>
  <c r="CQ44" i="56"/>
  <c r="CQ40" i="56"/>
  <c r="CQ36" i="56"/>
  <c r="CQ32" i="56"/>
  <c r="CQ31" i="56"/>
  <c r="CQ30" i="56"/>
  <c r="CQ29" i="56"/>
  <c r="CQ9" i="56"/>
  <c r="CQ22" i="56"/>
  <c r="CN24" i="56"/>
  <c r="CO24" i="56"/>
  <c r="CN25" i="56"/>
  <c r="CO25" i="56"/>
  <c r="CN26" i="56"/>
  <c r="CO26" i="56"/>
  <c r="CN28" i="56"/>
  <c r="CO28" i="56"/>
  <c r="CQ37" i="56"/>
  <c r="CQ45" i="56"/>
  <c r="CQ53" i="56"/>
  <c r="CQ61" i="56"/>
  <c r="CQ68" i="56"/>
  <c r="CQ76" i="56"/>
  <c r="CQ84" i="56"/>
  <c r="CQ92" i="56"/>
  <c r="CQ100" i="56"/>
  <c r="CQ108" i="56"/>
  <c r="CQ116" i="56"/>
  <c r="CQ124" i="56"/>
  <c r="CQ132" i="56"/>
  <c r="CQ140" i="56"/>
  <c r="CQ148" i="56"/>
  <c r="CQ156" i="56"/>
  <c r="CQ164" i="56"/>
  <c r="CQ172" i="56"/>
  <c r="CQ180" i="56"/>
  <c r="CQ188" i="56"/>
  <c r="CQ196" i="56"/>
  <c r="CQ204" i="56"/>
  <c r="CQ212" i="56"/>
  <c r="CQ220" i="56"/>
  <c r="CQ228" i="56"/>
  <c r="CQ236" i="56"/>
  <c r="CQ244" i="56"/>
  <c r="CQ252" i="56"/>
  <c r="CQ260" i="56"/>
  <c r="CQ268" i="56"/>
  <c r="CQ276" i="56"/>
  <c r="CQ284" i="56"/>
  <c r="CQ292" i="56"/>
  <c r="CQ300" i="56"/>
  <c r="CQ308" i="56"/>
  <c r="CQ316" i="56"/>
  <c r="CQ324" i="56"/>
  <c r="CQ332" i="56"/>
  <c r="CQ340" i="56"/>
  <c r="CQ348" i="56"/>
  <c r="CQ356" i="56"/>
  <c r="CQ364" i="56"/>
  <c r="CQ8" i="56"/>
  <c r="CQ21" i="56"/>
  <c r="CQ34" i="56"/>
  <c r="CQ39" i="56"/>
  <c r="CQ42" i="56"/>
  <c r="CQ47" i="56"/>
  <c r="CQ50" i="56"/>
  <c r="CQ55" i="56"/>
  <c r="CQ58" i="56"/>
  <c r="CQ63" i="56"/>
  <c r="CQ66" i="56"/>
  <c r="CQ74" i="56"/>
  <c r="CQ82" i="56"/>
  <c r="CQ90" i="56"/>
  <c r="CQ98" i="56"/>
  <c r="CQ106" i="56"/>
  <c r="CQ114" i="56"/>
  <c r="CQ122" i="56"/>
  <c r="CQ130" i="56"/>
  <c r="CQ138" i="56"/>
  <c r="CQ146" i="56"/>
  <c r="CQ154" i="56"/>
  <c r="CQ162" i="56"/>
  <c r="CQ170" i="56"/>
  <c r="CQ178" i="56"/>
  <c r="CQ186" i="56"/>
  <c r="CQ194" i="56"/>
  <c r="CQ202" i="56"/>
  <c r="CQ210" i="56"/>
  <c r="CQ218" i="56"/>
  <c r="CQ226" i="56"/>
  <c r="CQ234" i="56"/>
  <c r="CQ242" i="56"/>
  <c r="CQ250" i="56"/>
  <c r="CQ258" i="56"/>
  <c r="CQ266" i="56"/>
  <c r="CQ274" i="56"/>
  <c r="CQ282" i="56"/>
  <c r="CQ290" i="56"/>
  <c r="CQ298" i="56"/>
  <c r="CQ306" i="56"/>
  <c r="CQ314" i="56"/>
  <c r="CQ322" i="56"/>
  <c r="CQ330" i="56"/>
  <c r="CQ338" i="56"/>
  <c r="CQ346" i="56"/>
  <c r="CQ354" i="56"/>
  <c r="CQ362" i="56"/>
  <c r="BY362" i="56"/>
  <c r="BY94" i="56"/>
  <c r="BY170" i="56"/>
  <c r="BY368" i="56"/>
  <c r="BY17" i="56"/>
  <c r="BY138" i="56"/>
  <c r="BY54" i="56"/>
  <c r="BY204" i="56"/>
  <c r="BY355" i="56"/>
  <c r="BY323" i="56"/>
  <c r="BY291" i="56"/>
  <c r="BY259" i="56"/>
  <c r="BY227" i="56"/>
  <c r="BY360" i="56"/>
  <c r="BY232" i="56"/>
  <c r="BY173" i="56"/>
  <c r="BY141" i="56"/>
  <c r="BY109" i="56"/>
  <c r="BY77" i="56"/>
  <c r="BY244" i="56"/>
  <c r="BY104" i="56"/>
  <c r="BY30" i="56"/>
  <c r="BY23" i="56"/>
  <c r="BY342" i="56"/>
  <c r="BY290" i="56"/>
  <c r="BY252" i="56"/>
  <c r="BY11" i="56"/>
  <c r="BY33" i="56"/>
  <c r="BY65" i="56"/>
  <c r="BY110" i="56"/>
  <c r="BY148" i="56"/>
  <c r="BY186" i="56"/>
  <c r="BY254" i="56"/>
  <c r="BY358" i="56"/>
  <c r="BS14" i="56"/>
  <c r="BP12" i="56"/>
  <c r="BQ12" i="56"/>
  <c r="BP13" i="56"/>
  <c r="BQ13" i="56"/>
  <c r="BP15" i="56"/>
  <c r="BQ15" i="56"/>
  <c r="BP16" i="56"/>
  <c r="BQ16" i="56"/>
  <c r="BP17" i="56"/>
  <c r="BQ17" i="56"/>
  <c r="BP18" i="56"/>
  <c r="BQ18" i="56"/>
  <c r="BP19" i="56"/>
  <c r="BQ19" i="56"/>
  <c r="BP20" i="56"/>
  <c r="BQ20" i="56"/>
  <c r="BM18" i="56"/>
  <c r="BM16" i="56"/>
  <c r="BM13" i="56"/>
  <c r="BM15" i="56"/>
  <c r="BM17" i="56"/>
  <c r="BM19" i="56"/>
  <c r="AI13" i="56"/>
  <c r="AF13" i="56"/>
  <c r="AG13" i="56"/>
  <c r="BD81" i="56"/>
  <c r="BE81" i="56"/>
  <c r="AX81" i="56"/>
  <c r="AY81" i="56"/>
  <c r="AF81" i="56"/>
  <c r="AG81" i="56"/>
  <c r="BD83" i="56"/>
  <c r="BE83" i="56"/>
  <c r="AL83" i="56"/>
  <c r="AM83" i="56"/>
  <c r="AR83" i="56"/>
  <c r="BD85" i="56"/>
  <c r="BE85" i="56"/>
  <c r="AR85" i="56"/>
  <c r="BD87" i="56"/>
  <c r="BE87" i="56"/>
  <c r="AX87" i="56"/>
  <c r="AY87" i="56"/>
  <c r="AF87" i="56"/>
  <c r="AG87" i="56"/>
  <c r="AR91" i="56"/>
  <c r="BD267" i="56"/>
  <c r="BE267" i="56"/>
  <c r="AX267" i="56"/>
  <c r="AY267" i="56"/>
  <c r="AF267" i="56"/>
  <c r="AG267" i="56"/>
  <c r="AF351" i="56"/>
  <c r="AG351" i="56"/>
  <c r="AF355" i="56"/>
  <c r="AG355" i="56"/>
  <c r="BD355" i="56"/>
  <c r="BE355" i="56"/>
  <c r="AX355" i="56"/>
  <c r="AY355" i="56"/>
  <c r="AL355" i="56"/>
  <c r="AM355" i="56"/>
  <c r="AF359" i="56"/>
  <c r="AG359" i="56"/>
  <c r="AX359" i="56"/>
  <c r="AY359" i="56"/>
  <c r="BD359" i="56"/>
  <c r="BE359" i="56"/>
  <c r="AR359" i="56"/>
  <c r="BD363" i="56"/>
  <c r="BE363" i="56"/>
  <c r="AX363" i="56"/>
  <c r="AY363" i="56"/>
  <c r="AL363" i="56"/>
  <c r="AM363" i="56"/>
  <c r="AF363" i="56"/>
  <c r="AG363" i="56"/>
  <c r="AF370" i="56"/>
  <c r="AG370" i="56"/>
  <c r="BD370" i="56"/>
  <c r="BE370" i="56"/>
  <c r="AX370" i="56"/>
  <c r="AY370" i="56"/>
  <c r="AR370" i="56"/>
  <c r="AL370" i="56"/>
  <c r="AM370" i="56"/>
  <c r="BD61" i="56"/>
  <c r="BE61" i="56"/>
  <c r="AR61" i="56"/>
  <c r="AS61" i="56"/>
  <c r="AF134" i="56"/>
  <c r="AG134" i="56"/>
  <c r="AX147" i="56"/>
  <c r="AY147" i="56"/>
  <c r="AF151" i="56"/>
  <c r="AG151" i="56"/>
  <c r="BD151" i="56"/>
  <c r="BE151" i="56"/>
  <c r="AX151" i="56"/>
  <c r="AY151" i="56"/>
  <c r="AL151" i="56"/>
  <c r="AM151" i="56"/>
  <c r="AF158" i="56"/>
  <c r="AG158" i="56"/>
  <c r="BD158" i="56"/>
  <c r="BE158" i="56"/>
  <c r="AX158" i="56"/>
  <c r="AY158" i="56"/>
  <c r="AR158" i="56"/>
  <c r="AX162" i="56"/>
  <c r="AY162" i="56"/>
  <c r="BD162" i="56"/>
  <c r="BE162" i="56"/>
  <c r="AR162" i="56"/>
  <c r="AF162" i="56"/>
  <c r="AG162" i="56"/>
  <c r="AL162" i="56"/>
  <c r="AM162" i="56"/>
  <c r="BD168" i="56"/>
  <c r="BE168" i="56"/>
  <c r="AX168" i="56"/>
  <c r="AY168" i="56"/>
  <c r="AX172" i="56"/>
  <c r="AY172" i="56"/>
  <c r="BD172" i="56"/>
  <c r="BE172" i="56"/>
  <c r="AR172" i="56"/>
  <c r="BD176" i="56"/>
  <c r="BE176" i="56"/>
  <c r="AX176" i="56"/>
  <c r="AY176" i="56"/>
  <c r="BD180" i="56"/>
  <c r="BE180" i="56"/>
  <c r="AX180" i="56"/>
  <c r="AY180" i="56"/>
  <c r="AR180" i="56"/>
  <c r="AL180" i="56"/>
  <c r="AM180" i="56"/>
  <c r="AF190" i="56"/>
  <c r="AG190" i="56"/>
  <c r="BD190" i="56"/>
  <c r="BE190" i="56"/>
  <c r="AX190" i="56"/>
  <c r="AY190" i="56"/>
  <c r="AR190" i="56"/>
  <c r="AL190" i="56"/>
  <c r="AM190" i="56"/>
  <c r="AF194" i="56"/>
  <c r="AG194" i="56"/>
  <c r="BD194" i="56"/>
  <c r="BE194" i="56"/>
  <c r="AX194" i="56"/>
  <c r="AY194" i="56"/>
  <c r="AR194" i="56"/>
  <c r="AL194" i="56"/>
  <c r="AM194" i="56"/>
  <c r="AX199" i="56"/>
  <c r="AY199" i="56"/>
  <c r="AF199" i="56"/>
  <c r="AG199" i="56"/>
  <c r="AF206" i="56"/>
  <c r="AG206" i="56"/>
  <c r="BD206" i="56"/>
  <c r="BE206" i="56"/>
  <c r="AX206" i="56"/>
  <c r="AY206" i="56"/>
  <c r="AR206" i="56"/>
  <c r="AL206" i="56"/>
  <c r="AM206" i="56"/>
  <c r="AF210" i="56"/>
  <c r="AG210" i="56"/>
  <c r="BD210" i="56"/>
  <c r="BE210" i="56"/>
  <c r="AX210" i="56"/>
  <c r="AY210" i="56"/>
  <c r="AR210" i="56"/>
  <c r="AF214" i="56"/>
  <c r="AG214" i="56"/>
  <c r="BD214" i="56"/>
  <c r="BE214" i="56"/>
  <c r="AX214" i="56"/>
  <c r="AY214" i="56"/>
  <c r="AR214" i="56"/>
  <c r="AL214" i="56"/>
  <c r="AM214" i="56"/>
  <c r="AF224" i="56"/>
  <c r="AG224" i="56"/>
  <c r="BD224" i="56"/>
  <c r="BE224" i="56"/>
  <c r="AX224" i="56"/>
  <c r="AY224" i="56"/>
  <c r="AR224" i="56"/>
  <c r="AL224" i="56"/>
  <c r="AM224" i="56"/>
  <c r="AF230" i="56"/>
  <c r="AG230" i="56"/>
  <c r="BD230" i="56"/>
  <c r="BE230" i="56"/>
  <c r="AX230" i="56"/>
  <c r="AY230" i="56"/>
  <c r="AR230" i="56"/>
  <c r="AL230" i="56"/>
  <c r="AM230" i="56"/>
  <c r="BD234" i="56"/>
  <c r="BE234" i="56"/>
  <c r="AX234" i="56"/>
  <c r="AY234" i="56"/>
  <c r="AR234" i="56"/>
  <c r="AL234" i="56"/>
  <c r="AM234" i="56"/>
  <c r="BD237" i="56"/>
  <c r="BE237" i="56"/>
  <c r="AX237" i="56"/>
  <c r="AY237" i="56"/>
  <c r="AR237" i="56"/>
  <c r="AL237" i="56"/>
  <c r="AM237" i="56"/>
  <c r="AF237" i="56"/>
  <c r="AG237" i="56"/>
  <c r="AX240" i="56"/>
  <c r="AY240" i="56"/>
  <c r="AR240" i="56"/>
  <c r="AX250" i="56"/>
  <c r="AY250" i="56"/>
  <c r="AR250" i="56"/>
  <c r="AF261" i="56"/>
  <c r="AG261" i="56"/>
  <c r="AX261" i="56"/>
  <c r="AY261" i="56"/>
  <c r="BD261" i="56"/>
  <c r="BE261" i="56"/>
  <c r="AR261" i="56"/>
  <c r="AF264" i="56"/>
  <c r="AG264" i="56"/>
  <c r="BD264" i="56"/>
  <c r="BE264" i="56"/>
  <c r="AX264" i="56"/>
  <c r="AY264" i="56"/>
  <c r="AL264" i="56"/>
  <c r="AM264" i="56"/>
  <c r="AR264" i="56"/>
  <c r="BD348" i="56"/>
  <c r="BE348" i="56"/>
  <c r="AX348" i="56"/>
  <c r="AY348" i="56"/>
  <c r="AL348" i="56"/>
  <c r="AM348" i="56"/>
  <c r="AF348" i="56"/>
  <c r="AG348" i="56"/>
  <c r="AR348" i="56"/>
  <c r="BD390" i="56"/>
  <c r="BE390" i="56"/>
  <c r="AX390" i="56"/>
  <c r="AY390" i="56"/>
  <c r="AR390" i="56"/>
  <c r="AL390" i="56"/>
  <c r="AM390" i="56"/>
  <c r="AF390" i="56"/>
  <c r="AG390" i="56"/>
  <c r="AL176" i="56"/>
  <c r="AM176" i="56"/>
  <c r="AL210" i="56"/>
  <c r="AM210" i="56"/>
  <c r="AL267" i="56"/>
  <c r="AM267" i="56"/>
  <c r="AR38" i="56"/>
  <c r="AS38" i="56"/>
  <c r="AF38" i="56"/>
  <c r="AG38" i="56"/>
  <c r="BD42" i="56"/>
  <c r="BE42" i="56"/>
  <c r="AX42" i="56"/>
  <c r="AY42" i="56"/>
  <c r="AR42" i="56"/>
  <c r="AS42" i="56"/>
  <c r="AF42" i="56"/>
  <c r="AG42" i="56"/>
  <c r="AL42" i="56"/>
  <c r="AM42" i="56"/>
  <c r="BD48" i="56"/>
  <c r="BE48" i="56"/>
  <c r="AR48" i="56"/>
  <c r="AS48" i="56"/>
  <c r="AF48" i="56"/>
  <c r="AG48" i="56"/>
  <c r="AX48" i="56"/>
  <c r="AY48" i="56"/>
  <c r="BD52" i="56"/>
  <c r="BE52" i="56"/>
  <c r="AX52" i="56"/>
  <c r="AY52" i="56"/>
  <c r="AR52" i="56"/>
  <c r="AS52" i="56"/>
  <c r="AF52" i="56"/>
  <c r="AG52" i="56"/>
  <c r="AR56" i="56"/>
  <c r="AS56" i="56"/>
  <c r="BD78" i="56"/>
  <c r="BE78" i="56"/>
  <c r="AX78" i="56"/>
  <c r="AY78" i="56"/>
  <c r="AR78" i="56"/>
  <c r="AF78" i="56"/>
  <c r="AG78" i="56"/>
  <c r="AL78" i="56"/>
  <c r="AM78" i="56"/>
  <c r="BD80" i="56"/>
  <c r="BE80" i="56"/>
  <c r="AX80" i="56"/>
  <c r="AY80" i="56"/>
  <c r="AL80" i="56"/>
  <c r="AM80" i="56"/>
  <c r="AF80" i="56"/>
  <c r="AG80" i="56"/>
  <c r="AF128" i="56"/>
  <c r="AG128" i="56"/>
  <c r="AX128" i="56"/>
  <c r="AY128" i="56"/>
  <c r="AR128" i="56"/>
  <c r="AX279" i="56"/>
  <c r="AY279" i="56"/>
  <c r="BD279" i="56"/>
  <c r="BE279" i="56"/>
  <c r="AR279" i="56"/>
  <c r="AL279" i="56"/>
  <c r="AM279" i="56"/>
  <c r="AF279" i="56"/>
  <c r="AG279" i="56"/>
  <c r="AF283" i="56"/>
  <c r="AG283" i="56"/>
  <c r="BD283" i="56"/>
  <c r="BE283" i="56"/>
  <c r="AX283" i="56"/>
  <c r="AY283" i="56"/>
  <c r="AL283" i="56"/>
  <c r="AM283" i="56"/>
  <c r="AR283" i="56"/>
  <c r="BD288" i="56"/>
  <c r="BE288" i="56"/>
  <c r="AX288" i="56"/>
  <c r="AY288" i="56"/>
  <c r="AR288" i="56"/>
  <c r="AF288" i="56"/>
  <c r="AG288" i="56"/>
  <c r="AX291" i="56"/>
  <c r="AY291" i="56"/>
  <c r="BD291" i="56"/>
  <c r="BE291" i="56"/>
  <c r="AL291" i="56"/>
  <c r="AM291" i="56"/>
  <c r="AR291" i="56"/>
  <c r="AF291" i="56"/>
  <c r="AG291" i="56"/>
  <c r="AF294" i="56"/>
  <c r="AG294" i="56"/>
  <c r="AX294" i="56"/>
  <c r="AY294" i="56"/>
  <c r="AR294" i="56"/>
  <c r="BD294" i="56"/>
  <c r="BE294" i="56"/>
  <c r="AF300" i="56"/>
  <c r="AG300" i="56"/>
  <c r="AX300" i="56"/>
  <c r="AY300" i="56"/>
  <c r="BD300" i="56"/>
  <c r="BE300" i="56"/>
  <c r="AX304" i="56"/>
  <c r="AY304" i="56"/>
  <c r="AR304" i="56"/>
  <c r="AF317" i="56"/>
  <c r="AG317" i="56"/>
  <c r="BD317" i="56"/>
  <c r="BE317" i="56"/>
  <c r="AX317" i="56"/>
  <c r="AY317" i="56"/>
  <c r="AR317" i="56"/>
  <c r="AL317" i="56"/>
  <c r="AM317" i="56"/>
  <c r="BD321" i="56"/>
  <c r="BE321" i="56"/>
  <c r="AR321" i="56"/>
  <c r="BD328" i="56"/>
  <c r="BE328" i="56"/>
  <c r="AX328" i="56"/>
  <c r="AY328" i="56"/>
  <c r="AL328" i="56"/>
  <c r="AM328" i="56"/>
  <c r="AF328" i="56"/>
  <c r="AG328" i="56"/>
  <c r="AF332" i="56"/>
  <c r="AG332" i="56"/>
  <c r="BD332" i="56"/>
  <c r="BE332" i="56"/>
  <c r="AX332" i="56"/>
  <c r="AY332" i="56"/>
  <c r="AR332" i="56"/>
  <c r="AF339" i="56"/>
  <c r="AG339" i="56"/>
  <c r="BD339" i="56"/>
  <c r="BE339" i="56"/>
  <c r="AX339" i="56"/>
  <c r="AY339" i="56"/>
  <c r="AR339" i="56"/>
  <c r="AL339" i="56"/>
  <c r="AM339" i="56"/>
  <c r="AF343" i="56"/>
  <c r="AG343" i="56"/>
  <c r="BD343" i="56"/>
  <c r="BE343" i="56"/>
  <c r="AX343" i="56"/>
  <c r="AY343" i="56"/>
  <c r="AL52" i="56"/>
  <c r="AM52" i="56"/>
  <c r="AL85" i="56"/>
  <c r="AM85" i="56"/>
  <c r="AL93" i="56"/>
  <c r="AM93" i="56"/>
  <c r="AL288" i="56"/>
  <c r="AM288" i="56"/>
  <c r="AL343" i="56"/>
  <c r="AM343" i="56"/>
  <c r="AL359" i="56"/>
  <c r="AM359" i="56"/>
  <c r="AR143" i="56"/>
  <c r="AR168" i="56"/>
  <c r="AR267" i="56"/>
  <c r="AR343" i="56"/>
  <c r="AR355" i="56"/>
  <c r="AF172" i="56"/>
  <c r="AG172" i="56"/>
  <c r="AF147" i="56"/>
  <c r="AG147" i="56"/>
  <c r="BD30" i="56"/>
  <c r="BE30" i="56"/>
  <c r="AR30" i="56"/>
  <c r="AS30" i="56"/>
  <c r="AF30" i="56"/>
  <c r="AG30" i="56"/>
  <c r="AX30" i="56"/>
  <c r="AY30" i="56"/>
  <c r="BD273" i="56"/>
  <c r="BE273" i="56"/>
  <c r="AR273" i="56"/>
  <c r="AL273" i="56"/>
  <c r="AM273" i="56"/>
  <c r="AL147" i="56"/>
  <c r="AM147" i="56"/>
  <c r="AL168" i="56"/>
  <c r="AM168" i="56"/>
  <c r="AL332" i="56"/>
  <c r="AM332" i="56"/>
  <c r="AR151" i="56"/>
  <c r="AR300" i="56"/>
  <c r="AR363" i="56"/>
  <c r="BG18" i="56"/>
  <c r="BD18" i="56"/>
  <c r="BE18" i="56"/>
  <c r="AF62" i="56"/>
  <c r="AG62" i="56"/>
  <c r="AX62" i="56"/>
  <c r="AY62" i="56"/>
  <c r="BD33" i="56"/>
  <c r="BE33" i="56"/>
  <c r="AX33" i="56"/>
  <c r="AY33" i="56"/>
  <c r="BD68" i="56"/>
  <c r="BE68" i="56"/>
  <c r="AF74" i="56"/>
  <c r="AG74" i="56"/>
  <c r="BD74" i="56"/>
  <c r="BE74" i="56"/>
  <c r="AR74" i="56"/>
  <c r="BD118" i="56"/>
  <c r="BE118" i="56"/>
  <c r="BD122" i="56"/>
  <c r="BE122" i="56"/>
  <c r="BD124" i="56"/>
  <c r="BE124" i="56"/>
  <c r="AF137" i="56"/>
  <c r="AG137" i="56"/>
  <c r="BD137" i="56"/>
  <c r="BE137" i="56"/>
  <c r="AR137" i="56"/>
  <c r="BD144" i="56"/>
  <c r="BE144" i="56"/>
  <c r="AX144" i="56"/>
  <c r="AY144" i="56"/>
  <c r="BD152" i="56"/>
  <c r="BE152" i="56"/>
  <c r="AX152" i="56"/>
  <c r="AY152" i="56"/>
  <c r="AF159" i="56"/>
  <c r="AG159" i="56"/>
  <c r="BD159" i="56"/>
  <c r="BE159" i="56"/>
  <c r="AF163" i="56"/>
  <c r="AG163" i="56"/>
  <c r="BD163" i="56"/>
  <c r="BE163" i="56"/>
  <c r="AX163" i="56"/>
  <c r="AY163" i="56"/>
  <c r="AF169" i="56"/>
  <c r="AG169" i="56"/>
  <c r="AX169" i="56"/>
  <c r="AY169" i="56"/>
  <c r="BD169" i="56"/>
  <c r="BE169" i="56"/>
  <c r="AR169" i="56"/>
  <c r="AF173" i="56"/>
  <c r="AG173" i="56"/>
  <c r="BD173" i="56"/>
  <c r="BE173" i="56"/>
  <c r="AX173" i="56"/>
  <c r="AY173" i="56"/>
  <c r="AR173" i="56"/>
  <c r="AF177" i="56"/>
  <c r="AG177" i="56"/>
  <c r="AX177" i="56"/>
  <c r="AY177" i="56"/>
  <c r="BD177" i="56"/>
  <c r="BE177" i="56"/>
  <c r="AR177" i="56"/>
  <c r="AR181" i="56"/>
  <c r="BD184" i="56"/>
  <c r="BE184" i="56"/>
  <c r="AX184" i="56"/>
  <c r="AY184" i="56"/>
  <c r="BD197" i="56"/>
  <c r="BE197" i="56"/>
  <c r="AY197" i="56"/>
  <c r="AR197" i="56"/>
  <c r="AX211" i="56"/>
  <c r="AY211" i="56"/>
  <c r="BD211" i="56"/>
  <c r="BE211" i="56"/>
  <c r="AR218" i="56"/>
  <c r="BD221" i="56"/>
  <c r="BE221" i="56"/>
  <c r="AR221" i="56"/>
  <c r="AX227" i="56"/>
  <c r="AY227" i="56"/>
  <c r="BD227" i="56"/>
  <c r="BE227" i="56"/>
  <c r="BD231" i="56"/>
  <c r="BE231" i="56"/>
  <c r="BD241" i="56"/>
  <c r="BE241" i="56"/>
  <c r="AR241" i="56"/>
  <c r="BD253" i="56"/>
  <c r="BE253" i="56"/>
  <c r="AX253" i="56"/>
  <c r="AY253" i="56"/>
  <c r="BD265" i="56"/>
  <c r="BE265" i="56"/>
  <c r="AX265" i="56"/>
  <c r="AY265" i="56"/>
  <c r="AR265" i="56"/>
  <c r="BD270" i="56"/>
  <c r="BE270" i="56"/>
  <c r="AX270" i="56"/>
  <c r="AY270" i="56"/>
  <c r="AR270" i="56"/>
  <c r="AF274" i="56"/>
  <c r="AG274" i="56"/>
  <c r="BD274" i="56"/>
  <c r="BE274" i="56"/>
  <c r="AX274" i="56"/>
  <c r="AY274" i="56"/>
  <c r="AR274" i="56"/>
  <c r="AF280" i="56"/>
  <c r="AG280" i="56"/>
  <c r="AX280" i="56"/>
  <c r="AY280" i="56"/>
  <c r="AF360" i="56"/>
  <c r="AG360" i="56"/>
  <c r="AX360" i="56"/>
  <c r="AY360" i="56"/>
  <c r="BD360" i="56"/>
  <c r="BE360" i="56"/>
  <c r="AL360" i="56"/>
  <c r="AM360" i="56"/>
  <c r="AF387" i="56"/>
  <c r="AG387" i="56"/>
  <c r="BD387" i="56"/>
  <c r="BE387" i="56"/>
  <c r="AX387" i="56"/>
  <c r="AY387" i="56"/>
  <c r="AF394" i="56"/>
  <c r="AG394" i="56"/>
  <c r="BD394" i="56"/>
  <c r="BE394" i="56"/>
  <c r="AX394" i="56"/>
  <c r="AY394" i="56"/>
  <c r="AR394" i="56"/>
  <c r="AL74" i="56"/>
  <c r="AM74" i="56"/>
  <c r="AL173" i="56"/>
  <c r="AM173" i="56"/>
  <c r="AL231" i="56"/>
  <c r="AM231" i="56"/>
  <c r="AL380" i="56"/>
  <c r="AM380" i="56"/>
  <c r="AR144" i="56"/>
  <c r="AR152" i="56"/>
  <c r="AR159" i="56"/>
  <c r="AR191" i="56"/>
  <c r="AR207" i="56"/>
  <c r="AR356" i="56"/>
  <c r="AX70" i="56"/>
  <c r="AY70" i="56"/>
  <c r="AF124" i="56"/>
  <c r="AG124" i="56"/>
  <c r="AF265" i="56"/>
  <c r="AG265" i="56"/>
  <c r="AF340" i="56"/>
  <c r="AG340" i="56"/>
  <c r="AF115" i="56"/>
  <c r="AG115" i="56"/>
  <c r="AF33" i="56"/>
  <c r="AG33" i="56"/>
  <c r="AF152" i="56"/>
  <c r="AG152" i="56"/>
  <c r="AF63" i="56"/>
  <c r="AG63" i="56"/>
  <c r="AF241" i="56"/>
  <c r="AG241" i="56"/>
  <c r="AF211" i="56"/>
  <c r="AG211" i="56"/>
  <c r="AF109" i="56"/>
  <c r="AG109" i="56"/>
  <c r="AF227" i="56"/>
  <c r="AG227" i="56"/>
  <c r="AF41" i="56"/>
  <c r="AG41" i="56"/>
  <c r="BD41" i="56"/>
  <c r="BE41" i="56"/>
  <c r="BD69" i="56"/>
  <c r="BE69" i="56"/>
  <c r="AR69" i="56"/>
  <c r="AX69" i="56"/>
  <c r="AY69" i="56"/>
  <c r="AX73" i="56"/>
  <c r="AY73" i="56"/>
  <c r="BD98" i="56"/>
  <c r="BE98" i="56"/>
  <c r="AR98" i="56"/>
  <c r="BD103" i="56"/>
  <c r="BE103" i="56"/>
  <c r="AX103" i="56"/>
  <c r="AY103" i="56"/>
  <c r="AF108" i="56"/>
  <c r="AG108" i="56"/>
  <c r="BD108" i="56"/>
  <c r="BE108" i="56"/>
  <c r="AX108" i="56"/>
  <c r="AY108" i="56"/>
  <c r="AF110" i="56"/>
  <c r="AG110" i="56"/>
  <c r="AR110" i="56"/>
  <c r="AF112" i="56"/>
  <c r="AG112" i="56"/>
  <c r="BD112" i="56"/>
  <c r="BE112" i="56"/>
  <c r="AX112" i="56"/>
  <c r="AY112" i="56"/>
  <c r="AF114" i="56"/>
  <c r="AG114" i="56"/>
  <c r="BD114" i="56"/>
  <c r="BE114" i="56"/>
  <c r="AR114" i="56"/>
  <c r="AF117" i="56"/>
  <c r="AG117" i="56"/>
  <c r="BD117" i="56"/>
  <c r="BE117" i="56"/>
  <c r="AR117" i="56"/>
  <c r="AX117" i="56"/>
  <c r="AY117" i="56"/>
  <c r="AF119" i="56"/>
  <c r="AG119" i="56"/>
  <c r="BD119" i="56"/>
  <c r="BE119" i="56"/>
  <c r="AX119" i="56"/>
  <c r="AY119" i="56"/>
  <c r="BD121" i="56"/>
  <c r="BE121" i="56"/>
  <c r="AR121" i="56"/>
  <c r="AF123" i="56"/>
  <c r="AG123" i="56"/>
  <c r="BD123" i="56"/>
  <c r="BE123" i="56"/>
  <c r="AF133" i="56"/>
  <c r="AG133" i="56"/>
  <c r="BD133" i="56"/>
  <c r="BE133" i="56"/>
  <c r="AR133" i="56"/>
  <c r="AX139" i="56"/>
  <c r="AY139" i="56"/>
  <c r="BD139" i="56"/>
  <c r="BE139" i="56"/>
  <c r="BD142" i="56"/>
  <c r="BE142" i="56"/>
  <c r="AX142" i="56"/>
  <c r="AY142" i="56"/>
  <c r="AR142" i="56"/>
  <c r="AX146" i="56"/>
  <c r="AY146" i="56"/>
  <c r="AR146" i="56"/>
  <c r="AF150" i="56"/>
  <c r="AG150" i="56"/>
  <c r="BD150" i="56"/>
  <c r="BE150" i="56"/>
  <c r="AX150" i="56"/>
  <c r="AY150" i="56"/>
  <c r="AR150" i="56"/>
  <c r="BD154" i="56"/>
  <c r="BE154" i="56"/>
  <c r="AF161" i="56"/>
  <c r="AG161" i="56"/>
  <c r="BD161" i="56"/>
  <c r="BE161" i="56"/>
  <c r="AR161" i="56"/>
  <c r="AX161" i="56"/>
  <c r="AY161" i="56"/>
  <c r="BD167" i="56"/>
  <c r="BE167" i="56"/>
  <c r="AX167" i="56"/>
  <c r="AY167" i="56"/>
  <c r="BD171" i="56"/>
  <c r="BE171" i="56"/>
  <c r="BD183" i="56"/>
  <c r="BE183" i="56"/>
  <c r="AX183" i="56"/>
  <c r="AY183" i="56"/>
  <c r="BD189" i="56"/>
  <c r="BE189" i="56"/>
  <c r="AX189" i="56"/>
  <c r="AY189" i="56"/>
  <c r="AR189" i="56"/>
  <c r="AF193" i="56"/>
  <c r="AG193" i="56"/>
  <c r="BD193" i="56"/>
  <c r="BE193" i="56"/>
  <c r="AX193" i="56"/>
  <c r="AY193" i="56"/>
  <c r="AR193" i="56"/>
  <c r="BD198" i="56"/>
  <c r="BE198" i="56"/>
  <c r="AX198" i="56"/>
  <c r="AY198" i="56"/>
  <c r="AR198" i="56"/>
  <c r="BD202" i="56"/>
  <c r="BE202" i="56"/>
  <c r="AR202" i="56"/>
  <c r="BD205" i="56"/>
  <c r="BE205" i="56"/>
  <c r="AX205" i="56"/>
  <c r="AY205" i="56"/>
  <c r="AR205" i="56"/>
  <c r="BD209" i="56"/>
  <c r="BE209" i="56"/>
  <c r="AR209" i="56"/>
  <c r="BD213" i="56"/>
  <c r="BE213" i="56"/>
  <c r="AR213" i="56"/>
  <c r="AX213" i="56"/>
  <c r="AY213" i="56"/>
  <c r="AX220" i="56"/>
  <c r="AY220" i="56"/>
  <c r="BD220" i="56"/>
  <c r="BE220" i="56"/>
  <c r="AX223" i="56"/>
  <c r="AY223" i="56"/>
  <c r="BD223" i="56"/>
  <c r="BE223" i="56"/>
  <c r="BD229" i="56"/>
  <c r="BE229" i="56"/>
  <c r="AR229" i="56"/>
  <c r="AX229" i="56"/>
  <c r="AY229" i="56"/>
  <c r="AF233" i="56"/>
  <c r="AG233" i="56"/>
  <c r="BD233" i="56"/>
  <c r="BE233" i="56"/>
  <c r="AR233" i="56"/>
  <c r="BD236" i="56"/>
  <c r="BE236" i="56"/>
  <c r="AX236" i="56"/>
  <c r="AY236" i="56"/>
  <c r="BD239" i="56"/>
  <c r="BE239" i="56"/>
  <c r="AX239" i="56"/>
  <c r="AY239" i="56"/>
  <c r="BD243" i="56"/>
  <c r="BE243" i="56"/>
  <c r="AX243" i="56"/>
  <c r="AY243" i="56"/>
  <c r="BD249" i="56"/>
  <c r="BE249" i="56"/>
  <c r="AX249" i="56"/>
  <c r="AY249" i="56"/>
  <c r="AR249" i="56"/>
  <c r="BD257" i="56"/>
  <c r="BE257" i="56"/>
  <c r="AX257" i="56"/>
  <c r="AY257" i="56"/>
  <c r="AR257" i="56"/>
  <c r="BD260" i="56"/>
  <c r="BE260" i="56"/>
  <c r="AX260" i="56"/>
  <c r="AY260" i="56"/>
  <c r="BD263" i="56"/>
  <c r="BE263" i="56"/>
  <c r="AX263" i="56"/>
  <c r="AY263" i="56"/>
  <c r="BD272" i="56"/>
  <c r="BE272" i="56"/>
  <c r="AX272" i="56"/>
  <c r="AY272" i="56"/>
  <c r="BD282" i="56"/>
  <c r="BE282" i="56"/>
  <c r="AX282" i="56"/>
  <c r="AY282" i="56"/>
  <c r="AR282" i="56"/>
  <c r="AX287" i="56"/>
  <c r="AY287" i="56"/>
  <c r="BD287" i="56"/>
  <c r="BE287" i="56"/>
  <c r="BD290" i="56"/>
  <c r="BE290" i="56"/>
  <c r="AX290" i="56"/>
  <c r="AY290" i="56"/>
  <c r="AR290" i="56"/>
  <c r="BD293" i="56"/>
  <c r="BE293" i="56"/>
  <c r="AR293" i="56"/>
  <c r="AX293" i="56"/>
  <c r="AY293" i="56"/>
  <c r="BD297" i="56"/>
  <c r="BE297" i="56"/>
  <c r="AX297" i="56"/>
  <c r="AY297" i="56"/>
  <c r="AR297" i="56"/>
  <c r="BD299" i="56"/>
  <c r="BE299" i="56"/>
  <c r="AX299" i="56"/>
  <c r="AY299" i="56"/>
  <c r="AF303" i="56"/>
  <c r="AG303" i="56"/>
  <c r="BD303" i="56"/>
  <c r="BE303" i="56"/>
  <c r="AX303" i="56"/>
  <c r="AY303" i="56"/>
  <c r="AF310" i="56"/>
  <c r="AG310" i="56"/>
  <c r="BD310" i="56"/>
  <c r="BE310" i="56"/>
  <c r="AX310" i="56"/>
  <c r="AY310" i="56"/>
  <c r="AR310" i="56"/>
  <c r="BD314" i="56"/>
  <c r="BE314" i="56"/>
  <c r="AX314" i="56"/>
  <c r="AY314" i="56"/>
  <c r="AR314" i="56"/>
  <c r="AF324" i="56"/>
  <c r="AG324" i="56"/>
  <c r="BD324" i="56"/>
  <c r="BE324" i="56"/>
  <c r="AX324" i="56"/>
  <c r="AY324" i="56"/>
  <c r="BD327" i="56"/>
  <c r="BE327" i="56"/>
  <c r="AX327" i="56"/>
  <c r="AY327" i="56"/>
  <c r="BD331" i="56"/>
  <c r="BE331" i="56"/>
  <c r="AX331" i="56"/>
  <c r="AY331" i="56"/>
  <c r="AF338" i="56"/>
  <c r="AG338" i="56"/>
  <c r="BD338" i="56"/>
  <c r="BE338" i="56"/>
  <c r="AX338" i="56"/>
  <c r="AY338" i="56"/>
  <c r="AR338" i="56"/>
  <c r="AF342" i="56"/>
  <c r="AG342" i="56"/>
  <c r="BD342" i="56"/>
  <c r="BE342" i="56"/>
  <c r="AX342" i="56"/>
  <c r="AY342" i="56"/>
  <c r="AR342" i="56"/>
  <c r="AF354" i="56"/>
  <c r="AG354" i="56"/>
  <c r="BD354" i="56"/>
  <c r="BE354" i="56"/>
  <c r="AX354" i="56"/>
  <c r="AY354" i="56"/>
  <c r="AR354" i="56"/>
  <c r="AF358" i="56"/>
  <c r="AG358" i="56"/>
  <c r="BD358" i="56"/>
  <c r="BE358" i="56"/>
  <c r="AX358" i="56"/>
  <c r="AY358" i="56"/>
  <c r="AR358" i="56"/>
  <c r="BD362" i="56"/>
  <c r="BE362" i="56"/>
  <c r="AX362" i="56"/>
  <c r="AY362" i="56"/>
  <c r="AR362" i="56"/>
  <c r="AF368" i="56"/>
  <c r="AG368" i="56"/>
  <c r="AX368" i="56"/>
  <c r="AY368" i="56"/>
  <c r="BD368" i="56"/>
  <c r="BE368" i="56"/>
  <c r="AL368" i="56"/>
  <c r="AM368" i="56"/>
  <c r="AF373" i="56"/>
  <c r="AG373" i="56"/>
  <c r="BD373" i="56"/>
  <c r="BE373" i="56"/>
  <c r="AX373" i="56"/>
  <c r="AY373" i="56"/>
  <c r="AR373" i="56"/>
  <c r="AL373" i="56"/>
  <c r="AM373" i="56"/>
  <c r="AF377" i="56"/>
  <c r="AG377" i="56"/>
  <c r="BD377" i="56"/>
  <c r="BE377" i="56"/>
  <c r="AX377" i="56"/>
  <c r="AY377" i="56"/>
  <c r="AR377" i="56"/>
  <c r="AF379" i="56"/>
  <c r="AG379" i="56"/>
  <c r="AX379" i="56"/>
  <c r="AY379" i="56"/>
  <c r="BD379" i="56"/>
  <c r="BE379" i="56"/>
  <c r="BD381" i="56"/>
  <c r="BE381" i="56"/>
  <c r="AR381" i="56"/>
  <c r="AX381" i="56"/>
  <c r="AY381" i="56"/>
  <c r="AL381" i="56"/>
  <c r="AM381" i="56"/>
  <c r="AF382" i="56"/>
  <c r="AG382" i="56"/>
  <c r="AF384" i="56"/>
  <c r="AG384" i="56"/>
  <c r="AX384" i="56"/>
  <c r="AY384" i="56"/>
  <c r="BD384" i="56"/>
  <c r="BE384" i="56"/>
  <c r="AF386" i="56"/>
  <c r="AG386" i="56"/>
  <c r="BD386" i="56"/>
  <c r="BE386" i="56"/>
  <c r="AX386" i="56"/>
  <c r="AY386" i="56"/>
  <c r="AR386" i="56"/>
  <c r="AF388" i="56"/>
  <c r="AG388" i="56"/>
  <c r="BD388" i="56"/>
  <c r="BE388" i="56"/>
  <c r="AX388" i="56"/>
  <c r="AY388" i="56"/>
  <c r="AF391" i="56"/>
  <c r="AG391" i="56"/>
  <c r="BD391" i="56"/>
  <c r="BE391" i="56"/>
  <c r="AX391" i="56"/>
  <c r="AY391" i="56"/>
  <c r="AF393" i="56"/>
  <c r="AG393" i="56"/>
  <c r="BD393" i="56"/>
  <c r="BE393" i="56"/>
  <c r="AX393" i="56"/>
  <c r="AY393" i="56"/>
  <c r="AR393" i="56"/>
  <c r="AL393" i="56"/>
  <c r="AM393" i="56"/>
  <c r="AL24" i="56"/>
  <c r="AM24" i="56"/>
  <c r="AL43" i="56"/>
  <c r="AM43" i="56"/>
  <c r="AL47" i="56"/>
  <c r="AM47" i="56"/>
  <c r="AL51" i="56"/>
  <c r="AM51" i="56"/>
  <c r="AL55" i="56"/>
  <c r="AM55" i="56"/>
  <c r="AL63" i="56"/>
  <c r="AM63" i="56"/>
  <c r="AL117" i="56"/>
  <c r="AM117" i="56"/>
  <c r="AL120" i="56"/>
  <c r="AM120" i="56"/>
  <c r="AL122" i="56"/>
  <c r="AM122" i="56"/>
  <c r="AL124" i="56"/>
  <c r="AM124" i="56"/>
  <c r="AL131" i="56"/>
  <c r="AM131" i="56"/>
  <c r="AL142" i="56"/>
  <c r="AM142" i="56"/>
  <c r="AL146" i="56"/>
  <c r="AM146" i="56"/>
  <c r="AL163" i="56"/>
  <c r="AM163" i="56"/>
  <c r="AL167" i="56"/>
  <c r="AM167" i="56"/>
  <c r="AL171" i="56"/>
  <c r="AM171" i="56"/>
  <c r="AL175" i="56"/>
  <c r="AM175" i="56"/>
  <c r="AL179" i="56"/>
  <c r="AM179" i="56"/>
  <c r="AL181" i="56"/>
  <c r="AM181" i="56"/>
  <c r="AL183" i="56"/>
  <c r="AM183" i="56"/>
  <c r="AL205" i="56"/>
  <c r="AM205" i="56"/>
  <c r="AL209" i="56"/>
  <c r="AM209" i="56"/>
  <c r="AL228" i="56"/>
  <c r="AM228" i="56"/>
  <c r="AL236" i="56"/>
  <c r="AM236" i="56"/>
  <c r="AL243" i="56"/>
  <c r="AM243" i="56"/>
  <c r="AL248" i="56"/>
  <c r="AM248" i="56"/>
  <c r="AL252" i="56"/>
  <c r="AM252" i="56"/>
  <c r="AL274" i="56"/>
  <c r="AM274" i="56"/>
  <c r="AL314" i="56"/>
  <c r="AM314" i="56"/>
  <c r="AL320" i="56"/>
  <c r="AM320" i="56"/>
  <c r="AL324" i="56"/>
  <c r="AM324" i="56"/>
  <c r="AL331" i="56"/>
  <c r="AM331" i="56"/>
  <c r="AL342" i="56"/>
  <c r="AM342" i="56"/>
  <c r="AL372" i="56"/>
  <c r="AM372" i="56"/>
  <c r="AL386" i="56"/>
  <c r="AM386" i="56"/>
  <c r="AR24" i="56"/>
  <c r="AS24" i="56"/>
  <c r="AR47" i="56"/>
  <c r="AS47" i="56"/>
  <c r="AR55" i="56"/>
  <c r="AS55" i="56"/>
  <c r="AR71" i="56"/>
  <c r="AR112" i="56"/>
  <c r="AR120" i="56"/>
  <c r="AR163" i="56"/>
  <c r="AR167" i="56"/>
  <c r="AR175" i="56"/>
  <c r="AR183" i="56"/>
  <c r="AR203" i="56"/>
  <c r="AR211" i="56"/>
  <c r="AR236" i="56"/>
  <c r="AR272" i="56"/>
  <c r="AR299" i="56"/>
  <c r="AR327" i="56"/>
  <c r="AR360" i="56"/>
  <c r="AR388" i="56"/>
  <c r="AX47" i="56"/>
  <c r="AY47" i="56"/>
  <c r="AX74" i="56"/>
  <c r="AY74" i="56"/>
  <c r="AX115" i="56"/>
  <c r="AY115" i="56"/>
  <c r="AX123" i="56"/>
  <c r="AY123" i="56"/>
  <c r="AX133" i="56"/>
  <c r="AY133" i="56"/>
  <c r="AX137" i="56"/>
  <c r="AY137" i="56"/>
  <c r="AX159" i="56"/>
  <c r="AY159" i="56"/>
  <c r="AX181" i="56"/>
  <c r="AY181" i="56"/>
  <c r="AR68" i="56"/>
  <c r="BD39" i="56"/>
  <c r="BE39" i="56"/>
  <c r="AX39" i="56"/>
  <c r="AY39" i="56"/>
  <c r="AF43" i="56"/>
  <c r="AG43" i="56"/>
  <c r="BD43" i="56"/>
  <c r="BE43" i="56"/>
  <c r="BD53" i="56"/>
  <c r="BE53" i="56"/>
  <c r="AX53" i="56"/>
  <c r="AY53" i="56"/>
  <c r="AR53" i="56"/>
  <c r="AS53" i="56"/>
  <c r="BD57" i="56"/>
  <c r="BE57" i="56"/>
  <c r="AR57" i="56"/>
  <c r="AS57" i="56"/>
  <c r="BD70" i="56"/>
  <c r="BE70" i="56"/>
  <c r="AR70" i="56"/>
  <c r="AF72" i="56"/>
  <c r="AG72" i="56"/>
  <c r="BD72" i="56"/>
  <c r="BE72" i="56"/>
  <c r="AF99" i="56"/>
  <c r="AG99" i="56"/>
  <c r="BD99" i="56"/>
  <c r="BE99" i="56"/>
  <c r="AX99" i="56"/>
  <c r="AY99" i="56"/>
  <c r="BD104" i="56"/>
  <c r="BE104" i="56"/>
  <c r="AX104" i="56"/>
  <c r="AY104" i="56"/>
  <c r="AF107" i="56"/>
  <c r="AG107" i="56"/>
  <c r="BD107" i="56"/>
  <c r="BE107" i="56"/>
  <c r="AX107" i="56"/>
  <c r="AY107" i="56"/>
  <c r="BD109" i="56"/>
  <c r="BE109" i="56"/>
  <c r="AR109" i="56"/>
  <c r="BD111" i="56"/>
  <c r="BE111" i="56"/>
  <c r="AX111" i="56"/>
  <c r="AY111" i="56"/>
  <c r="AR113" i="56"/>
  <c r="BD113" i="56"/>
  <c r="BE113" i="56"/>
  <c r="AX113" i="56"/>
  <c r="AY113" i="56"/>
  <c r="BD140" i="56"/>
  <c r="BE140" i="56"/>
  <c r="AX140" i="56"/>
  <c r="AY140" i="56"/>
  <c r="BD148" i="56"/>
  <c r="BE148" i="56"/>
  <c r="AX148" i="56"/>
  <c r="AY148" i="56"/>
  <c r="AF200" i="56"/>
  <c r="AG200" i="56"/>
  <c r="BD200" i="56"/>
  <c r="BE200" i="56"/>
  <c r="AX200" i="56"/>
  <c r="AY200" i="56"/>
  <c r="BD207" i="56"/>
  <c r="BE207" i="56"/>
  <c r="AX207" i="56"/>
  <c r="AY207" i="56"/>
  <c r="AX238" i="56"/>
  <c r="AY238" i="56"/>
  <c r="BD238" i="56"/>
  <c r="BE238" i="56"/>
  <c r="AR238" i="56"/>
  <c r="AF248" i="56"/>
  <c r="AG248" i="56"/>
  <c r="BD248" i="56"/>
  <c r="BE248" i="56"/>
  <c r="AX248" i="56"/>
  <c r="AY248" i="56"/>
  <c r="BD251" i="56"/>
  <c r="BE251" i="56"/>
  <c r="AX251" i="56"/>
  <c r="AY251" i="56"/>
  <c r="AX258" i="56"/>
  <c r="AY258" i="56"/>
  <c r="BD258" i="56"/>
  <c r="BE258" i="56"/>
  <c r="AR258" i="56"/>
  <c r="BD262" i="56"/>
  <c r="BE262" i="56"/>
  <c r="AR262" i="56"/>
  <c r="BD268" i="56"/>
  <c r="BE268" i="56"/>
  <c r="AX268" i="56"/>
  <c r="AY268" i="56"/>
  <c r="AF289" i="56"/>
  <c r="AG289" i="56"/>
  <c r="BD289" i="56"/>
  <c r="BE289" i="56"/>
  <c r="AX289" i="56"/>
  <c r="AY289" i="56"/>
  <c r="AR289" i="56"/>
  <c r="AF292" i="56"/>
  <c r="AG292" i="56"/>
  <c r="BD292" i="56"/>
  <c r="BE292" i="56"/>
  <c r="AX292" i="56"/>
  <c r="AY292" i="56"/>
  <c r="BD295" i="56"/>
  <c r="BE295" i="56"/>
  <c r="AX295" i="56"/>
  <c r="AY295" i="56"/>
  <c r="AF301" i="56"/>
  <c r="AG301" i="56"/>
  <c r="BD301" i="56"/>
  <c r="BE301" i="56"/>
  <c r="AX301" i="56"/>
  <c r="AY301" i="56"/>
  <c r="AR301" i="56"/>
  <c r="AF308" i="56"/>
  <c r="AG308" i="56"/>
  <c r="BD308" i="56"/>
  <c r="BE308" i="56"/>
  <c r="AX308" i="56"/>
  <c r="AY308" i="56"/>
  <c r="BD312" i="56"/>
  <c r="BE312" i="56"/>
  <c r="AX312" i="56"/>
  <c r="AY312" i="56"/>
  <c r="BD318" i="56"/>
  <c r="BE318" i="56"/>
  <c r="AX318" i="56"/>
  <c r="AY318" i="56"/>
  <c r="AR318" i="56"/>
  <c r="AF322" i="56"/>
  <c r="AG322" i="56"/>
  <c r="BD322" i="56"/>
  <c r="BE322" i="56"/>
  <c r="AX322" i="56"/>
  <c r="AY322" i="56"/>
  <c r="AR322" i="56"/>
  <c r="BD325" i="56"/>
  <c r="BE325" i="56"/>
  <c r="AX325" i="56"/>
  <c r="AY325" i="56"/>
  <c r="AR325" i="56"/>
  <c r="BD329" i="56"/>
  <c r="BE329" i="56"/>
  <c r="AR329" i="56"/>
  <c r="AX329" i="56"/>
  <c r="AY329" i="56"/>
  <c r="AF333" i="56"/>
  <c r="AG333" i="56"/>
  <c r="BD333" i="56"/>
  <c r="BE333" i="56"/>
  <c r="AX333" i="56"/>
  <c r="AY333" i="56"/>
  <c r="AR333" i="56"/>
  <c r="BD340" i="56"/>
  <c r="BE340" i="56"/>
  <c r="AX340" i="56"/>
  <c r="AY340" i="56"/>
  <c r="AX344" i="56"/>
  <c r="AY344" i="56"/>
  <c r="BD344" i="56"/>
  <c r="BE344" i="56"/>
  <c r="BD349" i="56"/>
  <c r="BE349" i="56"/>
  <c r="AX349" i="56"/>
  <c r="AY349" i="56"/>
  <c r="AR349" i="56"/>
  <c r="AX352" i="56"/>
  <c r="AY352" i="56"/>
  <c r="BD352" i="56"/>
  <c r="BE352" i="56"/>
  <c r="BD356" i="56"/>
  <c r="BE356" i="56"/>
  <c r="AX356" i="56"/>
  <c r="AY356" i="56"/>
  <c r="AF372" i="56"/>
  <c r="AG372" i="56"/>
  <c r="BD372" i="56"/>
  <c r="BE372" i="56"/>
  <c r="AX372" i="56"/>
  <c r="AY372" i="56"/>
  <c r="AF374" i="56"/>
  <c r="AG374" i="56"/>
  <c r="BD374" i="56"/>
  <c r="BE374" i="56"/>
  <c r="AX374" i="56"/>
  <c r="AY374" i="56"/>
  <c r="AR374" i="56"/>
  <c r="AF378" i="56"/>
  <c r="AG378" i="56"/>
  <c r="BD378" i="56"/>
  <c r="BE378" i="56"/>
  <c r="AX378" i="56"/>
  <c r="AY378" i="56"/>
  <c r="AR378" i="56"/>
  <c r="AF380" i="56"/>
  <c r="AG380" i="56"/>
  <c r="BD380" i="56"/>
  <c r="BE380" i="56"/>
  <c r="AX380" i="56"/>
  <c r="AY380" i="56"/>
  <c r="AF383" i="56"/>
  <c r="AG383" i="56"/>
  <c r="BD383" i="56"/>
  <c r="BE383" i="56"/>
  <c r="AF385" i="56"/>
  <c r="AG385" i="56"/>
  <c r="BD385" i="56"/>
  <c r="BE385" i="56"/>
  <c r="AX385" i="56"/>
  <c r="AY385" i="56"/>
  <c r="AR385" i="56"/>
  <c r="AL385" i="56"/>
  <c r="AM385" i="56"/>
  <c r="BD389" i="56"/>
  <c r="BE389" i="56"/>
  <c r="AX389" i="56"/>
  <c r="AY389" i="56"/>
  <c r="AR389" i="56"/>
  <c r="AF392" i="56"/>
  <c r="AG392" i="56"/>
  <c r="BD392" i="56"/>
  <c r="BE392" i="56"/>
  <c r="AX392" i="56"/>
  <c r="AY392" i="56"/>
  <c r="AL49" i="56"/>
  <c r="AM49" i="56"/>
  <c r="AL57" i="56"/>
  <c r="AM57" i="56"/>
  <c r="AL62" i="56"/>
  <c r="AM62" i="56"/>
  <c r="AL68" i="56"/>
  <c r="AM68" i="56"/>
  <c r="AL107" i="56"/>
  <c r="AM107" i="56"/>
  <c r="AL115" i="56"/>
  <c r="AM115" i="56"/>
  <c r="AL140" i="56"/>
  <c r="AM140" i="56"/>
  <c r="AL144" i="56"/>
  <c r="AM144" i="56"/>
  <c r="AL148" i="56"/>
  <c r="AM148" i="56"/>
  <c r="AL159" i="56"/>
  <c r="AM159" i="56"/>
  <c r="AL169" i="56"/>
  <c r="AM169" i="56"/>
  <c r="AL177" i="56"/>
  <c r="AM177" i="56"/>
  <c r="AL184" i="56"/>
  <c r="AM184" i="56"/>
  <c r="AL191" i="56"/>
  <c r="AM191" i="56"/>
  <c r="AL221" i="56"/>
  <c r="AM221" i="56"/>
  <c r="AL227" i="56"/>
  <c r="AM227" i="56"/>
  <c r="AL251" i="56"/>
  <c r="AM251" i="56"/>
  <c r="AL270" i="56"/>
  <c r="AM270" i="56"/>
  <c r="AL301" i="56"/>
  <c r="AM301" i="56"/>
  <c r="AL325" i="56"/>
  <c r="AM325" i="56"/>
  <c r="AL344" i="56"/>
  <c r="AM344" i="56"/>
  <c r="AL349" i="56"/>
  <c r="AM349" i="56"/>
  <c r="AL352" i="56"/>
  <c r="AM352" i="56"/>
  <c r="AL374" i="56"/>
  <c r="AM374" i="56"/>
  <c r="AR33" i="56"/>
  <c r="AS33" i="56"/>
  <c r="AR124" i="56"/>
  <c r="AR268" i="56"/>
  <c r="AR392" i="56"/>
  <c r="BD191" i="56"/>
  <c r="BE191" i="56"/>
  <c r="AF295" i="56"/>
  <c r="AG295" i="56"/>
  <c r="AF197" i="56"/>
  <c r="AG197" i="56"/>
  <c r="AF144" i="56"/>
  <c r="AG144" i="56"/>
  <c r="AF68" i="56"/>
  <c r="AG68" i="56"/>
  <c r="AF349" i="56"/>
  <c r="AG349" i="56"/>
  <c r="BD59" i="56"/>
  <c r="BE59" i="56"/>
  <c r="AX59" i="56"/>
  <c r="AY59" i="56"/>
  <c r="BD63" i="56"/>
  <c r="BE63" i="56"/>
  <c r="AX63" i="56"/>
  <c r="AY63" i="56"/>
  <c r="BD29" i="56"/>
  <c r="BE29" i="56"/>
  <c r="AX29" i="56"/>
  <c r="AY29" i="56"/>
  <c r="BD34" i="56"/>
  <c r="BE34" i="56"/>
  <c r="AX34" i="56"/>
  <c r="AY34" i="56"/>
  <c r="BD40" i="56"/>
  <c r="BE40" i="56"/>
  <c r="AR40" i="56"/>
  <c r="AS40" i="56"/>
  <c r="AF44" i="56"/>
  <c r="AG44" i="56"/>
  <c r="BD44" i="56"/>
  <c r="BE44" i="56"/>
  <c r="AR44" i="56"/>
  <c r="AS44" i="56"/>
  <c r="AF50" i="56"/>
  <c r="AG50" i="56"/>
  <c r="BD50" i="56"/>
  <c r="BE50" i="56"/>
  <c r="AF54" i="56"/>
  <c r="AG54" i="56"/>
  <c r="BD54" i="56"/>
  <c r="BE54" i="56"/>
  <c r="AF58" i="56"/>
  <c r="AG58" i="56"/>
  <c r="BD58" i="56"/>
  <c r="BE58" i="56"/>
  <c r="BD77" i="56"/>
  <c r="BE77" i="56"/>
  <c r="AR77" i="56"/>
  <c r="AF79" i="56"/>
  <c r="AG79" i="56"/>
  <c r="BD79" i="56"/>
  <c r="BE79" i="56"/>
  <c r="BD82" i="56"/>
  <c r="BE82" i="56"/>
  <c r="AR82" i="56"/>
  <c r="AF84" i="56"/>
  <c r="AG84" i="56"/>
  <c r="BD84" i="56"/>
  <c r="BE84" i="56"/>
  <c r="AF86" i="56"/>
  <c r="AG86" i="56"/>
  <c r="BD86" i="56"/>
  <c r="BE86" i="56"/>
  <c r="AX86" i="56"/>
  <c r="AY86" i="56"/>
  <c r="AR86" i="56"/>
  <c r="BD88" i="56"/>
  <c r="BE88" i="56"/>
  <c r="AX88" i="56"/>
  <c r="AY88" i="56"/>
  <c r="AF90" i="56"/>
  <c r="AG90" i="56"/>
  <c r="BD90" i="56"/>
  <c r="BE90" i="56"/>
  <c r="AR90" i="56"/>
  <c r="AF92" i="56"/>
  <c r="AG92" i="56"/>
  <c r="BD92" i="56"/>
  <c r="BE92" i="56"/>
  <c r="AX92" i="56"/>
  <c r="AY92" i="56"/>
  <c r="BD94" i="56"/>
  <c r="BE94" i="56"/>
  <c r="AR94" i="56"/>
  <c r="BD101" i="56"/>
  <c r="BE101" i="56"/>
  <c r="AX101" i="56"/>
  <c r="AY101" i="56"/>
  <c r="AR101" i="56"/>
  <c r="BD130" i="56"/>
  <c r="BE130" i="56"/>
  <c r="AX130" i="56"/>
  <c r="AY130" i="56"/>
  <c r="AR130" i="56"/>
  <c r="AX132" i="56"/>
  <c r="AY132" i="56"/>
  <c r="BD132" i="56"/>
  <c r="BE132" i="56"/>
  <c r="BD138" i="56"/>
  <c r="BE138" i="56"/>
  <c r="AR138" i="56"/>
  <c r="AF141" i="56"/>
  <c r="AG141" i="56"/>
  <c r="BD141" i="56"/>
  <c r="BE141" i="56"/>
  <c r="AR141" i="56"/>
  <c r="AF145" i="56"/>
  <c r="AG145" i="56"/>
  <c r="BD145" i="56"/>
  <c r="BE145" i="56"/>
  <c r="AR145" i="56"/>
  <c r="AX145" i="56"/>
  <c r="AY145" i="56"/>
  <c r="AF149" i="56"/>
  <c r="AG149" i="56"/>
  <c r="BD149" i="56"/>
  <c r="BE149" i="56"/>
  <c r="AR149" i="56"/>
  <c r="AF153" i="56"/>
  <c r="AG153" i="56"/>
  <c r="BD153" i="56"/>
  <c r="BE153" i="56"/>
  <c r="AR153" i="56"/>
  <c r="BD160" i="56"/>
  <c r="BE160" i="56"/>
  <c r="AX160" i="56"/>
  <c r="AY160" i="56"/>
  <c r="BD164" i="56"/>
  <c r="BE164" i="56"/>
  <c r="AX164" i="56"/>
  <c r="AY164" i="56"/>
  <c r="BD170" i="56"/>
  <c r="BE170" i="56"/>
  <c r="AX170" i="56"/>
  <c r="AY170" i="56"/>
  <c r="AR170" i="56"/>
  <c r="BD174" i="56"/>
  <c r="BE174" i="56"/>
  <c r="AR174" i="56"/>
  <c r="BD178" i="56"/>
  <c r="BE178" i="56"/>
  <c r="AX178" i="56"/>
  <c r="AY178" i="56"/>
  <c r="AR178" i="56"/>
  <c r="BD182" i="56"/>
  <c r="BE182" i="56"/>
  <c r="AX182" i="56"/>
  <c r="AY182" i="56"/>
  <c r="AR182" i="56"/>
  <c r="AF192" i="56"/>
  <c r="AG192" i="56"/>
  <c r="BD192" i="56"/>
  <c r="BE192" i="56"/>
  <c r="BD201" i="56"/>
  <c r="BE201" i="56"/>
  <c r="AX201" i="56"/>
  <c r="AY201" i="56"/>
  <c r="AR201" i="56"/>
  <c r="BD204" i="56"/>
  <c r="BE204" i="56"/>
  <c r="AX204" i="56"/>
  <c r="AY204" i="56"/>
  <c r="AF208" i="56"/>
  <c r="AG208" i="56"/>
  <c r="BD208" i="56"/>
  <c r="BE208" i="56"/>
  <c r="AX208" i="56"/>
  <c r="AY208" i="56"/>
  <c r="BD212" i="56"/>
  <c r="BE212" i="56"/>
  <c r="AX212" i="56"/>
  <c r="AY212" i="56"/>
  <c r="BD219" i="56"/>
  <c r="BE219" i="56"/>
  <c r="AX219" i="56"/>
  <c r="AY219" i="56"/>
  <c r="BD222" i="56"/>
  <c r="BE222" i="56"/>
  <c r="AX222" i="56"/>
  <c r="AY222" i="56"/>
  <c r="AR222" i="56"/>
  <c r="BD228" i="56"/>
  <c r="BE228" i="56"/>
  <c r="AX228" i="56"/>
  <c r="AY228" i="56"/>
  <c r="BD232" i="56"/>
  <c r="BE232" i="56"/>
  <c r="AX232" i="56"/>
  <c r="AY232" i="56"/>
  <c r="BD235" i="56"/>
  <c r="BE235" i="56"/>
  <c r="AX235" i="56"/>
  <c r="AY235" i="56"/>
  <c r="BD242" i="56"/>
  <c r="BE242" i="56"/>
  <c r="AX242" i="56"/>
  <c r="AY242" i="56"/>
  <c r="AR242" i="56"/>
  <c r="AF254" i="56"/>
  <c r="AG254" i="56"/>
  <c r="BD254" i="56"/>
  <c r="BE254" i="56"/>
  <c r="AX254" i="56"/>
  <c r="AY254" i="56"/>
  <c r="AR254" i="56"/>
  <c r="BD259" i="56"/>
  <c r="BE259" i="56"/>
  <c r="AX259" i="56"/>
  <c r="AY259" i="56"/>
  <c r="AF266" i="56"/>
  <c r="AG266" i="56"/>
  <c r="BD266" i="56"/>
  <c r="BE266" i="56"/>
  <c r="AX266" i="56"/>
  <c r="AY266" i="56"/>
  <c r="AR266" i="56"/>
  <c r="BD269" i="56"/>
  <c r="BE269" i="56"/>
  <c r="AX269" i="56"/>
  <c r="AY269" i="56"/>
  <c r="AR269" i="56"/>
  <c r="AF271" i="56"/>
  <c r="AG271" i="56"/>
  <c r="AX271" i="56"/>
  <c r="AY271" i="56"/>
  <c r="BD271" i="56"/>
  <c r="BE271" i="56"/>
  <c r="BD278" i="56"/>
  <c r="BE278" i="56"/>
  <c r="AX278" i="56"/>
  <c r="AY278" i="56"/>
  <c r="AR278" i="56"/>
  <c r="AF281" i="56"/>
  <c r="AG281" i="56"/>
  <c r="AX281" i="56"/>
  <c r="AY281" i="56"/>
  <c r="BD281" i="56"/>
  <c r="BE281" i="56"/>
  <c r="AR281" i="56"/>
  <c r="BD284" i="56"/>
  <c r="BE284" i="56"/>
  <c r="AX284" i="56"/>
  <c r="AY284" i="56"/>
  <c r="BD296" i="56"/>
  <c r="BE296" i="56"/>
  <c r="AX296" i="56"/>
  <c r="AY296" i="56"/>
  <c r="AX298" i="56"/>
  <c r="AY298" i="56"/>
  <c r="BD298" i="56"/>
  <c r="BE298" i="56"/>
  <c r="AR298" i="56"/>
  <c r="BD302" i="56"/>
  <c r="BE302" i="56"/>
  <c r="AX302" i="56"/>
  <c r="AY302" i="56"/>
  <c r="AR302" i="56"/>
  <c r="AF309" i="56"/>
  <c r="AG309" i="56"/>
  <c r="AX309" i="56"/>
  <c r="AY309" i="56"/>
  <c r="BD309" i="56"/>
  <c r="BE309" i="56"/>
  <c r="AR309" i="56"/>
  <c r="BD313" i="56"/>
  <c r="BE313" i="56"/>
  <c r="AR313" i="56"/>
  <c r="AF319" i="56"/>
  <c r="AG319" i="56"/>
  <c r="BD319" i="56"/>
  <c r="BE319" i="56"/>
  <c r="AX319" i="56"/>
  <c r="AY319" i="56"/>
  <c r="AX323" i="56"/>
  <c r="AY323" i="56"/>
  <c r="BD323" i="56"/>
  <c r="BE323" i="56"/>
  <c r="BD326" i="56"/>
  <c r="BE326" i="56"/>
  <c r="AX326" i="56"/>
  <c r="AY326" i="56"/>
  <c r="AR326" i="56"/>
  <c r="AX330" i="56"/>
  <c r="AY330" i="56"/>
  <c r="BD330" i="56"/>
  <c r="BE330" i="56"/>
  <c r="AR330" i="56"/>
  <c r="BD334" i="56"/>
  <c r="BE334" i="56"/>
  <c r="AX334" i="56"/>
  <c r="AY334" i="56"/>
  <c r="AR334" i="56"/>
  <c r="BD341" i="56"/>
  <c r="BE341" i="56"/>
  <c r="AX341" i="56"/>
  <c r="AY341" i="56"/>
  <c r="AR341" i="56"/>
  <c r="AF347" i="56"/>
  <c r="AG347" i="56"/>
  <c r="BD347" i="56"/>
  <c r="BE347" i="56"/>
  <c r="AX347" i="56"/>
  <c r="AY347" i="56"/>
  <c r="BD350" i="56"/>
  <c r="BE350" i="56"/>
  <c r="AR350" i="56"/>
  <c r="AX353" i="56"/>
  <c r="AY353" i="56"/>
  <c r="AR353" i="56"/>
  <c r="BD353" i="56"/>
  <c r="BE353" i="56"/>
  <c r="BD357" i="56"/>
  <c r="BE357" i="56"/>
  <c r="AR357" i="56"/>
  <c r="AX357" i="56"/>
  <c r="AY357" i="56"/>
  <c r="BD361" i="56"/>
  <c r="BE361" i="56"/>
  <c r="AR361" i="56"/>
  <c r="AX364" i="56"/>
  <c r="AY364" i="56"/>
  <c r="BD364" i="56"/>
  <c r="BE364" i="56"/>
  <c r="AL364" i="56"/>
  <c r="AM364" i="56"/>
  <c r="BD369" i="56"/>
  <c r="BE369" i="56"/>
  <c r="AX369" i="56"/>
  <c r="AY369" i="56"/>
  <c r="AR369" i="56"/>
  <c r="BD371" i="56"/>
  <c r="BE371" i="56"/>
  <c r="AX371" i="56"/>
  <c r="AY371" i="56"/>
  <c r="BD382" i="56"/>
  <c r="BE382" i="56"/>
  <c r="AX382" i="56"/>
  <c r="AY382" i="56"/>
  <c r="AR382" i="56"/>
  <c r="AF389" i="56"/>
  <c r="AG389" i="56"/>
  <c r="AL13" i="56"/>
  <c r="AM13" i="56"/>
  <c r="AL29" i="56"/>
  <c r="AM29" i="56"/>
  <c r="AL34" i="56"/>
  <c r="AM34" i="56"/>
  <c r="AL40" i="56"/>
  <c r="AM40" i="56"/>
  <c r="AL50" i="56"/>
  <c r="AM50" i="56"/>
  <c r="AL54" i="56"/>
  <c r="AM54" i="56"/>
  <c r="AL58" i="56"/>
  <c r="AM58" i="56"/>
  <c r="AL69" i="56"/>
  <c r="AM69" i="56"/>
  <c r="AL72" i="56"/>
  <c r="AM72" i="56"/>
  <c r="AL79" i="56"/>
  <c r="AM79" i="56"/>
  <c r="AL90" i="56"/>
  <c r="AM90" i="56"/>
  <c r="AL92" i="56"/>
  <c r="AM92" i="56"/>
  <c r="AL94" i="56"/>
  <c r="AM94" i="56"/>
  <c r="AL98" i="56"/>
  <c r="AM98" i="56"/>
  <c r="AL101" i="56"/>
  <c r="AM101" i="56"/>
  <c r="AL104" i="56"/>
  <c r="AM104" i="56"/>
  <c r="AL108" i="56"/>
  <c r="AM108" i="56"/>
  <c r="AL112" i="56"/>
  <c r="AM112" i="56"/>
  <c r="AL116" i="56"/>
  <c r="AM116" i="56"/>
  <c r="AL133" i="56"/>
  <c r="AM133" i="56"/>
  <c r="AL137" i="56"/>
  <c r="AM137" i="56"/>
  <c r="AL141" i="56"/>
  <c r="AM141" i="56"/>
  <c r="AL145" i="56"/>
  <c r="AM145" i="56"/>
  <c r="AL149" i="56"/>
  <c r="AM149" i="56"/>
  <c r="AL153" i="56"/>
  <c r="AM153" i="56"/>
  <c r="AL160" i="56"/>
  <c r="AM160" i="56"/>
  <c r="AL170" i="56"/>
  <c r="AM170" i="56"/>
  <c r="AL174" i="56"/>
  <c r="AM174" i="56"/>
  <c r="AL178" i="56"/>
  <c r="AM178" i="56"/>
  <c r="AL189" i="56"/>
  <c r="AM189" i="56"/>
  <c r="AL192" i="56"/>
  <c r="AM192" i="56"/>
  <c r="AL202" i="56"/>
  <c r="AM202" i="56"/>
  <c r="AL211" i="56"/>
  <c r="AM211" i="56"/>
  <c r="AL219" i="56"/>
  <c r="AM219" i="56"/>
  <c r="AL242" i="56"/>
  <c r="AM242" i="56"/>
  <c r="AL254" i="56"/>
  <c r="AM254" i="56"/>
  <c r="AL258" i="56"/>
  <c r="AM258" i="56"/>
  <c r="AL260" i="56"/>
  <c r="AM260" i="56"/>
  <c r="AL262" i="56"/>
  <c r="AM262" i="56"/>
  <c r="AL266" i="56"/>
  <c r="AM266" i="56"/>
  <c r="AL268" i="56"/>
  <c r="AM268" i="56"/>
  <c r="AL281" i="56"/>
  <c r="AM281" i="56"/>
  <c r="AL287" i="56"/>
  <c r="AM287" i="56"/>
  <c r="AL289" i="56"/>
  <c r="AM289" i="56"/>
  <c r="AL293" i="56"/>
  <c r="AM293" i="56"/>
  <c r="AL295" i="56"/>
  <c r="AM295" i="56"/>
  <c r="AL297" i="56"/>
  <c r="AM297" i="56"/>
  <c r="AL299" i="56"/>
  <c r="AM299" i="56"/>
  <c r="AL309" i="56"/>
  <c r="AM309" i="56"/>
  <c r="AL330" i="56"/>
  <c r="AM330" i="56"/>
  <c r="AL334" i="56"/>
  <c r="AM334" i="56"/>
  <c r="AL347" i="56"/>
  <c r="AM347" i="56"/>
  <c r="AL350" i="56"/>
  <c r="AM350" i="56"/>
  <c r="AL358" i="56"/>
  <c r="AM358" i="56"/>
  <c r="AL362" i="56"/>
  <c r="AM362" i="56"/>
  <c r="AL371" i="56"/>
  <c r="AM371" i="56"/>
  <c r="AL377" i="56"/>
  <c r="AM377" i="56"/>
  <c r="AL389" i="56"/>
  <c r="AM389" i="56"/>
  <c r="AL392" i="56"/>
  <c r="AM392" i="56"/>
  <c r="AR34" i="56"/>
  <c r="AS34" i="56"/>
  <c r="AR39" i="56"/>
  <c r="AS39" i="56"/>
  <c r="AR54" i="56"/>
  <c r="AS54" i="56"/>
  <c r="AR62" i="56"/>
  <c r="AS62" i="56"/>
  <c r="AR84" i="56"/>
  <c r="AR92" i="56"/>
  <c r="AR99" i="56"/>
  <c r="AR111" i="56"/>
  <c r="AR119" i="56"/>
  <c r="AR131" i="56"/>
  <c r="AR139" i="56"/>
  <c r="AR160" i="56"/>
  <c r="AR192" i="56"/>
  <c r="AR200" i="56"/>
  <c r="AR208" i="56"/>
  <c r="AR223" i="56"/>
  <c r="AR227" i="56"/>
  <c r="AR235" i="56"/>
  <c r="AR243" i="56"/>
  <c r="AR263" i="56"/>
  <c r="AR271" i="56"/>
  <c r="AR284" i="56"/>
  <c r="AR296" i="56"/>
  <c r="AR308" i="56"/>
  <c r="AR324" i="56"/>
  <c r="AR371" i="56"/>
  <c r="AR379" i="56"/>
  <c r="AR387" i="56"/>
  <c r="AX24" i="56"/>
  <c r="AY24" i="56"/>
  <c r="AX40" i="56"/>
  <c r="AY40" i="56"/>
  <c r="AX51" i="56"/>
  <c r="AY51" i="56"/>
  <c r="AX58" i="56"/>
  <c r="AY58" i="56"/>
  <c r="AX64" i="56"/>
  <c r="AY64" i="56"/>
  <c r="AX114" i="56"/>
  <c r="AY114" i="56"/>
  <c r="AX121" i="56"/>
  <c r="AY121" i="56"/>
  <c r="AX149" i="56"/>
  <c r="AY149" i="56"/>
  <c r="AX179" i="56"/>
  <c r="AY179" i="56"/>
  <c r="AX350" i="56"/>
  <c r="AY350" i="56"/>
  <c r="AX383" i="56"/>
  <c r="AY383" i="56"/>
  <c r="AU139" i="56"/>
  <c r="BG17" i="56"/>
  <c r="BG12" i="56"/>
  <c r="BG16" i="56"/>
  <c r="BG20" i="56"/>
  <c r="AR27" i="56"/>
  <c r="AS27" i="56"/>
  <c r="AR31" i="56"/>
  <c r="AS31" i="56"/>
  <c r="BA12" i="56"/>
  <c r="AX12" i="56"/>
  <c r="AY12" i="56"/>
  <c r="BA16" i="56"/>
  <c r="AX16" i="56"/>
  <c r="AY16" i="56"/>
  <c r="BA20" i="56"/>
  <c r="AX20" i="56"/>
  <c r="AY20" i="56"/>
  <c r="BA14" i="56"/>
  <c r="AX14" i="56"/>
  <c r="AY14" i="56"/>
  <c r="BA18" i="56"/>
  <c r="AX18" i="56"/>
  <c r="AY18" i="56"/>
  <c r="BA13" i="56"/>
  <c r="AX13" i="56"/>
  <c r="AY13" i="56"/>
  <c r="BA15" i="56"/>
  <c r="AX15" i="56"/>
  <c r="AY15" i="56"/>
  <c r="BA17" i="56"/>
  <c r="AX17" i="56"/>
  <c r="AY17" i="56"/>
  <c r="BA19" i="56"/>
  <c r="AX19" i="56"/>
  <c r="AY19" i="56"/>
  <c r="AL20" i="56"/>
  <c r="AM20" i="56"/>
  <c r="AL19" i="56"/>
  <c r="AM19" i="56"/>
  <c r="AF20" i="56"/>
  <c r="AG20" i="56"/>
  <c r="AI20" i="56"/>
  <c r="AF369" i="56"/>
  <c r="AG369" i="56"/>
  <c r="BY394" i="56"/>
  <c r="BY378" i="56"/>
  <c r="BY324" i="56"/>
  <c r="BY158" i="56"/>
  <c r="BY61" i="56"/>
  <c r="BY389" i="56"/>
  <c r="BY373" i="56"/>
  <c r="BY242" i="56"/>
  <c r="BY130" i="56"/>
  <c r="BY63" i="56"/>
  <c r="BY396" i="56"/>
  <c r="BY380" i="56"/>
  <c r="BY350" i="56"/>
  <c r="BY196" i="56"/>
  <c r="BY126" i="56"/>
  <c r="BY42" i="56"/>
  <c r="BY13" i="56"/>
  <c r="BY383" i="56"/>
  <c r="BY367" i="56"/>
  <c r="BY202" i="56"/>
  <c r="BY98" i="56"/>
  <c r="BY50" i="56"/>
  <c r="BY14" i="56"/>
  <c r="BY43" i="56"/>
  <c r="BY59" i="56"/>
  <c r="BY82" i="56"/>
  <c r="BY134" i="56"/>
  <c r="BY172" i="56"/>
  <c r="BY214" i="56"/>
  <c r="BY292" i="56"/>
  <c r="BY16" i="56"/>
  <c r="BY361" i="56"/>
  <c r="BY353" i="56"/>
  <c r="BY345" i="56"/>
  <c r="BY337" i="56"/>
  <c r="BY329" i="56"/>
  <c r="BY321" i="56"/>
  <c r="BY313" i="56"/>
  <c r="BY305" i="56"/>
  <c r="BY297" i="56"/>
  <c r="BY289" i="56"/>
  <c r="BY281" i="56"/>
  <c r="BY273" i="56"/>
  <c r="BY265" i="56"/>
  <c r="BY257" i="56"/>
  <c r="BY249" i="56"/>
  <c r="BY241" i="56"/>
  <c r="BY233" i="56"/>
  <c r="BY225" i="56"/>
  <c r="BY217" i="56"/>
  <c r="BY209" i="56"/>
  <c r="BY201" i="56"/>
  <c r="BY352" i="56"/>
  <c r="BY320" i="56"/>
  <c r="BY288" i="56"/>
  <c r="BY256" i="56"/>
  <c r="BY224" i="56"/>
  <c r="BY195" i="56"/>
  <c r="BY187" i="56"/>
  <c r="BY179" i="56"/>
  <c r="BY171" i="56"/>
  <c r="BY163" i="56"/>
  <c r="BY155" i="56"/>
  <c r="BY147" i="56"/>
  <c r="BY139" i="56"/>
  <c r="BY131" i="56"/>
  <c r="BY123" i="56"/>
  <c r="BY115" i="56"/>
  <c r="BY107" i="56"/>
  <c r="BY99" i="56"/>
  <c r="BY91" i="56"/>
  <c r="BY83" i="56"/>
  <c r="BY75" i="56"/>
  <c r="BY366" i="56"/>
  <c r="BY314" i="56"/>
  <c r="BY276" i="56"/>
  <c r="BY238" i="56"/>
  <c r="BY192" i="56"/>
  <c r="BY160" i="56"/>
  <c r="BY128" i="56"/>
  <c r="BY96" i="56"/>
  <c r="BY67" i="56"/>
  <c r="BY52" i="56"/>
  <c r="BY36" i="56"/>
  <c r="BY29" i="56"/>
  <c r="BY390" i="56"/>
  <c r="BY374" i="56"/>
  <c r="BY286" i="56"/>
  <c r="BY118" i="56"/>
  <c r="BY58" i="56"/>
  <c r="BY385" i="56"/>
  <c r="BY369" i="56"/>
  <c r="BY194" i="56"/>
  <c r="BY124" i="56"/>
  <c r="BY37" i="56"/>
  <c r="BY392" i="56"/>
  <c r="BY376" i="56"/>
  <c r="BY266" i="56"/>
  <c r="BY190" i="56"/>
  <c r="BY86" i="56"/>
  <c r="BY39" i="56"/>
  <c r="BY395" i="56"/>
  <c r="BY379" i="56"/>
  <c r="BY306" i="56"/>
  <c r="BY162" i="56"/>
  <c r="BY92" i="56"/>
  <c r="BY47" i="56"/>
  <c r="BY18" i="56"/>
  <c r="BY46" i="56"/>
  <c r="BY62" i="56"/>
  <c r="BY102" i="56"/>
  <c r="BY140" i="56"/>
  <c r="BY178" i="56"/>
  <c r="BY228" i="56"/>
  <c r="BY298" i="56"/>
  <c r="BY20" i="56"/>
  <c r="BY359" i="56"/>
  <c r="BY351" i="56"/>
  <c r="BY343" i="56"/>
  <c r="BY335" i="56"/>
  <c r="BY327" i="56"/>
  <c r="BY319" i="56"/>
  <c r="BY311" i="56"/>
  <c r="BY303" i="56"/>
  <c r="BY295" i="56"/>
  <c r="BY287" i="56"/>
  <c r="BY279" i="56"/>
  <c r="BY271" i="56"/>
  <c r="BY263" i="56"/>
  <c r="BY255" i="56"/>
  <c r="BY247" i="56"/>
  <c r="BY239" i="56"/>
  <c r="BY231" i="56"/>
  <c r="BY223" i="56"/>
  <c r="BY215" i="56"/>
  <c r="BY207" i="56"/>
  <c r="BY199" i="56"/>
  <c r="BY344" i="56"/>
  <c r="BY312" i="56"/>
  <c r="BY280" i="56"/>
  <c r="BY248" i="56"/>
  <c r="BY216" i="56"/>
  <c r="BY193" i="56"/>
  <c r="BY185" i="56"/>
  <c r="BY177" i="56"/>
  <c r="BY169" i="56"/>
  <c r="BY161" i="56"/>
  <c r="BY153" i="56"/>
  <c r="BY145" i="56"/>
  <c r="BY137" i="56"/>
  <c r="BY129" i="56"/>
  <c r="BY121" i="56"/>
  <c r="BY113" i="56"/>
  <c r="BY105" i="56"/>
  <c r="BY97" i="56"/>
  <c r="BY89" i="56"/>
  <c r="BY81" i="56"/>
  <c r="BY73" i="56"/>
  <c r="BY346" i="56"/>
  <c r="BY308" i="56"/>
  <c r="BY270" i="56"/>
  <c r="BY218" i="56"/>
  <c r="BY184" i="56"/>
  <c r="BY152" i="56"/>
  <c r="BY120" i="56"/>
  <c r="BY88" i="56"/>
  <c r="BY64" i="56"/>
  <c r="BY48" i="56"/>
  <c r="BY32" i="56"/>
  <c r="BY28" i="56"/>
  <c r="BY386" i="56"/>
  <c r="BY370" i="56"/>
  <c r="BY182" i="56"/>
  <c r="BY100" i="56"/>
  <c r="BY55" i="56"/>
  <c r="BY381" i="56"/>
  <c r="BY332" i="56"/>
  <c r="BY188" i="56"/>
  <c r="BY106" i="56"/>
  <c r="BY34" i="56"/>
  <c r="BY388" i="56"/>
  <c r="BY372" i="56"/>
  <c r="BY260" i="56"/>
  <c r="BY150" i="56"/>
  <c r="BY68" i="56"/>
  <c r="BY21" i="56"/>
  <c r="BY391" i="56"/>
  <c r="BY375" i="56"/>
  <c r="BY268" i="56"/>
  <c r="BY156" i="56"/>
  <c r="BY74" i="56"/>
  <c r="BY12" i="56"/>
  <c r="BY35" i="56"/>
  <c r="BY51" i="56"/>
  <c r="BY70" i="56"/>
  <c r="BY108" i="56"/>
  <c r="BY146" i="56"/>
  <c r="BY198" i="56"/>
  <c r="BY234" i="56"/>
  <c r="BY338" i="56"/>
  <c r="BY365" i="56"/>
  <c r="BY357" i="56"/>
  <c r="BY349" i="56"/>
  <c r="BY341" i="56"/>
  <c r="BY333" i="56"/>
  <c r="BY325" i="56"/>
  <c r="BY317" i="56"/>
  <c r="BY309" i="56"/>
  <c r="BY301" i="56"/>
  <c r="BY293" i="56"/>
  <c r="BY285" i="56"/>
  <c r="BY277" i="56"/>
  <c r="BY269" i="56"/>
  <c r="BY261" i="56"/>
  <c r="BY253" i="56"/>
  <c r="BY245" i="56"/>
  <c r="BY237" i="56"/>
  <c r="BY229" i="56"/>
  <c r="BY221" i="56"/>
  <c r="BY213" i="56"/>
  <c r="BY205" i="56"/>
  <c r="BY197" i="56"/>
  <c r="BY336" i="56"/>
  <c r="BY304" i="56"/>
  <c r="BY272" i="56"/>
  <c r="BY240" i="56"/>
  <c r="BY208" i="56"/>
  <c r="BY191" i="56"/>
  <c r="BY183" i="56"/>
  <c r="BY175" i="56"/>
  <c r="BY167" i="56"/>
  <c r="BY159" i="56"/>
  <c r="BY151" i="56"/>
  <c r="BY143" i="56"/>
  <c r="BY135" i="56"/>
  <c r="BY127" i="56"/>
  <c r="BY119" i="56"/>
  <c r="BY111" i="56"/>
  <c r="BY103" i="56"/>
  <c r="BY95" i="56"/>
  <c r="BY87" i="56"/>
  <c r="BY79" i="56"/>
  <c r="BY71" i="56"/>
  <c r="BY340" i="56"/>
  <c r="BY302" i="56"/>
  <c r="BY250" i="56"/>
  <c r="BY212" i="56"/>
  <c r="BY176" i="56"/>
  <c r="BY144" i="56"/>
  <c r="BY112" i="56"/>
  <c r="BY80" i="56"/>
  <c r="BY60" i="56"/>
  <c r="BY44" i="56"/>
  <c r="BY31" i="56"/>
  <c r="BY27" i="56"/>
  <c r="BY318" i="56"/>
  <c r="BY236" i="56"/>
  <c r="BY180" i="56"/>
  <c r="BY142" i="56"/>
  <c r="BY90" i="56"/>
  <c r="BY57" i="56"/>
  <c r="BY22" i="56"/>
  <c r="BY220" i="56"/>
  <c r="BY258" i="56"/>
  <c r="BY310" i="56"/>
  <c r="BY348" i="56"/>
  <c r="BY24" i="56"/>
  <c r="BY40" i="56"/>
  <c r="BY136" i="56"/>
  <c r="BY282" i="56"/>
  <c r="BY85" i="56"/>
  <c r="BY117" i="56"/>
  <c r="BY149" i="56"/>
  <c r="BY181" i="56"/>
  <c r="BY264" i="56"/>
  <c r="BY203" i="56"/>
  <c r="BY235" i="56"/>
  <c r="BY267" i="56"/>
  <c r="BY299" i="56"/>
  <c r="BY331" i="56"/>
  <c r="BY363" i="56"/>
  <c r="BY166" i="56"/>
  <c r="BY38" i="56"/>
  <c r="BY262" i="56"/>
  <c r="BY45" i="56"/>
  <c r="BY384" i="56"/>
  <c r="BY326" i="56"/>
  <c r="BY164" i="56"/>
  <c r="BY300" i="56"/>
  <c r="BY230" i="56"/>
  <c r="BY174" i="56"/>
  <c r="BY122" i="56"/>
  <c r="BY84" i="56"/>
  <c r="BY49" i="56"/>
  <c r="BY19" i="56"/>
  <c r="BY226" i="56"/>
  <c r="BY278" i="56"/>
  <c r="BY316" i="56"/>
  <c r="BY354" i="56"/>
  <c r="BY25" i="56"/>
  <c r="BY56" i="56"/>
  <c r="BY168" i="56"/>
  <c r="BY334" i="56"/>
  <c r="BY93" i="56"/>
  <c r="BY125" i="56"/>
  <c r="BY157" i="56"/>
  <c r="BY189" i="56"/>
  <c r="BY296" i="56"/>
  <c r="BY211" i="56"/>
  <c r="BY243" i="56"/>
  <c r="BY275" i="56"/>
  <c r="BY307" i="56"/>
  <c r="BY339" i="56"/>
  <c r="BY356" i="56"/>
  <c r="BY114" i="56"/>
  <c r="BY8" i="56"/>
  <c r="BY371" i="56"/>
  <c r="BY132" i="56"/>
  <c r="BY9" i="56"/>
  <c r="BY377" i="56"/>
  <c r="BY330" i="56"/>
  <c r="BY364" i="56"/>
  <c r="BY294" i="56"/>
  <c r="BY210" i="56"/>
  <c r="BY154" i="56"/>
  <c r="BY116" i="56"/>
  <c r="BY78" i="56"/>
  <c r="BY41" i="56"/>
  <c r="BY15" i="56"/>
  <c r="BY246" i="56"/>
  <c r="BY284" i="56"/>
  <c r="BY322" i="56"/>
  <c r="BY10" i="56"/>
  <c r="BY26" i="56"/>
  <c r="BY72" i="56"/>
  <c r="BY206" i="56"/>
  <c r="BY69" i="56"/>
  <c r="BY101" i="56"/>
  <c r="BY133" i="56"/>
  <c r="BY165" i="56"/>
  <c r="BY200" i="56"/>
  <c r="BY328" i="56"/>
  <c r="BY219" i="56"/>
  <c r="BY251" i="56"/>
  <c r="BY283" i="56"/>
  <c r="BY315" i="56"/>
  <c r="BY347" i="56"/>
  <c r="BY274" i="56"/>
  <c r="BY76" i="56"/>
  <c r="BY53" i="56"/>
  <c r="BY387" i="56"/>
  <c r="BY222" i="56"/>
  <c r="BY66" i="56"/>
  <c r="BY393" i="56"/>
  <c r="BY382" i="56"/>
  <c r="AU151" i="56"/>
  <c r="AU147" i="56"/>
  <c r="AU185" i="56"/>
  <c r="AU114" i="56"/>
  <c r="AU308" i="56"/>
  <c r="AU309" i="56"/>
  <c r="AU236" i="56"/>
  <c r="AU232" i="56"/>
  <c r="AU178" i="56"/>
  <c r="AU19" i="56"/>
  <c r="AU37" i="56"/>
  <c r="AU293" i="56"/>
  <c r="AU321" i="56"/>
  <c r="AU317" i="56"/>
  <c r="AU242" i="56"/>
  <c r="AU13" i="56"/>
  <c r="AU116" i="56"/>
  <c r="AU65" i="56"/>
  <c r="AU61" i="56"/>
  <c r="AU50" i="56"/>
  <c r="AU345" i="56"/>
  <c r="AU366" i="56"/>
  <c r="AU350" i="56"/>
  <c r="AU334" i="56"/>
  <c r="AU318" i="56"/>
  <c r="AU302" i="56"/>
  <c r="AU286" i="56"/>
  <c r="AU270" i="56"/>
  <c r="AU254" i="56"/>
  <c r="AU238" i="56"/>
  <c r="AU222" i="56"/>
  <c r="AU206" i="56"/>
  <c r="AU190" i="56"/>
  <c r="AU174" i="56"/>
  <c r="AU158" i="56"/>
  <c r="AU142" i="56"/>
  <c r="AU126" i="56"/>
  <c r="AU110" i="56"/>
  <c r="AU94" i="56"/>
  <c r="AU78" i="56"/>
  <c r="AU62" i="56"/>
  <c r="AU46" i="56"/>
  <c r="AU28" i="56"/>
  <c r="AU355" i="56"/>
  <c r="AU333" i="56"/>
  <c r="AU312" i="56"/>
  <c r="AU291" i="56"/>
  <c r="AU269" i="56"/>
  <c r="AU248" i="56"/>
  <c r="AU227" i="56"/>
  <c r="AU205" i="56"/>
  <c r="AU184" i="56"/>
  <c r="AU163" i="56"/>
  <c r="AU141" i="56"/>
  <c r="AU120" i="56"/>
  <c r="AU99" i="56"/>
  <c r="AU77" i="56"/>
  <c r="AU56" i="56"/>
  <c r="AU35" i="56"/>
  <c r="AU359" i="56"/>
  <c r="AU337" i="56"/>
  <c r="AU316" i="56"/>
  <c r="AU295" i="56"/>
  <c r="AU273" i="56"/>
  <c r="AU252" i="56"/>
  <c r="AU231" i="56"/>
  <c r="AU209" i="56"/>
  <c r="AU188" i="56"/>
  <c r="AU167" i="56"/>
  <c r="AU145" i="56"/>
  <c r="AU124" i="56"/>
  <c r="AU103" i="56"/>
  <c r="AU81" i="56"/>
  <c r="AU60" i="56"/>
  <c r="AU39" i="56"/>
  <c r="AU8" i="56"/>
  <c r="AU325" i="56"/>
  <c r="AU283" i="56"/>
  <c r="AU240" i="56"/>
  <c r="AU197" i="56"/>
  <c r="AU341" i="56"/>
  <c r="AU299" i="56"/>
  <c r="AU256" i="56"/>
  <c r="AU213" i="56"/>
  <c r="AU171" i="56"/>
  <c r="AU128" i="56"/>
  <c r="AU85" i="56"/>
  <c r="AU43" i="56"/>
  <c r="AU73" i="56"/>
  <c r="AU132" i="56"/>
  <c r="AU191" i="56"/>
  <c r="AU276" i="56"/>
  <c r="AU361" i="56"/>
  <c r="AU52" i="56"/>
  <c r="AU111" i="56"/>
  <c r="AU165" i="56"/>
  <c r="AU244" i="56"/>
  <c r="AU329" i="56"/>
  <c r="AU18" i="56"/>
  <c r="AU84" i="56"/>
  <c r="AU143" i="56"/>
  <c r="AU207" i="56"/>
  <c r="AU292" i="56"/>
  <c r="AU29" i="56"/>
  <c r="AU27" i="56"/>
  <c r="AU11" i="56"/>
  <c r="AU362" i="56"/>
  <c r="AU346" i="56"/>
  <c r="AU330" i="56"/>
  <c r="AU314" i="56"/>
  <c r="AU298" i="56"/>
  <c r="AU282" i="56"/>
  <c r="AU266" i="56"/>
  <c r="AU250" i="56"/>
  <c r="AU234" i="56"/>
  <c r="AU218" i="56"/>
  <c r="AU202" i="56"/>
  <c r="AU186" i="56"/>
  <c r="AU170" i="56"/>
  <c r="AU154" i="56"/>
  <c r="AU138" i="56"/>
  <c r="AU122" i="56"/>
  <c r="AU106" i="56"/>
  <c r="AU90" i="56"/>
  <c r="AU74" i="56"/>
  <c r="AU58" i="56"/>
  <c r="AU42" i="56"/>
  <c r="AU23" i="56"/>
  <c r="AU349" i="56"/>
  <c r="AU328" i="56"/>
  <c r="AU307" i="56"/>
  <c r="AU285" i="56"/>
  <c r="AU264" i="56"/>
  <c r="AU243" i="56"/>
  <c r="AU221" i="56"/>
  <c r="AU200" i="56"/>
  <c r="AU179" i="56"/>
  <c r="AU157" i="56"/>
  <c r="AU136" i="56"/>
  <c r="AU115" i="56"/>
  <c r="AU93" i="56"/>
  <c r="AU72" i="56"/>
  <c r="AU51" i="56"/>
  <c r="AU21" i="56"/>
  <c r="AU353" i="56"/>
  <c r="AU332" i="56"/>
  <c r="AU311" i="56"/>
  <c r="AU289" i="56"/>
  <c r="AU268" i="56"/>
  <c r="AU247" i="56"/>
  <c r="AU225" i="56"/>
  <c r="AU204" i="56"/>
  <c r="AU183" i="56"/>
  <c r="AU161" i="56"/>
  <c r="AU140" i="56"/>
  <c r="AU119" i="56"/>
  <c r="AU97" i="56"/>
  <c r="AU76" i="56"/>
  <c r="AU55" i="56"/>
  <c r="AU33" i="56"/>
  <c r="AU357" i="56"/>
  <c r="AU315" i="56"/>
  <c r="AU272" i="56"/>
  <c r="AU229" i="56"/>
  <c r="AU187" i="56"/>
  <c r="AU331" i="56"/>
  <c r="AU288" i="56"/>
  <c r="AU245" i="56"/>
  <c r="AU203" i="56"/>
  <c r="AU160" i="56"/>
  <c r="AU117" i="56"/>
  <c r="AU75" i="56"/>
  <c r="AU32" i="56"/>
  <c r="AU89" i="56"/>
  <c r="AU144" i="56"/>
  <c r="AU212" i="56"/>
  <c r="AU297" i="56"/>
  <c r="AU22" i="56"/>
  <c r="AU68" i="56"/>
  <c r="AU123" i="56"/>
  <c r="AU180" i="56"/>
  <c r="AU265" i="56"/>
  <c r="AU351" i="56"/>
  <c r="AU41" i="56"/>
  <c r="AU100" i="56"/>
  <c r="AU155" i="56"/>
  <c r="AU228" i="56"/>
  <c r="AU313" i="56"/>
  <c r="AU12" i="56"/>
  <c r="AU358" i="56"/>
  <c r="AU342" i="56"/>
  <c r="AU326" i="56"/>
  <c r="AU310" i="56"/>
  <c r="AU294" i="56"/>
  <c r="AU278" i="56"/>
  <c r="AU262" i="56"/>
  <c r="AU246" i="56"/>
  <c r="AU230" i="56"/>
  <c r="AU214" i="56"/>
  <c r="AU198" i="56"/>
  <c r="AU182" i="56"/>
  <c r="AU166" i="56"/>
  <c r="AU150" i="56"/>
  <c r="AU134" i="56"/>
  <c r="AU118" i="56"/>
  <c r="AU102" i="56"/>
  <c r="AU86" i="56"/>
  <c r="AU70" i="56"/>
  <c r="AU54" i="56"/>
  <c r="AU38" i="56"/>
  <c r="AU365" i="56"/>
  <c r="AU344" i="56"/>
  <c r="AU323" i="56"/>
  <c r="AU301" i="56"/>
  <c r="AU280" i="56"/>
  <c r="AU259" i="56"/>
  <c r="AU237" i="56"/>
  <c r="AU216" i="56"/>
  <c r="AU195" i="56"/>
  <c r="AU173" i="56"/>
  <c r="AU152" i="56"/>
  <c r="AU131" i="56"/>
  <c r="AU109" i="56"/>
  <c r="AU88" i="56"/>
  <c r="AU67" i="56"/>
  <c r="AU45" i="56"/>
  <c r="AU9" i="56"/>
  <c r="AU348" i="56"/>
  <c r="AU327" i="56"/>
  <c r="AU305" i="56"/>
  <c r="AU284" i="56"/>
  <c r="AU263" i="56"/>
  <c r="AU241" i="56"/>
  <c r="AU220" i="56"/>
  <c r="AU199" i="56"/>
  <c r="AU177" i="56"/>
  <c r="AU156" i="56"/>
  <c r="AU135" i="56"/>
  <c r="AU113" i="56"/>
  <c r="AU92" i="56"/>
  <c r="AU71" i="56"/>
  <c r="AU49" i="56"/>
  <c r="AU30" i="56"/>
  <c r="AU347" i="56"/>
  <c r="AU304" i="56"/>
  <c r="AU261" i="56"/>
  <c r="AU219" i="56"/>
  <c r="AU363" i="56"/>
  <c r="AU320" i="56"/>
  <c r="AU277" i="56"/>
  <c r="AU235" i="56"/>
  <c r="AU192" i="56"/>
  <c r="AU149" i="56"/>
  <c r="AU107" i="56"/>
  <c r="AU64" i="56"/>
  <c r="AU47" i="56"/>
  <c r="AU101" i="56"/>
  <c r="AU159" i="56"/>
  <c r="AU233" i="56"/>
  <c r="AU319" i="56"/>
  <c r="AU26" i="56"/>
  <c r="AU80" i="56"/>
  <c r="AU137" i="56"/>
  <c r="AU201" i="56"/>
  <c r="AU287" i="56"/>
  <c r="AU10" i="56"/>
  <c r="AU57" i="56"/>
  <c r="AU112" i="56"/>
  <c r="AU169" i="56"/>
  <c r="AU249" i="56"/>
  <c r="AU335" i="56"/>
  <c r="AU16" i="56"/>
  <c r="AU17" i="56"/>
  <c r="AU15" i="56"/>
  <c r="AU20" i="56"/>
  <c r="AU127" i="56"/>
  <c r="AU223" i="56"/>
  <c r="AU340" i="56"/>
  <c r="AU59" i="56"/>
  <c r="AU181" i="56"/>
  <c r="AU352" i="56"/>
  <c r="AU336" i="56"/>
  <c r="AU87" i="56"/>
  <c r="AU172" i="56"/>
  <c r="AU257" i="56"/>
  <c r="AU343" i="56"/>
  <c r="AU83" i="56"/>
  <c r="AU168" i="56"/>
  <c r="AU253" i="56"/>
  <c r="AU339" i="56"/>
  <c r="AU66" i="56"/>
  <c r="AU130" i="56"/>
  <c r="AU194" i="56"/>
  <c r="AU258" i="56"/>
  <c r="AU322" i="56"/>
  <c r="AU31" i="56"/>
  <c r="AU356" i="56"/>
  <c r="AU69" i="56"/>
  <c r="AU153" i="56"/>
  <c r="AU255" i="56"/>
  <c r="AU53" i="56"/>
  <c r="AU224" i="56"/>
  <c r="AU208" i="56"/>
  <c r="AU24" i="56"/>
  <c r="AU108" i="56"/>
  <c r="AU193" i="56"/>
  <c r="AU279" i="56"/>
  <c r="AU364" i="56"/>
  <c r="AU104" i="56"/>
  <c r="AU189" i="56"/>
  <c r="AU275" i="56"/>
  <c r="AU360" i="56"/>
  <c r="AU82" i="56"/>
  <c r="AU146" i="56"/>
  <c r="AU210" i="56"/>
  <c r="AU274" i="56"/>
  <c r="AU338" i="56"/>
  <c r="AU25" i="56"/>
  <c r="AU271" i="56"/>
  <c r="AU14" i="56"/>
  <c r="AU95" i="56"/>
  <c r="AU175" i="56"/>
  <c r="AU96" i="56"/>
  <c r="AU267" i="56"/>
  <c r="AU251" i="56"/>
  <c r="AU44" i="56"/>
  <c r="AU129" i="56"/>
  <c r="AU215" i="56"/>
  <c r="AU300" i="56"/>
  <c r="AU40" i="56"/>
  <c r="AU125" i="56"/>
  <c r="AU211" i="56"/>
  <c r="AU296" i="56"/>
  <c r="AU34" i="56"/>
  <c r="AU98" i="56"/>
  <c r="AU162" i="56"/>
  <c r="AU226" i="56"/>
  <c r="AU290" i="56"/>
  <c r="AU354" i="56"/>
  <c r="AF51" i="56"/>
  <c r="AG51" i="56"/>
  <c r="AF70" i="56"/>
  <c r="AG70" i="56"/>
  <c r="AF154" i="56"/>
  <c r="AG154" i="56"/>
  <c r="AL14" i="56"/>
  <c r="AM14" i="56"/>
  <c r="CE18" i="56"/>
  <c r="AL61" i="56"/>
  <c r="AM61" i="56"/>
  <c r="AL81" i="56"/>
  <c r="AM81" i="56"/>
  <c r="AF83" i="56"/>
  <c r="AG83" i="56"/>
  <c r="AX83" i="56"/>
  <c r="AY83" i="56"/>
  <c r="AF278" i="56"/>
  <c r="AG278" i="56"/>
  <c r="AF201" i="56"/>
  <c r="AG201" i="56"/>
  <c r="AF175" i="56"/>
  <c r="AG175" i="56"/>
  <c r="AF235" i="56"/>
  <c r="AG235" i="56"/>
  <c r="AL18" i="56"/>
  <c r="AM18" i="56"/>
  <c r="BD13" i="56"/>
  <c r="BE13" i="56"/>
  <c r="AX61" i="56"/>
  <c r="AY61" i="56"/>
  <c r="AL70" i="56"/>
  <c r="AM70" i="56"/>
  <c r="BD188" i="56"/>
  <c r="BE188" i="56"/>
  <c r="AL271" i="56"/>
  <c r="AM271" i="56"/>
  <c r="CB12" i="56"/>
  <c r="CC12" i="56"/>
  <c r="CE14" i="56"/>
  <c r="CB20" i="56"/>
  <c r="CC20" i="56"/>
  <c r="DC18" i="56"/>
  <c r="AX109" i="56"/>
  <c r="AY109" i="56"/>
  <c r="AL109" i="56"/>
  <c r="AM109" i="56"/>
  <c r="AF111" i="56"/>
  <c r="AG111" i="56"/>
  <c r="AR179" i="56"/>
  <c r="BD179" i="56"/>
  <c r="BE179" i="56"/>
  <c r="AR148" i="56"/>
  <c r="AF130" i="56"/>
  <c r="AG130" i="56"/>
  <c r="AF59" i="56"/>
  <c r="AG59" i="56"/>
  <c r="AF14" i="56"/>
  <c r="AG14" i="56"/>
  <c r="AI14" i="56"/>
  <c r="AF85" i="56"/>
  <c r="AG85" i="56"/>
  <c r="AL87" i="56"/>
  <c r="AM87" i="56"/>
  <c r="AF284" i="56"/>
  <c r="AG284" i="56"/>
  <c r="AO17" i="56"/>
  <c r="CE15" i="56"/>
  <c r="CE19" i="56"/>
  <c r="AF353" i="56"/>
  <c r="AG353" i="56"/>
  <c r="AF239" i="56"/>
  <c r="AG239" i="56"/>
  <c r="AL383" i="56"/>
  <c r="AM383" i="56"/>
  <c r="CZ20" i="56"/>
  <c r="DA20" i="56"/>
  <c r="BD60" i="56"/>
  <c r="BE60" i="56"/>
  <c r="AF60" i="56"/>
  <c r="AG60" i="56"/>
  <c r="AX41" i="56"/>
  <c r="AY41" i="56"/>
  <c r="AR41" i="56"/>
  <c r="AS41" i="56"/>
  <c r="BV49" i="56"/>
  <c r="AX49" i="56"/>
  <c r="AY49" i="56"/>
  <c r="AF49" i="56"/>
  <c r="AG49" i="56"/>
  <c r="AR49" i="56"/>
  <c r="AS49" i="56"/>
  <c r="AX56" i="56"/>
  <c r="AY56" i="56"/>
  <c r="AF56" i="56"/>
  <c r="AG56" i="56"/>
  <c r="AL56" i="56"/>
  <c r="AM56" i="56"/>
  <c r="BP71" i="56"/>
  <c r="BQ71" i="56"/>
  <c r="AL71" i="56"/>
  <c r="AM71" i="56"/>
  <c r="AF71" i="56"/>
  <c r="AG71" i="56"/>
  <c r="BV73" i="56"/>
  <c r="BD73" i="56"/>
  <c r="BE73" i="56"/>
  <c r="AR73" i="56"/>
  <c r="AL82" i="56"/>
  <c r="AM82" i="56"/>
  <c r="AX82" i="56"/>
  <c r="AY82" i="56"/>
  <c r="AF82" i="56"/>
  <c r="AG82" i="56"/>
  <c r="BD89" i="56"/>
  <c r="BE89" i="56"/>
  <c r="AX89" i="56"/>
  <c r="AY89" i="56"/>
  <c r="AL89" i="56"/>
  <c r="AM89" i="56"/>
  <c r="AR89" i="56"/>
  <c r="AL91" i="56"/>
  <c r="AM91" i="56"/>
  <c r="BD91" i="56"/>
  <c r="BE91" i="56"/>
  <c r="AF91" i="56"/>
  <c r="AG91" i="56"/>
  <c r="BP93" i="56"/>
  <c r="BQ93" i="56"/>
  <c r="BD93" i="56"/>
  <c r="BE93" i="56"/>
  <c r="AR93" i="56"/>
  <c r="AF93" i="56"/>
  <c r="AG93" i="56"/>
  <c r="AX93" i="56"/>
  <c r="AY93" i="56"/>
  <c r="AF116" i="56"/>
  <c r="AG116" i="56"/>
  <c r="BD116" i="56"/>
  <c r="BE116" i="56"/>
  <c r="AR118" i="56"/>
  <c r="AF118" i="56"/>
  <c r="AG118" i="56"/>
  <c r="AX118" i="56"/>
  <c r="AY118" i="56"/>
  <c r="AL118" i="56"/>
  <c r="AM118" i="56"/>
  <c r="AF120" i="56"/>
  <c r="AG120" i="56"/>
  <c r="BD120" i="56"/>
  <c r="BE120" i="56"/>
  <c r="AX122" i="56"/>
  <c r="AY122" i="56"/>
  <c r="AF122" i="56"/>
  <c r="AG122" i="56"/>
  <c r="AR122" i="56"/>
  <c r="AX124" i="56"/>
  <c r="AY124" i="56"/>
  <c r="AR129" i="56"/>
  <c r="AX129" i="56"/>
  <c r="AY129" i="56"/>
  <c r="AX91" i="56"/>
  <c r="AY91" i="56"/>
  <c r="AF12" i="56"/>
  <c r="AG12" i="56"/>
  <c r="AI12" i="56"/>
  <c r="BD38" i="56"/>
  <c r="BE38" i="56"/>
  <c r="AX38" i="56"/>
  <c r="AY38" i="56"/>
  <c r="AL38" i="56"/>
  <c r="AM38" i="56"/>
  <c r="AL113" i="56"/>
  <c r="AM113" i="56"/>
  <c r="AF113" i="56"/>
  <c r="AG113" i="56"/>
  <c r="AF139" i="56"/>
  <c r="AG139" i="56"/>
  <c r="AL139" i="56"/>
  <c r="AM139" i="56"/>
  <c r="AX71" i="56"/>
  <c r="AY71" i="56"/>
  <c r="AR116" i="56"/>
  <c r="BD129" i="56"/>
  <c r="BE129" i="56"/>
  <c r="AX120" i="56"/>
  <c r="AY120" i="56"/>
  <c r="AX116" i="56"/>
  <c r="AY116" i="56"/>
  <c r="AF89" i="56"/>
  <c r="AG89" i="56"/>
  <c r="AX77" i="56"/>
  <c r="AY77" i="56"/>
  <c r="AF77" i="56"/>
  <c r="AG77" i="56"/>
  <c r="AL77" i="56"/>
  <c r="AM77" i="56"/>
  <c r="BD131" i="56"/>
  <c r="BE131" i="56"/>
  <c r="AF131" i="56"/>
  <c r="AG131" i="56"/>
  <c r="AX131" i="56"/>
  <c r="AY131" i="56"/>
  <c r="BD134" i="56"/>
  <c r="BE134" i="56"/>
  <c r="AX134" i="56"/>
  <c r="AY134" i="56"/>
  <c r="AR134" i="56"/>
  <c r="AL134" i="56"/>
  <c r="AM134" i="56"/>
  <c r="BD71" i="56"/>
  <c r="BE71" i="56"/>
  <c r="AR60" i="56"/>
  <c r="AS60" i="56"/>
  <c r="BD49" i="56"/>
  <c r="BE49" i="56"/>
  <c r="BD56" i="56"/>
  <c r="BE56" i="56"/>
  <c r="AF129" i="56"/>
  <c r="AG129" i="56"/>
  <c r="AI17" i="56"/>
  <c r="AF17" i="56"/>
  <c r="AG17" i="56"/>
  <c r="BD102" i="56"/>
  <c r="BE102" i="56"/>
  <c r="AR102" i="56"/>
  <c r="AX110" i="56"/>
  <c r="AY110" i="56"/>
  <c r="BD110" i="56"/>
  <c r="BE110" i="56"/>
  <c r="AL110" i="56"/>
  <c r="AM110" i="56"/>
  <c r="AR147" i="56"/>
  <c r="AF143" i="56"/>
  <c r="AG143" i="56"/>
  <c r="BD143" i="56"/>
  <c r="BE143" i="56"/>
  <c r="AR351" i="56"/>
  <c r="BD351" i="56"/>
  <c r="BE351" i="56"/>
  <c r="AF218" i="56"/>
  <c r="AG218" i="56"/>
  <c r="BV81" i="56"/>
  <c r="AL16" i="56"/>
  <c r="AM16" i="56"/>
  <c r="AL201" i="56"/>
  <c r="AM201" i="56"/>
  <c r="AX138" i="56"/>
  <c r="AY138" i="56"/>
  <c r="AX171" i="56"/>
  <c r="AY171" i="56"/>
  <c r="AR154" i="56"/>
  <c r="AL280" i="56"/>
  <c r="AM280" i="56"/>
  <c r="AR253" i="56"/>
  <c r="AX231" i="56"/>
  <c r="AY231" i="56"/>
  <c r="AX218" i="56"/>
  <c r="AY218" i="56"/>
  <c r="AX203" i="56"/>
  <c r="AY203" i="56"/>
  <c r="BD181" i="56"/>
  <c r="BE181" i="56"/>
  <c r="AL351" i="56"/>
  <c r="AM351" i="56"/>
  <c r="AX321" i="56"/>
  <c r="AY321" i="56"/>
  <c r="AF321" i="56"/>
  <c r="AG321" i="56"/>
  <c r="AF15" i="56"/>
  <c r="AG15" i="56"/>
  <c r="AR80" i="56"/>
  <c r="BP88" i="56"/>
  <c r="BQ88" i="56"/>
  <c r="AX90" i="56"/>
  <c r="AY90" i="56"/>
  <c r="AX94" i="56"/>
  <c r="AY94" i="56"/>
  <c r="BP109" i="56"/>
  <c r="BQ109" i="56"/>
  <c r="AL111" i="56"/>
  <c r="AM111" i="56"/>
  <c r="BV117" i="56"/>
  <c r="AL132" i="56"/>
  <c r="AM132" i="56"/>
  <c r="AL150" i="56"/>
  <c r="AM150" i="56"/>
  <c r="AL204" i="56"/>
  <c r="AM204" i="56"/>
  <c r="AF273" i="56"/>
  <c r="AG273" i="56"/>
  <c r="BD147" i="56"/>
  <c r="BE147" i="56"/>
  <c r="AX143" i="56"/>
  <c r="AY143" i="56"/>
  <c r="AF357" i="56"/>
  <c r="AG357" i="56"/>
  <c r="AF259" i="56"/>
  <c r="AG259" i="56"/>
  <c r="AX320" i="56"/>
  <c r="AY320" i="56"/>
  <c r="AR107" i="56"/>
  <c r="CE13" i="56"/>
  <c r="CE17" i="56"/>
  <c r="CZ212" i="56"/>
  <c r="DA212" i="56"/>
  <c r="CT212" i="56"/>
  <c r="CU212" i="56"/>
  <c r="CN212" i="56"/>
  <c r="CH212" i="56"/>
  <c r="CI212" i="56"/>
  <c r="BV212" i="56"/>
  <c r="CB212" i="56"/>
  <c r="CC212" i="56"/>
  <c r="BP212" i="56"/>
  <c r="BQ212" i="56"/>
  <c r="AR212" i="56"/>
  <c r="AL212" i="56"/>
  <c r="AM212" i="56"/>
  <c r="AF212" i="56"/>
  <c r="AG212" i="56"/>
  <c r="CZ219" i="56"/>
  <c r="DA219" i="56"/>
  <c r="CT219" i="56"/>
  <c r="CU219" i="56"/>
  <c r="CN219" i="56"/>
  <c r="CH219" i="56"/>
  <c r="CI219" i="56"/>
  <c r="CB219" i="56"/>
  <c r="CC219" i="56"/>
  <c r="BV219" i="56"/>
  <c r="BP219" i="56"/>
  <c r="BQ219" i="56"/>
  <c r="AR219" i="56"/>
  <c r="AF219" i="56"/>
  <c r="AG219" i="56"/>
  <c r="CZ262" i="56"/>
  <c r="DA262" i="56"/>
  <c r="CT262" i="56"/>
  <c r="CU262" i="56"/>
  <c r="CN262" i="56"/>
  <c r="CH262" i="56"/>
  <c r="CI262" i="56"/>
  <c r="CB262" i="56"/>
  <c r="CC262" i="56"/>
  <c r="BP262" i="56"/>
  <c r="BQ262" i="56"/>
  <c r="BV262" i="56"/>
  <c r="AX262" i="56"/>
  <c r="AY262" i="56"/>
  <c r="AF262" i="56"/>
  <c r="AG262" i="56"/>
  <c r="CZ377" i="56"/>
  <c r="DA377" i="56"/>
  <c r="CT377" i="56"/>
  <c r="CU377" i="56"/>
  <c r="CN377" i="56"/>
  <c r="CH377" i="56"/>
  <c r="CI377" i="56"/>
  <c r="CB377" i="56"/>
  <c r="CC377" i="56"/>
  <c r="BV377" i="56"/>
  <c r="BP377" i="56"/>
  <c r="BQ377" i="56"/>
  <c r="CZ62" i="56"/>
  <c r="DA62" i="56"/>
  <c r="CT62" i="56"/>
  <c r="CU62" i="56"/>
  <c r="CN62" i="56"/>
  <c r="CH62" i="56"/>
  <c r="CI62" i="56"/>
  <c r="CB62" i="56"/>
  <c r="CC62" i="56"/>
  <c r="BV62" i="56"/>
  <c r="BD62" i="56"/>
  <c r="BE62" i="56"/>
  <c r="AI19" i="56"/>
  <c r="AF19" i="56"/>
  <c r="AG19" i="56"/>
  <c r="CZ24" i="56"/>
  <c r="DA24" i="56"/>
  <c r="CT24" i="56"/>
  <c r="CU24" i="56"/>
  <c r="CH24" i="56"/>
  <c r="CI24" i="56"/>
  <c r="CB24" i="56"/>
  <c r="CC24" i="56"/>
  <c r="AF24" i="56"/>
  <c r="AG24" i="56"/>
  <c r="BD24" i="56"/>
  <c r="BE24" i="56"/>
  <c r="CZ47" i="56"/>
  <c r="DA47" i="56"/>
  <c r="CT47" i="56"/>
  <c r="CU47" i="56"/>
  <c r="CN47" i="56"/>
  <c r="CB47" i="56"/>
  <c r="CC47" i="56"/>
  <c r="BV47" i="56"/>
  <c r="CH47" i="56"/>
  <c r="CI47" i="56"/>
  <c r="BD47" i="56"/>
  <c r="BE47" i="56"/>
  <c r="BP47" i="56"/>
  <c r="BQ47" i="56"/>
  <c r="CZ50" i="56"/>
  <c r="DA50" i="56"/>
  <c r="CT50" i="56"/>
  <c r="CU50" i="56"/>
  <c r="CN50" i="56"/>
  <c r="CH50" i="56"/>
  <c r="CI50" i="56"/>
  <c r="CB50" i="56"/>
  <c r="CC50" i="56"/>
  <c r="BV50" i="56"/>
  <c r="BP50" i="56"/>
  <c r="BQ50" i="56"/>
  <c r="AR50" i="56"/>
  <c r="AS50" i="56"/>
  <c r="AX50" i="56"/>
  <c r="AY50" i="56"/>
  <c r="CZ128" i="56"/>
  <c r="DA128" i="56"/>
  <c r="CN128" i="56"/>
  <c r="CT128" i="56"/>
  <c r="CU128" i="56"/>
  <c r="CH128" i="56"/>
  <c r="CI128" i="56"/>
  <c r="CB128" i="56"/>
  <c r="CC128" i="56"/>
  <c r="BP128" i="56"/>
  <c r="BQ128" i="56"/>
  <c r="BV128" i="56"/>
  <c r="BD128" i="56"/>
  <c r="BE128" i="56"/>
  <c r="AL128" i="56"/>
  <c r="AM128" i="56"/>
  <c r="CZ133" i="56"/>
  <c r="DA133" i="56"/>
  <c r="CN133" i="56"/>
  <c r="CT133" i="56"/>
  <c r="CU133" i="56"/>
  <c r="CH133" i="56"/>
  <c r="CI133" i="56"/>
  <c r="CB133" i="56"/>
  <c r="CC133" i="56"/>
  <c r="BP133" i="56"/>
  <c r="BQ133" i="56"/>
  <c r="BV133" i="56"/>
  <c r="CZ205" i="56"/>
  <c r="DA205" i="56"/>
  <c r="CN205" i="56"/>
  <c r="CT205" i="56"/>
  <c r="CU205" i="56"/>
  <c r="CH205" i="56"/>
  <c r="CI205" i="56"/>
  <c r="CB205" i="56"/>
  <c r="CC205" i="56"/>
  <c r="BP205" i="56"/>
  <c r="BQ205" i="56"/>
  <c r="BV205" i="56"/>
  <c r="AF205" i="56"/>
  <c r="AG205" i="56"/>
  <c r="CZ298" i="56"/>
  <c r="DA298" i="56"/>
  <c r="CT298" i="56"/>
  <c r="CU298" i="56"/>
  <c r="CN298" i="56"/>
  <c r="CH298" i="56"/>
  <c r="CI298" i="56"/>
  <c r="CB298" i="56"/>
  <c r="CC298" i="56"/>
  <c r="BP298" i="56"/>
  <c r="BQ298" i="56"/>
  <c r="AF298" i="56"/>
  <c r="AG298" i="56"/>
  <c r="AL298" i="56"/>
  <c r="AM298" i="56"/>
  <c r="BV298" i="56"/>
  <c r="CZ344" i="56"/>
  <c r="DA344" i="56"/>
  <c r="CT344" i="56"/>
  <c r="CU344" i="56"/>
  <c r="CN344" i="56"/>
  <c r="CH344" i="56"/>
  <c r="CI344" i="56"/>
  <c r="CB344" i="56"/>
  <c r="CC344" i="56"/>
  <c r="BV344" i="56"/>
  <c r="BP344" i="56"/>
  <c r="BQ344" i="56"/>
  <c r="AR344" i="56"/>
  <c r="AF344" i="56"/>
  <c r="AG344" i="56"/>
  <c r="CZ350" i="56"/>
  <c r="DA350" i="56"/>
  <c r="CT350" i="56"/>
  <c r="CU350" i="56"/>
  <c r="CN350" i="56"/>
  <c r="CH350" i="56"/>
  <c r="CI350" i="56"/>
  <c r="CB350" i="56"/>
  <c r="CC350" i="56"/>
  <c r="BV350" i="56"/>
  <c r="BP350" i="56"/>
  <c r="BQ350" i="56"/>
  <c r="AL15" i="56"/>
  <c r="AM15" i="56"/>
  <c r="AO15" i="56"/>
  <c r="BG14" i="56"/>
  <c r="BD14" i="56"/>
  <c r="BE14" i="56"/>
  <c r="CZ100" i="56"/>
  <c r="DA100" i="56"/>
  <c r="CT100" i="56"/>
  <c r="CU100" i="56"/>
  <c r="CN100" i="56"/>
  <c r="CH100" i="56"/>
  <c r="CI100" i="56"/>
  <c r="CB100" i="56"/>
  <c r="CC100" i="56"/>
  <c r="BV100" i="56"/>
  <c r="AL100" i="56"/>
  <c r="AM100" i="56"/>
  <c r="BD100" i="56"/>
  <c r="BE100" i="56"/>
  <c r="AR100" i="56"/>
  <c r="BP100" i="56"/>
  <c r="BQ100" i="56"/>
  <c r="AF100" i="56"/>
  <c r="AG100" i="56"/>
  <c r="AX100" i="56"/>
  <c r="AY100" i="56"/>
  <c r="CZ102" i="56"/>
  <c r="DA102" i="56"/>
  <c r="CT102" i="56"/>
  <c r="CU102" i="56"/>
  <c r="CN102" i="56"/>
  <c r="CH102" i="56"/>
  <c r="CI102" i="56"/>
  <c r="CB102" i="56"/>
  <c r="CC102" i="56"/>
  <c r="BP102" i="56"/>
  <c r="BQ102" i="56"/>
  <c r="BV102" i="56"/>
  <c r="AL102" i="56"/>
  <c r="AM102" i="56"/>
  <c r="AX102" i="56"/>
  <c r="AY102" i="56"/>
  <c r="AF102" i="56"/>
  <c r="AG102" i="56"/>
  <c r="CZ199" i="56"/>
  <c r="DA199" i="56"/>
  <c r="CT199" i="56"/>
  <c r="CU199" i="56"/>
  <c r="CH199" i="56"/>
  <c r="CI199" i="56"/>
  <c r="CN199" i="56"/>
  <c r="CB199" i="56"/>
  <c r="CC199" i="56"/>
  <c r="BV199" i="56"/>
  <c r="BP199" i="56"/>
  <c r="BQ199" i="56"/>
  <c r="BD199" i="56"/>
  <c r="BE199" i="56"/>
  <c r="AL199" i="56"/>
  <c r="AM199" i="56"/>
  <c r="AR199" i="56"/>
  <c r="CZ254" i="56"/>
  <c r="DA254" i="56"/>
  <c r="CT254" i="56"/>
  <c r="CU254" i="56"/>
  <c r="CN254" i="56"/>
  <c r="CH254" i="56"/>
  <c r="CI254" i="56"/>
  <c r="CB254" i="56"/>
  <c r="CC254" i="56"/>
  <c r="BP254" i="56"/>
  <c r="BQ254" i="56"/>
  <c r="BV254" i="56"/>
  <c r="CZ293" i="56"/>
  <c r="DA293" i="56"/>
  <c r="CT293" i="56"/>
  <c r="CU293" i="56"/>
  <c r="CN293" i="56"/>
  <c r="CH293" i="56"/>
  <c r="CI293" i="56"/>
  <c r="CB293" i="56"/>
  <c r="CC293" i="56"/>
  <c r="BV293" i="56"/>
  <c r="BP293" i="56"/>
  <c r="BQ293" i="56"/>
  <c r="AF293" i="56"/>
  <c r="AG293" i="56"/>
  <c r="CZ331" i="56"/>
  <c r="DA331" i="56"/>
  <c r="CT331" i="56"/>
  <c r="CU331" i="56"/>
  <c r="CN331" i="56"/>
  <c r="CH331" i="56"/>
  <c r="CI331" i="56"/>
  <c r="CB331" i="56"/>
  <c r="CC331" i="56"/>
  <c r="BV331" i="56"/>
  <c r="BP331" i="56"/>
  <c r="BQ331" i="56"/>
  <c r="AR331" i="56"/>
  <c r="BP62" i="56"/>
  <c r="BQ62" i="56"/>
  <c r="CZ64" i="56"/>
  <c r="DA64" i="56"/>
  <c r="CT64" i="56"/>
  <c r="CU64" i="56"/>
  <c r="CN64" i="56"/>
  <c r="CH64" i="56"/>
  <c r="CI64" i="56"/>
  <c r="CB64" i="56"/>
  <c r="CC64" i="56"/>
  <c r="BV64" i="56"/>
  <c r="BP64" i="56"/>
  <c r="BQ64" i="56"/>
  <c r="BD64" i="56"/>
  <c r="BE64" i="56"/>
  <c r="AL64" i="56"/>
  <c r="AM64" i="56"/>
  <c r="AF64" i="56"/>
  <c r="AG64" i="56"/>
  <c r="AR64" i="56"/>
  <c r="AS64" i="56"/>
  <c r="CZ57" i="56"/>
  <c r="DA57" i="56"/>
  <c r="CN57" i="56"/>
  <c r="CT57" i="56"/>
  <c r="CU57" i="56"/>
  <c r="CH57" i="56"/>
  <c r="CI57" i="56"/>
  <c r="CB57" i="56"/>
  <c r="CC57" i="56"/>
  <c r="AX57" i="56"/>
  <c r="AY57" i="56"/>
  <c r="BV57" i="56"/>
  <c r="BP57" i="56"/>
  <c r="BQ57" i="56"/>
  <c r="CZ68" i="56"/>
  <c r="DA68" i="56"/>
  <c r="CT68" i="56"/>
  <c r="CU68" i="56"/>
  <c r="CN68" i="56"/>
  <c r="CH68" i="56"/>
  <c r="CI68" i="56"/>
  <c r="CB68" i="56"/>
  <c r="CC68" i="56"/>
  <c r="BV68" i="56"/>
  <c r="BP68" i="56"/>
  <c r="BQ68" i="56"/>
  <c r="AX68" i="56"/>
  <c r="AY68" i="56"/>
  <c r="CZ182" i="56"/>
  <c r="DA182" i="56"/>
  <c r="CT182" i="56"/>
  <c r="CU182" i="56"/>
  <c r="CN182" i="56"/>
  <c r="CH182" i="56"/>
  <c r="CI182" i="56"/>
  <c r="CB182" i="56"/>
  <c r="CC182" i="56"/>
  <c r="BV182" i="56"/>
  <c r="BP182" i="56"/>
  <c r="BQ182" i="56"/>
  <c r="AL182" i="56"/>
  <c r="AM182" i="56"/>
  <c r="CZ222" i="56"/>
  <c r="DA222" i="56"/>
  <c r="CT222" i="56"/>
  <c r="CU222" i="56"/>
  <c r="CN222" i="56"/>
  <c r="CH222" i="56"/>
  <c r="CI222" i="56"/>
  <c r="CB222" i="56"/>
  <c r="CC222" i="56"/>
  <c r="BP222" i="56"/>
  <c r="BQ222" i="56"/>
  <c r="AL222" i="56"/>
  <c r="AM222" i="56"/>
  <c r="BV222" i="56"/>
  <c r="CZ231" i="56"/>
  <c r="DA231" i="56"/>
  <c r="CT231" i="56"/>
  <c r="CU231" i="56"/>
  <c r="CH231" i="56"/>
  <c r="CI231" i="56"/>
  <c r="CN231" i="56"/>
  <c r="CB231" i="56"/>
  <c r="CC231" i="56"/>
  <c r="BV231" i="56"/>
  <c r="BP231" i="56"/>
  <c r="BQ231" i="56"/>
  <c r="AR231" i="56"/>
  <c r="CZ240" i="56"/>
  <c r="DA240" i="56"/>
  <c r="CT240" i="56"/>
  <c r="CU240" i="56"/>
  <c r="CN240" i="56"/>
  <c r="CH240" i="56"/>
  <c r="CI240" i="56"/>
  <c r="BV240" i="56"/>
  <c r="CB240" i="56"/>
  <c r="CC240" i="56"/>
  <c r="BP240" i="56"/>
  <c r="BQ240" i="56"/>
  <c r="AL240" i="56"/>
  <c r="AM240" i="56"/>
  <c r="AF240" i="56"/>
  <c r="AG240" i="56"/>
  <c r="BD240" i="56"/>
  <c r="BE240" i="56"/>
  <c r="CZ244" i="56"/>
  <c r="DA244" i="56"/>
  <c r="CT244" i="56"/>
  <c r="CU244" i="56"/>
  <c r="CN244" i="56"/>
  <c r="CH244" i="56"/>
  <c r="CI244" i="56"/>
  <c r="BV244" i="56"/>
  <c r="CB244" i="56"/>
  <c r="CC244" i="56"/>
  <c r="BP244" i="56"/>
  <c r="BQ244" i="56"/>
  <c r="BD244" i="56"/>
  <c r="BE244" i="56"/>
  <c r="AL244" i="56"/>
  <c r="AM244" i="56"/>
  <c r="AF244" i="56"/>
  <c r="AG244" i="56"/>
  <c r="AX244" i="56"/>
  <c r="AY244" i="56"/>
  <c r="AR244" i="56"/>
  <c r="CZ250" i="56"/>
  <c r="DA250" i="56"/>
  <c r="CT250" i="56"/>
  <c r="CU250" i="56"/>
  <c r="CN250" i="56"/>
  <c r="CH250" i="56"/>
  <c r="CI250" i="56"/>
  <c r="CB250" i="56"/>
  <c r="CC250" i="56"/>
  <c r="BV250" i="56"/>
  <c r="BP250" i="56"/>
  <c r="BQ250" i="56"/>
  <c r="AL250" i="56"/>
  <c r="AM250" i="56"/>
  <c r="AF250" i="56"/>
  <c r="AG250" i="56"/>
  <c r="BD250" i="56"/>
  <c r="BE250" i="56"/>
  <c r="CZ287" i="56"/>
  <c r="DA287" i="56"/>
  <c r="CT287" i="56"/>
  <c r="CU287" i="56"/>
  <c r="CH287" i="56"/>
  <c r="CI287" i="56"/>
  <c r="CN287" i="56"/>
  <c r="CB287" i="56"/>
  <c r="CC287" i="56"/>
  <c r="BV287" i="56"/>
  <c r="BP287" i="56"/>
  <c r="BQ287" i="56"/>
  <c r="AF287" i="56"/>
  <c r="AG287" i="56"/>
  <c r="AR287" i="56"/>
  <c r="CZ304" i="56"/>
  <c r="DA304" i="56"/>
  <c r="CT304" i="56"/>
  <c r="CU304" i="56"/>
  <c r="CN304" i="56"/>
  <c r="CH304" i="56"/>
  <c r="CI304" i="56"/>
  <c r="CB304" i="56"/>
  <c r="CC304" i="56"/>
  <c r="BV304" i="56"/>
  <c r="BP304" i="56"/>
  <c r="BQ304" i="56"/>
  <c r="AL304" i="56"/>
  <c r="AM304" i="56"/>
  <c r="BD304" i="56"/>
  <c r="BE304" i="56"/>
  <c r="AF304" i="56"/>
  <c r="AG304" i="56"/>
  <c r="CZ311" i="56"/>
  <c r="DA311" i="56"/>
  <c r="CT311" i="56"/>
  <c r="CU311" i="56"/>
  <c r="CH311" i="56"/>
  <c r="CI311" i="56"/>
  <c r="CN311" i="56"/>
  <c r="CB311" i="56"/>
  <c r="CC311" i="56"/>
  <c r="BV311" i="56"/>
  <c r="BP311" i="56"/>
  <c r="BQ311" i="56"/>
  <c r="AX311" i="56"/>
  <c r="AY311" i="56"/>
  <c r="AL311" i="56"/>
  <c r="AM311" i="56"/>
  <c r="AR311" i="56"/>
  <c r="BD311" i="56"/>
  <c r="BE311" i="56"/>
  <c r="AF311" i="56"/>
  <c r="AG311" i="56"/>
  <c r="CZ59" i="56"/>
  <c r="DA59" i="56"/>
  <c r="CT59" i="56"/>
  <c r="CU59" i="56"/>
  <c r="CN59" i="56"/>
  <c r="CH59" i="56"/>
  <c r="CI59" i="56"/>
  <c r="CB59" i="56"/>
  <c r="CC59" i="56"/>
  <c r="BV59" i="56"/>
  <c r="BP59" i="56"/>
  <c r="BQ59" i="56"/>
  <c r="CZ29" i="56"/>
  <c r="DA29" i="56"/>
  <c r="CN29" i="56"/>
  <c r="CO29" i="56"/>
  <c r="CT29" i="56"/>
  <c r="CU29" i="56"/>
  <c r="CH29" i="56"/>
  <c r="CI29" i="56"/>
  <c r="CB29" i="56"/>
  <c r="CC29" i="56"/>
  <c r="BV29" i="56"/>
  <c r="BW29" i="56"/>
  <c r="BP29" i="56"/>
  <c r="BQ29" i="56"/>
  <c r="AR29" i="56"/>
  <c r="AS29" i="56"/>
  <c r="CZ38" i="56"/>
  <c r="DA38" i="56"/>
  <c r="CT38" i="56"/>
  <c r="CU38" i="56"/>
  <c r="CN38" i="56"/>
  <c r="CH38" i="56"/>
  <c r="CI38" i="56"/>
  <c r="CB38" i="56"/>
  <c r="CC38" i="56"/>
  <c r="BV38" i="56"/>
  <c r="BP38" i="56"/>
  <c r="BQ38" i="56"/>
  <c r="CZ40" i="56"/>
  <c r="DA40" i="56"/>
  <c r="CT40" i="56"/>
  <c r="CU40" i="56"/>
  <c r="CN40" i="56"/>
  <c r="CH40" i="56"/>
  <c r="CI40" i="56"/>
  <c r="CB40" i="56"/>
  <c r="CC40" i="56"/>
  <c r="BV40" i="56"/>
  <c r="BP40" i="56"/>
  <c r="BQ40" i="56"/>
  <c r="CZ43" i="56"/>
  <c r="DA43" i="56"/>
  <c r="CT43" i="56"/>
  <c r="CU43" i="56"/>
  <c r="CN43" i="56"/>
  <c r="CH43" i="56"/>
  <c r="CI43" i="56"/>
  <c r="CB43" i="56"/>
  <c r="CC43" i="56"/>
  <c r="BV43" i="56"/>
  <c r="BP43" i="56"/>
  <c r="BQ43" i="56"/>
  <c r="CZ53" i="56"/>
  <c r="DA53" i="56"/>
  <c r="CN53" i="56"/>
  <c r="CH53" i="56"/>
  <c r="CI53" i="56"/>
  <c r="CT53" i="56"/>
  <c r="CU53" i="56"/>
  <c r="CB53" i="56"/>
  <c r="CC53" i="56"/>
  <c r="BP53" i="56"/>
  <c r="BQ53" i="56"/>
  <c r="BV53" i="56"/>
  <c r="AL53" i="56"/>
  <c r="AM53" i="56"/>
  <c r="CZ55" i="56"/>
  <c r="DA55" i="56"/>
  <c r="CN55" i="56"/>
  <c r="CT55" i="56"/>
  <c r="CU55" i="56"/>
  <c r="CB55" i="56"/>
  <c r="CC55" i="56"/>
  <c r="CH55" i="56"/>
  <c r="CI55" i="56"/>
  <c r="BV55" i="56"/>
  <c r="BD55" i="56"/>
  <c r="BE55" i="56"/>
  <c r="AX55" i="56"/>
  <c r="AY55" i="56"/>
  <c r="CZ139" i="56"/>
  <c r="DA139" i="56"/>
  <c r="CT139" i="56"/>
  <c r="CU139" i="56"/>
  <c r="CN139" i="56"/>
  <c r="CH139" i="56"/>
  <c r="CI139" i="56"/>
  <c r="CB139" i="56"/>
  <c r="CC139" i="56"/>
  <c r="BV139" i="56"/>
  <c r="BP139" i="56"/>
  <c r="BQ139" i="56"/>
  <c r="CZ142" i="56"/>
  <c r="DA142" i="56"/>
  <c r="CT142" i="56"/>
  <c r="CU142" i="56"/>
  <c r="CN142" i="56"/>
  <c r="CH142" i="56"/>
  <c r="CI142" i="56"/>
  <c r="CB142" i="56"/>
  <c r="CC142" i="56"/>
  <c r="BV142" i="56"/>
  <c r="BP142" i="56"/>
  <c r="BQ142" i="56"/>
  <c r="CZ146" i="56"/>
  <c r="DA146" i="56"/>
  <c r="CT146" i="56"/>
  <c r="CU146" i="56"/>
  <c r="CN146" i="56"/>
  <c r="CH146" i="56"/>
  <c r="CI146" i="56"/>
  <c r="CB146" i="56"/>
  <c r="CC146" i="56"/>
  <c r="BV146" i="56"/>
  <c r="BP146" i="56"/>
  <c r="BQ146" i="56"/>
  <c r="BD146" i="56"/>
  <c r="BE146" i="56"/>
  <c r="CZ149" i="56"/>
  <c r="DA149" i="56"/>
  <c r="CN149" i="56"/>
  <c r="CT149" i="56"/>
  <c r="CU149" i="56"/>
  <c r="CH149" i="56"/>
  <c r="CI149" i="56"/>
  <c r="CB149" i="56"/>
  <c r="CC149" i="56"/>
  <c r="BP149" i="56"/>
  <c r="BQ149" i="56"/>
  <c r="CZ153" i="56"/>
  <c r="DA153" i="56"/>
  <c r="CT153" i="56"/>
  <c r="CU153" i="56"/>
  <c r="CN153" i="56"/>
  <c r="CH153" i="56"/>
  <c r="CI153" i="56"/>
  <c r="CB153" i="56"/>
  <c r="CC153" i="56"/>
  <c r="BP153" i="56"/>
  <c r="BQ153" i="56"/>
  <c r="BV153" i="56"/>
  <c r="AX153" i="56"/>
  <c r="AY153" i="56"/>
  <c r="CZ160" i="56"/>
  <c r="DA160" i="56"/>
  <c r="CT160" i="56"/>
  <c r="CU160" i="56"/>
  <c r="CN160" i="56"/>
  <c r="CH160" i="56"/>
  <c r="CI160" i="56"/>
  <c r="CB160" i="56"/>
  <c r="CC160" i="56"/>
  <c r="BV160" i="56"/>
  <c r="BP160" i="56"/>
  <c r="BQ160" i="56"/>
  <c r="CZ164" i="56"/>
  <c r="DA164" i="56"/>
  <c r="CT164" i="56"/>
  <c r="CU164" i="56"/>
  <c r="CN164" i="56"/>
  <c r="CH164" i="56"/>
  <c r="CI164" i="56"/>
  <c r="CB164" i="56"/>
  <c r="CC164" i="56"/>
  <c r="BV164" i="56"/>
  <c r="BP164" i="56"/>
  <c r="BQ164" i="56"/>
  <c r="CZ170" i="56"/>
  <c r="DA170" i="56"/>
  <c r="CT170" i="56"/>
  <c r="CU170" i="56"/>
  <c r="CN170" i="56"/>
  <c r="CH170" i="56"/>
  <c r="CI170" i="56"/>
  <c r="CB170" i="56"/>
  <c r="CC170" i="56"/>
  <c r="BV170" i="56"/>
  <c r="BP170" i="56"/>
  <c r="BQ170" i="56"/>
  <c r="CZ176" i="56"/>
  <c r="DA176" i="56"/>
  <c r="CT176" i="56"/>
  <c r="CU176" i="56"/>
  <c r="CN176" i="56"/>
  <c r="CH176" i="56"/>
  <c r="CI176" i="56"/>
  <c r="CB176" i="56"/>
  <c r="CC176" i="56"/>
  <c r="BV176" i="56"/>
  <c r="BP176" i="56"/>
  <c r="BQ176" i="56"/>
  <c r="CZ191" i="56"/>
  <c r="DA191" i="56"/>
  <c r="CT191" i="56"/>
  <c r="CU191" i="56"/>
  <c r="CN191" i="56"/>
  <c r="CH191" i="56"/>
  <c r="CI191" i="56"/>
  <c r="CB191" i="56"/>
  <c r="CC191" i="56"/>
  <c r="BV191" i="56"/>
  <c r="BP191" i="56"/>
  <c r="BQ191" i="56"/>
  <c r="AX191" i="56"/>
  <c r="AY191" i="56"/>
  <c r="CZ197" i="56"/>
  <c r="DA197" i="56"/>
  <c r="CN197" i="56"/>
  <c r="CT197" i="56"/>
  <c r="CU197" i="56"/>
  <c r="CH197" i="56"/>
  <c r="CI197" i="56"/>
  <c r="CB197" i="56"/>
  <c r="CC197" i="56"/>
  <c r="BP197" i="56"/>
  <c r="BQ197" i="56"/>
  <c r="BV197" i="56"/>
  <c r="CZ209" i="56"/>
  <c r="DA209" i="56"/>
  <c r="CT209" i="56"/>
  <c r="CU209" i="56"/>
  <c r="CN209" i="56"/>
  <c r="CH209" i="56"/>
  <c r="CI209" i="56"/>
  <c r="BV209" i="56"/>
  <c r="CB209" i="56"/>
  <c r="CC209" i="56"/>
  <c r="BP209" i="56"/>
  <c r="BQ209" i="56"/>
  <c r="AX209" i="56"/>
  <c r="AY209" i="56"/>
  <c r="CZ232" i="56"/>
  <c r="DA232" i="56"/>
  <c r="CT232" i="56"/>
  <c r="CU232" i="56"/>
  <c r="CN232" i="56"/>
  <c r="CH232" i="56"/>
  <c r="CI232" i="56"/>
  <c r="BV232" i="56"/>
  <c r="CB232" i="56"/>
  <c r="CC232" i="56"/>
  <c r="BP232" i="56"/>
  <c r="BQ232" i="56"/>
  <c r="AR232" i="56"/>
  <c r="AL232" i="56"/>
  <c r="AM232" i="56"/>
  <c r="CZ238" i="56"/>
  <c r="DA238" i="56"/>
  <c r="CT238" i="56"/>
  <c r="CU238" i="56"/>
  <c r="CN238" i="56"/>
  <c r="CH238" i="56"/>
  <c r="CI238" i="56"/>
  <c r="CB238" i="56"/>
  <c r="CC238" i="56"/>
  <c r="BV238" i="56"/>
  <c r="BP238" i="56"/>
  <c r="BQ238" i="56"/>
  <c r="AL238" i="56"/>
  <c r="AM238" i="56"/>
  <c r="CZ248" i="56"/>
  <c r="DA248" i="56"/>
  <c r="CT248" i="56"/>
  <c r="CU248" i="56"/>
  <c r="CN248" i="56"/>
  <c r="CH248" i="56"/>
  <c r="CI248" i="56"/>
  <c r="BV248" i="56"/>
  <c r="CB248" i="56"/>
  <c r="CC248" i="56"/>
  <c r="BP248" i="56"/>
  <c r="BQ248" i="56"/>
  <c r="AR248" i="56"/>
  <c r="CZ252" i="56"/>
  <c r="DA252" i="56"/>
  <c r="CT252" i="56"/>
  <c r="CU252" i="56"/>
  <c r="CN252" i="56"/>
  <c r="CH252" i="56"/>
  <c r="CI252" i="56"/>
  <c r="BV252" i="56"/>
  <c r="CB252" i="56"/>
  <c r="CC252" i="56"/>
  <c r="BP252" i="56"/>
  <c r="BQ252" i="56"/>
  <c r="AF252" i="56"/>
  <c r="AG252" i="56"/>
  <c r="AR252" i="56"/>
  <c r="AX252" i="56"/>
  <c r="AY252" i="56"/>
  <c r="CZ260" i="56"/>
  <c r="DA260" i="56"/>
  <c r="CT260" i="56"/>
  <c r="CU260" i="56"/>
  <c r="CN260" i="56"/>
  <c r="CH260" i="56"/>
  <c r="CI260" i="56"/>
  <c r="BV260" i="56"/>
  <c r="CB260" i="56"/>
  <c r="CC260" i="56"/>
  <c r="BP260" i="56"/>
  <c r="BQ260" i="56"/>
  <c r="AR260" i="56"/>
  <c r="CZ266" i="56"/>
  <c r="DA266" i="56"/>
  <c r="CT266" i="56"/>
  <c r="CU266" i="56"/>
  <c r="CN266" i="56"/>
  <c r="CH266" i="56"/>
  <c r="CI266" i="56"/>
  <c r="CB266" i="56"/>
  <c r="CC266" i="56"/>
  <c r="BP266" i="56"/>
  <c r="BQ266" i="56"/>
  <c r="BV266" i="56"/>
  <c r="CZ272" i="56"/>
  <c r="DA272" i="56"/>
  <c r="CT272" i="56"/>
  <c r="CU272" i="56"/>
  <c r="CN272" i="56"/>
  <c r="CH272" i="56"/>
  <c r="CI272" i="56"/>
  <c r="BV272" i="56"/>
  <c r="CB272" i="56"/>
  <c r="CC272" i="56"/>
  <c r="BP272" i="56"/>
  <c r="BQ272" i="56"/>
  <c r="AL272" i="56"/>
  <c r="AM272" i="56"/>
  <c r="CZ279" i="56"/>
  <c r="DA279" i="56"/>
  <c r="CT279" i="56"/>
  <c r="CU279" i="56"/>
  <c r="CN279" i="56"/>
  <c r="CH279" i="56"/>
  <c r="CI279" i="56"/>
  <c r="CB279" i="56"/>
  <c r="CC279" i="56"/>
  <c r="BV279" i="56"/>
  <c r="BP279" i="56"/>
  <c r="BQ279" i="56"/>
  <c r="CZ283" i="56"/>
  <c r="DA283" i="56"/>
  <c r="CT283" i="56"/>
  <c r="CU283" i="56"/>
  <c r="CN283" i="56"/>
  <c r="CH283" i="56"/>
  <c r="CI283" i="56"/>
  <c r="CB283" i="56"/>
  <c r="CC283" i="56"/>
  <c r="BV283" i="56"/>
  <c r="BP283" i="56"/>
  <c r="BQ283" i="56"/>
  <c r="CZ291" i="56"/>
  <c r="DA291" i="56"/>
  <c r="CT291" i="56"/>
  <c r="CU291" i="56"/>
  <c r="CN291" i="56"/>
  <c r="CH291" i="56"/>
  <c r="CI291" i="56"/>
  <c r="CB291" i="56"/>
  <c r="CC291" i="56"/>
  <c r="BV291" i="56"/>
  <c r="BP291" i="56"/>
  <c r="BQ291" i="56"/>
  <c r="CZ296" i="56"/>
  <c r="DA296" i="56"/>
  <c r="CT296" i="56"/>
  <c r="CU296" i="56"/>
  <c r="CN296" i="56"/>
  <c r="CH296" i="56"/>
  <c r="CI296" i="56"/>
  <c r="CB296" i="56"/>
  <c r="CC296" i="56"/>
  <c r="BV296" i="56"/>
  <c r="BP296" i="56"/>
  <c r="BQ296" i="56"/>
  <c r="AL296" i="56"/>
  <c r="AM296" i="56"/>
  <c r="CZ317" i="56"/>
  <c r="DA317" i="56"/>
  <c r="CT317" i="56"/>
  <c r="CU317" i="56"/>
  <c r="CN317" i="56"/>
  <c r="CH317" i="56"/>
  <c r="CI317" i="56"/>
  <c r="CB317" i="56"/>
  <c r="CC317" i="56"/>
  <c r="BV317" i="56"/>
  <c r="BP317" i="56"/>
  <c r="BQ317" i="56"/>
  <c r="CZ324" i="56"/>
  <c r="DA324" i="56"/>
  <c r="CT324" i="56"/>
  <c r="CU324" i="56"/>
  <c r="CN324" i="56"/>
  <c r="CH324" i="56"/>
  <c r="CI324" i="56"/>
  <c r="BV324" i="56"/>
  <c r="CB324" i="56"/>
  <c r="CC324" i="56"/>
  <c r="BP324" i="56"/>
  <c r="BQ324" i="56"/>
  <c r="CZ326" i="56"/>
  <c r="DA326" i="56"/>
  <c r="CT326" i="56"/>
  <c r="CU326" i="56"/>
  <c r="CN326" i="56"/>
  <c r="CH326" i="56"/>
  <c r="CI326" i="56"/>
  <c r="CB326" i="56"/>
  <c r="CC326" i="56"/>
  <c r="BP326" i="56"/>
  <c r="BQ326" i="56"/>
  <c r="BV326" i="56"/>
  <c r="AL326" i="56"/>
  <c r="AM326" i="56"/>
  <c r="CZ338" i="56"/>
  <c r="DA338" i="56"/>
  <c r="CT338" i="56"/>
  <c r="CU338" i="56"/>
  <c r="CN338" i="56"/>
  <c r="CH338" i="56"/>
  <c r="CI338" i="56"/>
  <c r="CB338" i="56"/>
  <c r="CC338" i="56"/>
  <c r="BV338" i="56"/>
  <c r="BP338" i="56"/>
  <c r="BQ338" i="56"/>
  <c r="AL338" i="56"/>
  <c r="AM338" i="56"/>
  <c r="CZ341" i="56"/>
  <c r="DA341" i="56"/>
  <c r="CT341" i="56"/>
  <c r="CU341" i="56"/>
  <c r="CN341" i="56"/>
  <c r="CH341" i="56"/>
  <c r="CI341" i="56"/>
  <c r="BV341" i="56"/>
  <c r="CB341" i="56"/>
  <c r="CC341" i="56"/>
  <c r="BP341" i="56"/>
  <c r="BQ341" i="56"/>
  <c r="AL341" i="56"/>
  <c r="AM341" i="56"/>
  <c r="CZ372" i="56"/>
  <c r="DA372" i="56"/>
  <c r="CT372" i="56"/>
  <c r="CU372" i="56"/>
  <c r="CN372" i="56"/>
  <c r="CH372" i="56"/>
  <c r="CI372" i="56"/>
  <c r="CB372" i="56"/>
  <c r="CC372" i="56"/>
  <c r="BV372" i="56"/>
  <c r="BP372" i="56"/>
  <c r="BQ372" i="56"/>
  <c r="AR372" i="56"/>
  <c r="CZ374" i="56"/>
  <c r="DA374" i="56"/>
  <c r="CT374" i="56"/>
  <c r="CU374" i="56"/>
  <c r="CN374" i="56"/>
  <c r="CH374" i="56"/>
  <c r="CI374" i="56"/>
  <c r="CB374" i="56"/>
  <c r="CC374" i="56"/>
  <c r="BV374" i="56"/>
  <c r="BP374" i="56"/>
  <c r="BQ374" i="56"/>
  <c r="AR176" i="56"/>
  <c r="CZ60" i="56"/>
  <c r="DA60" i="56"/>
  <c r="CT60" i="56"/>
  <c r="CU60" i="56"/>
  <c r="CN60" i="56"/>
  <c r="CB60" i="56"/>
  <c r="CC60" i="56"/>
  <c r="BV60" i="56"/>
  <c r="CH60" i="56"/>
  <c r="CI60" i="56"/>
  <c r="BP60" i="56"/>
  <c r="BQ60" i="56"/>
  <c r="AL60" i="56"/>
  <c r="AM60" i="56"/>
  <c r="AX60" i="56"/>
  <c r="AY60" i="56"/>
  <c r="CZ30" i="56"/>
  <c r="DA30" i="56"/>
  <c r="CT30" i="56"/>
  <c r="CU30" i="56"/>
  <c r="CN30" i="56"/>
  <c r="CO30" i="56"/>
  <c r="CH30" i="56"/>
  <c r="CI30" i="56"/>
  <c r="CB30" i="56"/>
  <c r="CC30" i="56"/>
  <c r="BP30" i="56"/>
  <c r="BQ30" i="56"/>
  <c r="CZ41" i="56"/>
  <c r="DA41" i="56"/>
  <c r="CN41" i="56"/>
  <c r="CT41" i="56"/>
  <c r="CU41" i="56"/>
  <c r="CH41" i="56"/>
  <c r="CI41" i="56"/>
  <c r="CB41" i="56"/>
  <c r="CC41" i="56"/>
  <c r="BP41" i="56"/>
  <c r="BQ41" i="56"/>
  <c r="BV41" i="56"/>
  <c r="AL41" i="56"/>
  <c r="AM41" i="56"/>
  <c r="CZ44" i="56"/>
  <c r="DA44" i="56"/>
  <c r="CT44" i="56"/>
  <c r="CU44" i="56"/>
  <c r="CN44" i="56"/>
  <c r="CH44" i="56"/>
  <c r="CI44" i="56"/>
  <c r="CB44" i="56"/>
  <c r="CC44" i="56"/>
  <c r="BV44" i="56"/>
  <c r="BP44" i="56"/>
  <c r="BQ44" i="56"/>
  <c r="AL44" i="56"/>
  <c r="AM44" i="56"/>
  <c r="AX44" i="56"/>
  <c r="AY44" i="56"/>
  <c r="CZ51" i="56"/>
  <c r="DA51" i="56"/>
  <c r="CT51" i="56"/>
  <c r="CU51" i="56"/>
  <c r="CN51" i="56"/>
  <c r="CH51" i="56"/>
  <c r="CI51" i="56"/>
  <c r="CB51" i="56"/>
  <c r="CC51" i="56"/>
  <c r="BV51" i="56"/>
  <c r="BP51" i="56"/>
  <c r="BQ51" i="56"/>
  <c r="BD51" i="56"/>
  <c r="BE51" i="56"/>
  <c r="CZ69" i="56"/>
  <c r="DA69" i="56"/>
  <c r="CN69" i="56"/>
  <c r="CT69" i="56"/>
  <c r="CU69" i="56"/>
  <c r="CH69" i="56"/>
  <c r="CI69" i="56"/>
  <c r="BP69" i="56"/>
  <c r="BQ69" i="56"/>
  <c r="BV69" i="56"/>
  <c r="CZ99" i="56"/>
  <c r="DA99" i="56"/>
  <c r="CT99" i="56"/>
  <c r="CU99" i="56"/>
  <c r="CN99" i="56"/>
  <c r="CH99" i="56"/>
  <c r="CI99" i="56"/>
  <c r="CB99" i="56"/>
  <c r="CC99" i="56"/>
  <c r="BV99" i="56"/>
  <c r="BP99" i="56"/>
  <c r="BQ99" i="56"/>
  <c r="AL99" i="56"/>
  <c r="AM99" i="56"/>
  <c r="CZ101" i="56"/>
  <c r="DA101" i="56"/>
  <c r="CN101" i="56"/>
  <c r="CT101" i="56"/>
  <c r="CU101" i="56"/>
  <c r="CH101" i="56"/>
  <c r="CI101" i="56"/>
  <c r="BP101" i="56"/>
  <c r="BQ101" i="56"/>
  <c r="BV101" i="56"/>
  <c r="CB101" i="56"/>
  <c r="CC101" i="56"/>
  <c r="CZ130" i="56"/>
  <c r="DA130" i="56"/>
  <c r="CT130" i="56"/>
  <c r="CU130" i="56"/>
  <c r="CN130" i="56"/>
  <c r="CH130" i="56"/>
  <c r="CI130" i="56"/>
  <c r="CB130" i="56"/>
  <c r="CC130" i="56"/>
  <c r="BV130" i="56"/>
  <c r="BP130" i="56"/>
  <c r="BQ130" i="56"/>
  <c r="CZ137" i="56"/>
  <c r="DA137" i="56"/>
  <c r="CN137" i="56"/>
  <c r="CT137" i="56"/>
  <c r="CU137" i="56"/>
  <c r="CH137" i="56"/>
  <c r="CI137" i="56"/>
  <c r="CB137" i="56"/>
  <c r="CC137" i="56"/>
  <c r="BP137" i="56"/>
  <c r="BQ137" i="56"/>
  <c r="BV137" i="56"/>
  <c r="CZ174" i="56"/>
  <c r="DA174" i="56"/>
  <c r="CT174" i="56"/>
  <c r="CU174" i="56"/>
  <c r="CN174" i="56"/>
  <c r="CH174" i="56"/>
  <c r="CI174" i="56"/>
  <c r="CB174" i="56"/>
  <c r="CC174" i="56"/>
  <c r="BV174" i="56"/>
  <c r="BP174" i="56"/>
  <c r="BQ174" i="56"/>
  <c r="AX174" i="56"/>
  <c r="AY174" i="56"/>
  <c r="CZ180" i="56"/>
  <c r="DA180" i="56"/>
  <c r="CT180" i="56"/>
  <c r="CU180" i="56"/>
  <c r="CN180" i="56"/>
  <c r="CH180" i="56"/>
  <c r="CI180" i="56"/>
  <c r="CB180" i="56"/>
  <c r="CC180" i="56"/>
  <c r="BV180" i="56"/>
  <c r="BP180" i="56"/>
  <c r="BQ180" i="56"/>
  <c r="CZ189" i="56"/>
  <c r="DA189" i="56"/>
  <c r="CN189" i="56"/>
  <c r="CT189" i="56"/>
  <c r="CU189" i="56"/>
  <c r="CH189" i="56"/>
  <c r="CI189" i="56"/>
  <c r="CB189" i="56"/>
  <c r="CC189" i="56"/>
  <c r="BP189" i="56"/>
  <c r="BQ189" i="56"/>
  <c r="BV189" i="56"/>
  <c r="CZ203" i="56"/>
  <c r="DA203" i="56"/>
  <c r="CT203" i="56"/>
  <c r="CU203" i="56"/>
  <c r="CH203" i="56"/>
  <c r="CI203" i="56"/>
  <c r="CN203" i="56"/>
  <c r="CB203" i="56"/>
  <c r="CC203" i="56"/>
  <c r="BV203" i="56"/>
  <c r="BP203" i="56"/>
  <c r="BQ203" i="56"/>
  <c r="AL203" i="56"/>
  <c r="AM203" i="56"/>
  <c r="AF203" i="56"/>
  <c r="AG203" i="56"/>
  <c r="CZ214" i="56"/>
  <c r="DA214" i="56"/>
  <c r="CT214" i="56"/>
  <c r="CU214" i="56"/>
  <c r="CN214" i="56"/>
  <c r="CH214" i="56"/>
  <c r="CI214" i="56"/>
  <c r="CB214" i="56"/>
  <c r="CC214" i="56"/>
  <c r="BP214" i="56"/>
  <c r="BQ214" i="56"/>
  <c r="BV214" i="56"/>
  <c r="CZ224" i="56"/>
  <c r="DA224" i="56"/>
  <c r="CT224" i="56"/>
  <c r="CU224" i="56"/>
  <c r="CN224" i="56"/>
  <c r="CH224" i="56"/>
  <c r="CI224" i="56"/>
  <c r="BV224" i="56"/>
  <c r="CB224" i="56"/>
  <c r="CC224" i="56"/>
  <c r="BP224" i="56"/>
  <c r="BQ224" i="56"/>
  <c r="CZ229" i="56"/>
  <c r="DA229" i="56"/>
  <c r="CT229" i="56"/>
  <c r="CU229" i="56"/>
  <c r="CN229" i="56"/>
  <c r="BV229" i="56"/>
  <c r="CB229" i="56"/>
  <c r="CC229" i="56"/>
  <c r="BP229" i="56"/>
  <c r="BQ229" i="56"/>
  <c r="CH229" i="56"/>
  <c r="CI229" i="56"/>
  <c r="CZ236" i="56"/>
  <c r="DA236" i="56"/>
  <c r="CT236" i="56"/>
  <c r="CU236" i="56"/>
  <c r="CN236" i="56"/>
  <c r="CH236" i="56"/>
  <c r="CI236" i="56"/>
  <c r="BV236" i="56"/>
  <c r="CB236" i="56"/>
  <c r="CC236" i="56"/>
  <c r="BP236" i="56"/>
  <c r="BQ236" i="56"/>
  <c r="CZ242" i="56"/>
  <c r="DA242" i="56"/>
  <c r="CT242" i="56"/>
  <c r="CU242" i="56"/>
  <c r="CN242" i="56"/>
  <c r="CH242" i="56"/>
  <c r="CI242" i="56"/>
  <c r="CB242" i="56"/>
  <c r="CC242" i="56"/>
  <c r="BV242" i="56"/>
  <c r="BP242" i="56"/>
  <c r="BQ242" i="56"/>
  <c r="CZ270" i="56"/>
  <c r="DA270" i="56"/>
  <c r="CT270" i="56"/>
  <c r="CU270" i="56"/>
  <c r="CN270" i="56"/>
  <c r="CH270" i="56"/>
  <c r="CI270" i="56"/>
  <c r="CB270" i="56"/>
  <c r="CC270" i="56"/>
  <c r="BV270" i="56"/>
  <c r="BP270" i="56"/>
  <c r="BQ270" i="56"/>
  <c r="AF270" i="56"/>
  <c r="AG270" i="56"/>
  <c r="CZ289" i="56"/>
  <c r="DA289" i="56"/>
  <c r="CT289" i="56"/>
  <c r="CU289" i="56"/>
  <c r="CN289" i="56"/>
  <c r="CH289" i="56"/>
  <c r="CI289" i="56"/>
  <c r="CB289" i="56"/>
  <c r="CC289" i="56"/>
  <c r="BV289" i="56"/>
  <c r="BP289" i="56"/>
  <c r="BQ289" i="56"/>
  <c r="CZ302" i="56"/>
  <c r="DA302" i="56"/>
  <c r="CT302" i="56"/>
  <c r="CU302" i="56"/>
  <c r="CN302" i="56"/>
  <c r="CH302" i="56"/>
  <c r="CI302" i="56"/>
  <c r="CB302" i="56"/>
  <c r="CC302" i="56"/>
  <c r="BV302" i="56"/>
  <c r="BP302" i="56"/>
  <c r="BQ302" i="56"/>
  <c r="AL302" i="56"/>
  <c r="AM302" i="56"/>
  <c r="CZ309" i="56"/>
  <c r="DA309" i="56"/>
  <c r="CT309" i="56"/>
  <c r="CU309" i="56"/>
  <c r="CN309" i="56"/>
  <c r="CH309" i="56"/>
  <c r="CI309" i="56"/>
  <c r="BV309" i="56"/>
  <c r="CB309" i="56"/>
  <c r="CC309" i="56"/>
  <c r="BP309" i="56"/>
  <c r="BQ309" i="56"/>
  <c r="CZ318" i="56"/>
  <c r="DA318" i="56"/>
  <c r="CT318" i="56"/>
  <c r="CU318" i="56"/>
  <c r="CN318" i="56"/>
  <c r="CH318" i="56"/>
  <c r="CI318" i="56"/>
  <c r="CB318" i="56"/>
  <c r="CC318" i="56"/>
  <c r="BV318" i="56"/>
  <c r="BP318" i="56"/>
  <c r="BQ318" i="56"/>
  <c r="AL318" i="56"/>
  <c r="AM318" i="56"/>
  <c r="CZ321" i="56"/>
  <c r="DA321" i="56"/>
  <c r="CT321" i="56"/>
  <c r="CU321" i="56"/>
  <c r="CN321" i="56"/>
  <c r="CH321" i="56"/>
  <c r="CI321" i="56"/>
  <c r="CB321" i="56"/>
  <c r="CC321" i="56"/>
  <c r="BV321" i="56"/>
  <c r="BP321" i="56"/>
  <c r="BQ321" i="56"/>
  <c r="CZ329" i="56"/>
  <c r="DA329" i="56"/>
  <c r="CT329" i="56"/>
  <c r="CU329" i="56"/>
  <c r="CN329" i="56"/>
  <c r="CH329" i="56"/>
  <c r="CI329" i="56"/>
  <c r="CB329" i="56"/>
  <c r="CC329" i="56"/>
  <c r="BV329" i="56"/>
  <c r="BP329" i="56"/>
  <c r="BQ329" i="56"/>
  <c r="AL329" i="56"/>
  <c r="AM329" i="56"/>
  <c r="CZ358" i="56"/>
  <c r="DA358" i="56"/>
  <c r="CT358" i="56"/>
  <c r="CU358" i="56"/>
  <c r="CN358" i="56"/>
  <c r="CH358" i="56"/>
  <c r="CI358" i="56"/>
  <c r="CB358" i="56"/>
  <c r="CC358" i="56"/>
  <c r="BV358" i="56"/>
  <c r="BP358" i="56"/>
  <c r="BQ358" i="56"/>
  <c r="CZ378" i="56"/>
  <c r="DA378" i="56"/>
  <c r="CT378" i="56"/>
  <c r="CU378" i="56"/>
  <c r="CN378" i="56"/>
  <c r="CB378" i="56"/>
  <c r="CC378" i="56"/>
  <c r="CH378" i="56"/>
  <c r="CI378" i="56"/>
  <c r="BP378" i="56"/>
  <c r="BQ378" i="56"/>
  <c r="BV378" i="56"/>
  <c r="AL378" i="56"/>
  <c r="AM378" i="56"/>
  <c r="AL30" i="56"/>
  <c r="AM30" i="56"/>
  <c r="AL229" i="56"/>
  <c r="AM229" i="56"/>
  <c r="AR43" i="56"/>
  <c r="AS43" i="56"/>
  <c r="AR59" i="56"/>
  <c r="AS59" i="56"/>
  <c r="AR164" i="56"/>
  <c r="BD252" i="56"/>
  <c r="BE252" i="56"/>
  <c r="BP55" i="56"/>
  <c r="BQ55" i="56"/>
  <c r="CZ61" i="56"/>
  <c r="DA61" i="56"/>
  <c r="CN61" i="56"/>
  <c r="CT61" i="56"/>
  <c r="CU61" i="56"/>
  <c r="CH61" i="56"/>
  <c r="CI61" i="56"/>
  <c r="CB61" i="56"/>
  <c r="CC61" i="56"/>
  <c r="BP61" i="56"/>
  <c r="BQ61" i="56"/>
  <c r="BV61" i="56"/>
  <c r="CZ63" i="56"/>
  <c r="DA63" i="56"/>
  <c r="CT63" i="56"/>
  <c r="CU63" i="56"/>
  <c r="CN63" i="56"/>
  <c r="CB63" i="56"/>
  <c r="CC63" i="56"/>
  <c r="BV63" i="56"/>
  <c r="BP63" i="56"/>
  <c r="BQ63" i="56"/>
  <c r="CH63" i="56"/>
  <c r="CI63" i="56"/>
  <c r="CZ33" i="56"/>
  <c r="DA33" i="56"/>
  <c r="CN33" i="56"/>
  <c r="CT33" i="56"/>
  <c r="CU33" i="56"/>
  <c r="CH33" i="56"/>
  <c r="CI33" i="56"/>
  <c r="CB33" i="56"/>
  <c r="CC33" i="56"/>
  <c r="BP33" i="56"/>
  <c r="BQ33" i="56"/>
  <c r="AL33" i="56"/>
  <c r="AM33" i="56"/>
  <c r="CZ42" i="56"/>
  <c r="DA42" i="56"/>
  <c r="CT42" i="56"/>
  <c r="CU42" i="56"/>
  <c r="CN42" i="56"/>
  <c r="CH42" i="56"/>
  <c r="CI42" i="56"/>
  <c r="CB42" i="56"/>
  <c r="CC42" i="56"/>
  <c r="BP42" i="56"/>
  <c r="BQ42" i="56"/>
  <c r="BV42" i="56"/>
  <c r="CN49" i="56"/>
  <c r="CZ49" i="56"/>
  <c r="DA49" i="56"/>
  <c r="CT49" i="56"/>
  <c r="CU49" i="56"/>
  <c r="CH49" i="56"/>
  <c r="CI49" i="56"/>
  <c r="CB49" i="56"/>
  <c r="CC49" i="56"/>
  <c r="BP49" i="56"/>
  <c r="BQ49" i="56"/>
  <c r="CZ79" i="56"/>
  <c r="DA79" i="56"/>
  <c r="CT79" i="56"/>
  <c r="CU79" i="56"/>
  <c r="CN79" i="56"/>
  <c r="CH79" i="56"/>
  <c r="CI79" i="56"/>
  <c r="CB79" i="56"/>
  <c r="CC79" i="56"/>
  <c r="BV79" i="56"/>
  <c r="BP79" i="56"/>
  <c r="BQ79" i="56"/>
  <c r="AR79" i="56"/>
  <c r="CZ98" i="56"/>
  <c r="DA98" i="56"/>
  <c r="CT98" i="56"/>
  <c r="CU98" i="56"/>
  <c r="CN98" i="56"/>
  <c r="CH98" i="56"/>
  <c r="CI98" i="56"/>
  <c r="CB98" i="56"/>
  <c r="CC98" i="56"/>
  <c r="BV98" i="56"/>
  <c r="BP98" i="56"/>
  <c r="BQ98" i="56"/>
  <c r="AX98" i="56"/>
  <c r="AY98" i="56"/>
  <c r="CZ103" i="56"/>
  <c r="DA103" i="56"/>
  <c r="CT103" i="56"/>
  <c r="CU103" i="56"/>
  <c r="CH103" i="56"/>
  <c r="CI103" i="56"/>
  <c r="CN103" i="56"/>
  <c r="CB103" i="56"/>
  <c r="CC103" i="56"/>
  <c r="BV103" i="56"/>
  <c r="AF103" i="56"/>
  <c r="AG103" i="56"/>
  <c r="AL103" i="56"/>
  <c r="AM103" i="56"/>
  <c r="AR103" i="56"/>
  <c r="CZ140" i="56"/>
  <c r="DA140" i="56"/>
  <c r="CT140" i="56"/>
  <c r="CU140" i="56"/>
  <c r="CN140" i="56"/>
  <c r="CH140" i="56"/>
  <c r="CI140" i="56"/>
  <c r="CB140" i="56"/>
  <c r="CC140" i="56"/>
  <c r="BP140" i="56"/>
  <c r="BQ140" i="56"/>
  <c r="BV140" i="56"/>
  <c r="AR140" i="56"/>
  <c r="CZ144" i="56"/>
  <c r="DA144" i="56"/>
  <c r="CT144" i="56"/>
  <c r="CU144" i="56"/>
  <c r="CN144" i="56"/>
  <c r="CH144" i="56"/>
  <c r="CI144" i="56"/>
  <c r="CB144" i="56"/>
  <c r="CC144" i="56"/>
  <c r="BP144" i="56"/>
  <c r="BQ144" i="56"/>
  <c r="BV144" i="56"/>
  <c r="CZ151" i="56"/>
  <c r="DA151" i="56"/>
  <c r="CT151" i="56"/>
  <c r="CU151" i="56"/>
  <c r="CN151" i="56"/>
  <c r="CH151" i="56"/>
  <c r="CI151" i="56"/>
  <c r="CB151" i="56"/>
  <c r="CC151" i="56"/>
  <c r="BV151" i="56"/>
  <c r="BP151" i="56"/>
  <c r="BQ151" i="56"/>
  <c r="CZ158" i="56"/>
  <c r="DA158" i="56"/>
  <c r="CT158" i="56"/>
  <c r="CU158" i="56"/>
  <c r="CN158" i="56"/>
  <c r="CH158" i="56"/>
  <c r="CI158" i="56"/>
  <c r="CB158" i="56"/>
  <c r="CC158" i="56"/>
  <c r="BV158" i="56"/>
  <c r="BP158" i="56"/>
  <c r="BQ158" i="56"/>
  <c r="CZ162" i="56"/>
  <c r="DA162" i="56"/>
  <c r="CT162" i="56"/>
  <c r="CU162" i="56"/>
  <c r="CN162" i="56"/>
  <c r="CH162" i="56"/>
  <c r="CI162" i="56"/>
  <c r="CB162" i="56"/>
  <c r="CC162" i="56"/>
  <c r="BV162" i="56"/>
  <c r="BP162" i="56"/>
  <c r="BQ162" i="56"/>
  <c r="CZ168" i="56"/>
  <c r="DA168" i="56"/>
  <c r="CT168" i="56"/>
  <c r="CU168" i="56"/>
  <c r="CN168" i="56"/>
  <c r="CH168" i="56"/>
  <c r="CI168" i="56"/>
  <c r="CB168" i="56"/>
  <c r="CC168" i="56"/>
  <c r="BV168" i="56"/>
  <c r="BP168" i="56"/>
  <c r="BQ168" i="56"/>
  <c r="CZ172" i="56"/>
  <c r="DA172" i="56"/>
  <c r="CT172" i="56"/>
  <c r="CU172" i="56"/>
  <c r="CN172" i="56"/>
  <c r="CH172" i="56"/>
  <c r="CI172" i="56"/>
  <c r="CB172" i="56"/>
  <c r="CC172" i="56"/>
  <c r="BV172" i="56"/>
  <c r="BP172" i="56"/>
  <c r="BQ172" i="56"/>
  <c r="AL172" i="56"/>
  <c r="AM172" i="56"/>
  <c r="CZ178" i="56"/>
  <c r="DA178" i="56"/>
  <c r="CT178" i="56"/>
  <c r="CU178" i="56"/>
  <c r="CN178" i="56"/>
  <c r="CH178" i="56"/>
  <c r="CI178" i="56"/>
  <c r="CB178" i="56"/>
  <c r="CC178" i="56"/>
  <c r="BV178" i="56"/>
  <c r="BP178" i="56"/>
  <c r="BQ178" i="56"/>
  <c r="CZ184" i="56"/>
  <c r="DA184" i="56"/>
  <c r="CT184" i="56"/>
  <c r="CU184" i="56"/>
  <c r="CN184" i="56"/>
  <c r="CH184" i="56"/>
  <c r="CI184" i="56"/>
  <c r="CB184" i="56"/>
  <c r="CC184" i="56"/>
  <c r="BV184" i="56"/>
  <c r="BP184" i="56"/>
  <c r="BQ184" i="56"/>
  <c r="AR184" i="56"/>
  <c r="AF184" i="56"/>
  <c r="AG184" i="56"/>
  <c r="CZ193" i="56"/>
  <c r="DA193" i="56"/>
  <c r="CT193" i="56"/>
  <c r="CU193" i="56"/>
  <c r="CN193" i="56"/>
  <c r="CH193" i="56"/>
  <c r="CI193" i="56"/>
  <c r="CB193" i="56"/>
  <c r="CC193" i="56"/>
  <c r="BP193" i="56"/>
  <c r="BQ193" i="56"/>
  <c r="AL193" i="56"/>
  <c r="AM193" i="56"/>
  <c r="CZ201" i="56"/>
  <c r="DA201" i="56"/>
  <c r="CN201" i="56"/>
  <c r="CT201" i="56"/>
  <c r="CU201" i="56"/>
  <c r="CH201" i="56"/>
  <c r="CI201" i="56"/>
  <c r="CB201" i="56"/>
  <c r="CC201" i="56"/>
  <c r="BP201" i="56"/>
  <c r="BQ201" i="56"/>
  <c r="CZ207" i="56"/>
  <c r="DA207" i="56"/>
  <c r="CT207" i="56"/>
  <c r="CU207" i="56"/>
  <c r="CN207" i="56"/>
  <c r="CH207" i="56"/>
  <c r="CI207" i="56"/>
  <c r="CB207" i="56"/>
  <c r="CC207" i="56"/>
  <c r="BV207" i="56"/>
  <c r="BP207" i="56"/>
  <c r="BQ207" i="56"/>
  <c r="AL207" i="56"/>
  <c r="AM207" i="56"/>
  <c r="CZ211" i="56"/>
  <c r="DA211" i="56"/>
  <c r="CT211" i="56"/>
  <c r="CU211" i="56"/>
  <c r="CN211" i="56"/>
  <c r="CH211" i="56"/>
  <c r="CI211" i="56"/>
  <c r="CB211" i="56"/>
  <c r="CC211" i="56"/>
  <c r="BV211" i="56"/>
  <c r="BP211" i="56"/>
  <c r="BQ211" i="56"/>
  <c r="CZ221" i="56"/>
  <c r="DA221" i="56"/>
  <c r="CN221" i="56"/>
  <c r="CT221" i="56"/>
  <c r="CU221" i="56"/>
  <c r="CH221" i="56"/>
  <c r="CI221" i="56"/>
  <c r="CB221" i="56"/>
  <c r="CC221" i="56"/>
  <c r="BV221" i="56"/>
  <c r="BP221" i="56"/>
  <c r="BQ221" i="56"/>
  <c r="AF221" i="56"/>
  <c r="AG221" i="56"/>
  <c r="CZ234" i="56"/>
  <c r="DA234" i="56"/>
  <c r="CT234" i="56"/>
  <c r="CU234" i="56"/>
  <c r="CN234" i="56"/>
  <c r="CH234" i="56"/>
  <c r="CI234" i="56"/>
  <c r="CB234" i="56"/>
  <c r="CC234" i="56"/>
  <c r="BP234" i="56"/>
  <c r="BQ234" i="56"/>
  <c r="CZ258" i="56"/>
  <c r="DA258" i="56"/>
  <c r="CT258" i="56"/>
  <c r="CU258" i="56"/>
  <c r="CN258" i="56"/>
  <c r="CH258" i="56"/>
  <c r="CI258" i="56"/>
  <c r="CB258" i="56"/>
  <c r="CC258" i="56"/>
  <c r="BV258" i="56"/>
  <c r="BP258" i="56"/>
  <c r="BQ258" i="56"/>
  <c r="AF258" i="56"/>
  <c r="AG258" i="56"/>
  <c r="CZ264" i="56"/>
  <c r="DA264" i="56"/>
  <c r="CT264" i="56"/>
  <c r="CU264" i="56"/>
  <c r="CN264" i="56"/>
  <c r="CH264" i="56"/>
  <c r="CI264" i="56"/>
  <c r="BV264" i="56"/>
  <c r="CB264" i="56"/>
  <c r="CC264" i="56"/>
  <c r="BP264" i="56"/>
  <c r="BQ264" i="56"/>
  <c r="CZ268" i="56"/>
  <c r="DA268" i="56"/>
  <c r="CT268" i="56"/>
  <c r="CU268" i="56"/>
  <c r="CN268" i="56"/>
  <c r="CH268" i="56"/>
  <c r="CI268" i="56"/>
  <c r="BV268" i="56"/>
  <c r="CB268" i="56"/>
  <c r="CC268" i="56"/>
  <c r="BP268" i="56"/>
  <c r="BQ268" i="56"/>
  <c r="CZ274" i="56"/>
  <c r="DA274" i="56"/>
  <c r="CT274" i="56"/>
  <c r="CU274" i="56"/>
  <c r="CN274" i="56"/>
  <c r="CH274" i="56"/>
  <c r="CI274" i="56"/>
  <c r="CB274" i="56"/>
  <c r="CC274" i="56"/>
  <c r="BV274" i="56"/>
  <c r="BP274" i="56"/>
  <c r="BQ274" i="56"/>
  <c r="CZ281" i="56"/>
  <c r="DA281" i="56"/>
  <c r="CT281" i="56"/>
  <c r="CU281" i="56"/>
  <c r="CN281" i="56"/>
  <c r="CH281" i="56"/>
  <c r="CI281" i="56"/>
  <c r="CB281" i="56"/>
  <c r="CC281" i="56"/>
  <c r="BV281" i="56"/>
  <c r="BP281" i="56"/>
  <c r="BQ281" i="56"/>
  <c r="CZ300" i="56"/>
  <c r="DA300" i="56"/>
  <c r="CT300" i="56"/>
  <c r="CU300" i="56"/>
  <c r="CN300" i="56"/>
  <c r="CH300" i="56"/>
  <c r="CI300" i="56"/>
  <c r="CB300" i="56"/>
  <c r="CC300" i="56"/>
  <c r="BV300" i="56"/>
  <c r="BP300" i="56"/>
  <c r="BQ300" i="56"/>
  <c r="AL300" i="56"/>
  <c r="AM300" i="56"/>
  <c r="CZ313" i="56"/>
  <c r="DA313" i="56"/>
  <c r="CT313" i="56"/>
  <c r="CU313" i="56"/>
  <c r="CN313" i="56"/>
  <c r="CB313" i="56"/>
  <c r="CC313" i="56"/>
  <c r="CH313" i="56"/>
  <c r="CI313" i="56"/>
  <c r="BV313" i="56"/>
  <c r="BP313" i="56"/>
  <c r="BQ313" i="56"/>
  <c r="AX313" i="56"/>
  <c r="AY313" i="56"/>
  <c r="AL313" i="56"/>
  <c r="AM313" i="56"/>
  <c r="CZ319" i="56"/>
  <c r="DA319" i="56"/>
  <c r="CT319" i="56"/>
  <c r="CU319" i="56"/>
  <c r="CH319" i="56"/>
  <c r="CI319" i="56"/>
  <c r="CB319" i="56"/>
  <c r="CC319" i="56"/>
  <c r="CN319" i="56"/>
  <c r="BV319" i="56"/>
  <c r="BP319" i="56"/>
  <c r="BQ319" i="56"/>
  <c r="AR319" i="56"/>
  <c r="CZ322" i="56"/>
  <c r="DA322" i="56"/>
  <c r="CT322" i="56"/>
  <c r="CU322" i="56"/>
  <c r="CN322" i="56"/>
  <c r="CH322" i="56"/>
  <c r="CI322" i="56"/>
  <c r="CB322" i="56"/>
  <c r="CC322" i="56"/>
  <c r="BV322" i="56"/>
  <c r="BP322" i="56"/>
  <c r="BQ322" i="56"/>
  <c r="AL322" i="56"/>
  <c r="AM322" i="56"/>
  <c r="CZ333" i="56"/>
  <c r="DA333" i="56"/>
  <c r="CT333" i="56"/>
  <c r="CU333" i="56"/>
  <c r="CN333" i="56"/>
  <c r="CH333" i="56"/>
  <c r="CI333" i="56"/>
  <c r="CB333" i="56"/>
  <c r="CC333" i="56"/>
  <c r="BV333" i="56"/>
  <c r="BP333" i="56"/>
  <c r="BQ333" i="56"/>
  <c r="AL333" i="56"/>
  <c r="AM333" i="56"/>
  <c r="CZ343" i="56"/>
  <c r="DA343" i="56"/>
  <c r="CT343" i="56"/>
  <c r="CU343" i="56"/>
  <c r="CH343" i="56"/>
  <c r="CI343" i="56"/>
  <c r="CB343" i="56"/>
  <c r="CC343" i="56"/>
  <c r="CN343" i="56"/>
  <c r="BV343" i="56"/>
  <c r="BP343" i="56"/>
  <c r="BQ343" i="56"/>
  <c r="CZ355" i="56"/>
  <c r="DA355" i="56"/>
  <c r="CT355" i="56"/>
  <c r="CU355" i="56"/>
  <c r="CH355" i="56"/>
  <c r="CI355" i="56"/>
  <c r="CN355" i="56"/>
  <c r="CB355" i="56"/>
  <c r="CC355" i="56"/>
  <c r="BV355" i="56"/>
  <c r="BP355" i="56"/>
  <c r="BQ355" i="56"/>
  <c r="CZ368" i="56"/>
  <c r="DA368" i="56"/>
  <c r="CT368" i="56"/>
  <c r="CU368" i="56"/>
  <c r="CN368" i="56"/>
  <c r="CH368" i="56"/>
  <c r="CI368" i="56"/>
  <c r="CB368" i="56"/>
  <c r="CC368" i="56"/>
  <c r="BV368" i="56"/>
  <c r="BP368" i="56"/>
  <c r="BQ368" i="56"/>
  <c r="AR368" i="56"/>
  <c r="AL164" i="56"/>
  <c r="AM164" i="56"/>
  <c r="AL197" i="56"/>
  <c r="AM197" i="56"/>
  <c r="AX79" i="56"/>
  <c r="AY79" i="56"/>
  <c r="BV149" i="56"/>
  <c r="CB69" i="56"/>
  <c r="CC69" i="56"/>
  <c r="CZ34" i="56"/>
  <c r="DA34" i="56"/>
  <c r="CT34" i="56"/>
  <c r="CU34" i="56"/>
  <c r="CN34" i="56"/>
  <c r="CH34" i="56"/>
  <c r="CI34" i="56"/>
  <c r="CB34" i="56"/>
  <c r="CC34" i="56"/>
  <c r="BP34" i="56"/>
  <c r="BQ34" i="56"/>
  <c r="CZ39" i="56"/>
  <c r="DA39" i="56"/>
  <c r="CN39" i="56"/>
  <c r="CT39" i="56"/>
  <c r="CU39" i="56"/>
  <c r="CH39" i="56"/>
  <c r="CI39" i="56"/>
  <c r="CB39" i="56"/>
  <c r="CC39" i="56"/>
  <c r="BV39" i="56"/>
  <c r="CZ48" i="56"/>
  <c r="DA48" i="56"/>
  <c r="CT48" i="56"/>
  <c r="CU48" i="56"/>
  <c r="CN48" i="56"/>
  <c r="CH48" i="56"/>
  <c r="CI48" i="56"/>
  <c r="CB48" i="56"/>
  <c r="CC48" i="56"/>
  <c r="BV48" i="56"/>
  <c r="BP48" i="56"/>
  <c r="BQ48" i="56"/>
  <c r="CZ54" i="56"/>
  <c r="DA54" i="56"/>
  <c r="CT54" i="56"/>
  <c r="CU54" i="56"/>
  <c r="CN54" i="56"/>
  <c r="CH54" i="56"/>
  <c r="CI54" i="56"/>
  <c r="CB54" i="56"/>
  <c r="CC54" i="56"/>
  <c r="BV54" i="56"/>
  <c r="BP54" i="56"/>
  <c r="BQ54" i="56"/>
  <c r="CZ56" i="56"/>
  <c r="DA56" i="56"/>
  <c r="CT56" i="56"/>
  <c r="CU56" i="56"/>
  <c r="CN56" i="56"/>
  <c r="CH56" i="56"/>
  <c r="CI56" i="56"/>
  <c r="CB56" i="56"/>
  <c r="CC56" i="56"/>
  <c r="BV56" i="56"/>
  <c r="BP56" i="56"/>
  <c r="BQ56" i="56"/>
  <c r="CZ58" i="56"/>
  <c r="DA58" i="56"/>
  <c r="CT58" i="56"/>
  <c r="CU58" i="56"/>
  <c r="CN58" i="56"/>
  <c r="CH58" i="56"/>
  <c r="CI58" i="56"/>
  <c r="CB58" i="56"/>
  <c r="CC58" i="56"/>
  <c r="BV58" i="56"/>
  <c r="BP58" i="56"/>
  <c r="BQ58" i="56"/>
  <c r="CZ70" i="56"/>
  <c r="DA70" i="56"/>
  <c r="CT70" i="56"/>
  <c r="CU70" i="56"/>
  <c r="CN70" i="56"/>
  <c r="CH70" i="56"/>
  <c r="CI70" i="56"/>
  <c r="CB70" i="56"/>
  <c r="CC70" i="56"/>
  <c r="BP70" i="56"/>
  <c r="BQ70" i="56"/>
  <c r="BV70" i="56"/>
  <c r="CZ72" i="56"/>
  <c r="DA72" i="56"/>
  <c r="CT72" i="56"/>
  <c r="CU72" i="56"/>
  <c r="CN72" i="56"/>
  <c r="CH72" i="56"/>
  <c r="CI72" i="56"/>
  <c r="CB72" i="56"/>
  <c r="CC72" i="56"/>
  <c r="BV72" i="56"/>
  <c r="CZ74" i="56"/>
  <c r="DA74" i="56"/>
  <c r="CT74" i="56"/>
  <c r="CU74" i="56"/>
  <c r="CN74" i="56"/>
  <c r="CH74" i="56"/>
  <c r="CI74" i="56"/>
  <c r="CB74" i="56"/>
  <c r="CC74" i="56"/>
  <c r="BV74" i="56"/>
  <c r="CZ77" i="56"/>
  <c r="DA77" i="56"/>
  <c r="CN77" i="56"/>
  <c r="CT77" i="56"/>
  <c r="CU77" i="56"/>
  <c r="CH77" i="56"/>
  <c r="CI77" i="56"/>
  <c r="CB77" i="56"/>
  <c r="CC77" i="56"/>
  <c r="BP77" i="56"/>
  <c r="BQ77" i="56"/>
  <c r="CZ80" i="56"/>
  <c r="DA80" i="56"/>
  <c r="CT80" i="56"/>
  <c r="CU80" i="56"/>
  <c r="CN80" i="56"/>
  <c r="CH80" i="56"/>
  <c r="CI80" i="56"/>
  <c r="CB80" i="56"/>
  <c r="CC80" i="56"/>
  <c r="BV80" i="56"/>
  <c r="CZ83" i="56"/>
  <c r="DA83" i="56"/>
  <c r="CT83" i="56"/>
  <c r="CU83" i="56"/>
  <c r="CN83" i="56"/>
  <c r="CH83" i="56"/>
  <c r="CI83" i="56"/>
  <c r="CB83" i="56"/>
  <c r="CC83" i="56"/>
  <c r="BV83" i="56"/>
  <c r="BP83" i="56"/>
  <c r="BQ83" i="56"/>
  <c r="CZ84" i="56"/>
  <c r="DA84" i="56"/>
  <c r="CT84" i="56"/>
  <c r="CU84" i="56"/>
  <c r="CN84" i="56"/>
  <c r="CH84" i="56"/>
  <c r="CI84" i="56"/>
  <c r="CB84" i="56"/>
  <c r="CC84" i="56"/>
  <c r="BV84" i="56"/>
  <c r="CZ86" i="56"/>
  <c r="DA86" i="56"/>
  <c r="CT86" i="56"/>
  <c r="CU86" i="56"/>
  <c r="CN86" i="56"/>
  <c r="CH86" i="56"/>
  <c r="CI86" i="56"/>
  <c r="CB86" i="56"/>
  <c r="CC86" i="56"/>
  <c r="BV86" i="56"/>
  <c r="CZ89" i="56"/>
  <c r="DA89" i="56"/>
  <c r="CN89" i="56"/>
  <c r="CT89" i="56"/>
  <c r="CU89" i="56"/>
  <c r="CH89" i="56"/>
  <c r="CI89" i="56"/>
  <c r="CZ91" i="56"/>
  <c r="DA91" i="56"/>
  <c r="CN91" i="56"/>
  <c r="CT91" i="56"/>
  <c r="CU91" i="56"/>
  <c r="CH91" i="56"/>
  <c r="CI91" i="56"/>
  <c r="CB91" i="56"/>
  <c r="CC91" i="56"/>
  <c r="BV91" i="56"/>
  <c r="CZ93" i="56"/>
  <c r="DA93" i="56"/>
  <c r="CN93" i="56"/>
  <c r="CT93" i="56"/>
  <c r="CU93" i="56"/>
  <c r="CH93" i="56"/>
  <c r="CI93" i="56"/>
  <c r="CB93" i="56"/>
  <c r="CC93" i="56"/>
  <c r="CZ94" i="56"/>
  <c r="DA94" i="56"/>
  <c r="CT94" i="56"/>
  <c r="CU94" i="56"/>
  <c r="CN94" i="56"/>
  <c r="CH94" i="56"/>
  <c r="CI94" i="56"/>
  <c r="CB94" i="56"/>
  <c r="CC94" i="56"/>
  <c r="BP94" i="56"/>
  <c r="BQ94" i="56"/>
  <c r="BV94" i="56"/>
  <c r="CZ108" i="56"/>
  <c r="DA108" i="56"/>
  <c r="CT108" i="56"/>
  <c r="CU108" i="56"/>
  <c r="CN108" i="56"/>
  <c r="CH108" i="56"/>
  <c r="CI108" i="56"/>
  <c r="CB108" i="56"/>
  <c r="CC108" i="56"/>
  <c r="BV108" i="56"/>
  <c r="BP108" i="56"/>
  <c r="BQ108" i="56"/>
  <c r="CZ109" i="56"/>
  <c r="DA109" i="56"/>
  <c r="CN109" i="56"/>
  <c r="CT109" i="56"/>
  <c r="CU109" i="56"/>
  <c r="CH109" i="56"/>
  <c r="CI109" i="56"/>
  <c r="CB109" i="56"/>
  <c r="CC109" i="56"/>
  <c r="CZ112" i="56"/>
  <c r="DA112" i="56"/>
  <c r="CN112" i="56"/>
  <c r="CT112" i="56"/>
  <c r="CU112" i="56"/>
  <c r="CH112" i="56"/>
  <c r="CI112" i="56"/>
  <c r="CB112" i="56"/>
  <c r="CC112" i="56"/>
  <c r="BV112" i="56"/>
  <c r="BP112" i="56"/>
  <c r="BQ112" i="56"/>
  <c r="CZ113" i="56"/>
  <c r="DA113" i="56"/>
  <c r="CN113" i="56"/>
  <c r="CT113" i="56"/>
  <c r="CU113" i="56"/>
  <c r="CH113" i="56"/>
  <c r="CI113" i="56"/>
  <c r="CB113" i="56"/>
  <c r="CC113" i="56"/>
  <c r="CZ117" i="56"/>
  <c r="DA117" i="56"/>
  <c r="CN117" i="56"/>
  <c r="CT117" i="56"/>
  <c r="CU117" i="56"/>
  <c r="CH117" i="56"/>
  <c r="CI117" i="56"/>
  <c r="CB117" i="56"/>
  <c r="CC117" i="56"/>
  <c r="BP117" i="56"/>
  <c r="BQ117" i="56"/>
  <c r="CZ119" i="56"/>
  <c r="DA119" i="56"/>
  <c r="CT119" i="56"/>
  <c r="CU119" i="56"/>
  <c r="CN119" i="56"/>
  <c r="CH119" i="56"/>
  <c r="CI119" i="56"/>
  <c r="CB119" i="56"/>
  <c r="CC119" i="56"/>
  <c r="BV119" i="56"/>
  <c r="BP119" i="56"/>
  <c r="BQ119" i="56"/>
  <c r="CZ121" i="56"/>
  <c r="DA121" i="56"/>
  <c r="CN121" i="56"/>
  <c r="CT121" i="56"/>
  <c r="CU121" i="56"/>
  <c r="CH121" i="56"/>
  <c r="CI121" i="56"/>
  <c r="BP121" i="56"/>
  <c r="BQ121" i="56"/>
  <c r="CB121" i="56"/>
  <c r="CC121" i="56"/>
  <c r="CZ123" i="56"/>
  <c r="DA123" i="56"/>
  <c r="CT123" i="56"/>
  <c r="CU123" i="56"/>
  <c r="CN123" i="56"/>
  <c r="CH123" i="56"/>
  <c r="CI123" i="56"/>
  <c r="CB123" i="56"/>
  <c r="CC123" i="56"/>
  <c r="BV123" i="56"/>
  <c r="BP123" i="56"/>
  <c r="BQ123" i="56"/>
  <c r="CZ131" i="56"/>
  <c r="DA131" i="56"/>
  <c r="CT131" i="56"/>
  <c r="CU131" i="56"/>
  <c r="CN131" i="56"/>
  <c r="CH131" i="56"/>
  <c r="CI131" i="56"/>
  <c r="CB131" i="56"/>
  <c r="CC131" i="56"/>
  <c r="BV131" i="56"/>
  <c r="BP131" i="56"/>
  <c r="BQ131" i="56"/>
  <c r="CZ134" i="56"/>
  <c r="DA134" i="56"/>
  <c r="CT134" i="56"/>
  <c r="CU134" i="56"/>
  <c r="CN134" i="56"/>
  <c r="CH134" i="56"/>
  <c r="CI134" i="56"/>
  <c r="CB134" i="56"/>
  <c r="CC134" i="56"/>
  <c r="BV134" i="56"/>
  <c r="BP134" i="56"/>
  <c r="BQ134" i="56"/>
  <c r="CZ138" i="56"/>
  <c r="DA138" i="56"/>
  <c r="CT138" i="56"/>
  <c r="CU138" i="56"/>
  <c r="CN138" i="56"/>
  <c r="CH138" i="56"/>
  <c r="CI138" i="56"/>
  <c r="CB138" i="56"/>
  <c r="CC138" i="56"/>
  <c r="BV138" i="56"/>
  <c r="BP138" i="56"/>
  <c r="BQ138" i="56"/>
  <c r="CZ143" i="56"/>
  <c r="DA143" i="56"/>
  <c r="CT143" i="56"/>
  <c r="CU143" i="56"/>
  <c r="CN143" i="56"/>
  <c r="CH143" i="56"/>
  <c r="CI143" i="56"/>
  <c r="CB143" i="56"/>
  <c r="CC143" i="56"/>
  <c r="BV143" i="56"/>
  <c r="BP143" i="56"/>
  <c r="BQ143" i="56"/>
  <c r="CZ147" i="56"/>
  <c r="DA147" i="56"/>
  <c r="CT147" i="56"/>
  <c r="CU147" i="56"/>
  <c r="CN147" i="56"/>
  <c r="CH147" i="56"/>
  <c r="CI147" i="56"/>
  <c r="CB147" i="56"/>
  <c r="CC147" i="56"/>
  <c r="BV147" i="56"/>
  <c r="BP147" i="56"/>
  <c r="BQ147" i="56"/>
  <c r="CZ150" i="56"/>
  <c r="DA150" i="56"/>
  <c r="CT150" i="56"/>
  <c r="CU150" i="56"/>
  <c r="CN150" i="56"/>
  <c r="CH150" i="56"/>
  <c r="CI150" i="56"/>
  <c r="CB150" i="56"/>
  <c r="CC150" i="56"/>
  <c r="BV150" i="56"/>
  <c r="BP150" i="56"/>
  <c r="BQ150" i="56"/>
  <c r="CZ154" i="56"/>
  <c r="DA154" i="56"/>
  <c r="CT154" i="56"/>
  <c r="CU154" i="56"/>
  <c r="CN154" i="56"/>
  <c r="CH154" i="56"/>
  <c r="CI154" i="56"/>
  <c r="CB154" i="56"/>
  <c r="CC154" i="56"/>
  <c r="BV154" i="56"/>
  <c r="BP154" i="56"/>
  <c r="BQ154" i="56"/>
  <c r="CZ161" i="56"/>
  <c r="DA161" i="56"/>
  <c r="CN161" i="56"/>
  <c r="CT161" i="56"/>
  <c r="CU161" i="56"/>
  <c r="CH161" i="56"/>
  <c r="CI161" i="56"/>
  <c r="CB161" i="56"/>
  <c r="CC161" i="56"/>
  <c r="BP161" i="56"/>
  <c r="BQ161" i="56"/>
  <c r="CZ167" i="56"/>
  <c r="DA167" i="56"/>
  <c r="CT167" i="56"/>
  <c r="CU167" i="56"/>
  <c r="CN167" i="56"/>
  <c r="CH167" i="56"/>
  <c r="CI167" i="56"/>
  <c r="CB167" i="56"/>
  <c r="CC167" i="56"/>
  <c r="BV167" i="56"/>
  <c r="BP167" i="56"/>
  <c r="BQ167" i="56"/>
  <c r="CZ171" i="56"/>
  <c r="DA171" i="56"/>
  <c r="CT171" i="56"/>
  <c r="CU171" i="56"/>
  <c r="CN171" i="56"/>
  <c r="CH171" i="56"/>
  <c r="CI171" i="56"/>
  <c r="CB171" i="56"/>
  <c r="CC171" i="56"/>
  <c r="BV171" i="56"/>
  <c r="BP171" i="56"/>
  <c r="BQ171" i="56"/>
  <c r="CZ175" i="56"/>
  <c r="DA175" i="56"/>
  <c r="CT175" i="56"/>
  <c r="CU175" i="56"/>
  <c r="CN175" i="56"/>
  <c r="CH175" i="56"/>
  <c r="CI175" i="56"/>
  <c r="CB175" i="56"/>
  <c r="CC175" i="56"/>
  <c r="BV175" i="56"/>
  <c r="BP175" i="56"/>
  <c r="BQ175" i="56"/>
  <c r="CZ181" i="56"/>
  <c r="DA181" i="56"/>
  <c r="CN181" i="56"/>
  <c r="CT181" i="56"/>
  <c r="CU181" i="56"/>
  <c r="CH181" i="56"/>
  <c r="CI181" i="56"/>
  <c r="CB181" i="56"/>
  <c r="CC181" i="56"/>
  <c r="BP181" i="56"/>
  <c r="BQ181" i="56"/>
  <c r="CZ188" i="56"/>
  <c r="DA188" i="56"/>
  <c r="CT188" i="56"/>
  <c r="CU188" i="56"/>
  <c r="CN188" i="56"/>
  <c r="CH188" i="56"/>
  <c r="CI188" i="56"/>
  <c r="CB188" i="56"/>
  <c r="CC188" i="56"/>
  <c r="BP188" i="56"/>
  <c r="BQ188" i="56"/>
  <c r="BV188" i="56"/>
  <c r="CZ194" i="56"/>
  <c r="DA194" i="56"/>
  <c r="CT194" i="56"/>
  <c r="CU194" i="56"/>
  <c r="CN194" i="56"/>
  <c r="CH194" i="56"/>
  <c r="CI194" i="56"/>
  <c r="CB194" i="56"/>
  <c r="CC194" i="56"/>
  <c r="BV194" i="56"/>
  <c r="BP194" i="56"/>
  <c r="BQ194" i="56"/>
  <c r="CZ198" i="56"/>
  <c r="DA198" i="56"/>
  <c r="CT198" i="56"/>
  <c r="CU198" i="56"/>
  <c r="CN198" i="56"/>
  <c r="CH198" i="56"/>
  <c r="CI198" i="56"/>
  <c r="CB198" i="56"/>
  <c r="CC198" i="56"/>
  <c r="BV198" i="56"/>
  <c r="BP198" i="56"/>
  <c r="BQ198" i="56"/>
  <c r="CZ200" i="56"/>
  <c r="DA200" i="56"/>
  <c r="CT200" i="56"/>
  <c r="CU200" i="56"/>
  <c r="CN200" i="56"/>
  <c r="CH200" i="56"/>
  <c r="CI200" i="56"/>
  <c r="CB200" i="56"/>
  <c r="CC200" i="56"/>
  <c r="BP200" i="56"/>
  <c r="BQ200" i="56"/>
  <c r="BV200" i="56"/>
  <c r="CZ206" i="56"/>
  <c r="DA206" i="56"/>
  <c r="CT206" i="56"/>
  <c r="CU206" i="56"/>
  <c r="CN206" i="56"/>
  <c r="CH206" i="56"/>
  <c r="CI206" i="56"/>
  <c r="CB206" i="56"/>
  <c r="CC206" i="56"/>
  <c r="BV206" i="56"/>
  <c r="BP206" i="56"/>
  <c r="BQ206" i="56"/>
  <c r="CZ208" i="56"/>
  <c r="DA208" i="56"/>
  <c r="CT208" i="56"/>
  <c r="CU208" i="56"/>
  <c r="CN208" i="56"/>
  <c r="CH208" i="56"/>
  <c r="CI208" i="56"/>
  <c r="BV208" i="56"/>
  <c r="CB208" i="56"/>
  <c r="CC208" i="56"/>
  <c r="BP208" i="56"/>
  <c r="BQ208" i="56"/>
  <c r="CZ218" i="56"/>
  <c r="DA218" i="56"/>
  <c r="CT218" i="56"/>
  <c r="CU218" i="56"/>
  <c r="CN218" i="56"/>
  <c r="CH218" i="56"/>
  <c r="CI218" i="56"/>
  <c r="CB218" i="56"/>
  <c r="CC218" i="56"/>
  <c r="BV218" i="56"/>
  <c r="BP218" i="56"/>
  <c r="BQ218" i="56"/>
  <c r="CZ223" i="56"/>
  <c r="DA223" i="56"/>
  <c r="CT223" i="56"/>
  <c r="CU223" i="56"/>
  <c r="CH223" i="56"/>
  <c r="CI223" i="56"/>
  <c r="CN223" i="56"/>
  <c r="CB223" i="56"/>
  <c r="CC223" i="56"/>
  <c r="BV223" i="56"/>
  <c r="BP223" i="56"/>
  <c r="BQ223" i="56"/>
  <c r="CZ228" i="56"/>
  <c r="DA228" i="56"/>
  <c r="CT228" i="56"/>
  <c r="CU228" i="56"/>
  <c r="CN228" i="56"/>
  <c r="CH228" i="56"/>
  <c r="CI228" i="56"/>
  <c r="BV228" i="56"/>
  <c r="CB228" i="56"/>
  <c r="CC228" i="56"/>
  <c r="BP228" i="56"/>
  <c r="BQ228" i="56"/>
  <c r="CZ237" i="56"/>
  <c r="DA237" i="56"/>
  <c r="CT237" i="56"/>
  <c r="CU237" i="56"/>
  <c r="CN237" i="56"/>
  <c r="BV237" i="56"/>
  <c r="CH237" i="56"/>
  <c r="CI237" i="56"/>
  <c r="CB237" i="56"/>
  <c r="CC237" i="56"/>
  <c r="BP237" i="56"/>
  <c r="BQ237" i="56"/>
  <c r="CZ241" i="56"/>
  <c r="DA241" i="56"/>
  <c r="CT241" i="56"/>
  <c r="CU241" i="56"/>
  <c r="CN241" i="56"/>
  <c r="CH241" i="56"/>
  <c r="CI241" i="56"/>
  <c r="BV241" i="56"/>
  <c r="BP241" i="56"/>
  <c r="BQ241" i="56"/>
  <c r="CB241" i="56"/>
  <c r="CC241" i="56"/>
  <c r="CZ249" i="56"/>
  <c r="DA249" i="56"/>
  <c r="CT249" i="56"/>
  <c r="CU249" i="56"/>
  <c r="CN249" i="56"/>
  <c r="CH249" i="56"/>
  <c r="CI249" i="56"/>
  <c r="CB249" i="56"/>
  <c r="CC249" i="56"/>
  <c r="BV249" i="56"/>
  <c r="BP249" i="56"/>
  <c r="BQ249" i="56"/>
  <c r="CZ251" i="56"/>
  <c r="DA251" i="56"/>
  <c r="CT251" i="56"/>
  <c r="CU251" i="56"/>
  <c r="CN251" i="56"/>
  <c r="CH251" i="56"/>
  <c r="CI251" i="56"/>
  <c r="CB251" i="56"/>
  <c r="CC251" i="56"/>
  <c r="BV251" i="56"/>
  <c r="BP251" i="56"/>
  <c r="BQ251" i="56"/>
  <c r="CZ253" i="56"/>
  <c r="DA253" i="56"/>
  <c r="CT253" i="56"/>
  <c r="CU253" i="56"/>
  <c r="CN253" i="56"/>
  <c r="BV253" i="56"/>
  <c r="CH253" i="56"/>
  <c r="CI253" i="56"/>
  <c r="CB253" i="56"/>
  <c r="CC253" i="56"/>
  <c r="BP253" i="56"/>
  <c r="BQ253" i="56"/>
  <c r="CZ261" i="56"/>
  <c r="DA261" i="56"/>
  <c r="CT261" i="56"/>
  <c r="CU261" i="56"/>
  <c r="CN261" i="56"/>
  <c r="CH261" i="56"/>
  <c r="CI261" i="56"/>
  <c r="CB261" i="56"/>
  <c r="CC261" i="56"/>
  <c r="BV261" i="56"/>
  <c r="BP261" i="56"/>
  <c r="BQ261" i="56"/>
  <c r="CZ265" i="56"/>
  <c r="DA265" i="56"/>
  <c r="CT265" i="56"/>
  <c r="CU265" i="56"/>
  <c r="CN265" i="56"/>
  <c r="CH265" i="56"/>
  <c r="CI265" i="56"/>
  <c r="CB265" i="56"/>
  <c r="CC265" i="56"/>
  <c r="BV265" i="56"/>
  <c r="BP265" i="56"/>
  <c r="BQ265" i="56"/>
  <c r="CZ269" i="56"/>
  <c r="DA269" i="56"/>
  <c r="CT269" i="56"/>
  <c r="CU269" i="56"/>
  <c r="CN269" i="56"/>
  <c r="CH269" i="56"/>
  <c r="CI269" i="56"/>
  <c r="CB269" i="56"/>
  <c r="CC269" i="56"/>
  <c r="BV269" i="56"/>
  <c r="BP269" i="56"/>
  <c r="BQ269" i="56"/>
  <c r="CZ273" i="56"/>
  <c r="DA273" i="56"/>
  <c r="CT273" i="56"/>
  <c r="CU273" i="56"/>
  <c r="CN273" i="56"/>
  <c r="CH273" i="56"/>
  <c r="CI273" i="56"/>
  <c r="CB273" i="56"/>
  <c r="CC273" i="56"/>
  <c r="BV273" i="56"/>
  <c r="BP273" i="56"/>
  <c r="BQ273" i="56"/>
  <c r="CZ280" i="56"/>
  <c r="DA280" i="56"/>
  <c r="CT280" i="56"/>
  <c r="CU280" i="56"/>
  <c r="CN280" i="56"/>
  <c r="CH280" i="56"/>
  <c r="CI280" i="56"/>
  <c r="CB280" i="56"/>
  <c r="CC280" i="56"/>
  <c r="BV280" i="56"/>
  <c r="BP280" i="56"/>
  <c r="BQ280" i="56"/>
  <c r="CZ288" i="56"/>
  <c r="DA288" i="56"/>
  <c r="CT288" i="56"/>
  <c r="CU288" i="56"/>
  <c r="CN288" i="56"/>
  <c r="CH288" i="56"/>
  <c r="CI288" i="56"/>
  <c r="CB288" i="56"/>
  <c r="CC288" i="56"/>
  <c r="BV288" i="56"/>
  <c r="BP288" i="56"/>
  <c r="BQ288" i="56"/>
  <c r="CZ290" i="56"/>
  <c r="DA290" i="56"/>
  <c r="CT290" i="56"/>
  <c r="CU290" i="56"/>
  <c r="CN290" i="56"/>
  <c r="CH290" i="56"/>
  <c r="CI290" i="56"/>
  <c r="CB290" i="56"/>
  <c r="CC290" i="56"/>
  <c r="BV290" i="56"/>
  <c r="BP290" i="56"/>
  <c r="BQ290" i="56"/>
  <c r="CZ294" i="56"/>
  <c r="DA294" i="56"/>
  <c r="CT294" i="56"/>
  <c r="CU294" i="56"/>
  <c r="CN294" i="56"/>
  <c r="CH294" i="56"/>
  <c r="CI294" i="56"/>
  <c r="CB294" i="56"/>
  <c r="CC294" i="56"/>
  <c r="BV294" i="56"/>
  <c r="BP294" i="56"/>
  <c r="BQ294" i="56"/>
  <c r="CZ297" i="56"/>
  <c r="DA297" i="56"/>
  <c r="CT297" i="56"/>
  <c r="CU297" i="56"/>
  <c r="CN297" i="56"/>
  <c r="CH297" i="56"/>
  <c r="CI297" i="56"/>
  <c r="CB297" i="56"/>
  <c r="CC297" i="56"/>
  <c r="BV297" i="56"/>
  <c r="BP297" i="56"/>
  <c r="BQ297" i="56"/>
  <c r="CZ299" i="56"/>
  <c r="DA299" i="56"/>
  <c r="CT299" i="56"/>
  <c r="CU299" i="56"/>
  <c r="CH299" i="56"/>
  <c r="CI299" i="56"/>
  <c r="CB299" i="56"/>
  <c r="CC299" i="56"/>
  <c r="CN299" i="56"/>
  <c r="BV299" i="56"/>
  <c r="BP299" i="56"/>
  <c r="BQ299" i="56"/>
  <c r="CZ301" i="56"/>
  <c r="DA301" i="56"/>
  <c r="CT301" i="56"/>
  <c r="CU301" i="56"/>
  <c r="CN301" i="56"/>
  <c r="CH301" i="56"/>
  <c r="CI301" i="56"/>
  <c r="CB301" i="56"/>
  <c r="CC301" i="56"/>
  <c r="BV301" i="56"/>
  <c r="BP301" i="56"/>
  <c r="BQ301" i="56"/>
  <c r="CZ303" i="56"/>
  <c r="DA303" i="56"/>
  <c r="CT303" i="56"/>
  <c r="CU303" i="56"/>
  <c r="CH303" i="56"/>
  <c r="CI303" i="56"/>
  <c r="CN303" i="56"/>
  <c r="CB303" i="56"/>
  <c r="CC303" i="56"/>
  <c r="BV303" i="56"/>
  <c r="BP303" i="56"/>
  <c r="BQ303" i="56"/>
  <c r="CZ310" i="56"/>
  <c r="DA310" i="56"/>
  <c r="CT310" i="56"/>
  <c r="CU310" i="56"/>
  <c r="CN310" i="56"/>
  <c r="CH310" i="56"/>
  <c r="CI310" i="56"/>
  <c r="CB310" i="56"/>
  <c r="CC310" i="56"/>
  <c r="BV310" i="56"/>
  <c r="BP310" i="56"/>
  <c r="BQ310" i="56"/>
  <c r="CZ312" i="56"/>
  <c r="DA312" i="56"/>
  <c r="CT312" i="56"/>
  <c r="CU312" i="56"/>
  <c r="CN312" i="56"/>
  <c r="CH312" i="56"/>
  <c r="CI312" i="56"/>
  <c r="BV312" i="56"/>
  <c r="CB312" i="56"/>
  <c r="CC312" i="56"/>
  <c r="BP312" i="56"/>
  <c r="BQ312" i="56"/>
  <c r="CZ328" i="56"/>
  <c r="DA328" i="56"/>
  <c r="CT328" i="56"/>
  <c r="CU328" i="56"/>
  <c r="CN328" i="56"/>
  <c r="CH328" i="56"/>
  <c r="CI328" i="56"/>
  <c r="BV328" i="56"/>
  <c r="CB328" i="56"/>
  <c r="CC328" i="56"/>
  <c r="BP328" i="56"/>
  <c r="BQ328" i="56"/>
  <c r="CZ330" i="56"/>
  <c r="DA330" i="56"/>
  <c r="CT330" i="56"/>
  <c r="CU330" i="56"/>
  <c r="CN330" i="56"/>
  <c r="CH330" i="56"/>
  <c r="CI330" i="56"/>
  <c r="CB330" i="56"/>
  <c r="CC330" i="56"/>
  <c r="BP330" i="56"/>
  <c r="BQ330" i="56"/>
  <c r="CZ339" i="56"/>
  <c r="DA339" i="56"/>
  <c r="CT339" i="56"/>
  <c r="CU339" i="56"/>
  <c r="CN339" i="56"/>
  <c r="CH339" i="56"/>
  <c r="CI339" i="56"/>
  <c r="CB339" i="56"/>
  <c r="CC339" i="56"/>
  <c r="BV339" i="56"/>
  <c r="BP339" i="56"/>
  <c r="BQ339" i="56"/>
  <c r="CZ342" i="56"/>
  <c r="DA342" i="56"/>
  <c r="CT342" i="56"/>
  <c r="CU342" i="56"/>
  <c r="CN342" i="56"/>
  <c r="CH342" i="56"/>
  <c r="CI342" i="56"/>
  <c r="CB342" i="56"/>
  <c r="CC342" i="56"/>
  <c r="BV342" i="56"/>
  <c r="BP342" i="56"/>
  <c r="BQ342" i="56"/>
  <c r="CZ347" i="56"/>
  <c r="DA347" i="56"/>
  <c r="CT347" i="56"/>
  <c r="CU347" i="56"/>
  <c r="CN347" i="56"/>
  <c r="CH347" i="56"/>
  <c r="CI347" i="56"/>
  <c r="CB347" i="56"/>
  <c r="CC347" i="56"/>
  <c r="BV347" i="56"/>
  <c r="BP347" i="56"/>
  <c r="BQ347" i="56"/>
  <c r="CZ351" i="56"/>
  <c r="DA351" i="56"/>
  <c r="CT351" i="56"/>
  <c r="CU351" i="56"/>
  <c r="CH351" i="56"/>
  <c r="CI351" i="56"/>
  <c r="CB351" i="56"/>
  <c r="CC351" i="56"/>
  <c r="CN351" i="56"/>
  <c r="BV351" i="56"/>
  <c r="BP351" i="56"/>
  <c r="BQ351" i="56"/>
  <c r="CZ359" i="56"/>
  <c r="DA359" i="56"/>
  <c r="CT359" i="56"/>
  <c r="CU359" i="56"/>
  <c r="CN359" i="56"/>
  <c r="CH359" i="56"/>
  <c r="CI359" i="56"/>
  <c r="CB359" i="56"/>
  <c r="CC359" i="56"/>
  <c r="BV359" i="56"/>
  <c r="BP359" i="56"/>
  <c r="BQ359" i="56"/>
  <c r="CZ361" i="56"/>
  <c r="DA361" i="56"/>
  <c r="CT361" i="56"/>
  <c r="CU361" i="56"/>
  <c r="CN361" i="56"/>
  <c r="CH361" i="56"/>
  <c r="CI361" i="56"/>
  <c r="CB361" i="56"/>
  <c r="CC361" i="56"/>
  <c r="BV361" i="56"/>
  <c r="BP361" i="56"/>
  <c r="BQ361" i="56"/>
  <c r="CZ370" i="56"/>
  <c r="DA370" i="56"/>
  <c r="CT370" i="56"/>
  <c r="CU370" i="56"/>
  <c r="CN370" i="56"/>
  <c r="CH370" i="56"/>
  <c r="CI370" i="56"/>
  <c r="CB370" i="56"/>
  <c r="CC370" i="56"/>
  <c r="BP370" i="56"/>
  <c r="BQ370" i="56"/>
  <c r="CZ371" i="56"/>
  <c r="DA371" i="56"/>
  <c r="CT371" i="56"/>
  <c r="CU371" i="56"/>
  <c r="CH371" i="56"/>
  <c r="CI371" i="56"/>
  <c r="CN371" i="56"/>
  <c r="CB371" i="56"/>
  <c r="CC371" i="56"/>
  <c r="BV371" i="56"/>
  <c r="BP371" i="56"/>
  <c r="BQ371" i="56"/>
  <c r="CZ380" i="56"/>
  <c r="DA380" i="56"/>
  <c r="CT380" i="56"/>
  <c r="CU380" i="56"/>
  <c r="CN380" i="56"/>
  <c r="CH380" i="56"/>
  <c r="CI380" i="56"/>
  <c r="CB380" i="56"/>
  <c r="CC380" i="56"/>
  <c r="BV380" i="56"/>
  <c r="BP380" i="56"/>
  <c r="BQ380" i="56"/>
  <c r="CZ382" i="56"/>
  <c r="DA382" i="56"/>
  <c r="CT382" i="56"/>
  <c r="CU382" i="56"/>
  <c r="CH382" i="56"/>
  <c r="CI382" i="56"/>
  <c r="CN382" i="56"/>
  <c r="CB382" i="56"/>
  <c r="CC382" i="56"/>
  <c r="BV382" i="56"/>
  <c r="BP382" i="56"/>
  <c r="BQ382" i="56"/>
  <c r="CZ384" i="56"/>
  <c r="DA384" i="56"/>
  <c r="CT384" i="56"/>
  <c r="CU384" i="56"/>
  <c r="CN384" i="56"/>
  <c r="CH384" i="56"/>
  <c r="CI384" i="56"/>
  <c r="CB384" i="56"/>
  <c r="CC384" i="56"/>
  <c r="BV384" i="56"/>
  <c r="BP384" i="56"/>
  <c r="BQ384" i="56"/>
  <c r="CZ386" i="56"/>
  <c r="DA386" i="56"/>
  <c r="CT386" i="56"/>
  <c r="CU386" i="56"/>
  <c r="CH386" i="56"/>
  <c r="CI386" i="56"/>
  <c r="CN386" i="56"/>
  <c r="CB386" i="56"/>
  <c r="CC386" i="56"/>
  <c r="BV386" i="56"/>
  <c r="BP386" i="56"/>
  <c r="BQ386" i="56"/>
  <c r="CZ388" i="56"/>
  <c r="DA388" i="56"/>
  <c r="CT388" i="56"/>
  <c r="CU388" i="56"/>
  <c r="CN388" i="56"/>
  <c r="CB388" i="56"/>
  <c r="CC388" i="56"/>
  <c r="CH388" i="56"/>
  <c r="CI388" i="56"/>
  <c r="BV388" i="56"/>
  <c r="BP388" i="56"/>
  <c r="BQ388" i="56"/>
  <c r="CZ390" i="56"/>
  <c r="DA390" i="56"/>
  <c r="CT390" i="56"/>
  <c r="CU390" i="56"/>
  <c r="CH390" i="56"/>
  <c r="CI390" i="56"/>
  <c r="CN390" i="56"/>
  <c r="CB390" i="56"/>
  <c r="CC390" i="56"/>
  <c r="BV390" i="56"/>
  <c r="BP390" i="56"/>
  <c r="BQ390" i="56"/>
  <c r="CZ392" i="56"/>
  <c r="DA392" i="56"/>
  <c r="CT392" i="56"/>
  <c r="CU392" i="56"/>
  <c r="CN392" i="56"/>
  <c r="CH392" i="56"/>
  <c r="CI392" i="56"/>
  <c r="CB392" i="56"/>
  <c r="CC392" i="56"/>
  <c r="BV392" i="56"/>
  <c r="BP392" i="56"/>
  <c r="BQ392" i="56"/>
  <c r="CZ394" i="56"/>
  <c r="DA394" i="56"/>
  <c r="CT394" i="56"/>
  <c r="CU394" i="56"/>
  <c r="CH394" i="56"/>
  <c r="CI394" i="56"/>
  <c r="CN394" i="56"/>
  <c r="CB394" i="56"/>
  <c r="CC394" i="56"/>
  <c r="BP394" i="56"/>
  <c r="BQ394" i="56"/>
  <c r="AL218" i="56"/>
  <c r="AM218" i="56"/>
  <c r="AL241" i="56"/>
  <c r="AM241" i="56"/>
  <c r="AL249" i="56"/>
  <c r="AM249" i="56"/>
  <c r="AL261" i="56"/>
  <c r="AM261" i="56"/>
  <c r="AL265" i="56"/>
  <c r="AM265" i="56"/>
  <c r="AL278" i="56"/>
  <c r="AM278" i="56"/>
  <c r="AL292" i="56"/>
  <c r="AM292" i="56"/>
  <c r="AL310" i="56"/>
  <c r="AM310" i="56"/>
  <c r="AR88" i="56"/>
  <c r="AR108" i="56"/>
  <c r="AR204" i="56"/>
  <c r="AR280" i="56"/>
  <c r="AR320" i="56"/>
  <c r="AR347" i="56"/>
  <c r="AX72" i="56"/>
  <c r="AY72" i="56"/>
  <c r="BP82" i="56"/>
  <c r="BQ82" i="56"/>
  <c r="BP111" i="56"/>
  <c r="BQ111" i="56"/>
  <c r="BV85" i="56"/>
  <c r="BV121" i="56"/>
  <c r="BV129" i="56"/>
  <c r="BV161" i="56"/>
  <c r="CB81" i="56"/>
  <c r="CC81" i="56"/>
  <c r="CZ348" i="56"/>
  <c r="DA348" i="56"/>
  <c r="CT348" i="56"/>
  <c r="CU348" i="56"/>
  <c r="CN348" i="56"/>
  <c r="CH348" i="56"/>
  <c r="CI348" i="56"/>
  <c r="CB348" i="56"/>
  <c r="CC348" i="56"/>
  <c r="BV348" i="56"/>
  <c r="BP348" i="56"/>
  <c r="BQ348" i="56"/>
  <c r="CZ353" i="56"/>
  <c r="DA353" i="56"/>
  <c r="CT353" i="56"/>
  <c r="CU353" i="56"/>
  <c r="CN353" i="56"/>
  <c r="CH353" i="56"/>
  <c r="CI353" i="56"/>
  <c r="CB353" i="56"/>
  <c r="CC353" i="56"/>
  <c r="BV353" i="56"/>
  <c r="BP353" i="56"/>
  <c r="BQ353" i="56"/>
  <c r="CZ356" i="56"/>
  <c r="DA356" i="56"/>
  <c r="CT356" i="56"/>
  <c r="CU356" i="56"/>
  <c r="CN356" i="56"/>
  <c r="CH356" i="56"/>
  <c r="CI356" i="56"/>
  <c r="CB356" i="56"/>
  <c r="CC356" i="56"/>
  <c r="BV356" i="56"/>
  <c r="BP356" i="56"/>
  <c r="BQ356" i="56"/>
  <c r="CZ360" i="56"/>
  <c r="DA360" i="56"/>
  <c r="CT360" i="56"/>
  <c r="CU360" i="56"/>
  <c r="CN360" i="56"/>
  <c r="CH360" i="56"/>
  <c r="CI360" i="56"/>
  <c r="CB360" i="56"/>
  <c r="CC360" i="56"/>
  <c r="BV360" i="56"/>
  <c r="BP360" i="56"/>
  <c r="BQ360" i="56"/>
  <c r="CZ362" i="56"/>
  <c r="DA362" i="56"/>
  <c r="CT362" i="56"/>
  <c r="CU362" i="56"/>
  <c r="CN362" i="56"/>
  <c r="CH362" i="56"/>
  <c r="CI362" i="56"/>
  <c r="CB362" i="56"/>
  <c r="CC362" i="56"/>
  <c r="BP362" i="56"/>
  <c r="BQ362" i="56"/>
  <c r="CZ364" i="56"/>
  <c r="DA364" i="56"/>
  <c r="CT364" i="56"/>
  <c r="CU364" i="56"/>
  <c r="CN364" i="56"/>
  <c r="CH364" i="56"/>
  <c r="CI364" i="56"/>
  <c r="CB364" i="56"/>
  <c r="CC364" i="56"/>
  <c r="BV364" i="56"/>
  <c r="BP364" i="56"/>
  <c r="BQ364" i="56"/>
  <c r="CZ373" i="56"/>
  <c r="DA373" i="56"/>
  <c r="CT373" i="56"/>
  <c r="CU373" i="56"/>
  <c r="CN373" i="56"/>
  <c r="CH373" i="56"/>
  <c r="CI373" i="56"/>
  <c r="BV373" i="56"/>
  <c r="CB373" i="56"/>
  <c r="CC373" i="56"/>
  <c r="CZ379" i="56"/>
  <c r="DA379" i="56"/>
  <c r="CT379" i="56"/>
  <c r="CU379" i="56"/>
  <c r="CH379" i="56"/>
  <c r="CI379" i="56"/>
  <c r="CN379" i="56"/>
  <c r="CB379" i="56"/>
  <c r="CC379" i="56"/>
  <c r="BV379" i="56"/>
  <c r="BP379" i="56"/>
  <c r="BQ379" i="56"/>
  <c r="AL73" i="56"/>
  <c r="AM73" i="56"/>
  <c r="AL119" i="56"/>
  <c r="AM119" i="56"/>
  <c r="AL123" i="56"/>
  <c r="AM123" i="56"/>
  <c r="AL129" i="56"/>
  <c r="AM129" i="56"/>
  <c r="AL143" i="56"/>
  <c r="AM143" i="56"/>
  <c r="AL161" i="56"/>
  <c r="AM161" i="56"/>
  <c r="AL198" i="56"/>
  <c r="AM198" i="56"/>
  <c r="AL208" i="56"/>
  <c r="AM208" i="56"/>
  <c r="AL223" i="56"/>
  <c r="AM223" i="56"/>
  <c r="AL379" i="56"/>
  <c r="AM379" i="56"/>
  <c r="AL384" i="56"/>
  <c r="AM384" i="56"/>
  <c r="AL388" i="56"/>
  <c r="AM388" i="56"/>
  <c r="AL394" i="56"/>
  <c r="AM394" i="56"/>
  <c r="AR58" i="56"/>
  <c r="AS58" i="56"/>
  <c r="AR72" i="56"/>
  <c r="AR115" i="56"/>
  <c r="AR188" i="56"/>
  <c r="AR303" i="56"/>
  <c r="AR312" i="56"/>
  <c r="AR364" i="56"/>
  <c r="AR384" i="56"/>
  <c r="AX84" i="56"/>
  <c r="AY84" i="56"/>
  <c r="AX141" i="56"/>
  <c r="AY141" i="56"/>
  <c r="AX188" i="56"/>
  <c r="AY188" i="56"/>
  <c r="BP72" i="56"/>
  <c r="BQ72" i="56"/>
  <c r="BP84" i="56"/>
  <c r="BQ84" i="56"/>
  <c r="BP89" i="56"/>
  <c r="BQ89" i="56"/>
  <c r="BP113" i="56"/>
  <c r="BQ113" i="56"/>
  <c r="BV24" i="56"/>
  <c r="BW24" i="56"/>
  <c r="BV89" i="56"/>
  <c r="BV109" i="56"/>
  <c r="BV330" i="56"/>
  <c r="CZ52" i="56"/>
  <c r="DA52" i="56"/>
  <c r="CT52" i="56"/>
  <c r="CU52" i="56"/>
  <c r="CN52" i="56"/>
  <c r="CB52" i="56"/>
  <c r="CC52" i="56"/>
  <c r="CH52" i="56"/>
  <c r="CI52" i="56"/>
  <c r="BV52" i="56"/>
  <c r="BP52" i="56"/>
  <c r="BQ52" i="56"/>
  <c r="CZ71" i="56"/>
  <c r="DA71" i="56"/>
  <c r="CT71" i="56"/>
  <c r="CU71" i="56"/>
  <c r="CN71" i="56"/>
  <c r="CH71" i="56"/>
  <c r="CI71" i="56"/>
  <c r="CB71" i="56"/>
  <c r="CC71" i="56"/>
  <c r="BV71" i="56"/>
  <c r="CZ73" i="56"/>
  <c r="DA73" i="56"/>
  <c r="CN73" i="56"/>
  <c r="CT73" i="56"/>
  <c r="CU73" i="56"/>
  <c r="CH73" i="56"/>
  <c r="CI73" i="56"/>
  <c r="CB73" i="56"/>
  <c r="CC73" i="56"/>
  <c r="BP73" i="56"/>
  <c r="BQ73" i="56"/>
  <c r="CZ78" i="56"/>
  <c r="DA78" i="56"/>
  <c r="CT78" i="56"/>
  <c r="CU78" i="56"/>
  <c r="CN78" i="56"/>
  <c r="CH78" i="56"/>
  <c r="CI78" i="56"/>
  <c r="CB78" i="56"/>
  <c r="CC78" i="56"/>
  <c r="BV78" i="56"/>
  <c r="CZ81" i="56"/>
  <c r="DA81" i="56"/>
  <c r="CN81" i="56"/>
  <c r="CT81" i="56"/>
  <c r="CU81" i="56"/>
  <c r="CH81" i="56"/>
  <c r="CI81" i="56"/>
  <c r="BP81" i="56"/>
  <c r="BQ81" i="56"/>
  <c r="CZ82" i="56"/>
  <c r="DA82" i="56"/>
  <c r="CT82" i="56"/>
  <c r="CU82" i="56"/>
  <c r="CN82" i="56"/>
  <c r="CH82" i="56"/>
  <c r="CI82" i="56"/>
  <c r="CB82" i="56"/>
  <c r="CC82" i="56"/>
  <c r="BV82" i="56"/>
  <c r="CZ85" i="56"/>
  <c r="DA85" i="56"/>
  <c r="CN85" i="56"/>
  <c r="CT85" i="56"/>
  <c r="CU85" i="56"/>
  <c r="CH85" i="56"/>
  <c r="CI85" i="56"/>
  <c r="CB85" i="56"/>
  <c r="CC85" i="56"/>
  <c r="BP85" i="56"/>
  <c r="BQ85" i="56"/>
  <c r="CZ87" i="56"/>
  <c r="DA87" i="56"/>
  <c r="CT87" i="56"/>
  <c r="CU87" i="56"/>
  <c r="CN87" i="56"/>
  <c r="CH87" i="56"/>
  <c r="CI87" i="56"/>
  <c r="CB87" i="56"/>
  <c r="CC87" i="56"/>
  <c r="BV87" i="56"/>
  <c r="BP87" i="56"/>
  <c r="BQ87" i="56"/>
  <c r="CZ88" i="56"/>
  <c r="DA88" i="56"/>
  <c r="CT88" i="56"/>
  <c r="CU88" i="56"/>
  <c r="CN88" i="56"/>
  <c r="CH88" i="56"/>
  <c r="CI88" i="56"/>
  <c r="CB88" i="56"/>
  <c r="CC88" i="56"/>
  <c r="BV88" i="56"/>
  <c r="CZ90" i="56"/>
  <c r="DA90" i="56"/>
  <c r="CT90" i="56"/>
  <c r="CU90" i="56"/>
  <c r="CN90" i="56"/>
  <c r="CH90" i="56"/>
  <c r="CI90" i="56"/>
  <c r="CB90" i="56"/>
  <c r="CC90" i="56"/>
  <c r="BP90" i="56"/>
  <c r="BQ90" i="56"/>
  <c r="BV90" i="56"/>
  <c r="CZ92" i="56"/>
  <c r="DA92" i="56"/>
  <c r="CT92" i="56"/>
  <c r="CU92" i="56"/>
  <c r="CN92" i="56"/>
  <c r="CH92" i="56"/>
  <c r="CI92" i="56"/>
  <c r="CB92" i="56"/>
  <c r="CC92" i="56"/>
  <c r="BP92" i="56"/>
  <c r="BQ92" i="56"/>
  <c r="BV92" i="56"/>
  <c r="CZ104" i="56"/>
  <c r="DA104" i="56"/>
  <c r="CT104" i="56"/>
  <c r="CU104" i="56"/>
  <c r="CN104" i="56"/>
  <c r="CH104" i="56"/>
  <c r="CI104" i="56"/>
  <c r="CB104" i="56"/>
  <c r="CC104" i="56"/>
  <c r="BV104" i="56"/>
  <c r="BP104" i="56"/>
  <c r="BQ104" i="56"/>
  <c r="CZ107" i="56"/>
  <c r="DA107" i="56"/>
  <c r="CN107" i="56"/>
  <c r="CH107" i="56"/>
  <c r="CI107" i="56"/>
  <c r="CT107" i="56"/>
  <c r="CU107" i="56"/>
  <c r="CB107" i="56"/>
  <c r="CC107" i="56"/>
  <c r="BV107" i="56"/>
  <c r="CZ110" i="56"/>
  <c r="DA110" i="56"/>
  <c r="CT110" i="56"/>
  <c r="CU110" i="56"/>
  <c r="CN110" i="56"/>
  <c r="CH110" i="56"/>
  <c r="CI110" i="56"/>
  <c r="CB110" i="56"/>
  <c r="CC110" i="56"/>
  <c r="BV110" i="56"/>
  <c r="BP110" i="56"/>
  <c r="BQ110" i="56"/>
  <c r="CZ111" i="56"/>
  <c r="DA111" i="56"/>
  <c r="CT111" i="56"/>
  <c r="CU111" i="56"/>
  <c r="CH111" i="56"/>
  <c r="CI111" i="56"/>
  <c r="CN111" i="56"/>
  <c r="CB111" i="56"/>
  <c r="CC111" i="56"/>
  <c r="BV111" i="56"/>
  <c r="CZ114" i="56"/>
  <c r="DA114" i="56"/>
  <c r="CT114" i="56"/>
  <c r="CU114" i="56"/>
  <c r="CN114" i="56"/>
  <c r="CH114" i="56"/>
  <c r="CI114" i="56"/>
  <c r="CB114" i="56"/>
  <c r="CC114" i="56"/>
  <c r="BV114" i="56"/>
  <c r="BP114" i="56"/>
  <c r="BQ114" i="56"/>
  <c r="CZ115" i="56"/>
  <c r="DA115" i="56"/>
  <c r="CT115" i="56"/>
  <c r="CU115" i="56"/>
  <c r="CN115" i="56"/>
  <c r="CH115" i="56"/>
  <c r="CI115" i="56"/>
  <c r="CB115" i="56"/>
  <c r="CC115" i="56"/>
  <c r="BV115" i="56"/>
  <c r="CZ116" i="56"/>
  <c r="DA116" i="56"/>
  <c r="CN116" i="56"/>
  <c r="CT116" i="56"/>
  <c r="CU116" i="56"/>
  <c r="CH116" i="56"/>
  <c r="CI116" i="56"/>
  <c r="CB116" i="56"/>
  <c r="CC116" i="56"/>
  <c r="BV116" i="56"/>
  <c r="BP116" i="56"/>
  <c r="BQ116" i="56"/>
  <c r="CZ118" i="56"/>
  <c r="DA118" i="56"/>
  <c r="CT118" i="56"/>
  <c r="CU118" i="56"/>
  <c r="CN118" i="56"/>
  <c r="CH118" i="56"/>
  <c r="CI118" i="56"/>
  <c r="CB118" i="56"/>
  <c r="CC118" i="56"/>
  <c r="BV118" i="56"/>
  <c r="BP118" i="56"/>
  <c r="BQ118" i="56"/>
  <c r="CZ120" i="56"/>
  <c r="DA120" i="56"/>
  <c r="CN120" i="56"/>
  <c r="CH120" i="56"/>
  <c r="CI120" i="56"/>
  <c r="CT120" i="56"/>
  <c r="CU120" i="56"/>
  <c r="CB120" i="56"/>
  <c r="CC120" i="56"/>
  <c r="BV120" i="56"/>
  <c r="BP120" i="56"/>
  <c r="BQ120" i="56"/>
  <c r="CZ122" i="56"/>
  <c r="DA122" i="56"/>
  <c r="CT122" i="56"/>
  <c r="CU122" i="56"/>
  <c r="CN122" i="56"/>
  <c r="CH122" i="56"/>
  <c r="CI122" i="56"/>
  <c r="CB122" i="56"/>
  <c r="CC122" i="56"/>
  <c r="BV122" i="56"/>
  <c r="BP122" i="56"/>
  <c r="BQ122" i="56"/>
  <c r="CZ124" i="56"/>
  <c r="DA124" i="56"/>
  <c r="CN124" i="56"/>
  <c r="CT124" i="56"/>
  <c r="CU124" i="56"/>
  <c r="CH124" i="56"/>
  <c r="CI124" i="56"/>
  <c r="CB124" i="56"/>
  <c r="CC124" i="56"/>
  <c r="BV124" i="56"/>
  <c r="BP124" i="56"/>
  <c r="BQ124" i="56"/>
  <c r="CZ129" i="56"/>
  <c r="DA129" i="56"/>
  <c r="CN129" i="56"/>
  <c r="CT129" i="56"/>
  <c r="CU129" i="56"/>
  <c r="CH129" i="56"/>
  <c r="CI129" i="56"/>
  <c r="CB129" i="56"/>
  <c r="CC129" i="56"/>
  <c r="BP129" i="56"/>
  <c r="BQ129" i="56"/>
  <c r="CZ132" i="56"/>
  <c r="DA132" i="56"/>
  <c r="CN132" i="56"/>
  <c r="CT132" i="56"/>
  <c r="CU132" i="56"/>
  <c r="CH132" i="56"/>
  <c r="CI132" i="56"/>
  <c r="CB132" i="56"/>
  <c r="CC132" i="56"/>
  <c r="BV132" i="56"/>
  <c r="BP132" i="56"/>
  <c r="BQ132" i="56"/>
  <c r="CZ141" i="56"/>
  <c r="DA141" i="56"/>
  <c r="CN141" i="56"/>
  <c r="CT141" i="56"/>
  <c r="CU141" i="56"/>
  <c r="CH141" i="56"/>
  <c r="CI141" i="56"/>
  <c r="CB141" i="56"/>
  <c r="CC141" i="56"/>
  <c r="BP141" i="56"/>
  <c r="BQ141" i="56"/>
  <c r="CZ145" i="56"/>
  <c r="DA145" i="56"/>
  <c r="CT145" i="56"/>
  <c r="CU145" i="56"/>
  <c r="CN145" i="56"/>
  <c r="CH145" i="56"/>
  <c r="CI145" i="56"/>
  <c r="CB145" i="56"/>
  <c r="CC145" i="56"/>
  <c r="BP145" i="56"/>
  <c r="BQ145" i="56"/>
  <c r="CZ148" i="56"/>
  <c r="DA148" i="56"/>
  <c r="CT148" i="56"/>
  <c r="CU148" i="56"/>
  <c r="CN148" i="56"/>
  <c r="CH148" i="56"/>
  <c r="CI148" i="56"/>
  <c r="CB148" i="56"/>
  <c r="CC148" i="56"/>
  <c r="BP148" i="56"/>
  <c r="BQ148" i="56"/>
  <c r="BV148" i="56"/>
  <c r="CZ152" i="56"/>
  <c r="DA152" i="56"/>
  <c r="CT152" i="56"/>
  <c r="CU152" i="56"/>
  <c r="CN152" i="56"/>
  <c r="CH152" i="56"/>
  <c r="CI152" i="56"/>
  <c r="CB152" i="56"/>
  <c r="CC152" i="56"/>
  <c r="BP152" i="56"/>
  <c r="BQ152" i="56"/>
  <c r="BV152" i="56"/>
  <c r="CZ159" i="56"/>
  <c r="DA159" i="56"/>
  <c r="CT159" i="56"/>
  <c r="CU159" i="56"/>
  <c r="CN159" i="56"/>
  <c r="CH159" i="56"/>
  <c r="CI159" i="56"/>
  <c r="CB159" i="56"/>
  <c r="CC159" i="56"/>
  <c r="BV159" i="56"/>
  <c r="BP159" i="56"/>
  <c r="BQ159" i="56"/>
  <c r="CZ163" i="56"/>
  <c r="DA163" i="56"/>
  <c r="CT163" i="56"/>
  <c r="CU163" i="56"/>
  <c r="CN163" i="56"/>
  <c r="CH163" i="56"/>
  <c r="CI163" i="56"/>
  <c r="CB163" i="56"/>
  <c r="CC163" i="56"/>
  <c r="BV163" i="56"/>
  <c r="BP163" i="56"/>
  <c r="BQ163" i="56"/>
  <c r="CZ169" i="56"/>
  <c r="DA169" i="56"/>
  <c r="CN169" i="56"/>
  <c r="CT169" i="56"/>
  <c r="CU169" i="56"/>
  <c r="CH169" i="56"/>
  <c r="CI169" i="56"/>
  <c r="BP169" i="56"/>
  <c r="BQ169" i="56"/>
  <c r="CB169" i="56"/>
  <c r="CC169" i="56"/>
  <c r="CZ173" i="56"/>
  <c r="DA173" i="56"/>
  <c r="CN173" i="56"/>
  <c r="CT173" i="56"/>
  <c r="CU173" i="56"/>
  <c r="CH173" i="56"/>
  <c r="CI173" i="56"/>
  <c r="CB173" i="56"/>
  <c r="CC173" i="56"/>
  <c r="BP173" i="56"/>
  <c r="BQ173" i="56"/>
  <c r="CZ177" i="56"/>
  <c r="DA177" i="56"/>
  <c r="CN177" i="56"/>
  <c r="CT177" i="56"/>
  <c r="CU177" i="56"/>
  <c r="CH177" i="56"/>
  <c r="CI177" i="56"/>
  <c r="BP177" i="56"/>
  <c r="BQ177" i="56"/>
  <c r="CB177" i="56"/>
  <c r="CC177" i="56"/>
  <c r="CZ179" i="56"/>
  <c r="DA179" i="56"/>
  <c r="CT179" i="56"/>
  <c r="CU179" i="56"/>
  <c r="CN179" i="56"/>
  <c r="CH179" i="56"/>
  <c r="CI179" i="56"/>
  <c r="CB179" i="56"/>
  <c r="CC179" i="56"/>
  <c r="BV179" i="56"/>
  <c r="BP179" i="56"/>
  <c r="BQ179" i="56"/>
  <c r="CZ183" i="56"/>
  <c r="DA183" i="56"/>
  <c r="CN183" i="56"/>
  <c r="CH183" i="56"/>
  <c r="CI183" i="56"/>
  <c r="CT183" i="56"/>
  <c r="CU183" i="56"/>
  <c r="CB183" i="56"/>
  <c r="CC183" i="56"/>
  <c r="BV183" i="56"/>
  <c r="BP183" i="56"/>
  <c r="BQ183" i="56"/>
  <c r="CZ190" i="56"/>
  <c r="DA190" i="56"/>
  <c r="CT190" i="56"/>
  <c r="CU190" i="56"/>
  <c r="CN190" i="56"/>
  <c r="CH190" i="56"/>
  <c r="CI190" i="56"/>
  <c r="CB190" i="56"/>
  <c r="CC190" i="56"/>
  <c r="BV190" i="56"/>
  <c r="BP190" i="56"/>
  <c r="BQ190" i="56"/>
  <c r="CZ192" i="56"/>
  <c r="DA192" i="56"/>
  <c r="CT192" i="56"/>
  <c r="CU192" i="56"/>
  <c r="CN192" i="56"/>
  <c r="CH192" i="56"/>
  <c r="CI192" i="56"/>
  <c r="CB192" i="56"/>
  <c r="CC192" i="56"/>
  <c r="BV192" i="56"/>
  <c r="BP192" i="56"/>
  <c r="BQ192" i="56"/>
  <c r="CZ202" i="56"/>
  <c r="DA202" i="56"/>
  <c r="CT202" i="56"/>
  <c r="CU202" i="56"/>
  <c r="CN202" i="56"/>
  <c r="CH202" i="56"/>
  <c r="CI202" i="56"/>
  <c r="CB202" i="56"/>
  <c r="CC202" i="56"/>
  <c r="BV202" i="56"/>
  <c r="BP202" i="56"/>
  <c r="BQ202" i="56"/>
  <c r="CZ204" i="56"/>
  <c r="DA204" i="56"/>
  <c r="CT204" i="56"/>
  <c r="CU204" i="56"/>
  <c r="CN204" i="56"/>
  <c r="CH204" i="56"/>
  <c r="CI204" i="56"/>
  <c r="CB204" i="56"/>
  <c r="CC204" i="56"/>
  <c r="BP204" i="56"/>
  <c r="BQ204" i="56"/>
  <c r="BV204" i="56"/>
  <c r="CZ210" i="56"/>
  <c r="DA210" i="56"/>
  <c r="CT210" i="56"/>
  <c r="CU210" i="56"/>
  <c r="CN210" i="56"/>
  <c r="CH210" i="56"/>
  <c r="CI210" i="56"/>
  <c r="CB210" i="56"/>
  <c r="CC210" i="56"/>
  <c r="BV210" i="56"/>
  <c r="BP210" i="56"/>
  <c r="BQ210" i="56"/>
  <c r="CZ213" i="56"/>
  <c r="DA213" i="56"/>
  <c r="CT213" i="56"/>
  <c r="CU213" i="56"/>
  <c r="CN213" i="56"/>
  <c r="CH213" i="56"/>
  <c r="CI213" i="56"/>
  <c r="CB213" i="56"/>
  <c r="CC213" i="56"/>
  <c r="BV213" i="56"/>
  <c r="BP213" i="56"/>
  <c r="BQ213" i="56"/>
  <c r="CZ220" i="56"/>
  <c r="DA220" i="56"/>
  <c r="CT220" i="56"/>
  <c r="CU220" i="56"/>
  <c r="CN220" i="56"/>
  <c r="CH220" i="56"/>
  <c r="CI220" i="56"/>
  <c r="BV220" i="56"/>
  <c r="CB220" i="56"/>
  <c r="CC220" i="56"/>
  <c r="BP220" i="56"/>
  <c r="BQ220" i="56"/>
  <c r="CZ227" i="56"/>
  <c r="DA227" i="56"/>
  <c r="CT227" i="56"/>
  <c r="CU227" i="56"/>
  <c r="CN227" i="56"/>
  <c r="CH227" i="56"/>
  <c r="CI227" i="56"/>
  <c r="CB227" i="56"/>
  <c r="CC227" i="56"/>
  <c r="BV227" i="56"/>
  <c r="BP227" i="56"/>
  <c r="BQ227" i="56"/>
  <c r="CZ230" i="56"/>
  <c r="DA230" i="56"/>
  <c r="CT230" i="56"/>
  <c r="CU230" i="56"/>
  <c r="CN230" i="56"/>
  <c r="CH230" i="56"/>
  <c r="CI230" i="56"/>
  <c r="CB230" i="56"/>
  <c r="CC230" i="56"/>
  <c r="BV230" i="56"/>
  <c r="BP230" i="56"/>
  <c r="BQ230" i="56"/>
  <c r="CZ233" i="56"/>
  <c r="DA233" i="56"/>
  <c r="CT233" i="56"/>
  <c r="CU233" i="56"/>
  <c r="CN233" i="56"/>
  <c r="CH233" i="56"/>
  <c r="CI233" i="56"/>
  <c r="BV233" i="56"/>
  <c r="BP233" i="56"/>
  <c r="BQ233" i="56"/>
  <c r="CB233" i="56"/>
  <c r="CC233" i="56"/>
  <c r="CZ235" i="56"/>
  <c r="DA235" i="56"/>
  <c r="CT235" i="56"/>
  <c r="CU235" i="56"/>
  <c r="CH235" i="56"/>
  <c r="CI235" i="56"/>
  <c r="CN235" i="56"/>
  <c r="CB235" i="56"/>
  <c r="CC235" i="56"/>
  <c r="BV235" i="56"/>
  <c r="BP235" i="56"/>
  <c r="BQ235" i="56"/>
  <c r="CZ239" i="56"/>
  <c r="DA239" i="56"/>
  <c r="CT239" i="56"/>
  <c r="CU239" i="56"/>
  <c r="CN239" i="56"/>
  <c r="CH239" i="56"/>
  <c r="CI239" i="56"/>
  <c r="CB239" i="56"/>
  <c r="CC239" i="56"/>
  <c r="BV239" i="56"/>
  <c r="BP239" i="56"/>
  <c r="BQ239" i="56"/>
  <c r="CZ243" i="56"/>
  <c r="DA243" i="56"/>
  <c r="CT243" i="56"/>
  <c r="CU243" i="56"/>
  <c r="CN243" i="56"/>
  <c r="CH243" i="56"/>
  <c r="CI243" i="56"/>
  <c r="CB243" i="56"/>
  <c r="CC243" i="56"/>
  <c r="BV243" i="56"/>
  <c r="BP243" i="56"/>
  <c r="BQ243" i="56"/>
  <c r="CZ257" i="56"/>
  <c r="DA257" i="56"/>
  <c r="CT257" i="56"/>
  <c r="CU257" i="56"/>
  <c r="CN257" i="56"/>
  <c r="CH257" i="56"/>
  <c r="CI257" i="56"/>
  <c r="CB257" i="56"/>
  <c r="CC257" i="56"/>
  <c r="BV257" i="56"/>
  <c r="BP257" i="56"/>
  <c r="BQ257" i="56"/>
  <c r="CZ259" i="56"/>
  <c r="DA259" i="56"/>
  <c r="CT259" i="56"/>
  <c r="CU259" i="56"/>
  <c r="CN259" i="56"/>
  <c r="CH259" i="56"/>
  <c r="CI259" i="56"/>
  <c r="CB259" i="56"/>
  <c r="CC259" i="56"/>
  <c r="BV259" i="56"/>
  <c r="BP259" i="56"/>
  <c r="BQ259" i="56"/>
  <c r="CZ263" i="56"/>
  <c r="DA263" i="56"/>
  <c r="CT263" i="56"/>
  <c r="CU263" i="56"/>
  <c r="CN263" i="56"/>
  <c r="CH263" i="56"/>
  <c r="CI263" i="56"/>
  <c r="CB263" i="56"/>
  <c r="CC263" i="56"/>
  <c r="BV263" i="56"/>
  <c r="BP263" i="56"/>
  <c r="BQ263" i="56"/>
  <c r="CZ267" i="56"/>
  <c r="DA267" i="56"/>
  <c r="CT267" i="56"/>
  <c r="CU267" i="56"/>
  <c r="CH267" i="56"/>
  <c r="CI267" i="56"/>
  <c r="CB267" i="56"/>
  <c r="CC267" i="56"/>
  <c r="CN267" i="56"/>
  <c r="BV267" i="56"/>
  <c r="BP267" i="56"/>
  <c r="BQ267" i="56"/>
  <c r="CZ271" i="56"/>
  <c r="DA271" i="56"/>
  <c r="CT271" i="56"/>
  <c r="CU271" i="56"/>
  <c r="CN271" i="56"/>
  <c r="CH271" i="56"/>
  <c r="CI271" i="56"/>
  <c r="CB271" i="56"/>
  <c r="CC271" i="56"/>
  <c r="BV271" i="56"/>
  <c r="BP271" i="56"/>
  <c r="BQ271" i="56"/>
  <c r="CZ278" i="56"/>
  <c r="DA278" i="56"/>
  <c r="CT278" i="56"/>
  <c r="CU278" i="56"/>
  <c r="CN278" i="56"/>
  <c r="CH278" i="56"/>
  <c r="CI278" i="56"/>
  <c r="CB278" i="56"/>
  <c r="CC278" i="56"/>
  <c r="BV278" i="56"/>
  <c r="BP278" i="56"/>
  <c r="BQ278" i="56"/>
  <c r="CZ282" i="56"/>
  <c r="DA282" i="56"/>
  <c r="CT282" i="56"/>
  <c r="CU282" i="56"/>
  <c r="CN282" i="56"/>
  <c r="CH282" i="56"/>
  <c r="CI282" i="56"/>
  <c r="CB282" i="56"/>
  <c r="CC282" i="56"/>
  <c r="BP282" i="56"/>
  <c r="BQ282" i="56"/>
  <c r="BV282" i="56"/>
  <c r="CZ284" i="56"/>
  <c r="DA284" i="56"/>
  <c r="CT284" i="56"/>
  <c r="CU284" i="56"/>
  <c r="CN284" i="56"/>
  <c r="CH284" i="56"/>
  <c r="CI284" i="56"/>
  <c r="CB284" i="56"/>
  <c r="CC284" i="56"/>
  <c r="BV284" i="56"/>
  <c r="BP284" i="56"/>
  <c r="BQ284" i="56"/>
  <c r="CZ292" i="56"/>
  <c r="DA292" i="56"/>
  <c r="CT292" i="56"/>
  <c r="CU292" i="56"/>
  <c r="CN292" i="56"/>
  <c r="CH292" i="56"/>
  <c r="CI292" i="56"/>
  <c r="CB292" i="56"/>
  <c r="CC292" i="56"/>
  <c r="BV292" i="56"/>
  <c r="BP292" i="56"/>
  <c r="BQ292" i="56"/>
  <c r="CZ295" i="56"/>
  <c r="DA295" i="56"/>
  <c r="CT295" i="56"/>
  <c r="CU295" i="56"/>
  <c r="CN295" i="56"/>
  <c r="CH295" i="56"/>
  <c r="CI295" i="56"/>
  <c r="CB295" i="56"/>
  <c r="CC295" i="56"/>
  <c r="BV295" i="56"/>
  <c r="BP295" i="56"/>
  <c r="BQ295" i="56"/>
  <c r="CZ308" i="56"/>
  <c r="DA308" i="56"/>
  <c r="CT308" i="56"/>
  <c r="CU308" i="56"/>
  <c r="CN308" i="56"/>
  <c r="CH308" i="56"/>
  <c r="CI308" i="56"/>
  <c r="BV308" i="56"/>
  <c r="BP308" i="56"/>
  <c r="BQ308" i="56"/>
  <c r="CB308" i="56"/>
  <c r="CC308" i="56"/>
  <c r="CZ314" i="56"/>
  <c r="DA314" i="56"/>
  <c r="CT314" i="56"/>
  <c r="CU314" i="56"/>
  <c r="CN314" i="56"/>
  <c r="CH314" i="56"/>
  <c r="CI314" i="56"/>
  <c r="CB314" i="56"/>
  <c r="CC314" i="56"/>
  <c r="BV314" i="56"/>
  <c r="BP314" i="56"/>
  <c r="BQ314" i="56"/>
  <c r="CZ320" i="56"/>
  <c r="DA320" i="56"/>
  <c r="CT320" i="56"/>
  <c r="CU320" i="56"/>
  <c r="CN320" i="56"/>
  <c r="CH320" i="56"/>
  <c r="CI320" i="56"/>
  <c r="BV320" i="56"/>
  <c r="CB320" i="56"/>
  <c r="CC320" i="56"/>
  <c r="BP320" i="56"/>
  <c r="BQ320" i="56"/>
  <c r="CZ323" i="56"/>
  <c r="DA323" i="56"/>
  <c r="CT323" i="56"/>
  <c r="CU323" i="56"/>
  <c r="CH323" i="56"/>
  <c r="CI323" i="56"/>
  <c r="CN323" i="56"/>
  <c r="CB323" i="56"/>
  <c r="CC323" i="56"/>
  <c r="BV323" i="56"/>
  <c r="BP323" i="56"/>
  <c r="BQ323" i="56"/>
  <c r="CZ325" i="56"/>
  <c r="DA325" i="56"/>
  <c r="CT325" i="56"/>
  <c r="CU325" i="56"/>
  <c r="CN325" i="56"/>
  <c r="CB325" i="56"/>
  <c r="CC325" i="56"/>
  <c r="BV325" i="56"/>
  <c r="CH325" i="56"/>
  <c r="CI325" i="56"/>
  <c r="BP325" i="56"/>
  <c r="BQ325" i="56"/>
  <c r="CZ327" i="56"/>
  <c r="DA327" i="56"/>
  <c r="CT327" i="56"/>
  <c r="CU327" i="56"/>
  <c r="CN327" i="56"/>
  <c r="CH327" i="56"/>
  <c r="CI327" i="56"/>
  <c r="CB327" i="56"/>
  <c r="CC327" i="56"/>
  <c r="BV327" i="56"/>
  <c r="BP327" i="56"/>
  <c r="BQ327" i="56"/>
  <c r="CZ332" i="56"/>
  <c r="DA332" i="56"/>
  <c r="CT332" i="56"/>
  <c r="CU332" i="56"/>
  <c r="CN332" i="56"/>
  <c r="CH332" i="56"/>
  <c r="CI332" i="56"/>
  <c r="CB332" i="56"/>
  <c r="CC332" i="56"/>
  <c r="BV332" i="56"/>
  <c r="BP332" i="56"/>
  <c r="BQ332" i="56"/>
  <c r="CZ334" i="56"/>
  <c r="DA334" i="56"/>
  <c r="CT334" i="56"/>
  <c r="CU334" i="56"/>
  <c r="CN334" i="56"/>
  <c r="CH334" i="56"/>
  <c r="CI334" i="56"/>
  <c r="CB334" i="56"/>
  <c r="CC334" i="56"/>
  <c r="BV334" i="56"/>
  <c r="BP334" i="56"/>
  <c r="BQ334" i="56"/>
  <c r="CZ340" i="56"/>
  <c r="DA340" i="56"/>
  <c r="CT340" i="56"/>
  <c r="CU340" i="56"/>
  <c r="CN340" i="56"/>
  <c r="CH340" i="56"/>
  <c r="CI340" i="56"/>
  <c r="CB340" i="56"/>
  <c r="CC340" i="56"/>
  <c r="BV340" i="56"/>
  <c r="BP340" i="56"/>
  <c r="BQ340" i="56"/>
  <c r="CZ349" i="56"/>
  <c r="DA349" i="56"/>
  <c r="CT349" i="56"/>
  <c r="CU349" i="56"/>
  <c r="CN349" i="56"/>
  <c r="CH349" i="56"/>
  <c r="CI349" i="56"/>
  <c r="CB349" i="56"/>
  <c r="CC349" i="56"/>
  <c r="BV349" i="56"/>
  <c r="BP349" i="56"/>
  <c r="BQ349" i="56"/>
  <c r="CZ352" i="56"/>
  <c r="DA352" i="56"/>
  <c r="CT352" i="56"/>
  <c r="CU352" i="56"/>
  <c r="CN352" i="56"/>
  <c r="CH352" i="56"/>
  <c r="CI352" i="56"/>
  <c r="CB352" i="56"/>
  <c r="CC352" i="56"/>
  <c r="BV352" i="56"/>
  <c r="BP352" i="56"/>
  <c r="BQ352" i="56"/>
  <c r="CZ354" i="56"/>
  <c r="DA354" i="56"/>
  <c r="CT354" i="56"/>
  <c r="CU354" i="56"/>
  <c r="CN354" i="56"/>
  <c r="CH354" i="56"/>
  <c r="CI354" i="56"/>
  <c r="CB354" i="56"/>
  <c r="CC354" i="56"/>
  <c r="BV354" i="56"/>
  <c r="BP354" i="56"/>
  <c r="BQ354" i="56"/>
  <c r="CZ357" i="56"/>
  <c r="DA357" i="56"/>
  <c r="CT357" i="56"/>
  <c r="CU357" i="56"/>
  <c r="CN357" i="56"/>
  <c r="CB357" i="56"/>
  <c r="CC357" i="56"/>
  <c r="BV357" i="56"/>
  <c r="CH357" i="56"/>
  <c r="CI357" i="56"/>
  <c r="BP357" i="56"/>
  <c r="BQ357" i="56"/>
  <c r="CZ363" i="56"/>
  <c r="DA363" i="56"/>
  <c r="CT363" i="56"/>
  <c r="CU363" i="56"/>
  <c r="CN363" i="56"/>
  <c r="CH363" i="56"/>
  <c r="CI363" i="56"/>
  <c r="CB363" i="56"/>
  <c r="CC363" i="56"/>
  <c r="BV363" i="56"/>
  <c r="BP363" i="56"/>
  <c r="BQ363" i="56"/>
  <c r="CZ369" i="56"/>
  <c r="DA369" i="56"/>
  <c r="CT369" i="56"/>
  <c r="CU369" i="56"/>
  <c r="CN369" i="56"/>
  <c r="CH369" i="56"/>
  <c r="CI369" i="56"/>
  <c r="CB369" i="56"/>
  <c r="CC369" i="56"/>
  <c r="BV369" i="56"/>
  <c r="BP369" i="56"/>
  <c r="BQ369" i="56"/>
  <c r="CZ381" i="56"/>
  <c r="DA381" i="56"/>
  <c r="CT381" i="56"/>
  <c r="CU381" i="56"/>
  <c r="CN381" i="56"/>
  <c r="CH381" i="56"/>
  <c r="CI381" i="56"/>
  <c r="BV381" i="56"/>
  <c r="CB381" i="56"/>
  <c r="CC381" i="56"/>
  <c r="CZ383" i="56"/>
  <c r="DA383" i="56"/>
  <c r="CT383" i="56"/>
  <c r="CU383" i="56"/>
  <c r="CH383" i="56"/>
  <c r="CI383" i="56"/>
  <c r="CN383" i="56"/>
  <c r="CB383" i="56"/>
  <c r="CC383" i="56"/>
  <c r="BV383" i="56"/>
  <c r="BP383" i="56"/>
  <c r="BQ383" i="56"/>
  <c r="CZ385" i="56"/>
  <c r="DA385" i="56"/>
  <c r="CT385" i="56"/>
  <c r="CU385" i="56"/>
  <c r="CN385" i="56"/>
  <c r="CH385" i="56"/>
  <c r="CI385" i="56"/>
  <c r="CB385" i="56"/>
  <c r="CC385" i="56"/>
  <c r="BV385" i="56"/>
  <c r="CZ387" i="56"/>
  <c r="DA387" i="56"/>
  <c r="CT387" i="56"/>
  <c r="CU387" i="56"/>
  <c r="CH387" i="56"/>
  <c r="CI387" i="56"/>
  <c r="CN387" i="56"/>
  <c r="CB387" i="56"/>
  <c r="CC387" i="56"/>
  <c r="BV387" i="56"/>
  <c r="BP387" i="56"/>
  <c r="BQ387" i="56"/>
  <c r="CZ389" i="56"/>
  <c r="DA389" i="56"/>
  <c r="CT389" i="56"/>
  <c r="CU389" i="56"/>
  <c r="CN389" i="56"/>
  <c r="CH389" i="56"/>
  <c r="CI389" i="56"/>
  <c r="CB389" i="56"/>
  <c r="CC389" i="56"/>
  <c r="BV389" i="56"/>
  <c r="CZ391" i="56"/>
  <c r="DA391" i="56"/>
  <c r="CT391" i="56"/>
  <c r="CU391" i="56"/>
  <c r="CH391" i="56"/>
  <c r="CI391" i="56"/>
  <c r="CN391" i="56"/>
  <c r="CB391" i="56"/>
  <c r="CC391" i="56"/>
  <c r="BV391" i="56"/>
  <c r="BP391" i="56"/>
  <c r="BQ391" i="56"/>
  <c r="CZ393" i="56"/>
  <c r="DA393" i="56"/>
  <c r="CT393" i="56"/>
  <c r="CU393" i="56"/>
  <c r="CN393" i="56"/>
  <c r="CH393" i="56"/>
  <c r="CI393" i="56"/>
  <c r="CB393" i="56"/>
  <c r="CC393" i="56"/>
  <c r="BV393" i="56"/>
  <c r="BP393" i="56"/>
  <c r="BQ393" i="56"/>
  <c r="AL220" i="56"/>
  <c r="AM220" i="56"/>
  <c r="AL233" i="56"/>
  <c r="AM233" i="56"/>
  <c r="AL239" i="56"/>
  <c r="AM239" i="56"/>
  <c r="AL253" i="56"/>
  <c r="AM253" i="56"/>
  <c r="AL259" i="56"/>
  <c r="AM259" i="56"/>
  <c r="AL263" i="56"/>
  <c r="AM263" i="56"/>
  <c r="AL269" i="56"/>
  <c r="AM269" i="56"/>
  <c r="AL282" i="56"/>
  <c r="AM282" i="56"/>
  <c r="AL290" i="56"/>
  <c r="AM290" i="56"/>
  <c r="AL303" i="56"/>
  <c r="AM303" i="56"/>
  <c r="AL308" i="56"/>
  <c r="AM308" i="56"/>
  <c r="AL312" i="56"/>
  <c r="AM312" i="56"/>
  <c r="AL323" i="56"/>
  <c r="AM323" i="56"/>
  <c r="AL340" i="56"/>
  <c r="AM340" i="56"/>
  <c r="AL354" i="56"/>
  <c r="AM354" i="56"/>
  <c r="AR123" i="56"/>
  <c r="AR171" i="56"/>
  <c r="AR220" i="56"/>
  <c r="AR391" i="56"/>
  <c r="AX154" i="56"/>
  <c r="AY154" i="56"/>
  <c r="AX192" i="56"/>
  <c r="AY192" i="56"/>
  <c r="BP39" i="56"/>
  <c r="BQ39" i="56"/>
  <c r="BP78" i="56"/>
  <c r="BQ78" i="56"/>
  <c r="BP86" i="56"/>
  <c r="BQ86" i="56"/>
  <c r="BP91" i="56"/>
  <c r="BQ91" i="56"/>
  <c r="BP107" i="56"/>
  <c r="BQ107" i="56"/>
  <c r="BP115" i="56"/>
  <c r="BQ115" i="56"/>
  <c r="BP381" i="56"/>
  <c r="BQ381" i="56"/>
  <c r="BP389" i="56"/>
  <c r="BQ389" i="56"/>
  <c r="BV77" i="56"/>
  <c r="BV93" i="56"/>
  <c r="BV113" i="56"/>
  <c r="BV145" i="56"/>
  <c r="BV181" i="56"/>
  <c r="CB89" i="56"/>
  <c r="CC89" i="56"/>
  <c r="CH13" i="56"/>
  <c r="CI13" i="56"/>
  <c r="CK13" i="56"/>
  <c r="CH17" i="56"/>
  <c r="CI17" i="56"/>
  <c r="CK17" i="56"/>
  <c r="CH14" i="56"/>
  <c r="CI14" i="56"/>
  <c r="CK14" i="56"/>
  <c r="CH18" i="56"/>
  <c r="CI18" i="56"/>
  <c r="CK18" i="56"/>
  <c r="CH15" i="56"/>
  <c r="CI15" i="56"/>
  <c r="CK15" i="56"/>
  <c r="CH19" i="56"/>
  <c r="CI19" i="56"/>
  <c r="CK19" i="56"/>
  <c r="CH12" i="56"/>
  <c r="CI12" i="56"/>
  <c r="CK12" i="56"/>
  <c r="CH16" i="56"/>
  <c r="CI16" i="56"/>
  <c r="CK16" i="56"/>
  <c r="CH20" i="56"/>
  <c r="CI20" i="56"/>
  <c r="CK20" i="56"/>
  <c r="CZ13" i="56"/>
  <c r="DA13" i="56"/>
  <c r="DC13" i="56"/>
  <c r="CZ17" i="56"/>
  <c r="DA17" i="56"/>
  <c r="DC17" i="56"/>
  <c r="CZ12" i="56"/>
  <c r="DA12" i="56"/>
  <c r="DC12" i="56"/>
  <c r="CZ16" i="56"/>
  <c r="DA16" i="56"/>
  <c r="DC16" i="56"/>
  <c r="CZ14" i="56"/>
  <c r="DA14" i="56"/>
  <c r="DC14" i="56"/>
  <c r="CZ15" i="56"/>
  <c r="DA15" i="56"/>
  <c r="DC15" i="56"/>
  <c r="AU79" i="56"/>
  <c r="AU133" i="56"/>
  <c r="AU196" i="56"/>
  <c r="AU281" i="56"/>
  <c r="AU36" i="56"/>
  <c r="AU91" i="56"/>
  <c r="AU148" i="56"/>
  <c r="AU217" i="56"/>
  <c r="AU303" i="56"/>
  <c r="AU48" i="56"/>
  <c r="AU105" i="56"/>
  <c r="AU164" i="56"/>
  <c r="AU239" i="56"/>
  <c r="AU324" i="56"/>
  <c r="AU63" i="56"/>
  <c r="AU121" i="56"/>
  <c r="AU176" i="56"/>
  <c r="AU260" i="56"/>
  <c r="BJ104" i="56"/>
  <c r="AR104" i="56"/>
  <c r="BJ115" i="56"/>
  <c r="BD115" i="56"/>
  <c r="BE115" i="56"/>
  <c r="BJ140" i="56"/>
  <c r="AF140" i="56"/>
  <c r="AG140" i="56"/>
  <c r="BJ34" i="56"/>
  <c r="BK34" i="56"/>
  <c r="AF34" i="56"/>
  <c r="AG34" i="56"/>
  <c r="BJ74" i="56"/>
  <c r="BP74" i="56"/>
  <c r="BQ74" i="56"/>
  <c r="BJ39" i="56"/>
  <c r="BK39" i="56"/>
  <c r="AL39" i="56"/>
  <c r="AM39" i="56"/>
  <c r="BJ142" i="56"/>
  <c r="AF142" i="56"/>
  <c r="AG142" i="56"/>
  <c r="BJ55" i="56"/>
  <c r="BK55" i="56"/>
  <c r="AF55" i="56"/>
  <c r="AG55" i="56"/>
  <c r="BJ80" i="56"/>
  <c r="BP80" i="56"/>
  <c r="BQ80" i="56"/>
  <c r="BJ203" i="56"/>
  <c r="BD203" i="56"/>
  <c r="BE203" i="56"/>
  <c r="BJ282" i="56"/>
  <c r="AF282" i="56"/>
  <c r="AG282" i="56"/>
  <c r="BJ352" i="56"/>
  <c r="AR352" i="56"/>
  <c r="BJ183" i="56"/>
  <c r="AF183" i="56"/>
  <c r="AG183" i="56"/>
  <c r="BJ198" i="56"/>
  <c r="AF198" i="56"/>
  <c r="AG198" i="56"/>
  <c r="BJ234" i="56"/>
  <c r="BV234" i="56"/>
  <c r="BJ251" i="56"/>
  <c r="AF251" i="56"/>
  <c r="AG251" i="56"/>
  <c r="AR251" i="56"/>
  <c r="BJ257" i="56"/>
  <c r="AL257" i="56"/>
  <c r="AM257" i="56"/>
  <c r="BJ268" i="56"/>
  <c r="AF268" i="56"/>
  <c r="AG268" i="56"/>
  <c r="BJ302" i="56"/>
  <c r="AF302" i="56"/>
  <c r="AG302" i="56"/>
  <c r="BJ331" i="56"/>
  <c r="AF331" i="56"/>
  <c r="AG331" i="56"/>
  <c r="BJ69" i="56"/>
  <c r="AF69" i="56"/>
  <c r="AG69" i="56"/>
  <c r="AX202" i="56"/>
  <c r="AY202" i="56"/>
  <c r="BJ209" i="56"/>
  <c r="AF209" i="56"/>
  <c r="AG209" i="56"/>
  <c r="BJ280" i="56"/>
  <c r="BD280" i="56"/>
  <c r="BE280" i="56"/>
  <c r="BJ284" i="56"/>
  <c r="AL284" i="56"/>
  <c r="AM284" i="56"/>
  <c r="BJ321" i="56"/>
  <c r="AL321" i="56"/>
  <c r="AM321" i="56"/>
  <c r="BJ57" i="56"/>
  <c r="BK57" i="56"/>
  <c r="AF57" i="56"/>
  <c r="AG57" i="56"/>
  <c r="BJ114" i="56"/>
  <c r="AL114" i="56"/>
  <c r="AM114" i="56"/>
  <c r="BJ138" i="56"/>
  <c r="AL138" i="56"/>
  <c r="AM138" i="56"/>
  <c r="BJ169" i="56"/>
  <c r="BV169" i="56"/>
  <c r="BJ181" i="56"/>
  <c r="AF181" i="56"/>
  <c r="AG181" i="56"/>
  <c r="BJ188" i="56"/>
  <c r="AL188" i="56"/>
  <c r="AM188" i="56"/>
  <c r="AL200" i="56"/>
  <c r="AM200" i="56"/>
  <c r="BJ200" i="56"/>
  <c r="BJ239" i="56"/>
  <c r="AR239" i="56"/>
  <c r="BJ253" i="56"/>
  <c r="AF253" i="56"/>
  <c r="AG253" i="56"/>
  <c r="BJ329" i="56"/>
  <c r="AF329" i="56"/>
  <c r="AG329" i="56"/>
  <c r="AL356" i="56"/>
  <c r="AM356" i="56"/>
  <c r="AR380" i="56"/>
  <c r="BV394" i="56"/>
  <c r="BM29" i="56"/>
  <c r="BJ29" i="56"/>
  <c r="BK29" i="56"/>
  <c r="BM12" i="56"/>
  <c r="BJ30" i="56"/>
  <c r="BK30" i="56"/>
  <c r="AL235" i="56"/>
  <c r="AM235" i="56"/>
  <c r="AX241" i="56"/>
  <c r="AY241" i="56"/>
  <c r="AF243" i="56"/>
  <c r="AG243" i="56"/>
  <c r="AF290" i="56"/>
  <c r="AG290" i="56"/>
  <c r="AL319" i="56"/>
  <c r="AM319" i="56"/>
  <c r="AF341" i="56"/>
  <c r="AG341" i="56"/>
  <c r="AL361" i="56"/>
  <c r="AM361" i="56"/>
  <c r="AF249" i="56"/>
  <c r="AG249" i="56"/>
  <c r="AR259" i="56"/>
  <c r="AX273" i="56"/>
  <c r="AY273" i="56"/>
  <c r="AR295" i="56"/>
  <c r="AF318" i="56"/>
  <c r="AG318" i="56"/>
  <c r="AR323" i="56"/>
  <c r="AF325" i="56"/>
  <c r="AG325" i="56"/>
  <c r="AL327" i="56"/>
  <c r="AM327" i="56"/>
  <c r="AR340" i="56"/>
  <c r="AF350" i="56"/>
  <c r="AG350" i="56"/>
  <c r="AL353" i="56"/>
  <c r="AM353" i="56"/>
  <c r="AL357" i="56"/>
  <c r="AM357" i="56"/>
  <c r="BV362" i="56"/>
  <c r="AF364" i="56"/>
  <c r="AG364" i="56"/>
  <c r="BP373" i="56"/>
  <c r="BQ373" i="56"/>
  <c r="AF381" i="56"/>
  <c r="AG381" i="56"/>
  <c r="AR383" i="56"/>
  <c r="AL387" i="56"/>
  <c r="AM387" i="56"/>
  <c r="BM20" i="56"/>
  <c r="BJ24" i="56"/>
  <c r="BK24" i="56"/>
</calcChain>
</file>

<file path=xl/comments1.xml><?xml version="1.0" encoding="utf-8"?>
<comments xmlns="http://schemas.openxmlformats.org/spreadsheetml/2006/main">
  <authors>
    <author>03-1261</author>
  </authors>
  <commentList>
    <comment ref="AP118" authorId="0" shapeId="0">
      <text>
        <r>
          <rPr>
            <sz val="9"/>
            <color indexed="81"/>
            <rFont val="ＭＳ Ｐゴシック"/>
            <family val="3"/>
            <charset val="128"/>
          </rPr>
          <t>ATOM連携の場合、API固有情報は要求項目のみ返却
※付録B（FMCオン外部連携）参照</t>
        </r>
      </text>
    </comment>
  </commentList>
</comments>
</file>

<file path=xl/sharedStrings.xml><?xml version="1.0" encoding="utf-8"?>
<sst xmlns="http://schemas.openxmlformats.org/spreadsheetml/2006/main" count="8541" uniqueCount="764">
  <si>
    <t>メガ・エッグ　ファイバー</t>
  </si>
  <si>
    <t>申込受付中。</t>
    <phoneticPr fontId="3"/>
  </si>
  <si>
    <t>メガ・エッグ　光マンション</t>
  </si>
  <si>
    <t>ORANGE</t>
    <phoneticPr fontId="3"/>
  </si>
  <si>
    <t>要求名前空間（URI）</t>
    <rPh sb="0" eb="2">
      <t>ヨウキュウ</t>
    </rPh>
    <phoneticPr fontId="3"/>
  </si>
  <si>
    <t>応答名前空間（URI）</t>
    <rPh sb="0" eb="2">
      <t>オウトウ</t>
    </rPh>
    <phoneticPr fontId="3"/>
  </si>
  <si>
    <t>pattern</t>
  </si>
  <si>
    <t>項目名（要素名）</t>
    <rPh sb="0" eb="2">
      <t>コウモク</t>
    </rPh>
    <rPh sb="2" eb="3">
      <t>メイ</t>
    </rPh>
    <rPh sb="4" eb="6">
      <t>ヨウソ</t>
    </rPh>
    <rPh sb="6" eb="7">
      <t>メイ</t>
    </rPh>
    <phoneticPr fontId="3"/>
  </si>
  <si>
    <t>min桁</t>
    <rPh sb="3" eb="4">
      <t>ケタ</t>
    </rPh>
    <phoneticPr fontId="3"/>
  </si>
  <si>
    <t>max桁</t>
    <rPh sb="3" eb="4">
      <t>ケタ</t>
    </rPh>
    <phoneticPr fontId="3"/>
  </si>
  <si>
    <t>相関</t>
    <rPh sb="0" eb="2">
      <t>ソウカン</t>
    </rPh>
    <phoneticPr fontId="3"/>
  </si>
  <si>
    <t>API名称</t>
    <rPh sb="3" eb="5">
      <t>メイショウ</t>
    </rPh>
    <phoneticPr fontId="3"/>
  </si>
  <si>
    <t>API名称(英名)</t>
    <rPh sb="3" eb="5">
      <t>メイショウ</t>
    </rPh>
    <rPh sb="6" eb="8">
      <t>エイメイ</t>
    </rPh>
    <phoneticPr fontId="3"/>
  </si>
  <si>
    <t>項番</t>
    <rPh sb="0" eb="1">
      <t>コウ</t>
    </rPh>
    <rPh sb="1" eb="2">
      <t>バン</t>
    </rPh>
    <phoneticPr fontId="3"/>
  </si>
  <si>
    <t>階層</t>
    <rPh sb="0" eb="2">
      <t>カイソウ</t>
    </rPh>
    <phoneticPr fontId="3"/>
  </si>
  <si>
    <t>繰返</t>
    <rPh sb="0" eb="1">
      <t>ク</t>
    </rPh>
    <rPh sb="1" eb="2">
      <t>カエ</t>
    </rPh>
    <phoneticPr fontId="3"/>
  </si>
  <si>
    <t>必須</t>
    <rPh sb="0" eb="2">
      <t>ヒッス</t>
    </rPh>
    <phoneticPr fontId="3"/>
  </si>
  <si>
    <t>タグ名</t>
    <rPh sb="2" eb="3">
      <t>メイ</t>
    </rPh>
    <phoneticPr fontId="3"/>
  </si>
  <si>
    <t>内容説明</t>
    <rPh sb="0" eb="2">
      <t>ナイヨウ</t>
    </rPh>
    <rPh sb="2" eb="4">
      <t>セツメイ</t>
    </rPh>
    <phoneticPr fontId="3"/>
  </si>
  <si>
    <t>備考</t>
    <rPh sb="0" eb="2">
      <t>ビコウ</t>
    </rPh>
    <phoneticPr fontId="3"/>
  </si>
  <si>
    <t>result2</t>
  </si>
  <si>
    <t>O</t>
  </si>
  <si>
    <t>共通</t>
    <rPh sb="0" eb="2">
      <t>キョウツウ</t>
    </rPh>
    <phoneticPr fontId="3"/>
  </si>
  <si>
    <t>固定長形式</t>
    <rPh sb="0" eb="3">
      <t>コテイチョウ</t>
    </rPh>
    <rPh sb="3" eb="5">
      <t>ケイシキ</t>
    </rPh>
    <phoneticPr fontId="3"/>
  </si>
  <si>
    <t>XML形式</t>
    <rPh sb="3" eb="5">
      <t>ケイシキ</t>
    </rPh>
    <phoneticPr fontId="3"/>
  </si>
  <si>
    <t>相関
2</t>
    <rPh sb="0" eb="2">
      <t>ソウカン</t>
    </rPh>
    <phoneticPr fontId="3"/>
  </si>
  <si>
    <t>項目順</t>
    <rPh sb="0" eb="2">
      <t>コウモク</t>
    </rPh>
    <rPh sb="2" eb="3">
      <t>ジュン</t>
    </rPh>
    <phoneticPr fontId="3"/>
  </si>
  <si>
    <t>繰返グループ</t>
    <rPh sb="0" eb="2">
      <t>クリカエ</t>
    </rPh>
    <phoneticPr fontId="3"/>
  </si>
  <si>
    <t>最大繰返回数</t>
    <rPh sb="0" eb="2">
      <t>サイダイ</t>
    </rPh>
    <rPh sb="2" eb="4">
      <t>クリカエ</t>
    </rPh>
    <rPh sb="4" eb="6">
      <t>カイスウ</t>
    </rPh>
    <phoneticPr fontId="3"/>
  </si>
  <si>
    <t>I</t>
  </si>
  <si>
    <t>*Default path is current path.</t>
  </si>
  <si>
    <t>○</t>
  </si>
  <si>
    <t>*If not be up, the macro should be modified.</t>
  </si>
  <si>
    <t>1</t>
  </si>
  <si>
    <t>api-response</t>
  </si>
  <si>
    <t>About Generate-IN:</t>
  </si>
  <si>
    <t>The SheetName input is required.</t>
  </si>
  <si>
    <t>Please copy response stream here↓</t>
  </si>
  <si>
    <t xml:space="preserve"> </t>
  </si>
  <si>
    <t>Analyze the response data from Response filepath or ResponseStream to CaseNo column.</t>
  </si>
  <si>
    <t>API（入力）</t>
    <rPh sb="4" eb="6">
      <t>ニュウリョク</t>
    </rPh>
    <phoneticPr fontId="3"/>
  </si>
  <si>
    <t>API（出力）</t>
    <rPh sb="4" eb="6">
      <t>シュツリョク</t>
    </rPh>
    <phoneticPr fontId="3"/>
  </si>
  <si>
    <t>ルート（出力）</t>
    <rPh sb="4" eb="6">
      <t>シュツリョク</t>
    </rPh>
    <phoneticPr fontId="3"/>
  </si>
  <si>
    <t>API共通情報</t>
    <rPh sb="3" eb="5">
      <t>キョウツウ</t>
    </rPh>
    <phoneticPr fontId="3"/>
  </si>
  <si>
    <t>API-IDは4桁</t>
    <rPh sb="8" eb="9">
      <t>ケタ</t>
    </rPh>
    <phoneticPr fontId="3"/>
  </si>
  <si>
    <t>API処理日時</t>
    <rPh sb="3" eb="5">
      <t>ショリ</t>
    </rPh>
    <rPh sb="5" eb="7">
      <t>ニチジ</t>
    </rPh>
    <phoneticPr fontId="3"/>
  </si>
  <si>
    <t>API呼出元情報</t>
    <rPh sb="3" eb="5">
      <t>ヨビダシ</t>
    </rPh>
    <rPh sb="5" eb="6">
      <t>モト</t>
    </rPh>
    <rPh sb="6" eb="8">
      <t>ジョウホウ</t>
    </rPh>
    <phoneticPr fontId="3"/>
  </si>
  <si>
    <t>呼出元システムID</t>
    <rPh sb="0" eb="2">
      <t>ヨビダシ</t>
    </rPh>
    <rPh sb="2" eb="3">
      <t>モト</t>
    </rPh>
    <phoneticPr fontId="3"/>
  </si>
  <si>
    <t>API呼出側のシステムID("FMC")を設定。</t>
    <rPh sb="5" eb="6">
      <t>ガワ</t>
    </rPh>
    <rPh sb="21" eb="23">
      <t>セッテイ</t>
    </rPh>
    <phoneticPr fontId="3"/>
  </si>
  <si>
    <t>au代理店コード</t>
    <rPh sb="2" eb="5">
      <t>ダイリテン</t>
    </rPh>
    <phoneticPr fontId="3"/>
  </si>
  <si>
    <t>担当者ID</t>
    <rPh sb="0" eb="3">
      <t>タントウシャ</t>
    </rPh>
    <phoneticPr fontId="3"/>
  </si>
  <si>
    <t>au代理店コードの受付担当者ID</t>
    <rPh sb="9" eb="11">
      <t>ウケツケ</t>
    </rPh>
    <rPh sb="11" eb="14">
      <t>タントウシャ</t>
    </rPh>
    <phoneticPr fontId="3"/>
  </si>
  <si>
    <t>ショップ端末IPアドレス</t>
    <rPh sb="4" eb="6">
      <t>タンマツ</t>
    </rPh>
    <phoneticPr fontId="3"/>
  </si>
  <si>
    <t>呼出元システム</t>
    <rPh sb="0" eb="2">
      <t>ヨビダシ</t>
    </rPh>
    <rPh sb="2" eb="3">
      <t>モト</t>
    </rPh>
    <phoneticPr fontId="3"/>
  </si>
  <si>
    <t>画面名</t>
    <rPh sb="0" eb="2">
      <t>ガメン</t>
    </rPh>
    <rPh sb="2" eb="3">
      <t>メイ</t>
    </rPh>
    <phoneticPr fontId="3"/>
  </si>
  <si>
    <t>API処理状態</t>
    <rPh sb="3" eb="5">
      <t>ショリ</t>
    </rPh>
    <rPh sb="5" eb="7">
      <t>ジョウタイ</t>
    </rPh>
    <phoneticPr fontId="3"/>
  </si>
  <si>
    <t xml:space="preserve">入力時：初期値を設定
出力時：各APIの応答内容を設定
　※リファレンスについては、「マッピング一覧」シート参照。
</t>
    <rPh sb="0" eb="2">
      <t>ニュウリョク</t>
    </rPh>
    <rPh sb="11" eb="13">
      <t>シュツリョク</t>
    </rPh>
    <rPh sb="15" eb="16">
      <t>カク</t>
    </rPh>
    <rPh sb="20" eb="22">
      <t>オウトウ</t>
    </rPh>
    <rPh sb="22" eb="24">
      <t>ナイヨウ</t>
    </rPh>
    <rPh sb="25" eb="27">
      <t>セッテイ</t>
    </rPh>
    <rPh sb="48" eb="50">
      <t>イチラン</t>
    </rPh>
    <rPh sb="54" eb="56">
      <t>サンショウ</t>
    </rPh>
    <phoneticPr fontId="3"/>
  </si>
  <si>
    <r>
      <t xml:space="preserve">*The start point of ATOM fix-size cell must be </t>
    </r>
    <r>
      <rPr>
        <b/>
        <sz val="11"/>
        <rFont val="ＭＳ Ｐゴシック"/>
        <family val="3"/>
        <charset val="128"/>
      </rPr>
      <t>P8</t>
    </r>
    <r>
      <rPr>
        <sz val="11"/>
        <rFont val="ＭＳ Ｐゴシック"/>
        <family val="3"/>
        <charset val="128"/>
      </rPr>
      <t xml:space="preserve"> and the xml's must be </t>
    </r>
    <r>
      <rPr>
        <b/>
        <sz val="11"/>
        <rFont val="ＭＳ Ｐゴシック"/>
        <family val="3"/>
        <charset val="128"/>
      </rPr>
      <t>W8</t>
    </r>
  </si>
  <si>
    <t>10</t>
  </si>
  <si>
    <t>The response filename must be API-ID_out_CaseNo.txt</t>
  </si>
  <si>
    <t>エラーコードは8行目で固定表示。</t>
  </si>
  <si>
    <t>00</t>
  </si>
  <si>
    <t>About Analyze-OUT、Analyze-OUTXML</t>
  </si>
  <si>
    <t xml:space="preserve"> システム名</t>
    <phoneticPr fontId="33"/>
  </si>
  <si>
    <t>試験項目</t>
    <rPh sb="0" eb="2">
      <t>シケン</t>
    </rPh>
    <rPh sb="2" eb="4">
      <t>コウモク</t>
    </rPh>
    <phoneticPr fontId="33"/>
  </si>
  <si>
    <t>大</t>
    <rPh sb="0" eb="1">
      <t>ダイ</t>
    </rPh>
    <phoneticPr fontId="33"/>
  </si>
  <si>
    <t xml:space="preserve"> 試験名</t>
    <rPh sb="1" eb="3">
      <t>シケン</t>
    </rPh>
    <phoneticPr fontId="33"/>
  </si>
  <si>
    <t>中</t>
    <rPh sb="0" eb="1">
      <t>チュウ</t>
    </rPh>
    <phoneticPr fontId="33"/>
  </si>
  <si>
    <t xml:space="preserve"> ブロック名</t>
    <rPh sb="5" eb="6">
      <t>メイ</t>
    </rPh>
    <phoneticPr fontId="33"/>
  </si>
  <si>
    <t>小</t>
    <rPh sb="0" eb="1">
      <t>ショウ</t>
    </rPh>
    <phoneticPr fontId="33"/>
  </si>
  <si>
    <t xml:space="preserve"> 試験項番</t>
    <phoneticPr fontId="33"/>
  </si>
  <si>
    <t>チェック項目</t>
    <phoneticPr fontId="3"/>
  </si>
  <si>
    <t>連携方式</t>
    <rPh sb="0" eb="2">
      <t>レンケイ</t>
    </rPh>
    <rPh sb="2" eb="4">
      <t>ホウシキ</t>
    </rPh>
    <phoneticPr fontId="3"/>
  </si>
  <si>
    <t>ATOM連携</t>
    <rPh sb="4" eb="6">
      <t>レンケイ</t>
    </rPh>
    <phoneticPr fontId="3"/>
  </si>
  <si>
    <t>直接連携</t>
    <rPh sb="0" eb="2">
      <t>チョクセツ</t>
    </rPh>
    <rPh sb="2" eb="4">
      <t>レンケイ</t>
    </rPh>
    <phoneticPr fontId="3"/>
  </si>
  <si>
    <t>API共通情報</t>
    <rPh sb="3" eb="5">
      <t>キョウツウ</t>
    </rPh>
    <rPh sb="5" eb="7">
      <t>ジョウホウ</t>
    </rPh>
    <phoneticPr fontId="3"/>
  </si>
  <si>
    <t>API識別</t>
    <rPh sb="3" eb="5">
      <t>シキベツ</t>
    </rPh>
    <phoneticPr fontId="3"/>
  </si>
  <si>
    <t>"B004"：エリア検索結果API</t>
    <rPh sb="10" eb="12">
      <t>ケンサク</t>
    </rPh>
    <rPh sb="12" eb="14">
      <t>ケッカ</t>
    </rPh>
    <phoneticPr fontId="3"/>
  </si>
  <si>
    <t>API固有情報</t>
    <rPh sb="3" eb="5">
      <t>コユウ</t>
    </rPh>
    <rPh sb="5" eb="7">
      <t>ジョウホウ</t>
    </rPh>
    <phoneticPr fontId="3"/>
  </si>
  <si>
    <t>住居種別</t>
    <rPh sb="0" eb="2">
      <t>ジュウキョ</t>
    </rPh>
    <rPh sb="2" eb="4">
      <t>シュベツ</t>
    </rPh>
    <phoneticPr fontId="3"/>
  </si>
  <si>
    <t>"0"：一戸建て</t>
    <rPh sb="4" eb="6">
      <t>イッコ</t>
    </rPh>
    <rPh sb="6" eb="7">
      <t>ダ</t>
    </rPh>
    <phoneticPr fontId="3"/>
  </si>
  <si>
    <t>申込サービス区分</t>
    <rPh sb="0" eb="2">
      <t>モウシコミ</t>
    </rPh>
    <rPh sb="6" eb="8">
      <t>クブン</t>
    </rPh>
    <phoneticPr fontId="3"/>
  </si>
  <si>
    <t>未設定</t>
    <rPh sb="0" eb="3">
      <t>ミセッテイ</t>
    </rPh>
    <phoneticPr fontId="3"/>
  </si>
  <si>
    <t>共通マンションID</t>
    <rPh sb="0" eb="2">
      <t>キョウツウ</t>
    </rPh>
    <phoneticPr fontId="3"/>
  </si>
  <si>
    <t>外部API</t>
    <rPh sb="0" eb="2">
      <t>ガイブ</t>
    </rPh>
    <phoneticPr fontId="3"/>
  </si>
  <si>
    <t>3Mエリア提供状況照会-戸建API</t>
    <rPh sb="5" eb="7">
      <t>テイキョウ</t>
    </rPh>
    <rPh sb="7" eb="9">
      <t>ジョウキョウ</t>
    </rPh>
    <rPh sb="9" eb="11">
      <t>ショウカイ</t>
    </rPh>
    <rPh sb="12" eb="14">
      <t>コダテ</t>
    </rPh>
    <phoneticPr fontId="3"/>
  </si>
  <si>
    <t>処理結果</t>
    <rPh sb="0" eb="2">
      <t>ショリ</t>
    </rPh>
    <rPh sb="2" eb="4">
      <t>ケッカ</t>
    </rPh>
    <phoneticPr fontId="3"/>
  </si>
  <si>
    <t>"0"：正常</t>
    <rPh sb="4" eb="6">
      <t>セイジョウ</t>
    </rPh>
    <phoneticPr fontId="3"/>
  </si>
  <si>
    <t>3Mエリア提供状況照会-マンションAPI</t>
    <rPh sb="5" eb="7">
      <t>テイキョウ</t>
    </rPh>
    <rPh sb="7" eb="9">
      <t>ジョウキョウ</t>
    </rPh>
    <rPh sb="9" eb="11">
      <t>ショウカイ</t>
    </rPh>
    <phoneticPr fontId="3"/>
  </si>
  <si>
    <t xml:space="preserve"> 確認内容概要</t>
    <rPh sb="1" eb="3">
      <t>カクニン</t>
    </rPh>
    <rPh sb="3" eb="5">
      <t>ナイヨウ</t>
    </rPh>
    <rPh sb="5" eb="7">
      <t>ガイヨウ</t>
    </rPh>
    <phoneticPr fontId="33"/>
  </si>
  <si>
    <t>応答電文の詳細はデータシート参照</t>
    <rPh sb="0" eb="2">
      <t>オウトウ</t>
    </rPh>
    <rPh sb="2" eb="4">
      <t>デンブン</t>
    </rPh>
    <rPh sb="5" eb="7">
      <t>ショウサイ</t>
    </rPh>
    <rPh sb="14" eb="16">
      <t>サンショウ</t>
    </rPh>
    <phoneticPr fontId="3"/>
  </si>
  <si>
    <t>応答電文</t>
    <rPh sb="0" eb="2">
      <t>オウトウ</t>
    </rPh>
    <rPh sb="2" eb="4">
      <t>デンブン</t>
    </rPh>
    <phoneticPr fontId="3"/>
  </si>
  <si>
    <t>販売状況コード</t>
    <rPh sb="0" eb="2">
      <t>ハンバイ</t>
    </rPh>
    <rPh sb="2" eb="4">
      <t>ジョウキョウ</t>
    </rPh>
    <phoneticPr fontId="3"/>
  </si>
  <si>
    <t>試行回数</t>
    <rPh sb="0" eb="2">
      <t>シコウ</t>
    </rPh>
    <rPh sb="2" eb="4">
      <t>カイスウ</t>
    </rPh>
    <phoneticPr fontId="33"/>
  </si>
  <si>
    <t xml:space="preserve"> 障害連絡票番号</t>
    <rPh sb="1" eb="3">
      <t>ショウガイ</t>
    </rPh>
    <rPh sb="3" eb="5">
      <t>レンラク</t>
    </rPh>
    <rPh sb="5" eb="6">
      <t>ヒョウ</t>
    </rPh>
    <rPh sb="6" eb="8">
      <t>バンゴウ</t>
    </rPh>
    <phoneticPr fontId="33"/>
  </si>
  <si>
    <t>(回目)</t>
    <rPh sb="1" eb="3">
      <t>カイメ</t>
    </rPh>
    <phoneticPr fontId="33"/>
  </si>
  <si>
    <t>試験実施日</t>
    <rPh sb="0" eb="2">
      <t>シケン</t>
    </rPh>
    <rPh sb="2" eb="5">
      <t>ジッシビ</t>
    </rPh>
    <phoneticPr fontId="33"/>
  </si>
  <si>
    <t>月</t>
    <rPh sb="0" eb="1">
      <t>ツキ</t>
    </rPh>
    <phoneticPr fontId="33"/>
  </si>
  <si>
    <t>日</t>
    <rPh sb="0" eb="1">
      <t>ヒ</t>
    </rPh>
    <phoneticPr fontId="33"/>
  </si>
  <si>
    <t>試験結果</t>
    <rPh sb="0" eb="2">
      <t>シケン</t>
    </rPh>
    <rPh sb="2" eb="4">
      <t>ケッカ</t>
    </rPh>
    <phoneticPr fontId="33"/>
  </si>
  <si>
    <t>担当者名</t>
    <rPh sb="0" eb="2">
      <t>タントウ</t>
    </rPh>
    <rPh sb="2" eb="3">
      <t>シャ</t>
    </rPh>
    <rPh sb="3" eb="4">
      <t>メイ</t>
    </rPh>
    <phoneticPr fontId="33"/>
  </si>
  <si>
    <t>FMCオンラインAPIパラメータ</t>
  </si>
  <si>
    <t>01</t>
  </si>
  <si>
    <t>APIパラメータ</t>
  </si>
  <si>
    <t>api-prm</t>
  </si>
  <si>
    <t>address-code</t>
  </si>
  <si>
    <t>電話番号</t>
  </si>
  <si>
    <t>"-"（ハイフン）抜きの電話番号</t>
    <rPh sb="12" eb="14">
      <t>デンワ</t>
    </rPh>
    <rPh sb="14" eb="16">
      <t>バンゴウ</t>
    </rPh>
    <phoneticPr fontId="3"/>
  </si>
  <si>
    <t>tel</t>
  </si>
  <si>
    <t>郵便番号</t>
  </si>
  <si>
    <t>"-"（ハイフン）抜きの郵便番号</t>
    <rPh sb="9" eb="10">
      <t>ヌ</t>
    </rPh>
    <rPh sb="12" eb="16">
      <t>ユウビンバンゴウ</t>
    </rPh>
    <phoneticPr fontId="3"/>
  </si>
  <si>
    <t>post</t>
  </si>
  <si>
    <t>building-type</t>
  </si>
  <si>
    <t>customer-type</t>
  </si>
  <si>
    <t>X</t>
  </si>
  <si>
    <t>02</t>
  </si>
  <si>
    <t>C0</t>
  </si>
  <si>
    <t>B1</t>
  </si>
  <si>
    <t>マニュアル表示ボタンのフラグ</t>
  </si>
  <si>
    <t>exp-button</t>
  </si>
  <si>
    <t>サービス情報繰返し回数</t>
    <rPh sb="6" eb="8">
      <t>クリカエ</t>
    </rPh>
    <rPh sb="9" eb="11">
      <t>カイスウ</t>
    </rPh>
    <phoneticPr fontId="3"/>
  </si>
  <si>
    <t>サービス情報リストの繰返し回数を設定</t>
    <rPh sb="4" eb="6">
      <t>ジョウホウ</t>
    </rPh>
    <rPh sb="10" eb="12">
      <t>クリカエ</t>
    </rPh>
    <rPh sb="13" eb="15">
      <t>カイスウ</t>
    </rPh>
    <rPh sb="16" eb="18">
      <t>セッテイ</t>
    </rPh>
    <phoneticPr fontId="3"/>
  </si>
  <si>
    <t>auservicelist</t>
  </si>
  <si>
    <t>11</t>
  </si>
  <si>
    <t>0-3</t>
  </si>
  <si>
    <t>service-kbn-detail</t>
  </si>
  <si>
    <t>サービス名</t>
  </si>
  <si>
    <t>各エリア検索結果に対応するサービス名</t>
    <rPh sb="0" eb="1">
      <t>カク</t>
    </rPh>
    <rPh sb="4" eb="6">
      <t>ケンサク</t>
    </rPh>
    <rPh sb="6" eb="8">
      <t>ケッカ</t>
    </rPh>
    <rPh sb="9" eb="11">
      <t>タイオウ</t>
    </rPh>
    <rPh sb="17" eb="18">
      <t>メイ</t>
    </rPh>
    <phoneticPr fontId="3"/>
  </si>
  <si>
    <t>0-4</t>
  </si>
  <si>
    <t>M</t>
  </si>
  <si>
    <t>サービス名補足</t>
    <rPh sb="4" eb="5">
      <t>メイ</t>
    </rPh>
    <rPh sb="5" eb="7">
      <t>ホソク</t>
    </rPh>
    <phoneticPr fontId="3"/>
  </si>
  <si>
    <t>サービス名直下に表示する文言を設定</t>
    <rPh sb="4" eb="5">
      <t>メイ</t>
    </rPh>
    <rPh sb="5" eb="7">
      <t>チョッカ</t>
    </rPh>
    <rPh sb="8" eb="10">
      <t>ヒョウジ</t>
    </rPh>
    <rPh sb="12" eb="14">
      <t>モンゴン</t>
    </rPh>
    <rPh sb="15" eb="17">
      <t>セッテイ</t>
    </rPh>
    <phoneticPr fontId="3"/>
  </si>
  <si>
    <t>0-5</t>
  </si>
  <si>
    <t>提供サービス①</t>
  </si>
  <si>
    <t>0-6</t>
  </si>
  <si>
    <t>supplyServiceName1</t>
  </si>
  <si>
    <t>提供サービス②</t>
  </si>
  <si>
    <t>0-7</t>
  </si>
  <si>
    <t>supplyServiceName2</t>
  </si>
  <si>
    <t>0-8</t>
  </si>
  <si>
    <t>result1</t>
  </si>
  <si>
    <t>結果②</t>
  </si>
  <si>
    <t>0-9</t>
  </si>
  <si>
    <t>3M割提携</t>
    <rPh sb="2" eb="3">
      <t>ワリ</t>
    </rPh>
    <rPh sb="3" eb="5">
      <t>テイケイ</t>
    </rPh>
    <phoneticPr fontId="3"/>
  </si>
  <si>
    <t>備考①-1</t>
  </si>
  <si>
    <t>申込サービス区分毎の販売状況の文言を設定。</t>
    <rPh sb="0" eb="2">
      <t>モウシコミ</t>
    </rPh>
    <rPh sb="6" eb="8">
      <t>クブン</t>
    </rPh>
    <rPh sb="8" eb="9">
      <t>ゴト</t>
    </rPh>
    <rPh sb="10" eb="12">
      <t>ハンバイ</t>
    </rPh>
    <rPh sb="12" eb="14">
      <t>ジョウキョウ</t>
    </rPh>
    <rPh sb="15" eb="17">
      <t>モンゴン</t>
    </rPh>
    <rPh sb="18" eb="20">
      <t>セッテイ</t>
    </rPh>
    <phoneticPr fontId="3"/>
  </si>
  <si>
    <t>0-11</t>
  </si>
  <si>
    <t>memo1-1</t>
  </si>
  <si>
    <t>備考①-2</t>
  </si>
  <si>
    <t>0-12</t>
  </si>
  <si>
    <t>memo1-2</t>
  </si>
  <si>
    <t>備考①-3</t>
  </si>
  <si>
    <t>予備項目</t>
    <rPh sb="0" eb="2">
      <t>ヨビ</t>
    </rPh>
    <rPh sb="2" eb="4">
      <t>コウモク</t>
    </rPh>
    <phoneticPr fontId="3"/>
  </si>
  <si>
    <t>0-13</t>
  </si>
  <si>
    <t>memo1-3</t>
  </si>
  <si>
    <t>備考②-1</t>
  </si>
  <si>
    <t>0-14</t>
  </si>
  <si>
    <t>memo2-1</t>
  </si>
  <si>
    <t>備考②-2</t>
  </si>
  <si>
    <t>0-15</t>
  </si>
  <si>
    <t>memo2-2</t>
  </si>
  <si>
    <t>備考②-3</t>
  </si>
  <si>
    <t>0-16</t>
  </si>
  <si>
    <t>memo2-3</t>
  </si>
  <si>
    <t>備考フラグ</t>
  </si>
  <si>
    <t>0-17</t>
  </si>
  <si>
    <t>マニュアルURL</t>
  </si>
  <si>
    <t>0-18</t>
  </si>
  <si>
    <t>番号ポータビリティ可能フラグ</t>
    <rPh sb="0" eb="2">
      <t>バンゴウ</t>
    </rPh>
    <rPh sb="9" eb="11">
      <t>カノウ</t>
    </rPh>
    <phoneticPr fontId="3"/>
  </si>
  <si>
    <t>0-19</t>
  </si>
  <si>
    <t>表示可否フラグ</t>
    <rPh sb="0" eb="2">
      <t>ヒョウジ</t>
    </rPh>
    <rPh sb="2" eb="4">
      <t>カヒ</t>
    </rPh>
    <phoneticPr fontId="3"/>
  </si>
  <si>
    <t>0-20</t>
  </si>
  <si>
    <t>0-21</t>
  </si>
  <si>
    <t>マンション棟ID</t>
    <rPh sb="5" eb="6">
      <t>トウ</t>
    </rPh>
    <phoneticPr fontId="3"/>
  </si>
  <si>
    <t>0-22</t>
  </si>
  <si>
    <t>0-23</t>
  </si>
  <si>
    <t>gr-no</t>
  </si>
  <si>
    <t>サービス種別コード</t>
  </si>
  <si>
    <t>0-24</t>
  </si>
  <si>
    <t>service-code</t>
  </si>
  <si>
    <t>回線速度区分</t>
    <rPh sb="0" eb="2">
      <t>カイセン</t>
    </rPh>
    <rPh sb="2" eb="4">
      <t>ソクド</t>
    </rPh>
    <rPh sb="4" eb="6">
      <t>クブン</t>
    </rPh>
    <phoneticPr fontId="3"/>
  </si>
  <si>
    <t>0-25</t>
  </si>
  <si>
    <t>kaisen-speed</t>
  </si>
  <si>
    <t>事業者コード</t>
    <rPh sb="0" eb="3">
      <t>ジギョウシャ</t>
    </rPh>
    <phoneticPr fontId="3"/>
  </si>
  <si>
    <t>3Mエリア提供状況照会－戸建API、または3Mエリア提供状況照会－マンションAPI結果に事業者コードが存在する場合、その事業者コードを設定</t>
    <rPh sb="44" eb="47">
      <t>ジギョウシャ</t>
    </rPh>
    <rPh sb="51" eb="53">
      <t>ソンザイ</t>
    </rPh>
    <rPh sb="55" eb="57">
      <t>バアイ</t>
    </rPh>
    <rPh sb="60" eb="63">
      <t>ジギョウシャ</t>
    </rPh>
    <rPh sb="67" eb="69">
      <t>セッテイ</t>
    </rPh>
    <phoneticPr fontId="3"/>
  </si>
  <si>
    <t>0-26</t>
  </si>
  <si>
    <t>事業者名</t>
    <rPh sb="0" eb="3">
      <t>ジギョウシャ</t>
    </rPh>
    <rPh sb="3" eb="4">
      <t>メイ</t>
    </rPh>
    <phoneticPr fontId="3"/>
  </si>
  <si>
    <t>3Mエリア提供状況照会－戸建API、または3Mエリア提供状況照会－マンションAPI結果に事業者名が存在する場合、その事業者名を設定</t>
    <rPh sb="44" eb="47">
      <t>ジギョウシャ</t>
    </rPh>
    <rPh sb="47" eb="48">
      <t>メイ</t>
    </rPh>
    <rPh sb="49" eb="51">
      <t>ソンザイ</t>
    </rPh>
    <rPh sb="53" eb="55">
      <t>バアイ</t>
    </rPh>
    <rPh sb="58" eb="61">
      <t>ジギョウシャ</t>
    </rPh>
    <rPh sb="61" eb="62">
      <t>メイ</t>
    </rPh>
    <rPh sb="63" eb="65">
      <t>セッテイ</t>
    </rPh>
    <phoneticPr fontId="3"/>
  </si>
  <si>
    <t>0-27</t>
  </si>
  <si>
    <t>0-10</t>
  </si>
  <si>
    <t>申込受付中。</t>
  </si>
  <si>
    <t>04</t>
  </si>
  <si>
    <t>A1</t>
  </si>
  <si>
    <t>A2</t>
  </si>
  <si>
    <t>A0</t>
  </si>
  <si>
    <t>pc-res</t>
  </si>
  <si>
    <t>C2</t>
  </si>
  <si>
    <t>D2</t>
  </si>
  <si>
    <t>F2</t>
  </si>
  <si>
    <t>外部APIの返却値が1桁の場合、先頭に「0」を付加</t>
    <rPh sb="0" eb="2">
      <t>ガイブ</t>
    </rPh>
    <rPh sb="6" eb="8">
      <t>ヘンキャク</t>
    </rPh>
    <rPh sb="8" eb="9">
      <t>チ</t>
    </rPh>
    <rPh sb="11" eb="12">
      <t>ケタ</t>
    </rPh>
    <rPh sb="13" eb="15">
      <t>バアイ</t>
    </rPh>
    <rPh sb="16" eb="18">
      <t>セントウ</t>
    </rPh>
    <rPh sb="23" eb="25">
      <t>フカ</t>
    </rPh>
    <phoneticPr fontId="3"/>
  </si>
  <si>
    <r>
      <t>ルート</t>
    </r>
    <r>
      <rPr>
        <sz val="11"/>
        <rFont val="ＭＳ Ｐゴシック"/>
        <family val="3"/>
        <charset val="128"/>
      </rPr>
      <t>（入力）</t>
    </r>
    <rPh sb="4" eb="6">
      <t>ニュウリョク</t>
    </rPh>
    <phoneticPr fontId="3"/>
  </si>
  <si>
    <r>
      <t>APIを識別するコード</t>
    </r>
    <r>
      <rPr>
        <sz val="11"/>
        <rFont val="ＭＳ Ｐゴシック"/>
        <family val="3"/>
        <charset val="128"/>
      </rPr>
      <t>（API-ID）を設定。
設定内容は「付録C FMCオンラインAPI補足資料」を参照。</t>
    </r>
    <rPh sb="4" eb="6">
      <t>シキベツ</t>
    </rPh>
    <rPh sb="20" eb="22">
      <t>セッテイ</t>
    </rPh>
    <phoneticPr fontId="3"/>
  </si>
  <si>
    <r>
      <t xml:space="preserve">APIのバージョンを設定。
</t>
    </r>
    <r>
      <rPr>
        <sz val="11"/>
        <rFont val="ＭＳ Ｐゴシック"/>
        <family val="3"/>
        <charset val="128"/>
      </rPr>
      <t>「10」固定。</t>
    </r>
    <rPh sb="10" eb="12">
      <t>セッテイ</t>
    </rPh>
    <rPh sb="18" eb="20">
      <t>コテイ</t>
    </rPh>
    <phoneticPr fontId="3"/>
  </si>
  <si>
    <r>
      <t xml:space="preserve">au代理店コードを設定。
</t>
    </r>
    <r>
      <rPr>
        <sz val="11"/>
        <rFont val="ＭＳ Ｐゴシック"/>
        <family val="3"/>
        <charset val="128"/>
      </rPr>
      <t xml:space="preserve">下記の条件を全て満たす場合のみ非必須。
満たさない場合は、必須。
API識別：H001（申込情報照会API）
呼出元：EKIDEN（絵喜伝）
</t>
    </r>
    <rPh sb="9" eb="11">
      <t>セッテイ</t>
    </rPh>
    <rPh sb="14" eb="16">
      <t>カキ</t>
    </rPh>
    <rPh sb="17" eb="19">
      <t>ジョウケン</t>
    </rPh>
    <rPh sb="20" eb="21">
      <t>スベ</t>
    </rPh>
    <rPh sb="22" eb="23">
      <t>ミ</t>
    </rPh>
    <rPh sb="25" eb="27">
      <t>バアイ</t>
    </rPh>
    <rPh sb="29" eb="30">
      <t>ヒ</t>
    </rPh>
    <rPh sb="30" eb="32">
      <t>ヒッス</t>
    </rPh>
    <rPh sb="34" eb="35">
      <t>ミ</t>
    </rPh>
    <rPh sb="39" eb="41">
      <t>バアイ</t>
    </rPh>
    <rPh sb="43" eb="45">
      <t>ヒッス</t>
    </rPh>
    <rPh sb="58" eb="60">
      <t>モウシコミ</t>
    </rPh>
    <rPh sb="60" eb="62">
      <t>ジョウホウ</t>
    </rPh>
    <rPh sb="62" eb="64">
      <t>ショウカイ</t>
    </rPh>
    <rPh sb="69" eb="71">
      <t>ヨビダ</t>
    </rPh>
    <rPh sb="71" eb="72">
      <t>モト</t>
    </rPh>
    <rPh sb="80" eb="81">
      <t>エ</t>
    </rPh>
    <rPh sb="81" eb="82">
      <t>キ</t>
    </rPh>
    <rPh sb="82" eb="83">
      <t>デン</t>
    </rPh>
    <phoneticPr fontId="3"/>
  </si>
  <si>
    <t>G1</t>
  </si>
  <si>
    <t>A4</t>
  </si>
  <si>
    <t>G2</t>
  </si>
  <si>
    <t>B4</t>
  </si>
  <si>
    <t>B0</t>
  </si>
  <si>
    <t>B3</t>
  </si>
  <si>
    <t xml:space="preserve"> チェック条件</t>
    <phoneticPr fontId="33"/>
  </si>
  <si>
    <t>APIパラメータ(INPUT)</t>
    <phoneticPr fontId="3"/>
  </si>
  <si>
    <t>PASCAL</t>
    <phoneticPr fontId="3"/>
  </si>
  <si>
    <t>EKIDEN</t>
    <phoneticPr fontId="3"/>
  </si>
  <si>
    <t>"1"：マンション・アパートなど</t>
    <phoneticPr fontId="3"/>
  </si>
  <si>
    <t>1</t>
    <phoneticPr fontId="3"/>
  </si>
  <si>
    <t>番地</t>
    <rPh sb="0" eb="2">
      <t>バンチ</t>
    </rPh>
    <phoneticPr fontId="3"/>
  </si>
  <si>
    <t>申込サービス区分が「02:ひかりoneホーム(S)」の場合、番地を設定。</t>
    <rPh sb="0" eb="2">
      <t>モウシコミ</t>
    </rPh>
    <rPh sb="6" eb="8">
      <t>クブン</t>
    </rPh>
    <rPh sb="27" eb="29">
      <t>バアイ</t>
    </rPh>
    <rPh sb="30" eb="32">
      <t>バンチ</t>
    </rPh>
    <rPh sb="33" eb="35">
      <t>セッテイ</t>
    </rPh>
    <phoneticPr fontId="3"/>
  </si>
  <si>
    <t>号</t>
    <rPh sb="0" eb="1">
      <t>ゴウ</t>
    </rPh>
    <phoneticPr fontId="3"/>
  </si>
  <si>
    <t>申込サービス区分が「02:ひかりoneホーム(S)」の場合、号を設定。</t>
    <rPh sb="30" eb="31">
      <t>ゴウ</t>
    </rPh>
    <rPh sb="32" eb="34">
      <t>セッテイ</t>
    </rPh>
    <phoneticPr fontId="3"/>
  </si>
  <si>
    <t>※1311案件より未使用項目</t>
    <rPh sb="5" eb="7">
      <t>アンケン</t>
    </rPh>
    <rPh sb="9" eb="12">
      <t>ミシヨウ</t>
    </rPh>
    <rPh sb="12" eb="14">
      <t>コウモク</t>
    </rPh>
    <phoneticPr fontId="3"/>
  </si>
  <si>
    <r>
      <t>1：○　</t>
    </r>
    <r>
      <rPr>
        <sz val="11"/>
        <rFont val="ＭＳ Ｐゴシック"/>
        <family val="3"/>
        <charset val="128"/>
      </rPr>
      <t xml:space="preserve">(サービス提供可能)
2：△　(サービス提供予定)
3：×　(サービス提供不可)
5：×　(緊急呼提供可)
サービス区分＝"00"または"02"または"04"または"10"または"11"の場合のみ、「5：×(緊急呼提供可)」は設定される。
</t>
    </r>
    <rPh sb="50" eb="52">
      <t>キンキュウ</t>
    </rPh>
    <rPh sb="52" eb="53">
      <t>ヨ</t>
    </rPh>
    <rPh sb="53" eb="55">
      <t>テイキョウ</t>
    </rPh>
    <rPh sb="55" eb="56">
      <t>カ</t>
    </rPh>
    <phoneticPr fontId="3"/>
  </si>
  <si>
    <t>申込サービス区分に応じて呼び出したAPIから、下記の項目値が設定されて返却された場合、その値を設定する
　3Mエリア提供状況照会－戸建API
　　・・・ auひかりGCコード
　3Mエリア提供状況照会－マンションAPI
　　・・・ auひかりGCコード</t>
    <rPh sb="0" eb="2">
      <t>モウシコミ</t>
    </rPh>
    <rPh sb="6" eb="8">
      <t>クブン</t>
    </rPh>
    <rPh sb="9" eb="10">
      <t>オウ</t>
    </rPh>
    <rPh sb="12" eb="13">
      <t>ヨ</t>
    </rPh>
    <rPh sb="14" eb="15">
      <t>ダ</t>
    </rPh>
    <rPh sb="23" eb="25">
      <t>カキ</t>
    </rPh>
    <rPh sb="26" eb="28">
      <t>コウモク</t>
    </rPh>
    <rPh sb="28" eb="29">
      <t>アタイ</t>
    </rPh>
    <rPh sb="30" eb="32">
      <t>セッテイ</t>
    </rPh>
    <rPh sb="35" eb="37">
      <t>ヘンキャク</t>
    </rPh>
    <rPh sb="40" eb="42">
      <t>バアイ</t>
    </rPh>
    <rPh sb="45" eb="46">
      <t>アタイ</t>
    </rPh>
    <rPh sb="47" eb="49">
      <t>セッテイ</t>
    </rPh>
    <phoneticPr fontId="3"/>
  </si>
  <si>
    <t>A5</t>
  </si>
  <si>
    <t>B5</t>
  </si>
  <si>
    <t>H2</t>
  </si>
  <si>
    <t>OK／</t>
    <phoneticPr fontId="33"/>
  </si>
  <si>
    <t>／NG</t>
    <phoneticPr fontId="33"/>
  </si>
  <si>
    <t>API-ID</t>
    <phoneticPr fontId="3"/>
  </si>
  <si>
    <t>B004</t>
    <phoneticPr fontId="3"/>
  </si>
  <si>
    <t>エリア検索結果取得</t>
    <phoneticPr fontId="3"/>
  </si>
  <si>
    <t>search_area</t>
    <phoneticPr fontId="3"/>
  </si>
  <si>
    <t>http://kddi.com/smc/fmconline/nwarea/schema/search_area_request</t>
    <phoneticPr fontId="3"/>
  </si>
  <si>
    <t>http://kddi.com/smc/fmconline/nwarea/schema/search_area_response</t>
    <phoneticPr fontId="3"/>
  </si>
  <si>
    <t>Ref</t>
    <phoneticPr fontId="3"/>
  </si>
  <si>
    <t>ﾊﾞｲﾄ</t>
    <phoneticPr fontId="3"/>
  </si>
  <si>
    <t>ﾀｲﾌﾟ</t>
    <phoneticPr fontId="3"/>
  </si>
  <si>
    <t>I/O</t>
    <phoneticPr fontId="3"/>
  </si>
  <si>
    <t>ﾀｲﾌﾟ</t>
    <phoneticPr fontId="3"/>
  </si>
  <si>
    <t>I/O</t>
    <phoneticPr fontId="3"/>
  </si>
  <si>
    <t>1_out</t>
    <phoneticPr fontId="3"/>
  </si>
  <si>
    <t>OK/NG</t>
    <phoneticPr fontId="3"/>
  </si>
  <si>
    <t>期待値</t>
    <phoneticPr fontId="3"/>
  </si>
  <si>
    <t>B004</t>
    <phoneticPr fontId="3"/>
  </si>
  <si>
    <t xml:space="preserve">  </t>
    <phoneticPr fontId="3"/>
  </si>
  <si>
    <t>-</t>
    <phoneticPr fontId="3"/>
  </si>
  <si>
    <t>1_in</t>
    <phoneticPr fontId="3"/>
  </si>
  <si>
    <t>NW系エリア検索</t>
    <rPh sb="2" eb="3">
      <t>ケイ</t>
    </rPh>
    <rPh sb="6" eb="8">
      <t>ケンサク</t>
    </rPh>
    <phoneticPr fontId="3"/>
  </si>
  <si>
    <t>C1</t>
  </si>
  <si>
    <t>D1</t>
  </si>
  <si>
    <t>E1</t>
  </si>
  <si>
    <t>H1</t>
  </si>
  <si>
    <t>チェック条件／確認内容</t>
    <phoneticPr fontId="3"/>
  </si>
  <si>
    <t>総合試験項目票No</t>
    <phoneticPr fontId="3"/>
  </si>
  <si>
    <t>○</t>
    <phoneticPr fontId="3"/>
  </si>
  <si>
    <t>api-request</t>
    <phoneticPr fontId="3"/>
  </si>
  <si>
    <t>I</t>
    <phoneticPr fontId="3"/>
  </si>
  <si>
    <t>O</t>
    <phoneticPr fontId="3"/>
  </si>
  <si>
    <t>api-com-info</t>
    <phoneticPr fontId="3"/>
  </si>
  <si>
    <t>I/O</t>
    <phoneticPr fontId="3"/>
  </si>
  <si>
    <t>API識別</t>
    <phoneticPr fontId="3"/>
  </si>
  <si>
    <t>X</t>
    <phoneticPr fontId="3"/>
  </si>
  <si>
    <t>api-id</t>
    <phoneticPr fontId="3"/>
  </si>
  <si>
    <t>APIバージョン</t>
    <phoneticPr fontId="3"/>
  </si>
  <si>
    <t>api-var</t>
    <phoneticPr fontId="3"/>
  </si>
  <si>
    <t>API呼出日時を設定　形式：yyyymmddhhmmss</t>
    <phoneticPr fontId="3"/>
  </si>
  <si>
    <t>api-dtime</t>
    <phoneticPr fontId="3"/>
  </si>
  <si>
    <t>api-caller-info</t>
    <phoneticPr fontId="3"/>
  </si>
  <si>
    <t>api-sys-id</t>
    <phoneticPr fontId="3"/>
  </si>
  <si>
    <t>△</t>
    <phoneticPr fontId="3"/>
  </si>
  <si>
    <r>
      <t>api-</t>
    </r>
    <r>
      <rPr>
        <sz val="11"/>
        <rFont val="ＭＳ Ｐゴシック"/>
        <family val="3"/>
        <charset val="128"/>
      </rPr>
      <t>agency-cd</t>
    </r>
    <phoneticPr fontId="3"/>
  </si>
  <si>
    <r>
      <t>api-pson-chg-</t>
    </r>
    <r>
      <rPr>
        <sz val="11"/>
        <rFont val="ＭＳ Ｐゴシック"/>
        <family val="3"/>
        <charset val="128"/>
      </rPr>
      <t>id</t>
    </r>
    <phoneticPr fontId="3"/>
  </si>
  <si>
    <r>
      <t>API呼出を行ったPASCAL、絵喜伝</t>
    </r>
    <r>
      <rPr>
        <sz val="11"/>
        <rFont val="ＭＳ Ｐゴシック"/>
        <family val="3"/>
        <charset val="128"/>
      </rPr>
      <t>、ORANGE端末のIPアドレスを設定。</t>
    </r>
    <r>
      <rPr>
        <sz val="11"/>
        <rFont val="ＭＳ Ｐゴシック"/>
        <family val="3"/>
        <charset val="128"/>
      </rPr>
      <t xml:space="preserve">
</t>
    </r>
    <rPh sb="6" eb="7">
      <t>オコナ</t>
    </rPh>
    <rPh sb="16" eb="19">
      <t>エキデン</t>
    </rPh>
    <rPh sb="26" eb="28">
      <t>タンマツ</t>
    </rPh>
    <rPh sb="36" eb="38">
      <t>セッテイ</t>
    </rPh>
    <phoneticPr fontId="3"/>
  </si>
  <si>
    <t>\d{1,3}\.\d{1,3}\.\d{1,3}\.\d{1,3}</t>
    <phoneticPr fontId="3"/>
  </si>
  <si>
    <t>api-ip-add</t>
    <phoneticPr fontId="3"/>
  </si>
  <si>
    <r>
      <t>各FMCオンライン呼出元のシステム名
タブレット端末："PASCAL"</t>
    </r>
    <r>
      <rPr>
        <sz val="11"/>
        <rFont val="ＭＳ Ｐゴシック"/>
        <family val="3"/>
        <charset val="128"/>
      </rPr>
      <t xml:space="preserve">
絵喜伝："EKIDEN"
ORANGE："ORANGE"</t>
    </r>
    <r>
      <rPr>
        <sz val="11"/>
        <rFont val="ＭＳ Ｐゴシック"/>
        <family val="3"/>
        <charset val="128"/>
      </rPr>
      <t xml:space="preserve">
</t>
    </r>
    <rPh sb="0" eb="1">
      <t>カク</t>
    </rPh>
    <rPh sb="9" eb="11">
      <t>ヨビダシ</t>
    </rPh>
    <rPh sb="11" eb="12">
      <t>モト</t>
    </rPh>
    <rPh sb="17" eb="18">
      <t>メイ</t>
    </rPh>
    <rPh sb="24" eb="26">
      <t>タンマツ</t>
    </rPh>
    <rPh sb="36" eb="37">
      <t>エ</t>
    </rPh>
    <rPh sb="37" eb="38">
      <t>キ</t>
    </rPh>
    <rPh sb="38" eb="39">
      <t>デン</t>
    </rPh>
    <phoneticPr fontId="3"/>
  </si>
  <si>
    <r>
      <t>PASCAL,EKIDEN</t>
    </r>
    <r>
      <rPr>
        <sz val="11"/>
        <rFont val="ＭＳ Ｐゴシック"/>
        <family val="3"/>
        <charset val="128"/>
      </rPr>
      <t>,ORANGE</t>
    </r>
    <phoneticPr fontId="3"/>
  </si>
  <si>
    <t>api-sys-name</t>
    <phoneticPr fontId="3"/>
  </si>
  <si>
    <r>
      <t>各FMCオンライン呼出元の画面名（ID)</t>
    </r>
    <r>
      <rPr>
        <strike/>
        <sz val="11"/>
        <color indexed="10"/>
        <rFont val="ＭＳ Ｐゴシック"/>
        <family val="3"/>
        <charset val="128"/>
      </rPr>
      <t/>
    </r>
    <rPh sb="0" eb="1">
      <t>カク</t>
    </rPh>
    <rPh sb="9" eb="11">
      <t>ヨビダシ</t>
    </rPh>
    <rPh sb="11" eb="12">
      <t>モト</t>
    </rPh>
    <rPh sb="13" eb="15">
      <t>ガメン</t>
    </rPh>
    <rPh sb="15" eb="16">
      <t>メイ</t>
    </rPh>
    <phoneticPr fontId="3"/>
  </si>
  <si>
    <t>api-title-name</t>
    <phoneticPr fontId="3"/>
  </si>
  <si>
    <r>
      <t xml:space="preserve">絵喜伝：8桁
PASCAL：6桁
</t>
    </r>
    <r>
      <rPr>
        <sz val="11"/>
        <rFont val="ＭＳ Ｐゴシック"/>
        <family val="3"/>
        <charset val="128"/>
      </rPr>
      <t>ORANGE：8桁</t>
    </r>
    <r>
      <rPr>
        <sz val="11"/>
        <rFont val="ＭＳ Ｐゴシック"/>
        <family val="3"/>
        <charset val="128"/>
      </rPr>
      <t xml:space="preserve">
</t>
    </r>
    <rPh sb="25" eb="26">
      <t>ケタ</t>
    </rPh>
    <phoneticPr fontId="3"/>
  </si>
  <si>
    <t>要求項目（初期値スペース）だが応答時に応答内容を設定して返す</t>
    <phoneticPr fontId="3"/>
  </si>
  <si>
    <t>api-status</t>
    <phoneticPr fontId="3"/>
  </si>
  <si>
    <t>エラーフラグ</t>
    <phoneticPr fontId="3"/>
  </si>
  <si>
    <t>err-flg</t>
    <phoneticPr fontId="3"/>
  </si>
  <si>
    <t>0,1</t>
    <phoneticPr fontId="3"/>
  </si>
  <si>
    <t>顧客種別</t>
    <phoneticPr fontId="3"/>
  </si>
  <si>
    <t xml:space="preserve">0：個人
1：法人
</t>
    <phoneticPr fontId="3"/>
  </si>
  <si>
    <t>service-kbn</t>
    <phoneticPr fontId="3"/>
  </si>
  <si>
    <t>common-mansion-id</t>
    <phoneticPr fontId="3"/>
  </si>
  <si>
    <t>N</t>
    <phoneticPr fontId="3"/>
  </si>
  <si>
    <t>banchi</t>
    <phoneticPr fontId="3"/>
  </si>
  <si>
    <t>gou</t>
    <phoneticPr fontId="3"/>
  </si>
  <si>
    <r>
      <t>3Mエリア提供状況照会（外部API）</t>
    </r>
    <r>
      <rPr>
        <sz val="11"/>
        <rFont val="ＭＳ Ｐゴシック"/>
        <family val="3"/>
        <charset val="128"/>
      </rPr>
      <t xml:space="preserve">、ホームＳ一部エリアサービス提供可否返却（外部API）にて返却されたエラーコードを設定
</t>
    </r>
    <rPh sb="5" eb="7">
      <t>テイキョウ</t>
    </rPh>
    <rPh sb="7" eb="9">
      <t>ジョウキョウ</t>
    </rPh>
    <rPh sb="9" eb="11">
      <t>ショウカイ</t>
    </rPh>
    <rPh sb="12" eb="14">
      <t>ガイブ</t>
    </rPh>
    <rPh sb="39" eb="41">
      <t>ガイブ</t>
    </rPh>
    <rPh sb="47" eb="49">
      <t>ヘンキャク</t>
    </rPh>
    <rPh sb="59" eb="61">
      <t>セッテイ</t>
    </rPh>
    <phoneticPr fontId="3"/>
  </si>
  <si>
    <t>dabi-err-code</t>
    <phoneticPr fontId="3"/>
  </si>
  <si>
    <t>auservicelist-loop-cnt</t>
    <phoneticPr fontId="3"/>
  </si>
  <si>
    <r>
      <t>3Mエリア提供状況照会（外部API）</t>
    </r>
    <r>
      <rPr>
        <sz val="11"/>
        <rFont val="ＭＳ Ｐゴシック"/>
        <family val="3"/>
        <charset val="128"/>
      </rPr>
      <t xml:space="preserve">、ホームＳ一部エリアサービス提供可否返却（外部API）にて返却されたサービス提供状況を設定
</t>
    </r>
    <rPh sb="56" eb="58">
      <t>テイキョウ</t>
    </rPh>
    <rPh sb="58" eb="60">
      <t>ジョウキョウ</t>
    </rPh>
    <rPh sb="61" eb="63">
      <t>セッテイ</t>
    </rPh>
    <phoneticPr fontId="3"/>
  </si>
  <si>
    <t>sale-code</t>
    <phoneticPr fontId="3"/>
  </si>
  <si>
    <t>service-name</t>
    <phoneticPr fontId="3"/>
  </si>
  <si>
    <t>service-name-note</t>
    <phoneticPr fontId="3"/>
  </si>
  <si>
    <t>M</t>
    <phoneticPr fontId="3"/>
  </si>
  <si>
    <r>
      <t>1：○　</t>
    </r>
    <r>
      <rPr>
        <sz val="11"/>
        <rFont val="ＭＳ Ｐゴシック"/>
        <family val="3"/>
        <charset val="128"/>
      </rPr>
      <t>(サービス提供可能)
2：△　(サービス提供予定)
3：×　(サービス提供不可)
9：（データ無）</t>
    </r>
    <rPh sb="51" eb="52">
      <t>ナ</t>
    </rPh>
    <phoneticPr fontId="3"/>
  </si>
  <si>
    <t>three-m-discnt-kbn</t>
    <phoneticPr fontId="3"/>
  </si>
  <si>
    <t>bikou-flg</t>
    <phoneticPr fontId="3"/>
  </si>
  <si>
    <t>manual-url</t>
    <phoneticPr fontId="3"/>
  </si>
  <si>
    <t>num_portability_flg</t>
    <phoneticPr fontId="3"/>
  </si>
  <si>
    <t>show_flg</t>
    <phoneticPr fontId="3"/>
  </si>
  <si>
    <t>サービス種別</t>
    <phoneticPr fontId="3"/>
  </si>
  <si>
    <t>service-type</t>
    <phoneticPr fontId="3"/>
  </si>
  <si>
    <t>mansion-tou-id</t>
    <phoneticPr fontId="3"/>
  </si>
  <si>
    <t>carrier-cd</t>
    <phoneticPr fontId="3"/>
  </si>
  <si>
    <t>返却する半角文字は「?」のみ</t>
    <phoneticPr fontId="3"/>
  </si>
  <si>
    <t>carrier-name</t>
    <phoneticPr fontId="3"/>
  </si>
  <si>
    <t>0-28</t>
    <phoneticPr fontId="3"/>
  </si>
  <si>
    <t>gc-cd</t>
    <phoneticPr fontId="3"/>
  </si>
  <si>
    <t>NET/TEL/TV提供区分</t>
    <rPh sb="10" eb="12">
      <t>テイキョウ</t>
    </rPh>
    <rPh sb="12" eb="14">
      <t>クブン</t>
    </rPh>
    <phoneticPr fontId="3"/>
  </si>
  <si>
    <t>0-29</t>
    <phoneticPr fontId="3"/>
  </si>
  <si>
    <t>net-tel-tv-kbn</t>
    <phoneticPr fontId="3"/>
  </si>
  <si>
    <t>CASE0010</t>
    <phoneticPr fontId="3"/>
  </si>
  <si>
    <t>0000</t>
    <phoneticPr fontId="3"/>
  </si>
  <si>
    <t>0</t>
    <phoneticPr fontId="3"/>
  </si>
  <si>
    <t>期待値
（固定長）</t>
    <phoneticPr fontId="3"/>
  </si>
  <si>
    <t>OK/NG
（固定）</t>
    <phoneticPr fontId="3"/>
  </si>
  <si>
    <t>-</t>
    <phoneticPr fontId="3"/>
  </si>
  <si>
    <t>電話</t>
  </si>
  <si>
    <t>ORANGE01</t>
    <phoneticPr fontId="3"/>
  </si>
  <si>
    <t>03904</t>
  </si>
  <si>
    <t>株式会社エネルギア・コミュニケーションズ</t>
  </si>
  <si>
    <t>株式会社ＳＴＮｅｔ</t>
  </si>
  <si>
    <t>ａｕひかり ちゅら マンション</t>
  </si>
  <si>
    <t>インターネット/TV</t>
  </si>
  <si>
    <t>0000001</t>
  </si>
  <si>
    <t>h017065146</t>
  </si>
  <si>
    <t>コミュファ光 マンション</t>
  </si>
  <si>
    <t>03901</t>
  </si>
  <si>
    <t>中部テレコミュニケーション株式会社</t>
  </si>
  <si>
    <t>ｅｏ光 メゾン／マンション</t>
  </si>
  <si>
    <t>03902</t>
  </si>
  <si>
    <t>株式会社ケイ・オプティコム</t>
  </si>
  <si>
    <t>ピカラ光マンション</t>
  </si>
  <si>
    <t>03903</t>
  </si>
  <si>
    <t>ＢＢＩＱマンションタイプ</t>
  </si>
  <si>
    <t>03900</t>
  </si>
  <si>
    <t>ＱＴＮｅｔ（ＢＢＩＱ）</t>
  </si>
  <si>
    <t>＋ＷｉＭＡＸ対応Ｗｉ－Ｆｉルーター</t>
  </si>
  <si>
    <t>ａｕひかり ちゅら ホーム</t>
  </si>
  <si>
    <t>コミュファ光 ホーム</t>
  </si>
  <si>
    <t>ｅｏ光 ホーム</t>
  </si>
  <si>
    <t>ＢＢＩＱホームタイプ</t>
  </si>
  <si>
    <t>0334439999</t>
    <phoneticPr fontId="3"/>
  </si>
  <si>
    <t>FMC</t>
    <phoneticPr fontId="3"/>
  </si>
  <si>
    <t>住居種別</t>
    <phoneticPr fontId="3"/>
  </si>
  <si>
    <t>サービス種別の昇順で設定</t>
    <rPh sb="4" eb="6">
      <t>シュベツ</t>
    </rPh>
    <rPh sb="7" eb="9">
      <t>ショウジュン</t>
    </rPh>
    <rPh sb="10" eb="12">
      <t>セッテイ</t>
    </rPh>
    <phoneticPr fontId="3"/>
  </si>
  <si>
    <t>申込サービス区分詳細</t>
    <phoneticPr fontId="3"/>
  </si>
  <si>
    <t>この項目が設定されるサービスは「11:ａｕひかりちゅらマンション」の場合のみ</t>
    <phoneticPr fontId="3"/>
  </si>
  <si>
    <t>契約Gr番号</t>
    <phoneticPr fontId="3"/>
  </si>
  <si>
    <t>GCコード</t>
    <phoneticPr fontId="3"/>
  </si>
  <si>
    <t xml:space="preserve">NET/TEL/TV提供区分を設定
1：NET＋TEL
2：NETのみ
3：TELのみ
4：TVのみ
5：NET+TEL+TV
6：NET+TV
7：TEL+TV
9：その他
</t>
    <phoneticPr fontId="3"/>
  </si>
  <si>
    <t>ID002</t>
    <phoneticPr fontId="3"/>
  </si>
  <si>
    <t>ID003</t>
    <phoneticPr fontId="3"/>
  </si>
  <si>
    <t>ID005</t>
    <phoneticPr fontId="3"/>
  </si>
  <si>
    <t>20160404111111</t>
    <phoneticPr fontId="3"/>
  </si>
  <si>
    <t>ORANGE</t>
    <phoneticPr fontId="3"/>
  </si>
  <si>
    <t>192.168.134.174</t>
    <phoneticPr fontId="3"/>
  </si>
  <si>
    <t>E845001</t>
    <phoneticPr fontId="3"/>
  </si>
  <si>
    <t>3Mエリア提供状況照会(マンション)API</t>
    <phoneticPr fontId="3"/>
  </si>
  <si>
    <t>3Mエリア提供状況照会(戸建)API</t>
    <rPh sb="12" eb="14">
      <t>コダテ</t>
    </rPh>
    <phoneticPr fontId="3"/>
  </si>
  <si>
    <t>0000</t>
  </si>
  <si>
    <t>0</t>
  </si>
  <si>
    <t>J1</t>
  </si>
  <si>
    <t xml:space="preserve">B004 </t>
    <phoneticPr fontId="3"/>
  </si>
  <si>
    <t>判定対象外</t>
    <rPh sb="0" eb="1">
      <t>ハンテイ</t>
    </rPh>
    <rPh sb="1" eb="3">
      <t>タイショウ</t>
    </rPh>
    <rPh sb="3" eb="4">
      <t>ガイ</t>
    </rPh>
    <phoneticPr fontId="3"/>
  </si>
  <si>
    <t>ａｕひかり ホーム（Ｓ）</t>
  </si>
  <si>
    <t>1234567</t>
  </si>
  <si>
    <t>5</t>
  </si>
  <si>
    <t>ａｕひかり ホーム</t>
  </si>
  <si>
    <t>※エリア判定には補足住所での確認が必要です。\⇒　提供不可エリアが有る場合のみ、一覧を表示します。</t>
  </si>
  <si>
    <t>07</t>
  </si>
  <si>
    <t>91</t>
  </si>
  <si>
    <t>ケーブルテレビ</t>
  </si>
  <si>
    <t>04990</t>
  </si>
  <si>
    <t>Ｗｉｍａｘ</t>
  </si>
  <si>
    <t>A3</t>
  </si>
  <si>
    <t>ピカラ光ホーム</t>
  </si>
  <si>
    <t>F1</t>
  </si>
  <si>
    <t>6</t>
  </si>
  <si>
    <t>a01</t>
  </si>
  <si>
    <t>B2</t>
  </si>
  <si>
    <t>B6</t>
  </si>
  <si>
    <t>Z2</t>
  </si>
  <si>
    <t>ａｕひかり マンション</t>
  </si>
  <si>
    <t>マンションＩＳＰサービス</t>
  </si>
  <si>
    <t>下記外部APIが呼び出されていること</t>
    <rPh sb="0" eb="2">
      <t>カキ</t>
    </rPh>
    <rPh sb="2" eb="4">
      <t>ガイブ</t>
    </rPh>
    <rPh sb="8" eb="9">
      <t>ヨ</t>
    </rPh>
    <rPh sb="10" eb="11">
      <t>ダ</t>
    </rPh>
    <phoneticPr fontId="3"/>
  </si>
  <si>
    <t>全サービス情報が設定されていること</t>
    <rPh sb="0" eb="1">
      <t>ゼン</t>
    </rPh>
    <rPh sb="5" eb="7">
      <t>ジョウホウ</t>
    </rPh>
    <rPh sb="8" eb="10">
      <t>セッテイ</t>
    </rPh>
    <phoneticPr fontId="3"/>
  </si>
  <si>
    <t>ID001</t>
    <phoneticPr fontId="3"/>
  </si>
  <si>
    <t>ID004</t>
    <phoneticPr fontId="3"/>
  </si>
  <si>
    <t>ID006</t>
    <phoneticPr fontId="3"/>
  </si>
  <si>
    <t>home_3m_area_chk.cgi</t>
    <phoneticPr fontId="3"/>
  </si>
  <si>
    <t>mansion_3m_area_chk.cgi</t>
    <phoneticPr fontId="3"/>
  </si>
  <si>
    <r>
      <t xml:space="preserve">0:番号ポータビリティ不可
1:番号ポータビリティ可能
</t>
    </r>
    <r>
      <rPr>
        <sz val="11"/>
        <rFont val="ＭＳ Ｐゴシック"/>
        <family val="3"/>
        <charset val="128"/>
      </rPr>
      <t xml:space="preserve">この項目が設定されるサービスは「00:ひかりoneホーム」、「02:ひかりoneホーム(S)」、「04:ａｕひかりちゅらホーム」、「10:ひかりoneマンション」、「11:ａｕひかりちゅらマンション」、「C1:ホームプラス」
の場合のみ。
</t>
    </r>
    <rPh sb="11" eb="13">
      <t>フカ</t>
    </rPh>
    <rPh sb="16" eb="18">
      <t>バンゴウ</t>
    </rPh>
    <rPh sb="25" eb="27">
      <t>カノウ</t>
    </rPh>
    <phoneticPr fontId="3"/>
  </si>
  <si>
    <t>判定対象外</t>
    <rPh sb="0" eb="1">
      <t>ハンテイ</t>
    </rPh>
    <rPh sb="1" eb="4">
      <t>タイショウガイ</t>
    </rPh>
    <phoneticPr fontId="3"/>
  </si>
  <si>
    <t>5</t>
    <phoneticPr fontId="3"/>
  </si>
  <si>
    <t>ホームプラス電話</t>
    <rPh sb="6" eb="8">
      <t>デンワ</t>
    </rPh>
    <phoneticPr fontId="3"/>
  </si>
  <si>
    <t>＋ＷｉＭＡＸ対応Ｗｉ－Ｆｉルーター</t>
    <phoneticPr fontId="3"/>
  </si>
  <si>
    <t>サービスエリア内でも電波が伝わりにくい場所（屋内、車中、地下、トンネル内、ビルの陰、山間部など）では、通信できなかったり通信速度が低下する場合があります。また、高層ビル・マンションなどの高層階で見晴らしのよい場所であってもご使用になれない場合があります。電波状態が一定以上悪くなった場合には、突然通信が途切れることとなりますが、電波状態が良いところでも通信が途切れることがあります。</t>
    <phoneticPr fontId="3"/>
  </si>
  <si>
    <t xml:space="preserve">入力時：初期値を設定
出力時：下記、API呼出結果を設定
　"00"：正常終了
　"01"：フォーマットエラー(入力XML不正)
　"02"：APIバージョン不正
　"03"：呼び出し元システムID不正
　"04"：設定ファイルエラー
　"05"：データ不正
　"80"：メンテナンス中(内部)
　"81"：システム利用時間外エラー
　"82"：メンテナンス中(外部)
　"90"：DBエラー(GATE内部)
　"91"：DBエラー(GATE外部)
　"92"：内部連携エラー
　"93"：外部連携エラー
　"99"：システムエラー(その他エラー)
</t>
    <phoneticPr fontId="3"/>
  </si>
  <si>
    <t>FMC</t>
    <phoneticPr fontId="33"/>
  </si>
  <si>
    <t>1701要件確認試験</t>
    <rPh sb="4" eb="6">
      <t>ヨウケン</t>
    </rPh>
    <rPh sb="6" eb="8">
      <t>カクニン</t>
    </rPh>
    <rPh sb="8" eb="10">
      <t>シケン</t>
    </rPh>
    <phoneticPr fontId="33"/>
  </si>
  <si>
    <t>オンライン</t>
    <phoneticPr fontId="3"/>
  </si>
  <si>
    <t>要件確認-16d0862（auSV事業者追加（JPNE））</t>
    <rPh sb="0" eb="2">
      <t>ヨウケン</t>
    </rPh>
    <rPh sb="2" eb="4">
      <t>カクニン</t>
    </rPh>
    <phoneticPr fontId="3"/>
  </si>
  <si>
    <t>要件確認-16d0862</t>
    <phoneticPr fontId="3"/>
  </si>
  <si>
    <t>ID001</t>
    <phoneticPr fontId="3"/>
  </si>
  <si>
    <t>ID004</t>
  </si>
  <si>
    <t>ID005</t>
  </si>
  <si>
    <t>ID006</t>
  </si>
  <si>
    <t>アプリログ</t>
    <phoneticPr fontId="3"/>
  </si>
  <si>
    <t>住所コード</t>
  </si>
  <si>
    <t>I/O</t>
    <phoneticPr fontId="3"/>
  </si>
  <si>
    <t>X</t>
    <phoneticPr fontId="3"/>
  </si>
  <si>
    <t>X</t>
    <phoneticPr fontId="3"/>
  </si>
  <si>
    <t>I/O</t>
    <phoneticPr fontId="3"/>
  </si>
  <si>
    <t>住居種別</t>
    <phoneticPr fontId="3"/>
  </si>
  <si>
    <t xml:space="preserve">0：一戸建て
1：マンション・アパートなど
</t>
    <phoneticPr fontId="3"/>
  </si>
  <si>
    <t>0,1</t>
    <phoneticPr fontId="3"/>
  </si>
  <si>
    <t>申込サービス区分</t>
    <phoneticPr fontId="3"/>
  </si>
  <si>
    <r>
      <t>00,02,04,A0,A1,A2,A3,</t>
    </r>
    <r>
      <rPr>
        <sz val="11"/>
        <rFont val="ＭＳ Ｐゴシック"/>
        <family val="3"/>
        <charset val="128"/>
      </rPr>
      <t>A4,A5</t>
    </r>
    <r>
      <rPr>
        <sz val="11"/>
        <color indexed="10"/>
        <rFont val="ＭＳ Ｐゴシック"/>
        <family val="3"/>
        <charset val="128"/>
      </rPr>
      <t>,A7</t>
    </r>
    <r>
      <rPr>
        <sz val="11"/>
        <rFont val="ＭＳ Ｐゴシック"/>
        <family val="3"/>
        <charset val="128"/>
      </rPr>
      <t>,10,11,B0,B1,B2,B3,B4,B5,B6</t>
    </r>
    <r>
      <rPr>
        <sz val="11"/>
        <color indexed="10"/>
        <rFont val="ＭＳ Ｐゴシック"/>
        <family val="3"/>
        <charset val="128"/>
      </rPr>
      <t>,B7</t>
    </r>
    <r>
      <rPr>
        <sz val="11"/>
        <rFont val="ＭＳ Ｐゴシック"/>
        <family val="3"/>
        <charset val="128"/>
      </rPr>
      <t>,C0,C1</t>
    </r>
    <phoneticPr fontId="3"/>
  </si>
  <si>
    <t>△</t>
    <phoneticPr fontId="3"/>
  </si>
  <si>
    <r>
      <t>マンション一覧結果取得API(B005)の返却値を設定
・住居種別が"1"、かつ申込サービス区分が未設定、「10:ひかりone マンション」、「11:ａｕひかりちゅらマンション」、「B0:CTCサービスマンション」、「B1:K-Opticomサービスマンション」、「B2:CATVサービスマンション」、「B3:STNetサービスマンション」、「B4:ENECOMサービスマンション」、｢B5：QTNetサービスマンション｣</t>
    </r>
    <r>
      <rPr>
        <sz val="11"/>
        <rFont val="ＭＳ Ｐゴシック"/>
        <family val="3"/>
        <charset val="128"/>
      </rPr>
      <t>、「B6:マンションISPサービス」、</t>
    </r>
    <r>
      <rPr>
        <sz val="11"/>
        <color indexed="10"/>
        <rFont val="ＭＳ Ｐゴシック"/>
        <family val="3"/>
        <charset val="128"/>
      </rPr>
      <t>「B7:ひかりJマンション」、</t>
    </r>
    <r>
      <rPr>
        <sz val="11"/>
        <rFont val="ＭＳ Ｐゴシック"/>
        <family val="3"/>
        <charset val="128"/>
      </rPr>
      <t>「</t>
    </r>
    <r>
      <rPr>
        <sz val="11"/>
        <rFont val="ＭＳ Ｐゴシック"/>
        <family val="3"/>
        <charset val="128"/>
      </rPr>
      <t>C0:WiMAX</t>
    </r>
    <r>
      <rPr>
        <sz val="11"/>
        <rFont val="ＭＳ Ｐゴシック"/>
        <family val="3"/>
        <charset val="128"/>
      </rPr>
      <t xml:space="preserve">ハイブリッドルータ」の場合、必須
</t>
    </r>
    <phoneticPr fontId="3"/>
  </si>
  <si>
    <t>N</t>
    <phoneticPr fontId="3"/>
  </si>
  <si>
    <t>I/O</t>
    <phoneticPr fontId="3"/>
  </si>
  <si>
    <t>N</t>
    <phoneticPr fontId="3"/>
  </si>
  <si>
    <t>I/O</t>
    <phoneticPr fontId="3"/>
  </si>
  <si>
    <t>個別結果コード</t>
    <phoneticPr fontId="3"/>
  </si>
  <si>
    <t>△</t>
    <phoneticPr fontId="3"/>
  </si>
  <si>
    <r>
      <t>API呼出結果を設定。
呼出元システムが「ORANGE」</t>
    </r>
    <r>
      <rPr>
        <sz val="11"/>
        <rFont val="ＭＳ Ｐゴシック"/>
        <family val="3"/>
        <charset val="128"/>
      </rPr>
      <t>または「EKIDEN」の場合、
　”0000”：正常
　”0001”：データ非存在
　”0100”：外部APIエラー
呼出元システムが「PASCAL」の場合、
　”0000”：正常
　”0100”：不正住所エラー
　”0101”：番号区画不一致エラー</t>
    </r>
    <phoneticPr fontId="3"/>
  </si>
  <si>
    <t>O</t>
    <phoneticPr fontId="3"/>
  </si>
  <si>
    <t>DABINCIエラーコード</t>
    <phoneticPr fontId="3"/>
  </si>
  <si>
    <t xml:space="preserve">1：「マニュアル」カラム表示、「表示」ボタン表示
0：「マニュアル」カラム非表示、「表示」ボタン非表示
</t>
    <phoneticPr fontId="3"/>
  </si>
  <si>
    <t>0-0</t>
    <phoneticPr fontId="3"/>
  </si>
  <si>
    <t>サービス情報リスト</t>
    <phoneticPr fontId="3"/>
  </si>
  <si>
    <t>0-1</t>
    <phoneticPr fontId="3"/>
  </si>
  <si>
    <r>
      <t xml:space="preserve">00:ひかりone ホーム
02:ひかりoneホーム(S)
04:ａｕひかりちゅらホーム
A0:CTCサービスホーム
A1:K-Opticomサービスホーム
A2:CATVサービスホーム
A3:STNetサービスホーム
A4:ENECOMサービスホーム
</t>
    </r>
    <r>
      <rPr>
        <sz val="11"/>
        <rFont val="ＭＳ Ｐゴシック"/>
        <family val="3"/>
        <charset val="128"/>
      </rPr>
      <t xml:space="preserve">A5：QTNetサービスホーム
</t>
    </r>
    <r>
      <rPr>
        <sz val="11"/>
        <color indexed="10"/>
        <rFont val="ＭＳ Ｐゴシック"/>
        <family val="3"/>
        <charset val="128"/>
      </rPr>
      <t xml:space="preserve">A7：ひかりJホーム
</t>
    </r>
    <r>
      <rPr>
        <sz val="11"/>
        <rFont val="ＭＳ Ｐゴシック"/>
        <family val="3"/>
        <charset val="128"/>
      </rPr>
      <t xml:space="preserve">10:ひかりone マンション
11:ａｕひかりちゅらマンション
B0:CTCサービスマンション
B1:K-Opticomサービスマンション
B2:CATVサービスマンション
B3:STNetサービスマンション
B4:ENECOMサービスマンション
B5：QTNetサービスマンション
B6:マンションISPサービス
</t>
    </r>
    <r>
      <rPr>
        <sz val="11"/>
        <color indexed="10"/>
        <rFont val="ＭＳ Ｐゴシック"/>
        <family val="3"/>
        <charset val="128"/>
      </rPr>
      <t xml:space="preserve">B7：ひかりJマンション
</t>
    </r>
    <r>
      <rPr>
        <sz val="11"/>
        <rFont val="ＭＳ Ｐゴシック"/>
        <family val="3"/>
        <charset val="128"/>
      </rPr>
      <t xml:space="preserve">C0:WiMAXハイブリッドルータ
C1:ホームプラス
</t>
    </r>
    <phoneticPr fontId="3"/>
  </si>
  <si>
    <t>0-2</t>
    <phoneticPr fontId="3"/>
  </si>
  <si>
    <t>O</t>
    <phoneticPr fontId="3"/>
  </si>
  <si>
    <r>
      <t>申込サービス区分が「00:ひかりone ホーム」</t>
    </r>
    <r>
      <rPr>
        <sz val="11"/>
        <rFont val="ＭＳ Ｐゴシック"/>
        <family val="3"/>
        <charset val="128"/>
      </rPr>
      <t xml:space="preserve">、「02:ひかりoneホーム(S)」、「04:ａｕひかりちゅらホーム」、「10:ひかりone マンション」、「11:ａｕひかりちゅらマンション」の場合、
「インターネット/TV」を表す文言を設定。
</t>
    </r>
    <rPh sb="114" eb="115">
      <t>アラワ</t>
    </rPh>
    <rPh sb="116" eb="118">
      <t>モンゴン</t>
    </rPh>
    <rPh sb="119" eb="121">
      <t>セッテイ</t>
    </rPh>
    <phoneticPr fontId="3"/>
  </si>
  <si>
    <r>
      <t>申込サービス区分が「00:ひかりone ホーム」、「02:ひかりoneホーム(S)」、</t>
    </r>
    <r>
      <rPr>
        <sz val="11"/>
        <rFont val="ＭＳ Ｐゴシック"/>
        <family val="3"/>
        <charset val="128"/>
      </rPr>
      <t xml:space="preserve">「04:ａｕひかりちゅらホーム」、「10:ひかりone マンション」、「11:ａｕひかりちゅらマンション」の場合、
「電話」を表す文言を設定。
</t>
    </r>
    <rPh sb="102" eb="104">
      <t>デンワ</t>
    </rPh>
    <rPh sb="106" eb="107">
      <t>アラワ</t>
    </rPh>
    <rPh sb="108" eb="110">
      <t>モンゴン</t>
    </rPh>
    <rPh sb="111" eb="113">
      <t>セッテイ</t>
    </rPh>
    <phoneticPr fontId="3"/>
  </si>
  <si>
    <t>結果①</t>
    <phoneticPr fontId="3"/>
  </si>
  <si>
    <t>0:未提供
1:NET+TEL / NET+TV / TEL+TV
2:NET+TEL / NET+TV
3:NET+TEL / TEL +TV
4:NET+TV / TEL+TV
5:NET+TEL
6:NET+TV
7:TEL+TV</t>
    <phoneticPr fontId="3"/>
  </si>
  <si>
    <r>
      <t>・申込サービス区分が「00:ひかりone ホーム」</t>
    </r>
    <r>
      <rPr>
        <sz val="11"/>
        <rFont val="ＭＳ Ｐゴシック"/>
        <family val="3"/>
        <charset val="128"/>
      </rPr>
      <t xml:space="preserve">で、かつ3Mエリア提供状況照会－戸建API結果の備考フラグが1の場合、固定文言を設定。
</t>
    </r>
    <rPh sb="34" eb="36">
      <t>テイキョウ</t>
    </rPh>
    <rPh sb="36" eb="38">
      <t>ジョウキョウ</t>
    </rPh>
    <rPh sb="38" eb="40">
      <t>ショウカイ</t>
    </rPh>
    <rPh sb="41" eb="43">
      <t>コダテ</t>
    </rPh>
    <rPh sb="46" eb="48">
      <t>ケッカ</t>
    </rPh>
    <rPh sb="49" eb="51">
      <t>ビコウ</t>
    </rPh>
    <rPh sb="57" eb="59">
      <t>バアイ</t>
    </rPh>
    <rPh sb="60" eb="62">
      <t>コテイ</t>
    </rPh>
    <rPh sb="62" eb="64">
      <t>モンゴン</t>
    </rPh>
    <rPh sb="65" eb="67">
      <t>セッテイ</t>
    </rPh>
    <phoneticPr fontId="3"/>
  </si>
  <si>
    <r>
      <t>申込サービス区分が「00:ひかりone ホーム」、「02:ひかりoneホーム(S)」、</t>
    </r>
    <r>
      <rPr>
        <sz val="11"/>
        <rFont val="ＭＳ Ｐゴシック"/>
        <family val="3"/>
        <charset val="128"/>
      </rPr>
      <t>「04:ａｕひかりちゅらホーム」、「10:ひかりone マンション」、「11:ａｕひかりちゅらマンション」の場合で、且つ結果①が「○」または「△」の場合で、且つ緊急呼提供エリアが提供不可の場合、電話サービスが提供できないことを表す文言を設定。</t>
    </r>
    <rPh sb="101" eb="102">
      <t>カ</t>
    </rPh>
    <rPh sb="121" eb="122">
      <t>カ</t>
    </rPh>
    <rPh sb="147" eb="149">
      <t>テイキョウ</t>
    </rPh>
    <phoneticPr fontId="3"/>
  </si>
  <si>
    <r>
      <t>3Mエリア提供状況照会－戸建API</t>
    </r>
    <r>
      <rPr>
        <sz val="11"/>
        <rFont val="ＭＳ Ｐゴシック"/>
        <family val="3"/>
        <charset val="128"/>
      </rPr>
      <t xml:space="preserve">結果の備考フラグ
0:なし
1:あり
この項目が設定されるサービスは「00:ひかりoneホーム」、「02:ひかりoneホーム(S)」の場合のみ。
</t>
    </r>
    <phoneticPr fontId="3"/>
  </si>
  <si>
    <r>
      <rPr>
        <sz val="11"/>
        <rFont val="ＭＳ Ｐゴシック"/>
        <family val="3"/>
        <charset val="128"/>
      </rPr>
      <t>当該サービス情報を画面に表示するか否かを示す。
0:表示しない
1:表示する
「呼び出し元システム名」と外部API（3Ｍエリア提供状況照会－戸建/3Mエリア提供状況照会－マンション</t>
    </r>
    <r>
      <rPr>
        <sz val="11"/>
        <rFont val="ＭＳ Ｐゴシック"/>
        <family val="3"/>
        <charset val="128"/>
      </rPr>
      <t xml:space="preserve">)から返却される、サービス種別に紐付く申込サービス区分、申込サービス詳細区分を元に、エリア検索結果表示制御マスタから表示有無を取得し、設定する。
</t>
    </r>
    <rPh sb="26" eb="28">
      <t>ヒョウジ</t>
    </rPh>
    <rPh sb="34" eb="36">
      <t>ヒョウジ</t>
    </rPh>
    <phoneticPr fontId="3"/>
  </si>
  <si>
    <t>サービス種別</t>
    <phoneticPr fontId="3"/>
  </si>
  <si>
    <r>
      <t xml:space="preserve">00：ひかりｏｎｅマンション
01：ひかりｏｎｅホームＮ、
　　　ひかりoneホーム(S)
07：ひかりｏｎｅホーム
A1：ａｕひかりちゅらホーム
A2：ａｕひかりちゅらマンション
B1：CATVホーム
B2：CATVマンション
C1：FTTH(K-Opticom)ホーム
C2：FTTH(K-Opticom)マンション
D1：FTTH(CTC)ホーム
D2：FTTH(CTC)マンション
E1：WiMAXハイブリッドルータ
F1：FTTH(STNet)ホーム
F2：FTTH(STNet)マンション
G1：FTTH(ENECOM)ホーム
G2：FTTH(ENECOM)マンション
</t>
    </r>
    <r>
      <rPr>
        <sz val="11"/>
        <rFont val="ＭＳ Ｐゴシック"/>
        <family val="3"/>
        <charset val="128"/>
      </rPr>
      <t xml:space="preserve">H1：FTTH(QTNet)ホーム
H2：FTTH(QTNet)マンション
</t>
    </r>
    <r>
      <rPr>
        <sz val="11"/>
        <color indexed="10"/>
        <rFont val="ＭＳ Ｐゴシック"/>
        <family val="3"/>
        <charset val="128"/>
      </rPr>
      <t>K</t>
    </r>
    <r>
      <rPr>
        <sz val="11"/>
        <color indexed="10"/>
        <rFont val="ＭＳ Ｐゴシック"/>
        <family val="3"/>
        <charset val="128"/>
      </rPr>
      <t xml:space="preserve">1：ひかりJホーム
</t>
    </r>
    <r>
      <rPr>
        <sz val="11"/>
        <color indexed="10"/>
        <rFont val="ＭＳ Ｐゴシック"/>
        <family val="3"/>
        <charset val="128"/>
      </rPr>
      <t>K</t>
    </r>
    <r>
      <rPr>
        <sz val="11"/>
        <color indexed="10"/>
        <rFont val="ＭＳ Ｐゴシック"/>
        <family val="3"/>
        <charset val="128"/>
      </rPr>
      <t xml:space="preserve">2：ひかりJマンション
</t>
    </r>
    <r>
      <rPr>
        <sz val="11"/>
        <rFont val="ＭＳ Ｐゴシック"/>
        <family val="3"/>
        <charset val="128"/>
      </rPr>
      <t>J1:ホームプラス
Z2：マンションISP
ZZ：※エリア検索を実施しないサービスのサービス種別</t>
    </r>
    <phoneticPr fontId="3"/>
  </si>
  <si>
    <r>
      <t xml:space="preserve">検索対象とするサービス区分を設定
00:ひかりone ホーム
02:ひかりoneホーム(S)
04:ａｕひかりちゅらホーム
A0:CTCサービスホーム
A1:K-Opticomサービスホーム
A2:CATVサービスホーム
A3:STNetサービスホーム
A4:ENECOMサービスホーム
</t>
    </r>
    <r>
      <rPr>
        <sz val="11"/>
        <rFont val="ＭＳ Ｐゴシック"/>
        <family val="3"/>
        <charset val="128"/>
      </rPr>
      <t xml:space="preserve">A5：QTNetサービスホーム
</t>
    </r>
    <r>
      <rPr>
        <sz val="11"/>
        <color indexed="10"/>
        <rFont val="ＭＳ Ｐゴシック"/>
        <family val="3"/>
        <charset val="128"/>
      </rPr>
      <t xml:space="preserve">A7：ひかりJホーム
</t>
    </r>
    <r>
      <rPr>
        <sz val="11"/>
        <rFont val="ＭＳ Ｐゴシック"/>
        <family val="3"/>
        <charset val="128"/>
      </rPr>
      <t xml:space="preserve">10:ひかりone マンション
11:ａｕひかりちゅらマンション
B0:CTCサービスマンション
B1:K-Opticomサービスマンション
B2:CATVサービスマンション
B3:STNetサービスマンション
B4:ENECOMサービスマンション
B5：QTNetサービスマンション
B6:マンションISPサービス
</t>
    </r>
    <r>
      <rPr>
        <sz val="11"/>
        <color indexed="10"/>
        <rFont val="ＭＳ Ｐゴシック"/>
        <family val="3"/>
        <charset val="128"/>
      </rPr>
      <t xml:space="preserve">B7:ひかりJマンション
</t>
    </r>
    <r>
      <rPr>
        <sz val="11"/>
        <rFont val="ＭＳ Ｐゴシック"/>
        <family val="3"/>
        <charset val="128"/>
      </rPr>
      <t>C0:WiMAXハイブリッドルータ
C1:ホームプラス</t>
    </r>
    <r>
      <rPr>
        <strike/>
        <sz val="11"/>
        <rFont val="ＭＳ Ｐゴシック"/>
        <family val="3"/>
        <charset val="128"/>
      </rPr>
      <t xml:space="preserve">
</t>
    </r>
    <phoneticPr fontId="3"/>
  </si>
  <si>
    <t>"A7"：ひかりJホーム</t>
    <phoneticPr fontId="3"/>
  </si>
  <si>
    <t>"B7"：ひかりJマンション</t>
    <phoneticPr fontId="3"/>
  </si>
  <si>
    <t>ID007</t>
  </si>
  <si>
    <t>ID008</t>
  </si>
  <si>
    <t>ID009</t>
  </si>
  <si>
    <t>ID010</t>
  </si>
  <si>
    <t>ID011</t>
  </si>
  <si>
    <t>値あり</t>
    <rPh sb="0" eb="1">
      <t>アタイ</t>
    </rPh>
    <phoneticPr fontId="3"/>
  </si>
  <si>
    <t>未設定（値なし）</t>
    <rPh sb="0" eb="3">
      <t>ミセッテイ</t>
    </rPh>
    <rPh sb="4" eb="5">
      <t>アタイ</t>
    </rPh>
    <phoneticPr fontId="3"/>
  </si>
  <si>
    <t>サービス提供状況</t>
    <phoneticPr fontId="3"/>
  </si>
  <si>
    <t>エラーコード　（※ATOM設定項目）</t>
    <rPh sb="13" eb="15">
      <t>セッテイ</t>
    </rPh>
    <rPh sb="15" eb="17">
      <t>コウモク</t>
    </rPh>
    <phoneticPr fontId="3"/>
  </si>
  <si>
    <t>"00"：正常終了</t>
    <phoneticPr fontId="3"/>
  </si>
  <si>
    <t>"01"：フォーマットエラー(入力XML不正)</t>
    <phoneticPr fontId="3"/>
  </si>
  <si>
    <t>"05"：データ不正</t>
    <phoneticPr fontId="3"/>
  </si>
  <si>
    <t>エラーフラグ（※ATOM設定項目）</t>
    <phoneticPr fontId="3"/>
  </si>
  <si>
    <t>半角スペース</t>
    <rPh sb="0" eb="2">
      <t>ハンカク</t>
    </rPh>
    <phoneticPr fontId="3"/>
  </si>
  <si>
    <t>2</t>
    <phoneticPr fontId="3"/>
  </si>
  <si>
    <t>任意</t>
    <rPh sb="0" eb="2">
      <t>ニンイ</t>
    </rPh>
    <phoneticPr fontId="3"/>
  </si>
  <si>
    <t>個別結果コード</t>
    <rPh sb="0" eb="2">
      <t>コベツ</t>
    </rPh>
    <rPh sb="2" eb="4">
      <t>ケッカ</t>
    </rPh>
    <phoneticPr fontId="3"/>
  </si>
  <si>
    <t>サービス情報リスト</t>
    <rPh sb="4" eb="6">
      <t>ジョウホウ</t>
    </rPh>
    <phoneticPr fontId="3"/>
  </si>
  <si>
    <t>外部APIにて取得したサービス提供状況が設定されること（※1桁の場合、先頭に0が付加されていること）</t>
    <rPh sb="0" eb="2">
      <t>ガイブ</t>
    </rPh>
    <rPh sb="7" eb="9">
      <t>シュトク</t>
    </rPh>
    <rPh sb="15" eb="17">
      <t>テイキョウ</t>
    </rPh>
    <rPh sb="17" eb="19">
      <t>ジョウキョウ</t>
    </rPh>
    <rPh sb="20" eb="22">
      <t>セッテイ</t>
    </rPh>
    <rPh sb="30" eb="31">
      <t>ケタ</t>
    </rPh>
    <rPh sb="32" eb="34">
      <t>バアイ</t>
    </rPh>
    <rPh sb="35" eb="37">
      <t>セントウ</t>
    </rPh>
    <rPh sb="40" eb="42">
      <t>フカ</t>
    </rPh>
    <phoneticPr fontId="3"/>
  </si>
  <si>
    <t>サービス名</t>
    <rPh sb="4" eb="5">
      <t>メイ</t>
    </rPh>
    <phoneticPr fontId="3"/>
  </si>
  <si>
    <t>結果①</t>
    <rPh sb="0" eb="2">
      <t>ケッカ</t>
    </rPh>
    <phoneticPr fontId="3"/>
  </si>
  <si>
    <t>備考①-1</t>
    <rPh sb="0" eb="2">
      <t>ビコウ</t>
    </rPh>
    <phoneticPr fontId="3"/>
  </si>
  <si>
    <t>予約受付中。\※YYYY/MM頃より開通手続きを受付順に開始します。</t>
    <phoneticPr fontId="3"/>
  </si>
  <si>
    <t>外部APIより取得した提供時期に変換されていること</t>
    <rPh sb="0" eb="2">
      <t>ガイブ</t>
    </rPh>
    <rPh sb="7" eb="9">
      <t>シュトク</t>
    </rPh>
    <rPh sb="11" eb="13">
      <t>テイキョウ</t>
    </rPh>
    <rPh sb="13" eb="15">
      <t>ジキ</t>
    </rPh>
    <rPh sb="16" eb="18">
      <t>ヘンカン</t>
    </rPh>
    <phoneticPr fontId="3"/>
  </si>
  <si>
    <t>現在提供しておりません。</t>
    <phoneticPr fontId="3"/>
  </si>
  <si>
    <t>3M割提携</t>
    <phoneticPr fontId="3"/>
  </si>
  <si>
    <t>外部APIにて取得した3M提供可否判定が設定されること</t>
    <rPh sb="0" eb="2">
      <t>ガイブ</t>
    </rPh>
    <rPh sb="7" eb="9">
      <t>シュトク</t>
    </rPh>
    <rPh sb="20" eb="22">
      <t>セッテイ</t>
    </rPh>
    <phoneticPr fontId="3"/>
  </si>
  <si>
    <t>0：未提供</t>
    <phoneticPr fontId="3"/>
  </si>
  <si>
    <t>NET/TEL/TV提供区分</t>
    <phoneticPr fontId="3"/>
  </si>
  <si>
    <t>外部APIにて取得したNET/TEL/TV提供区分が設定されること</t>
    <rPh sb="0" eb="2">
      <t>ガイブ</t>
    </rPh>
    <rPh sb="7" eb="9">
      <t>シュトク</t>
    </rPh>
    <rPh sb="21" eb="23">
      <t>テイキョウ</t>
    </rPh>
    <rPh sb="23" eb="25">
      <t>クブン</t>
    </rPh>
    <rPh sb="26" eb="28">
      <t>セッテイ</t>
    </rPh>
    <phoneticPr fontId="3"/>
  </si>
  <si>
    <t>呼出API</t>
    <rPh sb="0" eb="2">
      <t>ヨビダシ</t>
    </rPh>
    <phoneticPr fontId="3"/>
  </si>
  <si>
    <t>戸建</t>
    <rPh sb="0" eb="2">
      <t>コダテ</t>
    </rPh>
    <phoneticPr fontId="3"/>
  </si>
  <si>
    <t>ひかりJホーム</t>
    <phoneticPr fontId="3"/>
  </si>
  <si>
    <t>3Mエリア戸建API</t>
    <rPh sb="5" eb="7">
      <t>コダテ</t>
    </rPh>
    <phoneticPr fontId="3"/>
  </si>
  <si>
    <t>呼出元</t>
    <rPh sb="0" eb="2">
      <t>ヨビダシ</t>
    </rPh>
    <rPh sb="2" eb="3">
      <t>モト</t>
    </rPh>
    <phoneticPr fontId="3"/>
  </si>
  <si>
    <t>提供時期</t>
    <phoneticPr fontId="3"/>
  </si>
  <si>
    <t>任意（YYYY/MM）</t>
    <rPh sb="0" eb="2">
      <t>ニンイ</t>
    </rPh>
    <phoneticPr fontId="3"/>
  </si>
  <si>
    <t>3M提供可否判定</t>
    <phoneticPr fontId="3"/>
  </si>
  <si>
    <t>任意</t>
    <rPh sb="0" eb="1">
      <t>ニンイ</t>
    </rPh>
    <phoneticPr fontId="3"/>
  </si>
  <si>
    <t>未設定</t>
    <rPh sb="0" eb="2">
      <t>ミセッテイ</t>
    </rPh>
    <phoneticPr fontId="3"/>
  </si>
  <si>
    <t>マンション</t>
    <phoneticPr fontId="3"/>
  </si>
  <si>
    <t>ひかりJマンション</t>
    <phoneticPr fontId="3"/>
  </si>
  <si>
    <t>3MエリアマンションAPI</t>
    <phoneticPr fontId="3"/>
  </si>
  <si>
    <t>"1"：異常</t>
    <rPh sb="4" eb="6">
      <t>イジョウ</t>
    </rPh>
    <phoneticPr fontId="3"/>
  </si>
  <si>
    <t>"01"：提供中</t>
    <rPh sb="5" eb="7">
      <t>テイキョウ</t>
    </rPh>
    <rPh sb="7" eb="8">
      <t>チュウ</t>
    </rPh>
    <phoneticPr fontId="3"/>
  </si>
  <si>
    <t>"d5"：予約受付</t>
    <phoneticPr fontId="3"/>
  </si>
  <si>
    <t>"06"：未提供</t>
    <rPh sb="5" eb="6">
      <t>ミ</t>
    </rPh>
    <rPh sb="6" eb="8">
      <t>テイキョウ</t>
    </rPh>
    <phoneticPr fontId="3"/>
  </si>
  <si>
    <t>"6"：未提供</t>
    <rPh sb="4" eb="5">
      <t>ミ</t>
    </rPh>
    <rPh sb="5" eb="7">
      <t>テイキョウ</t>
    </rPh>
    <phoneticPr fontId="3"/>
  </si>
  <si>
    <t>3MエリアマンションAPI
3Mエリア戸建API</t>
    <phoneticPr fontId="3"/>
  </si>
  <si>
    <t>3Mエリア戸建API</t>
    <phoneticPr fontId="3"/>
  </si>
  <si>
    <t>返却内容</t>
    <rPh sb="0" eb="2">
      <t>ヘンキャク</t>
    </rPh>
    <rPh sb="2" eb="4">
      <t>ナイヨウ</t>
    </rPh>
    <phoneticPr fontId="3"/>
  </si>
  <si>
    <t>試験No</t>
    <rPh sb="0" eb="2">
      <t>シケン</t>
    </rPh>
    <phoneticPr fontId="3"/>
  </si>
  <si>
    <t>呼出パターン</t>
    <rPh sb="0" eb="2">
      <t>ヨビダシ</t>
    </rPh>
    <phoneticPr fontId="3"/>
  </si>
  <si>
    <t>主要な確認観点</t>
    <rPh sb="0" eb="2">
      <t>シュヨウ</t>
    </rPh>
    <rPh sb="3" eb="5">
      <t>カクニン</t>
    </rPh>
    <rPh sb="5" eb="7">
      <t>カンテン</t>
    </rPh>
    <phoneticPr fontId="3"/>
  </si>
  <si>
    <t>正常</t>
    <rPh sb="0" eb="2">
      <t>セイジョウ</t>
    </rPh>
    <phoneticPr fontId="3"/>
  </si>
  <si>
    <t>マンション</t>
    <phoneticPr fontId="3"/>
  </si>
  <si>
    <t>異常</t>
    <rPh sb="0" eb="2">
      <t>イジョウ</t>
    </rPh>
    <phoneticPr fontId="3"/>
  </si>
  <si>
    <t>・全サービス返却有（12件）</t>
    <rPh sb="1" eb="2">
      <t>ゼン</t>
    </rPh>
    <rPh sb="6" eb="8">
      <t>ヘンキャク</t>
    </rPh>
    <rPh sb="8" eb="9">
      <t>アリ</t>
    </rPh>
    <rPh sb="12" eb="13">
      <t>ケン</t>
    </rPh>
    <phoneticPr fontId="3"/>
  </si>
  <si>
    <t>・全サービス設定されること
・返却順が正しいこと</t>
    <rPh sb="1" eb="2">
      <t>ゼン</t>
    </rPh>
    <rPh sb="6" eb="8">
      <t>セッテイ</t>
    </rPh>
    <rPh sb="15" eb="17">
      <t>ヘンキャク</t>
    </rPh>
    <rPh sb="17" eb="18">
      <t>ジュン</t>
    </rPh>
    <rPh sb="19" eb="20">
      <t>タダ</t>
    </rPh>
    <phoneticPr fontId="3"/>
  </si>
  <si>
    <t>・全サービス設定されること
・サービス繰り返し回数が正しいこと
・返却順が正しいこと</t>
    <rPh sb="1" eb="2">
      <t>ゼン</t>
    </rPh>
    <rPh sb="6" eb="8">
      <t>セッテイ</t>
    </rPh>
    <rPh sb="19" eb="20">
      <t>ク</t>
    </rPh>
    <rPh sb="21" eb="22">
      <t>カエ</t>
    </rPh>
    <rPh sb="23" eb="25">
      <t>カイスウ</t>
    </rPh>
    <rPh sb="26" eb="27">
      <t>タダ</t>
    </rPh>
    <rPh sb="33" eb="35">
      <t>ヘンキャク</t>
    </rPh>
    <rPh sb="35" eb="36">
      <t>ジュン</t>
    </rPh>
    <rPh sb="37" eb="38">
      <t>タダ</t>
    </rPh>
    <phoneticPr fontId="3"/>
  </si>
  <si>
    <t>"01"：提供中</t>
    <phoneticPr fontId="3"/>
  </si>
  <si>
    <t>"06"：未提供</t>
    <phoneticPr fontId="3"/>
  </si>
  <si>
    <t>・任意の設定値</t>
    <rPh sb="1" eb="3">
      <t>ニンイ</t>
    </rPh>
    <rPh sb="4" eb="6">
      <t>セッテイ</t>
    </rPh>
    <rPh sb="6" eb="7">
      <t>チ</t>
    </rPh>
    <phoneticPr fontId="3"/>
  </si>
  <si>
    <t>・外部APIの返却値に応じた内容であること</t>
    <rPh sb="1" eb="3">
      <t>ガイブ</t>
    </rPh>
    <rPh sb="7" eb="9">
      <t>ヘンキャク</t>
    </rPh>
    <rPh sb="9" eb="10">
      <t>チ</t>
    </rPh>
    <rPh sb="11" eb="12">
      <t>オウ</t>
    </rPh>
    <rPh sb="14" eb="16">
      <t>ナイヨウ</t>
    </rPh>
    <phoneticPr fontId="3"/>
  </si>
  <si>
    <t>DABINCIエラーコード</t>
    <phoneticPr fontId="3"/>
  </si>
  <si>
    <t>"SMC-99999"：システムエラー</t>
    <phoneticPr fontId="3"/>
  </si>
  <si>
    <t>サービス種別の昇順で設定されていること</t>
  </si>
  <si>
    <t>サービス
提供状況
（ひかりJ）</t>
    <rPh sb="5" eb="7">
      <t>テイキョウ</t>
    </rPh>
    <rPh sb="7" eb="9">
      <t>ジョウキョウ</t>
    </rPh>
    <phoneticPr fontId="3"/>
  </si>
  <si>
    <t>"6"：未提供</t>
    <phoneticPr fontId="3"/>
  </si>
  <si>
    <t>・全サービス返却有（12件）
・サービス提供状況の先頭0なし</t>
    <rPh sb="1" eb="2">
      <t>ゼン</t>
    </rPh>
    <rPh sb="6" eb="8">
      <t>ヘンキャク</t>
    </rPh>
    <rPh sb="8" eb="9">
      <t>アリ</t>
    </rPh>
    <rPh sb="12" eb="13">
      <t>ケン</t>
    </rPh>
    <rPh sb="20" eb="22">
      <t>テイキョウ</t>
    </rPh>
    <rPh sb="22" eb="24">
      <t>ジョウキョウ</t>
    </rPh>
    <rPh sb="25" eb="27">
      <t>セントウ</t>
    </rPh>
    <phoneticPr fontId="3"/>
  </si>
  <si>
    <t>ホームプラスのサービス情報が設定されていること</t>
    <rPh sb="11" eb="13">
      <t>ジョウホウ</t>
    </rPh>
    <rPh sb="14" eb="16">
      <t>セッテイ</t>
    </rPh>
    <phoneticPr fontId="3"/>
  </si>
  <si>
    <t>サービス情報繰返し回数（※ATOM設定項目）</t>
    <phoneticPr fontId="3"/>
  </si>
  <si>
    <t>・提供時期に設定あり
・NET/TEL/TV提供区分が未設定
・3M提供可否判定が未設定</t>
    <rPh sb="1" eb="3">
      <t>テイキョウ</t>
    </rPh>
    <rPh sb="3" eb="5">
      <t>ジキ</t>
    </rPh>
    <rPh sb="6" eb="8">
      <t>セッテイ</t>
    </rPh>
    <rPh sb="27" eb="30">
      <t>ミセッテイ</t>
    </rPh>
    <phoneticPr fontId="3"/>
  </si>
  <si>
    <t>・事業者コード、事業者名が未設定
・NET/TEL/TV提供区分が未設定
・3M提供可否判定が未設定</t>
    <rPh sb="8" eb="11">
      <t>ジギョウシャ</t>
    </rPh>
    <rPh sb="11" eb="12">
      <t>メイ</t>
    </rPh>
    <rPh sb="13" eb="16">
      <t>ミセッテイ</t>
    </rPh>
    <phoneticPr fontId="3"/>
  </si>
  <si>
    <t>・外部APIの返却値に応じた内容であること
　-提供時期が変換されること
　-NET/TEL/TV提供区分⇒未設定
　-3M割提携⇒「0:未提供」</t>
    <rPh sb="24" eb="26">
      <t>テイキョウ</t>
    </rPh>
    <rPh sb="26" eb="28">
      <t>ジキ</t>
    </rPh>
    <rPh sb="29" eb="31">
      <t>ヘンカン</t>
    </rPh>
    <rPh sb="54" eb="57">
      <t>ミセッテイ</t>
    </rPh>
    <phoneticPr fontId="3"/>
  </si>
  <si>
    <t>「0」（ATOM初期値）が設定されること</t>
    <rPh sb="8" eb="11">
      <t>ショキチ</t>
    </rPh>
    <rPh sb="11" eb="12">
      <t>ダシネ</t>
    </rPh>
    <rPh sb="13" eb="15">
      <t>セッテイ</t>
    </rPh>
    <phoneticPr fontId="3"/>
  </si>
  <si>
    <t>未設定（タグ無し）</t>
    <rPh sb="0" eb="3">
      <t>ミセッテイ</t>
    </rPh>
    <rPh sb="6" eb="7">
      <t>ナシ</t>
    </rPh>
    <phoneticPr fontId="3"/>
  </si>
  <si>
    <t>戸建</t>
    <phoneticPr fontId="3"/>
  </si>
  <si>
    <t>・ひかりJマンションの返却なし</t>
    <rPh sb="11" eb="13">
      <t>ヘンキャク</t>
    </rPh>
    <phoneticPr fontId="3"/>
  </si>
  <si>
    <t>・ひかりJホームの返却なし</t>
    <rPh sb="9" eb="11">
      <t>ヘンキャク</t>
    </rPh>
    <phoneticPr fontId="3"/>
  </si>
  <si>
    <t>・応答内容が正しいこと
　-サービス情報リストにひかりJなし</t>
    <rPh sb="18" eb="20">
      <t>ジョウホウ</t>
    </rPh>
    <phoneticPr fontId="3"/>
  </si>
  <si>
    <t>準正常</t>
    <rPh sb="0" eb="1">
      <t>ジュン</t>
    </rPh>
    <rPh sb="1" eb="3">
      <t>セイジョウ</t>
    </rPh>
    <phoneticPr fontId="3"/>
  </si>
  <si>
    <t>・応答内容が正しいこと
　-API処理状態⇒「05：データ不正」
※エラーメッセージ「05002C」が出力されること</t>
    <rPh sb="1" eb="3">
      <t>オウトウ</t>
    </rPh>
    <rPh sb="3" eb="5">
      <t>ナイヨウ</t>
    </rPh>
    <rPh sb="6" eb="7">
      <t>タダ</t>
    </rPh>
    <phoneticPr fontId="3"/>
  </si>
  <si>
    <t>ID010</t>
    <phoneticPr fontId="3"/>
  </si>
  <si>
    <t>ID011</t>
    <phoneticPr fontId="3"/>
  </si>
  <si>
    <t>ID012</t>
    <phoneticPr fontId="3"/>
  </si>
  <si>
    <t>リファレンス外</t>
    <rPh sb="6" eb="7">
      <t>ガイ</t>
    </rPh>
    <phoneticPr fontId="3"/>
  </si>
  <si>
    <t>・処理結果が「1：異常」
・DABINCIエラーコードが設定あり</t>
    <rPh sb="1" eb="3">
      <t>ショリ</t>
    </rPh>
    <rPh sb="3" eb="5">
      <t>ケッカ</t>
    </rPh>
    <rPh sb="9" eb="11">
      <t>イジョウ</t>
    </rPh>
    <rPh sb="28" eb="30">
      <t>セッテイ</t>
    </rPh>
    <phoneticPr fontId="3"/>
  </si>
  <si>
    <t>・応答内容が正しいこと
　-API処理状態⇒ 「00：正常終了」
　-個別結果コード⇒「0001：データ非存在」</t>
    <rPh sb="1" eb="3">
      <t>オウトウ</t>
    </rPh>
    <rPh sb="3" eb="5">
      <t>ナイヨウ</t>
    </rPh>
    <rPh sb="6" eb="7">
      <t>タダ</t>
    </rPh>
    <phoneticPr fontId="3"/>
  </si>
  <si>
    <t>・応答内容が正しいこと
　-API処理状態⇒「00：正常終了」
　-個別結果コード⇒「0100：外部APIエラー」
　-DABINCIエラーコード⇒「外部APIより返却されたエラーコード」</t>
    <rPh sb="1" eb="3">
      <t>オウトウ</t>
    </rPh>
    <rPh sb="3" eb="5">
      <t>ナイヨウ</t>
    </rPh>
    <rPh sb="6" eb="7">
      <t>タダ</t>
    </rPh>
    <phoneticPr fontId="3"/>
  </si>
  <si>
    <t>ID009</t>
    <phoneticPr fontId="3"/>
  </si>
  <si>
    <t>ひかりＪホームのサービス情報が設定されていないこと</t>
    <rPh sb="12" eb="14">
      <t>ジョウホウ</t>
    </rPh>
    <rPh sb="15" eb="17">
      <t>セッテイ</t>
    </rPh>
    <phoneticPr fontId="3"/>
  </si>
  <si>
    <t>下記サービス種別のサービス情報リストが未設定であること</t>
    <rPh sb="0" eb="2">
      <t>カキ</t>
    </rPh>
    <rPh sb="6" eb="8">
      <t>シュベツ</t>
    </rPh>
    <rPh sb="13" eb="15">
      <t>ジョウホウ</t>
    </rPh>
    <rPh sb="19" eb="22">
      <t>ミセッテイ</t>
    </rPh>
    <phoneticPr fontId="3"/>
  </si>
  <si>
    <t>ひかりＪマンションのサービス情報が設定されていないこと</t>
    <rPh sb="14" eb="16">
      <t>ジョウホウ</t>
    </rPh>
    <rPh sb="17" eb="19">
      <t>セッテイ</t>
    </rPh>
    <phoneticPr fontId="3"/>
  </si>
  <si>
    <t>下記メッセージが出力されていること</t>
    <rPh sb="0" eb="2">
      <t>カキ</t>
    </rPh>
    <rPh sb="8" eb="10">
      <t>シュツリョク</t>
    </rPh>
    <phoneticPr fontId="3"/>
  </si>
  <si>
    <t>エラーコード</t>
    <phoneticPr fontId="3"/>
  </si>
  <si>
    <t>"K1"：ひかりＪホーム</t>
    <phoneticPr fontId="3"/>
  </si>
  <si>
    <t>"K2"：ひかりＪマンション</t>
    <phoneticPr fontId="3"/>
  </si>
  <si>
    <t>"0000"：正常</t>
    <rPh sb="7" eb="9">
      <t>セイジョウ</t>
    </rPh>
    <phoneticPr fontId="3"/>
  </si>
  <si>
    <t>"0001"：データ非存在</t>
    <rPh sb="10" eb="11">
      <t>ヒ</t>
    </rPh>
    <rPh sb="11" eb="13">
      <t>ソンザイ</t>
    </rPh>
    <phoneticPr fontId="3"/>
  </si>
  <si>
    <t>"11"</t>
    <phoneticPr fontId="3"/>
  </si>
  <si>
    <t>"12"</t>
    <phoneticPr fontId="3"/>
  </si>
  <si>
    <t>"0000"：正常</t>
    <phoneticPr fontId="3"/>
  </si>
  <si>
    <t>"0010"：データ非存在</t>
    <phoneticPr fontId="3"/>
  </si>
  <si>
    <t>"1"：○</t>
    <phoneticPr fontId="3"/>
  </si>
  <si>
    <t>"2"：△</t>
    <phoneticPr fontId="3"/>
  </si>
  <si>
    <t>"3"：×</t>
    <phoneticPr fontId="3"/>
  </si>
  <si>
    <t>"K1"：ひかりJホーム</t>
    <phoneticPr fontId="3"/>
  </si>
  <si>
    <t>"K2"：ひかりJマンション</t>
    <phoneticPr fontId="3"/>
  </si>
  <si>
    <t>"0100"：外部APIエラー</t>
    <phoneticPr fontId="3"/>
  </si>
  <si>
    <t>"93"：外部連携エラー</t>
    <phoneticPr fontId="3"/>
  </si>
  <si>
    <t>エラーメッセージ「93002C」が出力されること</t>
    <phoneticPr fontId="3"/>
  </si>
  <si>
    <t>エラーメッセージ「01001I」が出力されること</t>
    <phoneticPr fontId="3"/>
  </si>
  <si>
    <t>"8900"：データ不正</t>
    <phoneticPr fontId="3"/>
  </si>
  <si>
    <t>1-2-1
1-2-3
1-2-4
1-2-6
1-2-13</t>
    <phoneticPr fontId="3"/>
  </si>
  <si>
    <t>1-2-1
1-2-2
1-2-3
1-2-5
1-2-7
1-2-13
1-2-18</t>
    <phoneticPr fontId="3"/>
  </si>
  <si>
    <t>1-2-7
1-2-9
1-2-13
1-2-14</t>
    <phoneticPr fontId="3"/>
  </si>
  <si>
    <t>1-2-6
1-2-13
1-2-14</t>
    <phoneticPr fontId="3"/>
  </si>
  <si>
    <t>1-2-7
1-2-8
1-2-13
1-2-14
1-2-18</t>
    <phoneticPr fontId="3"/>
  </si>
  <si>
    <t>1-2-11</t>
    <phoneticPr fontId="3"/>
  </si>
  <si>
    <t>1-2-12</t>
    <phoneticPr fontId="3"/>
  </si>
  <si>
    <t>1-2-1
1-2-15</t>
    <phoneticPr fontId="3"/>
  </si>
  <si>
    <t>1-2-17</t>
    <phoneticPr fontId="3"/>
  </si>
  <si>
    <t>1-2-10</t>
    <phoneticPr fontId="3"/>
  </si>
  <si>
    <t>1-2-16</t>
    <phoneticPr fontId="3"/>
  </si>
  <si>
    <t>※外部APIから返却値チェックエラー</t>
    <phoneticPr fontId="3"/>
  </si>
  <si>
    <t>※マスタ検索にてレコード非存在</t>
    <rPh sb="12" eb="13">
      <t>ヒ</t>
    </rPh>
    <rPh sb="13" eb="15">
      <t>ソンザイ</t>
    </rPh>
    <phoneticPr fontId="3"/>
  </si>
  <si>
    <t>・全サービス設定されること
・返却順が正しいこと
・サービス提供状況の先頭に0が付与されてマスタ検索されること</t>
    <rPh sb="1" eb="2">
      <t>ゼン</t>
    </rPh>
    <rPh sb="6" eb="8">
      <t>セッテイ</t>
    </rPh>
    <rPh sb="15" eb="17">
      <t>ヘンキャク</t>
    </rPh>
    <rPh sb="17" eb="18">
      <t>ジュン</t>
    </rPh>
    <rPh sb="19" eb="20">
      <t>タダ</t>
    </rPh>
    <rPh sb="30" eb="32">
      <t>テイキョウ</t>
    </rPh>
    <rPh sb="32" eb="34">
      <t>ジョウキョウ</t>
    </rPh>
    <rPh sb="35" eb="37">
      <t>セントウ</t>
    </rPh>
    <rPh sb="40" eb="42">
      <t>フヨ</t>
    </rPh>
    <rPh sb="48" eb="50">
      <t>ケンサク</t>
    </rPh>
    <phoneticPr fontId="3"/>
  </si>
  <si>
    <t>・ひかりJのサービス提供状況が未設定</t>
    <rPh sb="10" eb="12">
      <t>テイキョウ</t>
    </rPh>
    <rPh sb="12" eb="14">
      <t>ジョウキョウ</t>
    </rPh>
    <rPh sb="15" eb="18">
      <t>ミセッテイ</t>
    </rPh>
    <phoneticPr fontId="3"/>
  </si>
  <si>
    <t>ID013</t>
    <phoneticPr fontId="3"/>
  </si>
  <si>
    <t>・外部APIの返却値に応じた内容であること
　-事業者コード・名⇒未設定
　-NET/TEL/TV提供区分⇒「0（ATOM初期値）」
　-3M割提携⇒「0:未提供」
（サービス提供状況が未提供の場合、事業者コード・名が未設定でもエラーとならない）</t>
    <rPh sb="33" eb="36">
      <t>ミセッテイ</t>
    </rPh>
    <rPh sb="61" eb="63">
      <t>ショキ</t>
    </rPh>
    <rPh sb="63" eb="64">
      <t>チ</t>
    </rPh>
    <rPh sb="88" eb="90">
      <t>テイキョウ</t>
    </rPh>
    <rPh sb="90" eb="92">
      <t>ジョウキョウ</t>
    </rPh>
    <rPh sb="93" eb="94">
      <t>ミ</t>
    </rPh>
    <rPh sb="94" eb="96">
      <t>テイキョウ</t>
    </rPh>
    <rPh sb="97" eb="99">
      <t>バアイ</t>
    </rPh>
    <rPh sb="100" eb="103">
      <t>ジギョウシャ</t>
    </rPh>
    <rPh sb="107" eb="108">
      <t>メイ</t>
    </rPh>
    <rPh sb="109" eb="112">
      <t>ミセッテイ</t>
    </rPh>
    <phoneticPr fontId="3"/>
  </si>
  <si>
    <t>（リファンレスチェックNG）
・応答内容が正しいこと
　-API処理状態「01：フォーマットエラー」
※エラーメッセージ「01001I」が出力されること</t>
    <rPh sb="16" eb="18">
      <t>オウトウ</t>
    </rPh>
    <rPh sb="18" eb="20">
      <t>ナイヨウ</t>
    </rPh>
    <rPh sb="21" eb="22">
      <t>タダ</t>
    </rPh>
    <phoneticPr fontId="3"/>
  </si>
  <si>
    <t>（ 共通マンションID必須チェックＮG）
・応答内容が正しいこと
　-API処理状態「01：フォーマットエラー」
※エラーメッセージ「01001I」が出力されること</t>
    <rPh sb="22" eb="24">
      <t>オウトウ</t>
    </rPh>
    <rPh sb="24" eb="26">
      <t>ナイヨウ</t>
    </rPh>
    <rPh sb="27" eb="28">
      <t>タダ</t>
    </rPh>
    <phoneticPr fontId="3"/>
  </si>
  <si>
    <t>1-2-2</t>
    <phoneticPr fontId="3"/>
  </si>
  <si>
    <t>※要求項目チェックエラー</t>
    <rPh sb="1" eb="3">
      <t>ヨウキュウ</t>
    </rPh>
    <rPh sb="3" eb="5">
      <t>コウモク</t>
    </rPh>
    <phoneticPr fontId="3"/>
  </si>
  <si>
    <t>A7</t>
    <phoneticPr fontId="3"/>
  </si>
  <si>
    <t>-</t>
  </si>
  <si>
    <t>-</t>
    <phoneticPr fontId="3"/>
  </si>
  <si>
    <t>K1</t>
    <phoneticPr fontId="3"/>
  </si>
  <si>
    <t>日本ネットワークイネイブラー株式会社</t>
    <phoneticPr fontId="3"/>
  </si>
  <si>
    <t>2_in</t>
    <phoneticPr fontId="3"/>
  </si>
  <si>
    <t>2_out</t>
    <phoneticPr fontId="3"/>
  </si>
  <si>
    <t>B7</t>
    <phoneticPr fontId="3"/>
  </si>
  <si>
    <t>K2</t>
    <phoneticPr fontId="3"/>
  </si>
  <si>
    <t>3_in</t>
    <phoneticPr fontId="3"/>
  </si>
  <si>
    <t>3_out</t>
    <phoneticPr fontId="3"/>
  </si>
  <si>
    <t>期待値</t>
    <phoneticPr fontId="3"/>
  </si>
  <si>
    <t>OK/NG</t>
    <phoneticPr fontId="3"/>
  </si>
  <si>
    <t>01</t>
    <phoneticPr fontId="3"/>
  </si>
  <si>
    <t>※ORANGE、ひかりJホーム</t>
    <phoneticPr fontId="3"/>
  </si>
  <si>
    <t>※ORANGE、ひかりJマンション</t>
    <phoneticPr fontId="3"/>
  </si>
  <si>
    <t>※PASCAL、ひかりJマンション</t>
    <phoneticPr fontId="3"/>
  </si>
  <si>
    <t>※絵喜伝、ひかりJホーム</t>
    <rPh sb="1" eb="4">
      <t>エキデン</t>
    </rPh>
    <phoneticPr fontId="3"/>
  </si>
  <si>
    <t>06</t>
    <phoneticPr fontId="3"/>
  </si>
  <si>
    <r>
      <rPr>
        <sz val="11"/>
        <rFont val="ＭＳ Ｐゴシック"/>
        <family val="3"/>
        <charset val="128"/>
      </rPr>
      <t>0</t>
    </r>
    <phoneticPr fontId="3"/>
  </si>
  <si>
    <t>4_in</t>
    <phoneticPr fontId="3"/>
  </si>
  <si>
    <t>4_out</t>
    <phoneticPr fontId="3"/>
  </si>
  <si>
    <t>0000</t>
    <phoneticPr fontId="3"/>
  </si>
  <si>
    <t>※ORANGE、ホーム（未設定）</t>
    <rPh sb="12" eb="15">
      <t>ミセッテイ</t>
    </rPh>
    <phoneticPr fontId="3"/>
  </si>
  <si>
    <t>※ORANGE、マンション（未設定）</t>
    <rPh sb="14" eb="17">
      <t>ミセッテイ</t>
    </rPh>
    <phoneticPr fontId="3"/>
  </si>
  <si>
    <t>C1701002</t>
    <phoneticPr fontId="3"/>
  </si>
  <si>
    <t>C1701004</t>
    <phoneticPr fontId="3"/>
  </si>
  <si>
    <t>※PASCAL、ホーム（未設定）</t>
    <rPh sb="12" eb="15">
      <t>ミセッテイ</t>
    </rPh>
    <phoneticPr fontId="3"/>
  </si>
  <si>
    <t>5_in</t>
    <phoneticPr fontId="3"/>
  </si>
  <si>
    <t>5_out</t>
    <phoneticPr fontId="3"/>
  </si>
  <si>
    <t>09</t>
    <phoneticPr fontId="3"/>
  </si>
  <si>
    <t>※EKIDEN、マンション（未設定）</t>
    <rPh sb="14" eb="17">
      <t>ミセッテイ</t>
    </rPh>
    <phoneticPr fontId="3"/>
  </si>
  <si>
    <t>A080601</t>
    <phoneticPr fontId="3"/>
  </si>
  <si>
    <t>CASE0010</t>
    <phoneticPr fontId="3"/>
  </si>
  <si>
    <t>172.24.1.1</t>
    <phoneticPr fontId="3"/>
  </si>
  <si>
    <t>EKIDEN01</t>
    <phoneticPr fontId="3"/>
  </si>
  <si>
    <t>6_in</t>
    <phoneticPr fontId="3"/>
  </si>
  <si>
    <t>6_out</t>
    <phoneticPr fontId="3"/>
  </si>
  <si>
    <t>C1701006</t>
    <phoneticPr fontId="3"/>
  </si>
  <si>
    <t>08</t>
    <phoneticPr fontId="3"/>
  </si>
  <si>
    <t>申込多数のため、現在受付できません。\※受付再開時期は未定です。</t>
    <phoneticPr fontId="3"/>
  </si>
  <si>
    <t>7_in</t>
    <phoneticPr fontId="3"/>
  </si>
  <si>
    <t>7_out</t>
    <phoneticPr fontId="3"/>
  </si>
  <si>
    <t>※絵喜伝、ひかりJマンション</t>
    <rPh sb="1" eb="4">
      <t>エキデン</t>
    </rPh>
    <phoneticPr fontId="3"/>
  </si>
  <si>
    <t>C1701008</t>
    <phoneticPr fontId="3"/>
  </si>
  <si>
    <t>0010</t>
    <phoneticPr fontId="3"/>
  </si>
  <si>
    <t>8_in</t>
    <phoneticPr fontId="3"/>
  </si>
  <si>
    <t>8_out</t>
    <phoneticPr fontId="3"/>
  </si>
  <si>
    <t>9_in</t>
    <phoneticPr fontId="3"/>
  </si>
  <si>
    <t>9_out</t>
    <phoneticPr fontId="3"/>
  </si>
  <si>
    <t>0100</t>
    <phoneticPr fontId="3"/>
  </si>
  <si>
    <t>10_in</t>
    <phoneticPr fontId="3"/>
  </si>
  <si>
    <t>10_out</t>
    <phoneticPr fontId="3"/>
  </si>
  <si>
    <t>C1701010</t>
    <phoneticPr fontId="3"/>
  </si>
  <si>
    <t>93</t>
    <phoneticPr fontId="3"/>
  </si>
  <si>
    <t>11_in</t>
    <phoneticPr fontId="3"/>
  </si>
  <si>
    <t>11_out</t>
    <phoneticPr fontId="3"/>
  </si>
  <si>
    <t>05</t>
    <phoneticPr fontId="3"/>
  </si>
  <si>
    <t>8900</t>
    <phoneticPr fontId="3"/>
  </si>
  <si>
    <t>12_in</t>
    <phoneticPr fontId="3"/>
  </si>
  <si>
    <t>12_out</t>
    <phoneticPr fontId="3"/>
  </si>
  <si>
    <t>B8</t>
    <phoneticPr fontId="3"/>
  </si>
  <si>
    <t>13_in</t>
    <phoneticPr fontId="3"/>
  </si>
  <si>
    <t>13_out</t>
    <phoneticPr fontId="3"/>
  </si>
  <si>
    <r>
      <rPr>
        <sz val="11"/>
        <rFont val="ＭＳ Ｐゴシック"/>
        <family val="3"/>
        <charset val="128"/>
      </rPr>
      <t>03960</t>
    </r>
    <phoneticPr fontId="3"/>
  </si>
  <si>
    <t>"日本ネットワークイネイブラー株式会社"</t>
    <rPh sb="1" eb="3">
      <t>ニホン</t>
    </rPh>
    <rPh sb="15" eb="19">
      <t>カブシキガイシャ</t>
    </rPh>
    <phoneticPr fontId="3"/>
  </si>
  <si>
    <t>"03960"</t>
    <phoneticPr fontId="3"/>
  </si>
  <si>
    <t>B004</t>
  </si>
  <si>
    <t>20160404111111</t>
  </si>
  <si>
    <t>FMC</t>
  </si>
  <si>
    <t>E845001</t>
  </si>
  <si>
    <t>CASE0010</t>
  </si>
  <si>
    <t>192.168.134.174</t>
  </si>
  <si>
    <t>ORANGE</t>
  </si>
  <si>
    <t>ORANGE01</t>
  </si>
  <si>
    <t>A7</t>
  </si>
  <si>
    <t>ひかりＪ　ホーム</t>
  </si>
  <si>
    <t>K1</t>
  </si>
  <si>
    <t>03960</t>
  </si>
  <si>
    <t>日本ネットワークイネイブラー株式会社</t>
  </si>
  <si>
    <t>ひかりＪ　ホーム</t>
    <phoneticPr fontId="3"/>
  </si>
  <si>
    <t>ひかりＪ　マンション</t>
  </si>
  <si>
    <t>ひかりＪ　マンション</t>
    <phoneticPr fontId="3"/>
  </si>
  <si>
    <t>"ひかりＪ　ホーム"</t>
    <phoneticPr fontId="3"/>
  </si>
  <si>
    <t>"ひかりＪ　マンション"</t>
    <phoneticPr fontId="3"/>
  </si>
  <si>
    <t>PASCAL</t>
  </si>
  <si>
    <t>B7</t>
  </si>
  <si>
    <t>2</t>
  </si>
  <si>
    <t>K2</t>
  </si>
  <si>
    <t>d5</t>
  </si>
  <si>
    <t>予約受付中。\※2017年2月頃より開通手続きを受付順に開始します。</t>
  </si>
  <si>
    <t>d5</t>
    <phoneticPr fontId="3"/>
  </si>
  <si>
    <t>予約受付中。\※2017年2月頃より開通手続きを受付順に開始します。</t>
    <rPh sb="12" eb="13">
      <t>ネン</t>
    </rPh>
    <rPh sb="14" eb="15">
      <t>ガツ</t>
    </rPh>
    <phoneticPr fontId="3"/>
  </si>
  <si>
    <t xml:space="preserve">B004 </t>
  </si>
  <si>
    <t xml:space="preserve">FMC </t>
  </si>
  <si>
    <t>A080601</t>
  </si>
  <si>
    <t xml:space="preserve">172.24.1.1     </t>
  </si>
  <si>
    <t>EKIDEN</t>
  </si>
  <si>
    <t>EKIDEN01</t>
  </si>
  <si>
    <t>17010119003</t>
  </si>
  <si>
    <t>0334439999</t>
  </si>
  <si>
    <t>1001701</t>
  </si>
  <si>
    <t xml:space="preserve">        </t>
  </si>
  <si>
    <t>　　　　　　　　　　　　　　　　　　</t>
  </si>
  <si>
    <t xml:space="preserve">         </t>
  </si>
  <si>
    <t>06</t>
  </si>
  <si>
    <t xml:space="preserve">  </t>
  </si>
  <si>
    <t xml:space="preserve">ひかりＪ　ホーム                                                                                                                                                                                                                                               </t>
  </si>
  <si>
    <t xml:space="preserve">                                                                                                                                                                                                                                                                </t>
  </si>
  <si>
    <t>3</t>
  </si>
  <si>
    <t xml:space="preserve">現在提供しておりません。                                                                                                                                                                                                                                                                                                                                                                                        </t>
  </si>
  <si>
    <t xml:space="preserve">                                                                                                                                                                                                                                                                                                                                                                                                                </t>
  </si>
  <si>
    <t xml:space="preserve">                                                                                                                                </t>
  </si>
  <si>
    <t xml:space="preserve">       </t>
  </si>
  <si>
    <t xml:space="preserve">          </t>
  </si>
  <si>
    <t xml:space="preserve">   </t>
  </si>
  <si>
    <t xml:space="preserve">     </t>
  </si>
  <si>
    <t xml:space="preserve">                                                                </t>
  </si>
  <si>
    <t>ひかりＪ　ホーム</t>
    <phoneticPr fontId="3"/>
  </si>
  <si>
    <t>○</t>
    <phoneticPr fontId="3"/>
  </si>
  <si>
    <t>○</t>
    <phoneticPr fontId="3"/>
  </si>
  <si>
    <t>OK</t>
    <phoneticPr fontId="3"/>
  </si>
  <si>
    <t>奥村</t>
    <rPh sb="0" eb="2">
      <t>オクムラ</t>
    </rPh>
    <phoneticPr fontId="3"/>
  </si>
  <si>
    <t>0</t>
    <phoneticPr fontId="3"/>
  </si>
  <si>
    <t>ホームプラス電話</t>
  </si>
  <si>
    <t>サービスエリア内でも電波が伝わりにくい場所（屋内、車中、地下、トンネル内、ビルの陰、山間部など）では、通信できなかったり通信速度が低下する場合があります。また、高層ビル・マンションなどの高層階で見晴らしのよい場所であってもご使用になれない場合があります。電波状態が一定以上悪くなった場合には、突然通信が途切れることとなりますが、電波状態が良いところでも通信が途切れることがあります。</t>
  </si>
  <si>
    <t>現在提供しておりません。</t>
  </si>
  <si>
    <t>09</t>
  </si>
  <si>
    <t>申込多数のため、現在受付できません。\2017年10月頃受付再開予定です。</t>
    <phoneticPr fontId="3"/>
  </si>
  <si>
    <t>外部APIにて取得したサービス提供状況(任意の値)に応じ設定されていること</t>
    <rPh sb="0" eb="2">
      <t>ガイブ</t>
    </rPh>
    <rPh sb="7" eb="9">
      <t>シュトク</t>
    </rPh>
    <rPh sb="15" eb="17">
      <t>テイキョウ</t>
    </rPh>
    <rPh sb="17" eb="19">
      <t>ジョウキョウ</t>
    </rPh>
    <rPh sb="20" eb="22">
      <t>ニンイ</t>
    </rPh>
    <rPh sb="23" eb="24">
      <t>アタイ</t>
    </rPh>
    <rPh sb="26" eb="27">
      <t>オウ</t>
    </rPh>
    <rPh sb="28" eb="30">
      <t>セッテイ</t>
    </rPh>
    <phoneticPr fontId="3"/>
  </si>
  <si>
    <t>08</t>
  </si>
  <si>
    <t>7</t>
  </si>
  <si>
    <t>17010119000</t>
  </si>
  <si>
    <t>C1701006</t>
  </si>
  <si>
    <t>12</t>
  </si>
  <si>
    <t xml:space="preserve">ａｕひかり マンション                                                                                                                                                                                                                                          </t>
  </si>
  <si>
    <t xml:space="preserve">インターネット/TV                                                                                                                                                                                                                                               </t>
  </si>
  <si>
    <t xml:space="preserve">電話                                                                                                                                                                                                                                                            </t>
  </si>
  <si>
    <t xml:space="preserve">申込受付中。                                                                                                                                                                                                                                                                                                                                                                                                    </t>
  </si>
  <si>
    <t xml:space="preserve">ａｕひかり ちゅら マンション                                                                                                                                                                                                                                   </t>
  </si>
  <si>
    <t xml:space="preserve">ケーブルテレビ                                                                                                                                                                                                                                                 </t>
  </si>
  <si>
    <t xml:space="preserve">ｅｏ光 メゾン／マンション                                                                                                                                                                                                                                      </t>
  </si>
  <si>
    <t xml:space="preserve">株式会社ケイ・オプティコム                                      </t>
  </si>
  <si>
    <t xml:space="preserve">コミュファ光 マンション                                                                                                                                                                                                                                        </t>
  </si>
  <si>
    <t xml:space="preserve">中部テレコミュニケーション株式会社                              </t>
  </si>
  <si>
    <t xml:space="preserve">＋ＷｉＭＡＸ対応Ｗｉ－Ｆｉルーター                                                                                                                                                                                                                             </t>
  </si>
  <si>
    <t xml:space="preserve">Ｗｉｍａｘ                                                      </t>
  </si>
  <si>
    <t xml:space="preserve">ピカラ光マンション                                                                                                                                                                                                                                             </t>
  </si>
  <si>
    <t xml:space="preserve">株式会社ＳＴＮｅｔ                                              </t>
  </si>
  <si>
    <t xml:space="preserve">メガ・エッグ　光マンション                                                                                                                                                                                                                                     </t>
  </si>
  <si>
    <t xml:space="preserve">株式会社エネルギア・コミュニケーションズ                        </t>
  </si>
  <si>
    <t xml:space="preserve">ＢＢＩＱマンションタイプ                                                                                                                                                                                                                                       </t>
  </si>
  <si>
    <t xml:space="preserve">ＱＴＮｅｔ（ＢＢＩＱ）                                          </t>
  </si>
  <si>
    <t xml:space="preserve">ホームプラス電話                                                                                                                                                                                                                                               </t>
  </si>
  <si>
    <t xml:space="preserve">サービスエリア内でも電波が伝わりにくい場所（屋内、車中、地下、トンネル内、ビルの陰、山間部など）では、通信できなかったり通信速度が低下する場合があります。また、高層ビル・マンションなどの高層階で見晴らしのよい場所であってもご使用になれない場合があります。電波状態が一定以上悪くなった場合には、突然通信が途切れることとなりますが、電波状態が良いところでも通信が途切れることがあります。                  </t>
  </si>
  <si>
    <t xml:space="preserve">ひかりＪ　マンション                                                                                                                                                                                                                                           </t>
  </si>
  <si>
    <t xml:space="preserve">申込多数のため、現在受付できません。\※受付再開時期は未定です。                                                                                                                                                                                                                                                                                                                                                 </t>
  </si>
  <si>
    <t xml:space="preserve">日本ネットワークイネイブラー株式会社                            </t>
  </si>
  <si>
    <t xml:space="preserve">マンションＩＳＰサービス                                                                                                                                                                                                                                       </t>
  </si>
  <si>
    <t>C1701008</t>
  </si>
  <si>
    <t>0010</t>
  </si>
  <si>
    <t>0100</t>
  </si>
  <si>
    <t>SMC-99999</t>
    <phoneticPr fontId="3"/>
  </si>
  <si>
    <t>SMC-99999</t>
    <phoneticPr fontId="3"/>
  </si>
  <si>
    <r>
      <t xml:space="preserve">00:ひかりone ホーム
02:ひかりoneホーム(S)
04:ａｕひかりちゅらホーム
A0:CTCサービスホーム
A1:K-Opticomサービスホーム
A2:CATVサービスホーム
A3:STNetサービスホーム
A4:ENECOMサービスホーム
</t>
    </r>
    <r>
      <rPr>
        <sz val="11"/>
        <rFont val="ＭＳ Ｐゴシック"/>
        <family val="3"/>
        <charset val="128"/>
      </rPr>
      <t xml:space="preserve">A5：QTNetサービスホーム
</t>
    </r>
    <r>
      <rPr>
        <sz val="11"/>
        <color indexed="10"/>
        <rFont val="ＭＳ Ｐゴシック"/>
        <family val="3"/>
        <charset val="128"/>
      </rPr>
      <t xml:space="preserve">A7：ひかりJホーム
</t>
    </r>
    <r>
      <rPr>
        <sz val="11"/>
        <rFont val="ＭＳ Ｐゴシック"/>
        <family val="3"/>
        <charset val="128"/>
      </rPr>
      <t xml:space="preserve">10:ひかりone マンション
11:ａｕひかりちゅらマンション
B0:CTCサービスマンション
B1:K-Opticomサービスマンション
B2:CATVサービスマンション
B3:STNetサービスマンション
B4:ENECOMサービスマンション
B5：QTNetサービスマンション
B6:マンションISPサービス
</t>
    </r>
    <r>
      <rPr>
        <sz val="11"/>
        <color indexed="10"/>
        <rFont val="ＭＳ Ｐゴシック"/>
        <family val="3"/>
        <charset val="128"/>
      </rPr>
      <t xml:space="preserve">B7：ひかりJマンション
</t>
    </r>
    <r>
      <rPr>
        <sz val="11"/>
        <rFont val="ＭＳ Ｐゴシック"/>
        <family val="3"/>
        <charset val="128"/>
      </rPr>
      <t xml:space="preserve">C0:WiMAXハイブリッドルータ
C1:ホームプラス
</t>
    </r>
    <phoneticPr fontId="3"/>
  </si>
  <si>
    <t>01</t>
    <phoneticPr fontId="3"/>
  </si>
  <si>
    <r>
      <t>・応答内容が正しいこと
　-API処理状態⇒「00：正常終了」
　-個別結果コード⇒「0000：正常終了」
　-提供結果⇒「3：×」</t>
    </r>
    <r>
      <rPr>
        <sz val="11"/>
        <color indexed="10"/>
        <rFont val="ＭＳ Ｐゴシック"/>
        <family val="3"/>
        <charset val="128"/>
      </rPr>
      <t>（事業者コード・名が未設定にて×となる）</t>
    </r>
    <r>
      <rPr>
        <sz val="11"/>
        <rFont val="ＭＳ Ｐゴシック"/>
        <family val="3"/>
        <charset val="128"/>
      </rPr>
      <t xml:space="preserve">
※エラーメッセージ「93002C」が出力されること
（サービス提供状況が未提供以外の場合、事業者コード・名が未設定にてエラーが発生）</t>
    </r>
    <rPh sb="1" eb="3">
      <t>オウトウ</t>
    </rPh>
    <rPh sb="3" eb="5">
      <t>ナイヨウ</t>
    </rPh>
    <rPh sb="6" eb="7">
      <t>タダ</t>
    </rPh>
    <rPh sb="48" eb="50">
      <t>セイジョウ</t>
    </rPh>
    <rPh sb="50" eb="52">
      <t>シュウリョウ</t>
    </rPh>
    <rPh sb="56" eb="58">
      <t>テイキョウ</t>
    </rPh>
    <rPh sb="58" eb="60">
      <t>ケッカ</t>
    </rPh>
    <phoneticPr fontId="3"/>
  </si>
  <si>
    <t>・事業者コード、事業者名が未設定</t>
    <phoneticPr fontId="3"/>
  </si>
  <si>
    <t>05</t>
  </si>
  <si>
    <t>17010119011</t>
  </si>
  <si>
    <t>エラーメッセージ「05002C」が出力されること</t>
    <phoneticPr fontId="3"/>
  </si>
  <si>
    <t>OK</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</si>
</sst>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8">
    <numFmt numFmtId="6" formatCode="&quot;¥&quot;#,##0;[Red]&quot;¥&quot;\-#,##0"/>
    <numFmt numFmtId="41" formatCode="_ * #,##0_ ;_ * \-#,##0_ ;_ * &quot;-&quot;_ ;_ @_ "/>
    <numFmt numFmtId="43" formatCode="_ * #,##0.00_ ;_ * \-#,##0.00_ ;_ * &quot;-&quot;??_ ;_ @_ "/>
    <numFmt numFmtId="190" formatCode="#,##0_ "/>
    <numFmt numFmtId="191" formatCode="#,##0.0&quot;人月&quot;"/>
    <numFmt numFmtId="192" formatCode="&quot;¥&quot;\$#,##0.00_);[Red]&quot;¥&quot;\(&quot;¥&quot;\$#,##0.00&quot;¥&quot;\)"/>
    <numFmt numFmtId="193" formatCode="&quot;$&quot;#,##0_);[Red]&quot;¥&quot;&quot;¥&quot;&quot;¥&quot;\(&quot;$&quot;#,##0&quot;¥&quot;&quot;¥&quot;&quot;¥&quot;\)"/>
    <numFmt numFmtId="194" formatCode="&quot;$&quot;#,##0.00_);[Red]&quot;¥&quot;&quot;¥&quot;&quot;¥&quot;\(&quot;$&quot;#,##0.00&quot;¥&quot;&quot;¥&quot;&quot;¥&quot;\)"/>
    <numFmt numFmtId="196" formatCode="000"/>
    <numFmt numFmtId="197" formatCode="00000"/>
    <numFmt numFmtId="198" formatCode="_(* #,##0.00000_);_(* \(#,##0.00000\);_(* &quot;-&quot;??_);_(@_)"/>
    <numFmt numFmtId="199" formatCode="_(* #,##0.000000_);_(* \(#,##0.000000\);_(* &quot;-&quot;??_);_(@_)"/>
    <numFmt numFmtId="200" formatCode="0.00000%"/>
    <numFmt numFmtId="201" formatCode="0%\);[Red]\(0%\)"/>
    <numFmt numFmtId="202" formatCode="#,##0_ ;[Red]&quot;¥&quot;\!\-#,##0&quot;¥&quot;\!\ "/>
    <numFmt numFmtId="203" formatCode="0_ ;[Red]&quot;¥&quot;\!\-0&quot;¥&quot;\!\ "/>
    <numFmt numFmtId="204" formatCode="&quot;¥&quot;#,##0.0;[Red]&quot;¥&quot;\-#,##0.0"/>
    <numFmt numFmtId="205" formatCode="0_)"/>
  </numFmts>
  <fonts count="83">
    <font>
      <sz val="11"/>
      <name val="ＭＳ Ｐゴシック"/>
      <family val="3"/>
      <charset val="128"/>
    </font>
    <font>
      <sz val="11"/>
      <name val="ＭＳ Ｐゴシック"/>
      <family val="3"/>
      <charset val="128"/>
    </font>
    <font>
      <u/>
      <sz val="11"/>
      <color indexed="12"/>
      <name val="ＭＳ Ｐゴシック"/>
      <family val="3"/>
      <charset val="128"/>
    </font>
    <font>
      <sz val="6"/>
      <name val="ＭＳ Ｐゴシック"/>
      <family val="3"/>
      <charset val="128"/>
    </font>
    <font>
      <sz val="10"/>
      <name val="ＭＳ Ｐゴシック"/>
      <family val="3"/>
      <charset val="128"/>
    </font>
    <font>
      <b/>
      <sz val="11"/>
      <name val="ＭＳ Ｐゴシック"/>
      <family val="3"/>
      <charset val="128"/>
    </font>
    <font>
      <sz val="10"/>
      <name val="??"/>
      <family val="3"/>
    </font>
    <font>
      <sz val="10"/>
      <name val="，iA¶"/>
      <family val="3"/>
      <charset val="128"/>
    </font>
    <font>
      <sz val="10"/>
      <name val="Helv"/>
      <family val="2"/>
    </font>
    <font>
      <sz val="11"/>
      <name val="??"/>
      <family val="3"/>
    </font>
    <font>
      <b/>
      <sz val="10"/>
      <name val="Helv"/>
      <family val="2"/>
    </font>
    <font>
      <sz val="8"/>
      <name val="Arial"/>
      <family val="2"/>
    </font>
    <font>
      <b/>
      <sz val="12"/>
      <name val="Helv"/>
      <family val="2"/>
    </font>
    <font>
      <b/>
      <sz val="10"/>
      <name val="Arial"/>
      <family val="2"/>
    </font>
    <font>
      <b/>
      <sz val="14"/>
      <name val="Arial"/>
      <family val="2"/>
    </font>
    <font>
      <b/>
      <sz val="12"/>
      <name val="Arial"/>
      <family val="2"/>
    </font>
    <font>
      <sz val="20"/>
      <name val="HP Logo LG"/>
      <family val="3"/>
      <charset val="128"/>
    </font>
    <font>
      <b/>
      <sz val="11"/>
      <name val="Helv"/>
      <family val="2"/>
    </font>
    <font>
      <sz val="11"/>
      <name val="1UAAA?"/>
      <family val="3"/>
    </font>
    <font>
      <sz val="10"/>
      <name val="Arial"/>
      <family val="2"/>
    </font>
    <font>
      <sz val="10"/>
      <name val="MS Sans Serif"/>
      <family val="2"/>
    </font>
    <font>
      <b/>
      <sz val="10"/>
      <name val="MS Sans Serif"/>
      <family val="2"/>
    </font>
    <font>
      <b/>
      <sz val="10"/>
      <color indexed="12"/>
      <name val="Times New Roman"/>
      <family val="1"/>
    </font>
    <font>
      <sz val="10"/>
      <color indexed="12"/>
      <name val="Arial"/>
      <family val="2"/>
    </font>
    <font>
      <b/>
      <sz val="8"/>
      <name val="Arial"/>
      <family val="2"/>
    </font>
    <font>
      <sz val="11"/>
      <name val="明朝"/>
      <family val="1"/>
      <charset val="128"/>
    </font>
    <font>
      <b/>
      <sz val="16"/>
      <name val="丸ｺﾞｼｯｸ"/>
      <family val="3"/>
      <charset val="128"/>
    </font>
    <font>
      <b/>
      <sz val="11"/>
      <color indexed="10"/>
      <name val="ＭＳ Ｐゴシック"/>
      <family val="3"/>
      <charset val="128"/>
    </font>
    <font>
      <u/>
      <sz val="9.35"/>
      <color indexed="12"/>
      <name val="ＭＳ Ｐゴシック"/>
      <family val="3"/>
      <charset val="128"/>
    </font>
    <font>
      <b/>
      <sz val="11"/>
      <color indexed="8"/>
      <name val="Calibri"/>
      <family val="2"/>
    </font>
    <font>
      <sz val="11"/>
      <color indexed="8"/>
      <name val="Calibri"/>
      <family val="2"/>
    </font>
    <font>
      <sz val="9"/>
      <name val="ＭＳ Ｐゴシック"/>
      <family val="3"/>
      <charset val="128"/>
    </font>
    <font>
      <b/>
      <sz val="9"/>
      <name val="ＭＳ Ｐゴシック"/>
      <family val="3"/>
      <charset val="128"/>
    </font>
    <font>
      <sz val="9"/>
      <name val="ＭＳ ゴシック"/>
      <family val="3"/>
      <charset val="128"/>
    </font>
    <font>
      <b/>
      <sz val="10"/>
      <name val="ＭＳ Ｐゴシック"/>
      <family val="3"/>
      <charset val="128"/>
    </font>
    <font>
      <sz val="8"/>
      <name val="ＭＳ Ｐゴシック"/>
      <family val="3"/>
      <charset val="128"/>
    </font>
    <font>
      <strike/>
      <sz val="11"/>
      <name val="ＭＳ Ｐゴシック"/>
      <family val="3"/>
      <charset val="128"/>
    </font>
    <font>
      <sz val="10"/>
      <name val="ＭＳ ゴシック"/>
      <family val="3"/>
      <charset val="128"/>
    </font>
    <font>
      <sz val="11"/>
      <color indexed="9"/>
      <name val="Calibri"/>
      <family val="2"/>
    </font>
    <font>
      <sz val="11"/>
      <color indexed="20"/>
      <name val="Calibri"/>
      <family val="2"/>
    </font>
    <font>
      <sz val="10"/>
      <name val="ＭＳ Ｐ明朝"/>
      <family val="1"/>
      <charset val="128"/>
    </font>
    <font>
      <b/>
      <sz val="11"/>
      <color indexed="52"/>
      <name val="Calibri"/>
      <family val="2"/>
    </font>
    <font>
      <b/>
      <sz val="11"/>
      <color indexed="9"/>
      <name val="Calibri"/>
      <family val="2"/>
    </font>
    <font>
      <sz val="10"/>
      <name val="BERNHARD"/>
      <family val="2"/>
    </font>
    <font>
      <sz val="1"/>
      <color indexed="8"/>
      <name val="Courier"/>
      <family val="3"/>
    </font>
    <font>
      <b/>
      <sz val="1"/>
      <color indexed="8"/>
      <name val="Courier"/>
      <family val="3"/>
    </font>
    <font>
      <sz val="9"/>
      <name val="Times New Roman"/>
      <family val="1"/>
    </font>
    <font>
      <i/>
      <sz val="11"/>
      <color indexed="23"/>
      <name val="Calibri"/>
      <family val="2"/>
    </font>
    <font>
      <sz val="11"/>
      <color indexed="17"/>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7"/>
      <name val="Small Fonts"/>
      <family val="3"/>
      <charset val="128"/>
    </font>
    <font>
      <sz val="8"/>
      <name val="Times New Roman"/>
      <family val="1"/>
    </font>
    <font>
      <sz val="14"/>
      <name val="?? ??"/>
      <family val="1"/>
    </font>
    <font>
      <b/>
      <sz val="11"/>
      <color indexed="63"/>
      <name val="Calibri"/>
      <family val="2"/>
    </font>
    <font>
      <sz val="8"/>
      <color indexed="16"/>
      <name val="Century Schoolbook"/>
      <family val="1"/>
    </font>
    <font>
      <sz val="8"/>
      <name val="Helv"/>
      <family val="2"/>
    </font>
    <font>
      <b/>
      <i/>
      <sz val="10"/>
      <name val="Times New Roman"/>
      <family val="1"/>
    </font>
    <font>
      <sz val="10"/>
      <name val="Times New Roman"/>
      <family val="1"/>
    </font>
    <font>
      <b/>
      <sz val="18"/>
      <color indexed="56"/>
      <name val="Cambria"/>
      <family val="1"/>
    </font>
    <font>
      <sz val="11"/>
      <color indexed="10"/>
      <name val="Calibri"/>
      <family val="2"/>
    </font>
    <font>
      <u/>
      <sz val="10"/>
      <color indexed="12"/>
      <name val="Arial"/>
      <family val="2"/>
    </font>
    <font>
      <b/>
      <sz val="12"/>
      <name val="標準ゴシック"/>
      <family val="3"/>
      <charset val="128"/>
    </font>
    <font>
      <b/>
      <sz val="15"/>
      <color indexed="56"/>
      <name val="ＭＳ Ｐゴシック"/>
      <family val="3"/>
      <charset val="128"/>
    </font>
    <font>
      <sz val="14"/>
      <name val="ＭＳ 明朝"/>
      <family val="1"/>
      <charset val="128"/>
    </font>
    <font>
      <sz val="10"/>
      <name val="Courier"/>
      <family val="3"/>
    </font>
    <font>
      <sz val="10"/>
      <name val="ＭＳ 明朝"/>
      <family val="1"/>
      <charset val="128"/>
    </font>
    <font>
      <strike/>
      <sz val="11"/>
      <color indexed="10"/>
      <name val="ＭＳ Ｐゴシック"/>
      <family val="3"/>
      <charset val="128"/>
    </font>
    <font>
      <sz val="11"/>
      <color indexed="10"/>
      <name val="ＭＳ Ｐゴシック"/>
      <family val="3"/>
      <charset val="128"/>
    </font>
    <font>
      <sz val="10.5"/>
      <name val="ＭＳ Ｐゴシック"/>
      <family val="3"/>
      <charset val="128"/>
    </font>
    <font>
      <sz val="9"/>
      <color indexed="81"/>
      <name val="ＭＳ Ｐゴシック"/>
      <family val="3"/>
      <charset val="128"/>
    </font>
    <font>
      <sz val="11"/>
      <color indexed="10"/>
      <name val="ＭＳ Ｐゴシック"/>
      <family val="3"/>
      <charset val="128"/>
    </font>
    <font>
      <sz val="11"/>
      <color theme="1"/>
      <name val="ＭＳ Ｐゴシック"/>
      <family val="3"/>
      <charset val="128"/>
      <scheme val="minor"/>
    </font>
    <font>
      <sz val="11"/>
      <color rgb="FFFF0000"/>
      <name val="ＭＳ Ｐゴシック"/>
      <family val="3"/>
      <charset val="128"/>
    </font>
    <font>
      <sz val="9"/>
      <name val="ＭＳ Ｐゴシック"/>
      <family val="3"/>
      <charset val="128"/>
      <scheme val="minor"/>
    </font>
    <font>
      <sz val="9"/>
      <color rgb="FFFF0000"/>
      <name val="ＭＳ Ｐゴシック"/>
      <family val="3"/>
      <charset val="128"/>
    </font>
    <font>
      <sz val="10"/>
      <color rgb="FFFF0000"/>
      <name val="ＭＳ Ｐゴシック"/>
      <family val="3"/>
      <charset val="128"/>
    </font>
    <font>
      <sz val="9"/>
      <color theme="0" tint="-0.499984740745262"/>
      <name val="ＭＳ Ｐゴシック"/>
      <family val="3"/>
      <charset val="128"/>
    </font>
    <font>
      <strike/>
      <sz val="9"/>
      <color rgb="FFFF0000"/>
      <name val="ＭＳ Ｐゴシック"/>
      <family val="3"/>
      <charset val="128"/>
    </font>
    <font>
      <sz val="8"/>
      <color rgb="FFFF0000"/>
      <name val="ＭＳ Ｐゴシック"/>
      <family val="3"/>
      <charset val="12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bgColor indexed="64"/>
      </patternFill>
    </fill>
    <fill>
      <patternFill patternType="solid">
        <fgColor indexed="22"/>
        <bgColor indexed="64"/>
      </patternFill>
    </fill>
    <fill>
      <patternFill patternType="solid">
        <fgColor indexed="43"/>
      </patternFill>
    </fill>
    <fill>
      <patternFill patternType="solid">
        <fgColor indexed="26"/>
      </patternFill>
    </fill>
    <fill>
      <patternFill patternType="solid">
        <fgColor indexed="42"/>
        <bgColor indexed="42"/>
      </patternFill>
    </fill>
    <fill>
      <patternFill patternType="lightGray"/>
    </fill>
    <fill>
      <patternFill patternType="solid">
        <fgColor indexed="13"/>
        <bgColor indexed="64"/>
      </patternFill>
    </fill>
    <fill>
      <patternFill patternType="solid">
        <fgColor indexed="51"/>
        <bgColor indexed="64"/>
      </patternFill>
    </fill>
    <fill>
      <patternFill patternType="solid">
        <fgColor indexed="42"/>
        <bgColor indexed="64"/>
      </patternFill>
    </fill>
    <fill>
      <patternFill patternType="solid">
        <fgColor indexed="44"/>
        <bgColor indexed="64"/>
      </patternFill>
    </fill>
    <fill>
      <patternFill patternType="solid">
        <fgColor theme="9" tint="0.59999389629810485"/>
        <bgColor indexed="64"/>
      </patternFill>
    </fill>
    <fill>
      <patternFill patternType="solid">
        <fgColor rgb="FFCCFFCC"/>
        <bgColor indexed="64"/>
      </patternFill>
    </fill>
    <fill>
      <patternFill patternType="solid">
        <fgColor rgb="FF99CCFF"/>
        <bgColor indexed="64"/>
      </patternFill>
    </fill>
    <fill>
      <patternFill patternType="solid">
        <fgColor rgb="FFFFFFFF"/>
        <bgColor indexed="64"/>
      </patternFill>
    </fill>
    <fill>
      <patternFill patternType="solid">
        <fgColor rgb="FFFFFF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0000"/>
        <bgColor indexed="64"/>
      </patternFill>
    </fill>
    <fill>
      <patternFill patternType="solid">
        <fgColor rgb="FFB4FF69"/>
        <bgColor indexed="64"/>
      </patternFill>
    </fill>
  </fills>
  <borders count="143">
    <border>
      <left/>
      <right/>
      <top/>
      <bottom/>
      <diagonal/>
    </border>
    <border>
      <left/>
      <right/>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double">
        <color indexed="64"/>
      </left>
      <right/>
      <top style="double">
        <color indexed="64"/>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62"/>
      </top>
      <bottom style="double">
        <color indexed="62"/>
      </bottom>
      <diagonal/>
    </border>
    <border>
      <left style="thin">
        <color indexed="64"/>
      </left>
      <right style="thin">
        <color indexed="64"/>
      </right>
      <top style="dotted">
        <color indexed="64"/>
      </top>
      <bottom style="dotted">
        <color indexed="64"/>
      </bottom>
      <diagonal/>
    </border>
    <border>
      <left/>
      <right/>
      <top/>
      <bottom style="thick">
        <color indexed="62"/>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bottom style="double">
        <color indexed="64"/>
      </bottom>
      <diagonal/>
    </border>
    <border>
      <left style="thin">
        <color indexed="64"/>
      </left>
      <right/>
      <top style="thin">
        <color indexed="64"/>
      </top>
      <bottom style="double">
        <color indexed="64"/>
      </bottom>
      <diagonal/>
    </border>
    <border>
      <left/>
      <right style="thin">
        <color indexed="64"/>
      </right>
      <top/>
      <bottom style="double">
        <color indexed="64"/>
      </bottom>
      <diagonal/>
    </border>
    <border>
      <left/>
      <right style="medium">
        <color indexed="64"/>
      </right>
      <top style="thin">
        <color indexed="64"/>
      </top>
      <bottom style="double">
        <color indexed="64"/>
      </bottom>
      <diagonal/>
    </border>
    <border>
      <left style="thin">
        <color indexed="64"/>
      </left>
      <right style="thin">
        <color indexed="64"/>
      </right>
      <top style="double">
        <color indexed="64"/>
      </top>
      <bottom/>
      <diagonal/>
    </border>
    <border>
      <left/>
      <right/>
      <top style="medium">
        <color indexed="64"/>
      </top>
      <bottom style="thin">
        <color indexed="64"/>
      </bottom>
      <diagonal/>
    </border>
    <border>
      <left style="hair">
        <color indexed="64"/>
      </left>
      <right/>
      <top style="hair">
        <color indexed="64"/>
      </top>
      <bottom style="medium">
        <color indexed="64"/>
      </bottom>
      <diagonal/>
    </border>
    <border>
      <left/>
      <right/>
      <top/>
      <bottom style="double">
        <color indexed="64"/>
      </bottom>
      <diagonal/>
    </border>
    <border>
      <left style="medium">
        <color indexed="64"/>
      </left>
      <right/>
      <top style="double">
        <color indexed="64"/>
      </top>
      <bottom/>
      <diagonal/>
    </border>
    <border>
      <left/>
      <right/>
      <top style="double">
        <color indexed="64"/>
      </top>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bottom/>
      <diagonal/>
    </border>
    <border>
      <left style="hair">
        <color indexed="64"/>
      </left>
      <right style="medium">
        <color indexed="64"/>
      </right>
      <top style="hair">
        <color indexed="64"/>
      </top>
      <bottom style="hair">
        <color indexed="64"/>
      </bottom>
      <diagonal/>
    </border>
    <border>
      <left/>
      <right style="medium">
        <color indexed="64"/>
      </right>
      <top style="thin">
        <color indexed="64"/>
      </top>
      <bottom/>
      <diagonal/>
    </border>
    <border>
      <left/>
      <right style="medium">
        <color indexed="64"/>
      </right>
      <top style="double">
        <color indexed="64"/>
      </top>
      <bottom style="thin">
        <color indexed="64"/>
      </bottom>
      <diagonal/>
    </border>
    <border>
      <left style="thin">
        <color indexed="64"/>
      </left>
      <right/>
      <top style="medium">
        <color indexed="64"/>
      </top>
      <bottom style="thin">
        <color indexed="64"/>
      </bottom>
      <diagonal/>
    </border>
    <border>
      <left style="thin">
        <color indexed="64"/>
      </left>
      <right style="hair">
        <color indexed="64"/>
      </right>
      <top style="double">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hair">
        <color indexed="64"/>
      </left>
      <right style="medium">
        <color indexed="64"/>
      </right>
      <top/>
      <bottom/>
      <diagonal/>
    </border>
    <border>
      <left style="hair">
        <color indexed="64"/>
      </left>
      <right style="medium">
        <color indexed="64"/>
      </right>
      <top style="double">
        <color indexed="64"/>
      </top>
      <bottom style="thin">
        <color indexed="64"/>
      </bottom>
      <diagonal/>
    </border>
    <border>
      <left style="medium">
        <color indexed="64"/>
      </left>
      <right/>
      <top style="thin">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right style="medium">
        <color indexed="64"/>
      </right>
      <top/>
      <bottom/>
      <diagonal/>
    </border>
    <border>
      <left style="hair">
        <color indexed="64"/>
      </left>
      <right style="medium">
        <color indexed="64"/>
      </right>
      <top/>
      <bottom style="thin">
        <color indexed="64"/>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style="medium">
        <color indexed="64"/>
      </right>
      <top style="thin">
        <color indexed="64"/>
      </top>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thin">
        <color indexed="64"/>
      </top>
      <bottom style="hair">
        <color indexed="64"/>
      </bottom>
      <diagonal/>
    </border>
    <border>
      <left style="hair">
        <color indexed="64"/>
      </left>
      <right style="medium">
        <color indexed="64"/>
      </right>
      <top/>
      <bottom style="hair">
        <color indexed="64"/>
      </bottom>
      <diagonal/>
    </border>
    <border>
      <left style="hair">
        <color indexed="64"/>
      </left>
      <right style="hair">
        <color indexed="64"/>
      </right>
      <top style="thin">
        <color indexed="64"/>
      </top>
      <bottom/>
      <diagonal/>
    </border>
    <border>
      <left style="hair">
        <color indexed="64"/>
      </left>
      <right/>
      <top/>
      <bottom/>
      <diagonal/>
    </border>
    <border>
      <left style="hair">
        <color indexed="64"/>
      </left>
      <right style="hair">
        <color indexed="64"/>
      </right>
      <top style="medium">
        <color indexed="64"/>
      </top>
      <bottom/>
      <diagonal/>
    </border>
    <border>
      <left style="thin">
        <color indexed="64"/>
      </left>
      <right style="medium">
        <color indexed="64"/>
      </right>
      <top/>
      <bottom/>
      <diagonal/>
    </border>
    <border>
      <left style="hair">
        <color indexed="64"/>
      </left>
      <right style="hair">
        <color indexed="64"/>
      </right>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style="thin">
        <color indexed="64"/>
      </bottom>
      <diagonal/>
    </border>
    <border>
      <left/>
      <right style="hair">
        <color indexed="64"/>
      </right>
      <top style="thin">
        <color indexed="64"/>
      </top>
      <bottom style="hair">
        <color indexed="64"/>
      </bottom>
      <diagonal/>
    </border>
    <border>
      <left/>
      <right style="hair">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
      <left style="hair">
        <color indexed="64"/>
      </left>
      <right style="hair">
        <color indexed="64"/>
      </right>
      <top/>
      <bottom style="medium">
        <color indexed="64"/>
      </bottom>
      <diagonal/>
    </border>
    <border>
      <left style="thin">
        <color indexed="64"/>
      </left>
      <right style="hair">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hair">
        <color indexed="64"/>
      </right>
      <top style="medium">
        <color indexed="64"/>
      </top>
      <bottom/>
      <diagonal/>
    </border>
    <border>
      <left style="medium">
        <color indexed="64"/>
      </left>
      <right/>
      <top/>
      <bottom style="hair">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00">
    <xf numFmtId="0" fontId="0" fillId="0" borderId="0">
      <alignment vertical="center"/>
    </xf>
    <xf numFmtId="0" fontId="6" fillId="0" borderId="1"/>
    <xf numFmtId="0" fontId="6" fillId="0" borderId="0"/>
    <xf numFmtId="0" fontId="7" fillId="0" borderId="1"/>
    <xf numFmtId="0" fontId="30" fillId="2" borderId="0" applyNumberFormat="0" applyBorder="0" applyAlignment="0" applyProtection="0"/>
    <xf numFmtId="0" fontId="30" fillId="3" borderId="0" applyNumberFormat="0" applyBorder="0" applyAlignment="0" applyProtection="0"/>
    <xf numFmtId="0" fontId="30" fillId="4" borderId="0" applyNumberFormat="0" applyBorder="0" applyAlignment="0" applyProtection="0"/>
    <xf numFmtId="0" fontId="30" fillId="5" borderId="0" applyNumberFormat="0" applyBorder="0" applyAlignment="0" applyProtection="0"/>
    <xf numFmtId="0" fontId="30" fillId="6" borderId="0" applyNumberFormat="0" applyBorder="0" applyAlignment="0" applyProtection="0"/>
    <xf numFmtId="0" fontId="30" fillId="7" borderId="0" applyNumberFormat="0" applyBorder="0" applyAlignment="0" applyProtection="0"/>
    <xf numFmtId="0" fontId="30" fillId="8" borderId="0" applyNumberFormat="0" applyBorder="0" applyAlignment="0" applyProtection="0"/>
    <xf numFmtId="0" fontId="30" fillId="9" borderId="0" applyNumberFormat="0" applyBorder="0" applyAlignment="0" applyProtection="0"/>
    <xf numFmtId="0" fontId="30" fillId="10" borderId="0" applyNumberFormat="0" applyBorder="0" applyAlignment="0" applyProtection="0"/>
    <xf numFmtId="0" fontId="30" fillId="5" borderId="0" applyNumberFormat="0" applyBorder="0" applyAlignment="0" applyProtection="0"/>
    <xf numFmtId="0" fontId="30" fillId="8" borderId="0" applyNumberFormat="0" applyBorder="0" applyAlignment="0" applyProtection="0"/>
    <xf numFmtId="0" fontId="30" fillId="11" borderId="0" applyNumberFormat="0" applyBorder="0" applyAlignment="0" applyProtection="0"/>
    <xf numFmtId="0" fontId="38" fillId="12" borderId="0" applyNumberFormat="0" applyBorder="0" applyAlignment="0" applyProtection="0"/>
    <xf numFmtId="0" fontId="38" fillId="9" borderId="0" applyNumberFormat="0" applyBorder="0" applyAlignment="0" applyProtection="0"/>
    <xf numFmtId="0" fontId="38" fillId="10" borderId="0" applyNumberFormat="0" applyBorder="0" applyAlignment="0" applyProtection="0"/>
    <xf numFmtId="0" fontId="38" fillId="13" borderId="0" applyNumberFormat="0" applyBorder="0" applyAlignment="0" applyProtection="0"/>
    <xf numFmtId="0" fontId="38" fillId="14" borderId="0" applyNumberFormat="0" applyBorder="0" applyAlignment="0" applyProtection="0"/>
    <xf numFmtId="0" fontId="38" fillId="15" borderId="0" applyNumberFormat="0" applyBorder="0" applyAlignment="0" applyProtection="0"/>
    <xf numFmtId="0" fontId="38" fillId="16" borderId="0" applyNumberFormat="0" applyBorder="0" applyAlignment="0" applyProtection="0"/>
    <xf numFmtId="0" fontId="38" fillId="17" borderId="0" applyNumberFormat="0" applyBorder="0" applyAlignment="0" applyProtection="0"/>
    <xf numFmtId="0" fontId="38" fillId="18" borderId="0" applyNumberFormat="0" applyBorder="0" applyAlignment="0" applyProtection="0"/>
    <xf numFmtId="0" fontId="38" fillId="13" borderId="0" applyNumberFormat="0" applyBorder="0" applyAlignment="0" applyProtection="0"/>
    <xf numFmtId="0" fontId="38" fillId="14" borderId="0" applyNumberFormat="0" applyBorder="0" applyAlignment="0" applyProtection="0"/>
    <xf numFmtId="0" fontId="38" fillId="19" borderId="0" applyNumberFormat="0" applyBorder="0" applyAlignment="0" applyProtection="0"/>
    <xf numFmtId="193" fontId="8" fillId="0" borderId="0" applyFont="0" applyFill="0" applyBorder="0" applyAlignment="0" applyProtection="0"/>
    <xf numFmtId="194" fontId="8"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0" fontId="39" fillId="3" borderId="0" applyNumberFormat="0" applyBorder="0" applyAlignment="0" applyProtection="0"/>
    <xf numFmtId="0" fontId="40" fillId="0" borderId="0">
      <alignment vertical="center" wrapText="1"/>
    </xf>
    <xf numFmtId="0" fontId="8" fillId="0" borderId="0"/>
    <xf numFmtId="0" fontId="9" fillId="0" borderId="0" applyFill="0" applyBorder="0" applyAlignment="0"/>
    <xf numFmtId="0" fontId="41" fillId="20" borderId="2" applyNumberFormat="0" applyAlignment="0" applyProtection="0"/>
    <xf numFmtId="0" fontId="10" fillId="0" borderId="0"/>
    <xf numFmtId="0" fontId="42" fillId="21" borderId="3" applyNumberFormat="0" applyAlignment="0" applyProtection="0"/>
    <xf numFmtId="41" fontId="19" fillId="0" borderId="0" applyFont="0" applyFill="0" applyBorder="0" applyAlignment="0" applyProtection="0"/>
    <xf numFmtId="43" fontId="19" fillId="0" borderId="0" applyFont="0" applyFill="0" applyBorder="0" applyAlignment="0" applyProtection="0"/>
    <xf numFmtId="0" fontId="43" fillId="0" borderId="0"/>
    <xf numFmtId="0" fontId="8" fillId="0" borderId="0"/>
    <xf numFmtId="0" fontId="43" fillId="0" borderId="0"/>
    <xf numFmtId="0" fontId="8" fillId="0" borderId="0"/>
    <xf numFmtId="196" fontId="19" fillId="0" borderId="0" applyFont="0" applyFill="0" applyBorder="0" applyAlignment="0" applyProtection="0"/>
    <xf numFmtId="197" fontId="19" fillId="0" borderId="0" applyFont="0" applyFill="0" applyBorder="0" applyAlignment="0" applyProtection="0"/>
    <xf numFmtId="0" fontId="44" fillId="0" borderId="0">
      <protection locked="0"/>
    </xf>
    <xf numFmtId="0" fontId="45" fillId="0" borderId="0">
      <protection locked="0"/>
    </xf>
    <xf numFmtId="0" fontId="45" fillId="0" borderId="0">
      <protection locked="0"/>
    </xf>
    <xf numFmtId="0" fontId="46" fillId="0" borderId="0">
      <alignment horizontal="left"/>
    </xf>
    <xf numFmtId="0" fontId="47" fillId="0" borderId="0" applyNumberFormat="0" applyFill="0" applyBorder="0" applyAlignment="0" applyProtection="0"/>
    <xf numFmtId="0" fontId="44" fillId="0" borderId="0">
      <protection locked="0"/>
    </xf>
    <xf numFmtId="0" fontId="44" fillId="0" borderId="0">
      <protection locked="0"/>
    </xf>
    <xf numFmtId="0" fontId="44" fillId="0" borderId="0">
      <protection locked="0"/>
    </xf>
    <xf numFmtId="0" fontId="44" fillId="0" borderId="0">
      <protection locked="0"/>
    </xf>
    <xf numFmtId="0" fontId="44" fillId="0" borderId="0">
      <protection locked="0"/>
    </xf>
    <xf numFmtId="0" fontId="44" fillId="0" borderId="0">
      <protection locked="0"/>
    </xf>
    <xf numFmtId="0" fontId="44" fillId="0" borderId="0">
      <protection locked="0"/>
    </xf>
    <xf numFmtId="0" fontId="44" fillId="0" borderId="0">
      <protection locked="0"/>
    </xf>
    <xf numFmtId="0" fontId="44" fillId="0" borderId="0">
      <protection locked="0"/>
    </xf>
    <xf numFmtId="0" fontId="48" fillId="4" borderId="0" applyNumberFormat="0" applyBorder="0" applyAlignment="0" applyProtection="0"/>
    <xf numFmtId="38" fontId="11" fillId="22" borderId="0" applyNumberFormat="0" applyBorder="0" applyAlignment="0" applyProtection="0"/>
    <xf numFmtId="0" fontId="12" fillId="0" borderId="0">
      <alignment horizontal="left"/>
    </xf>
    <xf numFmtId="0" fontId="13" fillId="0" borderId="4" applyFill="0" applyBorder="0"/>
    <xf numFmtId="0" fontId="11" fillId="0" borderId="4" applyBorder="0">
      <alignment horizontal="center" vertical="center"/>
    </xf>
    <xf numFmtId="0" fontId="14" fillId="0" borderId="4" applyBorder="0">
      <alignment horizontal="center" vertical="center"/>
    </xf>
    <xf numFmtId="0" fontId="15" fillId="0" borderId="5" applyNumberFormat="0" applyAlignment="0" applyProtection="0">
      <alignment horizontal="left" vertical="center"/>
    </xf>
    <xf numFmtId="0" fontId="15" fillId="0" borderId="6">
      <alignment horizontal="left" vertical="center"/>
    </xf>
    <xf numFmtId="0" fontId="15" fillId="0" borderId="0" applyFill="0" applyBorder="0" applyAlignment="0">
      <alignment vertical="center"/>
    </xf>
    <xf numFmtId="0" fontId="49" fillId="0" borderId="7" applyNumberFormat="0" applyFill="0" applyAlignment="0" applyProtection="0"/>
    <xf numFmtId="0" fontId="50" fillId="0" borderId="8" applyNumberFormat="0" applyFill="0" applyAlignment="0" applyProtection="0"/>
    <xf numFmtId="0" fontId="50" fillId="0" borderId="0" applyNumberFormat="0" applyFill="0" applyBorder="0" applyAlignment="0" applyProtection="0"/>
    <xf numFmtId="0" fontId="16" fillId="0" borderId="4" applyBorder="0">
      <alignment horizontal="center" vertical="center"/>
    </xf>
    <xf numFmtId="0" fontId="28" fillId="0" borderId="0" applyNumberFormat="0" applyFill="0" applyBorder="0" applyAlignment="0" applyProtection="0">
      <alignment vertical="top"/>
      <protection locked="0"/>
    </xf>
    <xf numFmtId="0" fontId="37" fillId="0" borderId="0" applyBorder="0"/>
    <xf numFmtId="0" fontId="51" fillId="7" borderId="2" applyNumberFormat="0" applyAlignment="0" applyProtection="0"/>
    <xf numFmtId="10" fontId="11" fillId="22" borderId="9" applyNumberFormat="0" applyBorder="0" applyAlignment="0" applyProtection="0"/>
    <xf numFmtId="0" fontId="37" fillId="0" borderId="0"/>
    <xf numFmtId="0" fontId="52" fillId="0" borderId="10" applyNumberFormat="0" applyFill="0" applyAlignment="0" applyProtection="0"/>
    <xf numFmtId="0" fontId="25" fillId="23" borderId="0" applyNumberFormat="0" applyFont="0" applyBorder="0" applyAlignment="0" applyProtection="0"/>
    <xf numFmtId="198" fontId="1" fillId="0" borderId="0" applyFont="0" applyFill="0" applyBorder="0" applyAlignment="0" applyProtection="0"/>
    <xf numFmtId="198" fontId="1" fillId="0" borderId="0" applyFont="0" applyFill="0" applyBorder="0" applyAlignment="0" applyProtection="0"/>
    <xf numFmtId="0" fontId="17" fillId="0" borderId="11"/>
    <xf numFmtId="199" fontId="1" fillId="0" borderId="0" applyFont="0" applyFill="0" applyBorder="0" applyAlignment="0" applyProtection="0"/>
    <xf numFmtId="200" fontId="1" fillId="0" borderId="0" applyFont="0" applyFill="0" applyBorder="0" applyAlignment="0" applyProtection="0"/>
    <xf numFmtId="0" fontId="44" fillId="0" borderId="0">
      <protection locked="0"/>
    </xf>
    <xf numFmtId="0" fontId="53" fillId="24" borderId="0" applyNumberFormat="0" applyBorder="0" applyAlignment="0" applyProtection="0"/>
    <xf numFmtId="37" fontId="54" fillId="0" borderId="0"/>
    <xf numFmtId="192" fontId="18" fillId="0" borderId="0"/>
    <xf numFmtId="0" fontId="75" fillId="0" borderId="0">
      <alignment vertical="center"/>
    </xf>
    <xf numFmtId="0" fontId="55" fillId="0" borderId="0"/>
    <xf numFmtId="0" fontId="56" fillId="0" borderId="0"/>
    <xf numFmtId="0" fontId="1" fillId="25" borderId="12" applyNumberFormat="0" applyFont="0" applyAlignment="0" applyProtection="0"/>
    <xf numFmtId="201" fontId="19" fillId="0" borderId="0" applyFont="0" applyFill="0" applyBorder="0" applyAlignment="0" applyProtection="0">
      <alignment horizontal="center"/>
      <protection locked="0"/>
    </xf>
    <xf numFmtId="0" fontId="57" fillId="20" borderId="13" applyNumberFormat="0" applyAlignment="0" applyProtection="0"/>
    <xf numFmtId="10" fontId="19" fillId="0" borderId="0" applyFont="0" applyFill="0" applyBorder="0" applyAlignment="0" applyProtection="0"/>
    <xf numFmtId="0" fontId="44" fillId="0" borderId="0">
      <protection locked="0"/>
    </xf>
    <xf numFmtId="4" fontId="46" fillId="0" borderId="0">
      <alignment horizontal="right"/>
    </xf>
    <xf numFmtId="0" fontId="20" fillId="0" borderId="0" applyNumberFormat="0" applyFont="0" applyFill="0" applyBorder="0" applyAlignment="0" applyProtection="0">
      <alignment horizontal="left"/>
    </xf>
    <xf numFmtId="0" fontId="21" fillId="0" borderId="11">
      <alignment horizontal="center"/>
    </xf>
    <xf numFmtId="4" fontId="58" fillId="0" borderId="0">
      <alignment horizontal="right"/>
    </xf>
    <xf numFmtId="38" fontId="59" fillId="0" borderId="0"/>
    <xf numFmtId="0" fontId="60" fillId="0" borderId="0">
      <alignment horizontal="left"/>
    </xf>
    <xf numFmtId="1" fontId="61" fillId="0" borderId="0" applyBorder="0">
      <alignment horizontal="left" vertical="top" wrapText="1"/>
    </xf>
    <xf numFmtId="0" fontId="17" fillId="0" borderId="0"/>
    <xf numFmtId="0" fontId="22" fillId="0" borderId="14" applyNumberFormat="0" applyFill="0" applyBorder="0">
      <alignment horizontal="centerContinuous" vertical="center" wrapText="1"/>
      <protection locked="0"/>
    </xf>
    <xf numFmtId="0" fontId="13" fillId="26" borderId="15" applyFill="0" applyBorder="0">
      <alignment horizontal="left" vertical="center"/>
    </xf>
    <xf numFmtId="0" fontId="13" fillId="26" borderId="15" applyFill="0" applyBorder="0">
      <alignment horizontal="center" vertical="center"/>
    </xf>
    <xf numFmtId="0" fontId="13" fillId="26" borderId="16" applyNumberFormat="0" applyFill="0" applyBorder="0" applyProtection="0">
      <alignment horizontal="centerContinuous"/>
    </xf>
    <xf numFmtId="0" fontId="23" fillId="0" borderId="14" applyFill="0" applyBorder="0" applyProtection="0">
      <alignment vertical="center"/>
      <protection locked="0"/>
    </xf>
    <xf numFmtId="0" fontId="11" fillId="0" borderId="0" applyFill="0" applyBorder="0">
      <alignment vertical="center"/>
    </xf>
    <xf numFmtId="0" fontId="24" fillId="26" borderId="17" applyFill="0" applyBorder="0" applyAlignment="0">
      <alignment horizontal="center" vertical="center"/>
    </xf>
    <xf numFmtId="0" fontId="11" fillId="0" borderId="0" applyFill="0" applyBorder="0">
      <alignment horizontal="centerContinuous" vertical="center"/>
    </xf>
    <xf numFmtId="0" fontId="13" fillId="0" borderId="0" applyNumberFormat="0" applyFill="0" applyBorder="0">
      <alignment vertical="center"/>
    </xf>
    <xf numFmtId="0" fontId="62" fillId="0" borderId="0" applyNumberFormat="0" applyFill="0" applyBorder="0" applyAlignment="0" applyProtection="0"/>
    <xf numFmtId="0" fontId="29" fillId="0" borderId="18" applyNumberFormat="0" applyFill="0" applyAlignment="0" applyProtection="0"/>
    <xf numFmtId="0" fontId="63" fillId="0" borderId="0" applyNumberFormat="0" applyFill="0" applyBorder="0" applyAlignment="0" applyProtection="0"/>
    <xf numFmtId="0" fontId="64"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1" fillId="0" borderId="19"/>
    <xf numFmtId="202" fontId="4" fillId="0" borderId="0" applyBorder="0">
      <alignment horizontal="right"/>
    </xf>
    <xf numFmtId="0" fontId="37" fillId="0" borderId="0">
      <alignment vertical="center"/>
    </xf>
    <xf numFmtId="49" fontId="1" fillId="0" borderId="0" applyFont="0"/>
    <xf numFmtId="38" fontId="25" fillId="0" borderId="0"/>
    <xf numFmtId="0" fontId="65" fillId="0" borderId="0"/>
    <xf numFmtId="0" fontId="66" fillId="0" borderId="20" applyNumberFormat="0" applyFill="0" applyAlignment="0" applyProtection="0">
      <alignment vertical="center"/>
    </xf>
    <xf numFmtId="0" fontId="1" fillId="0" borderId="0">
      <alignment vertical="center"/>
    </xf>
    <xf numFmtId="0" fontId="1" fillId="0" borderId="0">
      <alignment vertical="center"/>
    </xf>
    <xf numFmtId="0" fontId="1" fillId="0" borderId="0">
      <alignment vertical="center"/>
    </xf>
    <xf numFmtId="191" fontId="25" fillId="0" borderId="0"/>
    <xf numFmtId="203" fontId="4" fillId="0" borderId="0" applyFill="0" applyBorder="0"/>
    <xf numFmtId="202" fontId="4" fillId="0" borderId="0" applyFill="0" applyBorder="0"/>
    <xf numFmtId="204" fontId="1" fillId="0" borderId="0" applyFill="0" applyBorder="0"/>
    <xf numFmtId="49" fontId="4" fillId="22" borderId="21">
      <alignment horizontal="center"/>
    </xf>
    <xf numFmtId="190" fontId="4" fillId="22" borderId="21">
      <alignment horizontal="right"/>
    </xf>
    <xf numFmtId="14" fontId="4" fillId="22" borderId="0" applyBorder="0">
      <alignment horizontal="center"/>
    </xf>
    <xf numFmtId="49" fontId="4" fillId="0" borderId="21"/>
    <xf numFmtId="6" fontId="1" fillId="0" borderId="0" applyFont="0" applyFill="0" applyBorder="0" applyAlignment="0" applyProtection="0"/>
    <xf numFmtId="14" fontId="4" fillId="0" borderId="22" applyBorder="0">
      <alignment horizontal="left"/>
    </xf>
    <xf numFmtId="14" fontId="4" fillId="0" borderId="0" applyFill="0" applyBorder="0"/>
    <xf numFmtId="0" fontId="67" fillId="0" borderId="0"/>
    <xf numFmtId="0" fontId="1" fillId="0" borderId="0"/>
    <xf numFmtId="0" fontId="75" fillId="0" borderId="0">
      <alignment vertical="center"/>
    </xf>
    <xf numFmtId="0" fontId="1" fillId="0" borderId="0"/>
    <xf numFmtId="0" fontId="1" fillId="0" borderId="0"/>
    <xf numFmtId="0" fontId="1" fillId="0" borderId="0"/>
    <xf numFmtId="0" fontId="1" fillId="0" borderId="0">
      <alignment vertical="center"/>
    </xf>
    <xf numFmtId="0" fontId="1" fillId="0" borderId="0"/>
    <xf numFmtId="0" fontId="75" fillId="0" borderId="0">
      <alignment vertical="center"/>
    </xf>
    <xf numFmtId="0" fontId="1" fillId="0" borderId="0"/>
    <xf numFmtId="0" fontId="1" fillId="0" borderId="0">
      <alignment vertical="center"/>
    </xf>
    <xf numFmtId="0" fontId="75" fillId="0" borderId="0">
      <alignment vertical="center"/>
    </xf>
    <xf numFmtId="0" fontId="1" fillId="0" borderId="0"/>
    <xf numFmtId="0" fontId="75" fillId="0" borderId="0">
      <alignment vertical="center"/>
    </xf>
    <xf numFmtId="0" fontId="1" fillId="0" borderId="0">
      <alignment vertical="center"/>
    </xf>
    <xf numFmtId="0" fontId="33"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lignment vertical="center"/>
    </xf>
    <xf numFmtId="0" fontId="1" fillId="0" borderId="0"/>
    <xf numFmtId="0" fontId="1" fillId="0" borderId="0"/>
    <xf numFmtId="0" fontId="1" fillId="0" borderId="0"/>
    <xf numFmtId="0" fontId="1" fillId="0" borderId="0"/>
    <xf numFmtId="0" fontId="26" fillId="0" borderId="11">
      <alignment horizontal="centerContinuous" vertical="center" wrapText="1"/>
    </xf>
    <xf numFmtId="49" fontId="4" fillId="0" borderId="0" applyFill="0" applyBorder="0"/>
    <xf numFmtId="205" fontId="68" fillId="0" borderId="0"/>
    <xf numFmtId="0" fontId="1" fillId="27" borderId="0" applyNumberFormat="0" applyFont="0" applyBorder="0" applyAlignment="0" applyProtection="0"/>
    <xf numFmtId="0" fontId="31" fillId="27" borderId="23">
      <alignment horizontal="left" vertical="center" wrapText="1"/>
    </xf>
    <xf numFmtId="0" fontId="69" fillId="0" borderId="0"/>
  </cellStyleXfs>
  <cellXfs count="620">
    <xf numFmtId="0" fontId="0" fillId="0" borderId="0" xfId="0">
      <alignment vertical="center"/>
    </xf>
    <xf numFmtId="0" fontId="0" fillId="0" borderId="9" xfId="0" applyFont="1" applyFill="1" applyBorder="1" applyAlignment="1">
      <alignment vertical="top"/>
    </xf>
    <xf numFmtId="0" fontId="0" fillId="0" borderId="24" xfId="0" applyFont="1" applyFill="1" applyBorder="1" applyAlignment="1">
      <alignment horizontal="center" vertical="top" shrinkToFit="1"/>
    </xf>
    <xf numFmtId="0" fontId="0" fillId="0" borderId="25" xfId="0" applyFont="1" applyFill="1" applyBorder="1" applyAlignment="1">
      <alignment vertical="top"/>
    </xf>
    <xf numFmtId="0" fontId="0" fillId="0" borderId="22" xfId="0" applyFont="1" applyFill="1" applyBorder="1" applyAlignment="1">
      <alignment vertical="top"/>
    </xf>
    <xf numFmtId="0" fontId="0" fillId="0" borderId="26" xfId="0" applyFont="1" applyFill="1" applyBorder="1" applyAlignment="1">
      <alignment vertical="top"/>
    </xf>
    <xf numFmtId="0" fontId="0" fillId="0" borderId="26" xfId="0" applyFont="1" applyFill="1" applyBorder="1" applyAlignment="1">
      <alignment horizontal="center" vertical="top"/>
    </xf>
    <xf numFmtId="0" fontId="0" fillId="0" borderId="27" xfId="0" applyFont="1" applyFill="1" applyBorder="1" applyAlignment="1">
      <alignment vertical="top"/>
    </xf>
    <xf numFmtId="0" fontId="0" fillId="0" borderId="9" xfId="0" applyFont="1" applyFill="1" applyBorder="1" applyAlignment="1">
      <alignment horizontal="center" vertical="top"/>
    </xf>
    <xf numFmtId="0" fontId="0" fillId="0" borderId="9" xfId="0" applyFont="1" applyFill="1" applyBorder="1" applyAlignment="1">
      <alignment vertical="center" wrapText="1"/>
    </xf>
    <xf numFmtId="0" fontId="0" fillId="0" borderId="28" xfId="0" applyFont="1" applyFill="1" applyBorder="1">
      <alignment vertical="center"/>
    </xf>
    <xf numFmtId="0" fontId="0" fillId="0" borderId="9" xfId="0" applyFont="1" applyFill="1" applyBorder="1" applyAlignment="1">
      <alignment vertical="top" wrapText="1"/>
    </xf>
    <xf numFmtId="0" fontId="0" fillId="0" borderId="29" xfId="0" applyFont="1" applyFill="1" applyBorder="1">
      <alignment vertical="center"/>
    </xf>
    <xf numFmtId="0" fontId="0" fillId="0" borderId="30" xfId="0" applyFont="1" applyFill="1" applyBorder="1" applyAlignment="1">
      <alignment vertical="top"/>
    </xf>
    <xf numFmtId="0" fontId="0" fillId="0" borderId="6" xfId="130" applyFont="1" applyFill="1" applyBorder="1" applyAlignment="1">
      <alignment vertical="top"/>
    </xf>
    <xf numFmtId="0" fontId="0" fillId="0" borderId="31" xfId="0" applyFont="1" applyFill="1" applyBorder="1" applyAlignment="1">
      <alignment vertical="top"/>
    </xf>
    <xf numFmtId="0" fontId="0" fillId="0" borderId="6" xfId="0" applyFont="1" applyFill="1" applyBorder="1" applyAlignment="1">
      <alignment vertical="top"/>
    </xf>
    <xf numFmtId="0" fontId="0" fillId="0" borderId="31" xfId="0" applyFont="1" applyFill="1" applyBorder="1" applyAlignment="1">
      <alignment horizontal="center" vertical="top"/>
    </xf>
    <xf numFmtId="0" fontId="5" fillId="0" borderId="32" xfId="0" applyFont="1" applyFill="1" applyBorder="1" applyAlignment="1">
      <alignment vertical="center"/>
    </xf>
    <xf numFmtId="0" fontId="0" fillId="0" borderId="33" xfId="0" applyFont="1" applyFill="1" applyBorder="1" applyAlignment="1">
      <alignment horizontal="center" vertical="top" shrinkToFit="1"/>
    </xf>
    <xf numFmtId="0" fontId="0" fillId="22" borderId="0" xfId="0" applyFont="1" applyFill="1">
      <alignment vertical="center"/>
    </xf>
    <xf numFmtId="0" fontId="0" fillId="0" borderId="9" xfId="0" applyFont="1" applyFill="1" applyBorder="1" applyAlignment="1">
      <alignment horizontal="center" vertical="center"/>
    </xf>
    <xf numFmtId="0" fontId="0" fillId="0" borderId="29" xfId="0" applyFont="1" applyFill="1" applyBorder="1" applyAlignment="1">
      <alignment vertical="top"/>
    </xf>
    <xf numFmtId="0" fontId="0" fillId="0" borderId="26" xfId="0" applyFont="1" applyFill="1" applyBorder="1" applyAlignment="1">
      <alignment vertical="top" wrapText="1"/>
    </xf>
    <xf numFmtId="0" fontId="0" fillId="0" borderId="0" xfId="0" applyNumberFormat="1">
      <alignment vertical="center"/>
    </xf>
    <xf numFmtId="0" fontId="0" fillId="0" borderId="30" xfId="0" applyFont="1" applyFill="1" applyBorder="1" applyAlignment="1">
      <alignment horizontal="center" vertical="top" shrinkToFit="1"/>
    </xf>
    <xf numFmtId="0" fontId="0" fillId="0" borderId="0" xfId="0" applyFont="1" applyFill="1">
      <alignment vertical="center"/>
    </xf>
    <xf numFmtId="0" fontId="0" fillId="0" borderId="34" xfId="0" applyFont="1" applyFill="1" applyBorder="1">
      <alignment vertical="center"/>
    </xf>
    <xf numFmtId="0" fontId="0" fillId="0" borderId="22" xfId="0" applyFont="1" applyFill="1" applyBorder="1" applyAlignment="1">
      <alignment horizontal="center" vertical="top" shrinkToFit="1"/>
    </xf>
    <xf numFmtId="0" fontId="0" fillId="28" borderId="0" xfId="0" applyFill="1">
      <alignment vertical="center"/>
    </xf>
    <xf numFmtId="0" fontId="0" fillId="29" borderId="0" xfId="0" applyFill="1">
      <alignment vertical="center"/>
    </xf>
    <xf numFmtId="0" fontId="0" fillId="30" borderId="0" xfId="0" applyFill="1">
      <alignment vertical="center"/>
    </xf>
    <xf numFmtId="0" fontId="5" fillId="29" borderId="0" xfId="0" applyFont="1" applyFill="1">
      <alignment vertical="center"/>
    </xf>
    <xf numFmtId="0" fontId="0" fillId="0" borderId="0" xfId="0" applyFont="1">
      <alignment vertical="center"/>
    </xf>
    <xf numFmtId="0" fontId="0" fillId="22" borderId="0" xfId="0" applyFont="1" applyFill="1" applyAlignment="1">
      <alignment horizontal="center" vertical="center" shrinkToFit="1"/>
    </xf>
    <xf numFmtId="0" fontId="0" fillId="22" borderId="0" xfId="0" applyFont="1" applyFill="1" applyAlignment="1">
      <alignment horizontal="center" vertical="center"/>
    </xf>
    <xf numFmtId="0" fontId="0" fillId="22" borderId="27" xfId="0" applyFont="1" applyFill="1" applyBorder="1" applyAlignment="1">
      <alignment vertical="top"/>
    </xf>
    <xf numFmtId="0" fontId="0" fillId="0" borderId="26" xfId="0" applyFont="1" applyFill="1" applyBorder="1" applyAlignment="1">
      <alignment horizontal="center" vertical="center"/>
    </xf>
    <xf numFmtId="0" fontId="0" fillId="22" borderId="0" xfId="0" applyFont="1" applyFill="1" applyAlignment="1">
      <alignment horizontal="left" vertical="center"/>
    </xf>
    <xf numFmtId="0" fontId="5" fillId="22" borderId="0" xfId="0" applyFont="1" applyFill="1" applyBorder="1" applyAlignment="1">
      <alignment vertical="center"/>
    </xf>
    <xf numFmtId="0" fontId="27" fillId="0" borderId="32" xfId="0" applyFont="1" applyBorder="1" applyAlignment="1">
      <alignment vertical="center"/>
    </xf>
    <xf numFmtId="0" fontId="27" fillId="0" borderId="0" xfId="0" applyFont="1" applyBorder="1" applyAlignment="1">
      <alignment vertical="center"/>
    </xf>
    <xf numFmtId="0" fontId="5" fillId="28" borderId="0" xfId="0" applyFont="1" applyFill="1">
      <alignment vertical="center"/>
    </xf>
    <xf numFmtId="0" fontId="5" fillId="30" borderId="0" xfId="0" applyFont="1" applyFill="1">
      <alignment vertical="center"/>
    </xf>
    <xf numFmtId="0" fontId="5" fillId="22" borderId="0" xfId="0" applyFont="1" applyFill="1" applyAlignment="1">
      <alignment horizontal="left" vertical="center" shrinkToFit="1"/>
    </xf>
    <xf numFmtId="0" fontId="31" fillId="0" borderId="0" xfId="169" applyNumberFormat="1" applyFont="1" applyFill="1" applyBorder="1" applyAlignment="1"/>
    <xf numFmtId="0" fontId="4" fillId="0" borderId="6" xfId="169" applyNumberFormat="1" applyFont="1" applyFill="1" applyBorder="1" applyAlignment="1"/>
    <xf numFmtId="0" fontId="31" fillId="0" borderId="21" xfId="169" applyNumberFormat="1" applyFont="1" applyFill="1" applyBorder="1" applyAlignment="1">
      <alignment horizontal="center" vertical="center"/>
    </xf>
    <xf numFmtId="0" fontId="31" fillId="0" borderId="25" xfId="169" applyNumberFormat="1" applyFont="1" applyFill="1" applyBorder="1" applyAlignment="1">
      <alignment vertical="center"/>
    </xf>
    <xf numFmtId="0" fontId="31" fillId="0" borderId="35" xfId="169" applyNumberFormat="1" applyFont="1" applyFill="1" applyBorder="1" applyAlignment="1">
      <alignment vertical="center"/>
    </xf>
    <xf numFmtId="0" fontId="5" fillId="22" borderId="0" xfId="0" applyFont="1" applyFill="1" applyAlignment="1">
      <alignment horizontal="left" vertical="center"/>
    </xf>
    <xf numFmtId="0" fontId="0" fillId="22" borderId="24" xfId="0" applyFont="1" applyFill="1" applyBorder="1" applyAlignment="1">
      <alignment horizontal="left" vertical="center"/>
    </xf>
    <xf numFmtId="0" fontId="0" fillId="22" borderId="9" xfId="0" applyFont="1" applyFill="1" applyBorder="1" applyAlignment="1">
      <alignment horizontal="left" vertical="center"/>
    </xf>
    <xf numFmtId="0" fontId="0" fillId="0" borderId="25" xfId="0" applyFill="1" applyBorder="1" applyAlignment="1">
      <alignment vertical="top"/>
    </xf>
    <xf numFmtId="0" fontId="0" fillId="0" borderId="36" xfId="0" applyFont="1" applyFill="1" applyBorder="1" applyAlignment="1">
      <alignment vertical="top"/>
    </xf>
    <xf numFmtId="0" fontId="0" fillId="0" borderId="34" xfId="0" applyFont="1" applyFill="1" applyBorder="1" applyAlignment="1">
      <alignment vertical="center"/>
    </xf>
    <xf numFmtId="0" fontId="0" fillId="0" borderId="9" xfId="130" applyFont="1" applyFill="1" applyBorder="1" applyAlignment="1">
      <alignment vertical="top"/>
    </xf>
    <xf numFmtId="0" fontId="0" fillId="0" borderId="28" xfId="0" applyFont="1" applyFill="1" applyBorder="1" applyAlignment="1">
      <alignment vertical="center"/>
    </xf>
    <xf numFmtId="0" fontId="0" fillId="0" borderId="9" xfId="129" applyFont="1" applyFill="1" applyBorder="1" applyAlignment="1">
      <alignment vertical="top"/>
    </xf>
    <xf numFmtId="0" fontId="0" fillId="0" borderId="9" xfId="129" applyFont="1" applyFill="1" applyBorder="1" applyAlignment="1">
      <alignment horizontal="center" vertical="top"/>
    </xf>
    <xf numFmtId="0" fontId="0" fillId="0" borderId="24" xfId="0" applyFont="1" applyFill="1" applyBorder="1" applyAlignment="1">
      <alignment horizontal="left" vertical="center"/>
    </xf>
    <xf numFmtId="0" fontId="0" fillId="0" borderId="9" xfId="0" applyFont="1" applyFill="1" applyBorder="1" applyAlignment="1">
      <alignment horizontal="left" vertical="center"/>
    </xf>
    <xf numFmtId="0" fontId="0" fillId="0" borderId="37" xfId="0" applyFont="1" applyFill="1" applyBorder="1" applyAlignment="1">
      <alignment vertical="top"/>
    </xf>
    <xf numFmtId="0" fontId="0" fillId="0" borderId="29" xfId="0" applyFont="1" applyFill="1" applyBorder="1" applyAlignment="1">
      <alignment vertical="center" wrapText="1"/>
    </xf>
    <xf numFmtId="0" fontId="36" fillId="0" borderId="35" xfId="0" applyFont="1" applyFill="1" applyBorder="1" applyAlignment="1">
      <alignment vertical="top" wrapText="1"/>
    </xf>
    <xf numFmtId="0" fontId="0" fillId="0" borderId="24" xfId="130" applyFont="1" applyFill="1" applyBorder="1" applyAlignment="1">
      <alignment horizontal="center" vertical="top" shrinkToFit="1"/>
    </xf>
    <xf numFmtId="0" fontId="0" fillId="0" borderId="38" xfId="0" applyFont="1" applyFill="1" applyBorder="1" applyAlignment="1">
      <alignment vertical="top"/>
    </xf>
    <xf numFmtId="0" fontId="0" fillId="0" borderId="39" xfId="0" applyFont="1" applyFill="1" applyBorder="1" applyAlignment="1">
      <alignment vertical="top"/>
    </xf>
    <xf numFmtId="0" fontId="0" fillId="0" borderId="29" xfId="0" applyFont="1" applyFill="1" applyBorder="1" applyAlignment="1">
      <alignment vertical="top" wrapText="1"/>
    </xf>
    <xf numFmtId="0" fontId="0" fillId="0" borderId="27" xfId="130" applyFont="1" applyFill="1" applyBorder="1" applyAlignment="1">
      <alignment vertical="top"/>
    </xf>
    <xf numFmtId="0" fontId="0" fillId="0" borderId="36" xfId="130" applyFont="1" applyFill="1" applyBorder="1" applyAlignment="1">
      <alignment vertical="top"/>
    </xf>
    <xf numFmtId="0" fontId="0" fillId="0" borderId="38" xfId="130" applyFont="1" applyFill="1" applyBorder="1" applyAlignment="1">
      <alignment vertical="top"/>
    </xf>
    <xf numFmtId="0" fontId="0" fillId="0" borderId="39" xfId="130" applyFont="1" applyFill="1" applyBorder="1" applyAlignment="1">
      <alignment vertical="top"/>
    </xf>
    <xf numFmtId="0" fontId="0" fillId="0" borderId="37" xfId="130" applyFont="1" applyFill="1" applyBorder="1" applyAlignment="1">
      <alignment vertical="top"/>
    </xf>
    <xf numFmtId="0" fontId="0" fillId="0" borderId="9" xfId="130" applyFont="1" applyFill="1" applyBorder="1" applyAlignment="1">
      <alignment horizontal="center" vertical="top"/>
    </xf>
    <xf numFmtId="0" fontId="0" fillId="0" borderId="9" xfId="130" applyFont="1" applyFill="1" applyBorder="1" applyAlignment="1">
      <alignment horizontal="center" vertical="center"/>
    </xf>
    <xf numFmtId="0" fontId="0" fillId="0" borderId="6" xfId="130" applyFont="1" applyFill="1" applyBorder="1" applyAlignment="1">
      <alignment vertical="center"/>
    </xf>
    <xf numFmtId="0" fontId="0" fillId="0" borderId="28" xfId="130" applyFont="1" applyFill="1" applyBorder="1" applyAlignment="1">
      <alignment vertical="top" wrapText="1"/>
    </xf>
    <xf numFmtId="0" fontId="0" fillId="0" borderId="30" xfId="130" applyFont="1" applyFill="1" applyBorder="1" applyAlignment="1">
      <alignment horizontal="center" vertical="top" shrinkToFit="1"/>
    </xf>
    <xf numFmtId="0" fontId="0" fillId="0" borderId="24" xfId="130" applyFont="1" applyFill="1" applyBorder="1" applyAlignment="1">
      <alignment horizontal="left" vertical="center"/>
    </xf>
    <xf numFmtId="0" fontId="0" fillId="0" borderId="9" xfId="130" applyFont="1" applyFill="1" applyBorder="1" applyAlignment="1">
      <alignment horizontal="left" vertical="center"/>
    </xf>
    <xf numFmtId="0" fontId="0" fillId="0" borderId="0" xfId="130" applyFont="1" applyFill="1">
      <alignment vertical="center"/>
    </xf>
    <xf numFmtId="0" fontId="0" fillId="0" borderId="29" xfId="130" applyFont="1" applyFill="1" applyBorder="1" applyAlignment="1">
      <alignment vertical="top"/>
    </xf>
    <xf numFmtId="0" fontId="0" fillId="0" borderId="30" xfId="130" applyFont="1" applyFill="1" applyBorder="1" applyAlignment="1">
      <alignment vertical="top"/>
    </xf>
    <xf numFmtId="0" fontId="0" fillId="0" borderId="9" xfId="130" applyFont="1" applyFill="1" applyBorder="1" applyAlignment="1">
      <alignment vertical="center" wrapText="1"/>
    </xf>
    <xf numFmtId="0" fontId="0" fillId="0" borderId="29" xfId="130" applyFont="1" applyFill="1" applyBorder="1" applyAlignment="1">
      <alignment vertical="top" wrapText="1"/>
    </xf>
    <xf numFmtId="0" fontId="0" fillId="0" borderId="40" xfId="0" applyFont="1" applyFill="1" applyBorder="1" applyAlignment="1">
      <alignment vertical="top"/>
    </xf>
    <xf numFmtId="0" fontId="0" fillId="0" borderId="41" xfId="0" applyFont="1" applyFill="1" applyBorder="1" applyAlignment="1">
      <alignment vertical="top"/>
    </xf>
    <xf numFmtId="0" fontId="0" fillId="0" borderId="42" xfId="0" applyFont="1" applyFill="1" applyBorder="1" applyAlignment="1">
      <alignment horizontal="center" vertical="top"/>
    </xf>
    <xf numFmtId="0" fontId="0" fillId="0" borderId="42" xfId="0" applyFont="1" applyFill="1" applyBorder="1" applyAlignment="1">
      <alignment vertical="top"/>
    </xf>
    <xf numFmtId="0" fontId="0" fillId="0" borderId="42" xfId="0" applyFont="1" applyFill="1" applyBorder="1" applyAlignment="1">
      <alignment horizontal="left" vertical="center"/>
    </xf>
    <xf numFmtId="0" fontId="0" fillId="0" borderId="9" xfId="0" applyNumberFormat="1" applyFont="1" applyFill="1" applyBorder="1" applyAlignment="1">
      <alignment horizontal="left" vertical="center"/>
    </xf>
    <xf numFmtId="0" fontId="0" fillId="0" borderId="43" xfId="0" applyNumberFormat="1" applyFont="1" applyFill="1" applyBorder="1" applyAlignment="1">
      <alignment horizontal="left" vertical="center"/>
    </xf>
    <xf numFmtId="49" fontId="0" fillId="0" borderId="24" xfId="0" applyNumberFormat="1" applyFont="1" applyFill="1" applyBorder="1" applyAlignment="1">
      <alignment horizontal="left" vertical="center"/>
    </xf>
    <xf numFmtId="49" fontId="0" fillId="0" borderId="24" xfId="0" applyNumberFormat="1" applyFill="1" applyBorder="1" applyAlignment="1">
      <alignment horizontal="left" vertical="center"/>
    </xf>
    <xf numFmtId="0" fontId="0" fillId="0" borderId="24" xfId="0" applyFont="1" applyFill="1" applyBorder="1">
      <alignment vertical="center"/>
    </xf>
    <xf numFmtId="0" fontId="0" fillId="0" borderId="9" xfId="0" applyFont="1" applyFill="1" applyBorder="1">
      <alignment vertical="center"/>
    </xf>
    <xf numFmtId="0" fontId="0" fillId="0" borderId="44" xfId="0" applyFont="1" applyFill="1" applyBorder="1">
      <alignment vertical="center"/>
    </xf>
    <xf numFmtId="49" fontId="0" fillId="0" borderId="9" xfId="0" applyNumberFormat="1" applyFont="1" applyFill="1" applyBorder="1" applyAlignment="1">
      <alignment horizontal="center" vertical="center"/>
    </xf>
    <xf numFmtId="0" fontId="36" fillId="0" borderId="35" xfId="0" applyFont="1" applyFill="1" applyBorder="1" applyAlignment="1">
      <alignment vertical="center" wrapText="1"/>
    </xf>
    <xf numFmtId="0" fontId="0" fillId="0" borderId="28" xfId="0" applyFont="1" applyFill="1" applyBorder="1" applyAlignment="1">
      <alignment vertical="center" wrapText="1"/>
    </xf>
    <xf numFmtId="0" fontId="0" fillId="0" borderId="31" xfId="0" applyFont="1" applyFill="1" applyBorder="1" applyAlignment="1">
      <alignment horizontal="left" vertical="center"/>
    </xf>
    <xf numFmtId="0" fontId="0" fillId="0" borderId="0" xfId="0" applyFont="1" applyFill="1" applyBorder="1" applyAlignment="1">
      <alignment vertical="top"/>
    </xf>
    <xf numFmtId="0" fontId="36" fillId="0" borderId="29" xfId="0" applyFont="1" applyFill="1" applyBorder="1" applyAlignment="1">
      <alignment vertical="center" wrapText="1"/>
    </xf>
    <xf numFmtId="0" fontId="36" fillId="0" borderId="29" xfId="0" applyFont="1" applyFill="1" applyBorder="1" applyAlignment="1">
      <alignment vertical="top" wrapText="1"/>
    </xf>
    <xf numFmtId="0" fontId="36" fillId="0" borderId="29" xfId="130" applyFont="1" applyFill="1" applyBorder="1" applyAlignment="1">
      <alignment vertical="top" wrapText="1"/>
    </xf>
    <xf numFmtId="0" fontId="0" fillId="0" borderId="9" xfId="130" applyFont="1" applyFill="1" applyBorder="1" applyAlignment="1">
      <alignment vertical="top" wrapText="1"/>
    </xf>
    <xf numFmtId="0" fontId="0" fillId="0" borderId="42" xfId="0" applyFont="1" applyFill="1" applyBorder="1" applyAlignment="1">
      <alignment horizontal="center" vertical="center"/>
    </xf>
    <xf numFmtId="0" fontId="0" fillId="0" borderId="31" xfId="0" applyFont="1" applyFill="1" applyBorder="1">
      <alignment vertical="center"/>
    </xf>
    <xf numFmtId="0" fontId="0" fillId="0" borderId="31" xfId="0" applyFont="1" applyFill="1" applyBorder="1" applyAlignment="1">
      <alignment horizontal="center" vertical="center"/>
    </xf>
    <xf numFmtId="0" fontId="0" fillId="0" borderId="43" xfId="0" applyFont="1" applyFill="1" applyBorder="1">
      <alignment vertical="center"/>
    </xf>
    <xf numFmtId="0" fontId="0" fillId="0" borderId="45" xfId="0" applyFont="1" applyFill="1" applyBorder="1" applyAlignment="1">
      <alignment vertical="top"/>
    </xf>
    <xf numFmtId="0" fontId="0" fillId="0" borderId="29" xfId="0" applyFill="1" applyBorder="1" applyAlignment="1">
      <alignment vertical="top"/>
    </xf>
    <xf numFmtId="0" fontId="0" fillId="0" borderId="38" xfId="0" applyFill="1" applyBorder="1" applyAlignment="1">
      <alignment vertical="top"/>
    </xf>
    <xf numFmtId="0" fontId="0" fillId="0" borderId="42" xfId="0" applyFont="1" applyFill="1" applyBorder="1">
      <alignment vertical="center"/>
    </xf>
    <xf numFmtId="0" fontId="0" fillId="0" borderId="9" xfId="0" applyFont="1" applyFill="1" applyBorder="1" applyAlignment="1">
      <alignment vertical="center"/>
    </xf>
    <xf numFmtId="0" fontId="0" fillId="0" borderId="26" xfId="0" applyFont="1" applyFill="1" applyBorder="1" applyAlignment="1">
      <alignment vertical="center"/>
    </xf>
    <xf numFmtId="0" fontId="0" fillId="0" borderId="9" xfId="129" applyFont="1" applyFill="1" applyBorder="1" applyAlignment="1">
      <alignment vertical="center"/>
    </xf>
    <xf numFmtId="0" fontId="0" fillId="0" borderId="28" xfId="0" applyFont="1" applyFill="1" applyBorder="1" applyAlignment="1">
      <alignment vertical="top" wrapText="1"/>
    </xf>
    <xf numFmtId="0" fontId="0" fillId="0" borderId="9" xfId="130" applyFont="1" applyFill="1" applyBorder="1" applyAlignment="1">
      <alignment vertical="center"/>
    </xf>
    <xf numFmtId="0" fontId="0" fillId="0" borderId="46" xfId="0" applyFont="1" applyFill="1" applyBorder="1" applyAlignment="1">
      <alignment horizontal="left" vertical="center"/>
    </xf>
    <xf numFmtId="0" fontId="0" fillId="0" borderId="42" xfId="0" applyFont="1" applyFill="1" applyBorder="1" applyAlignment="1">
      <alignment vertical="center"/>
    </xf>
    <xf numFmtId="0" fontId="0" fillId="0" borderId="47" xfId="0" applyFont="1" applyFill="1" applyBorder="1">
      <alignment vertical="center"/>
    </xf>
    <xf numFmtId="0" fontId="0" fillId="0" borderId="35" xfId="0" applyFont="1" applyFill="1" applyBorder="1" applyAlignment="1">
      <alignment vertical="top"/>
    </xf>
    <xf numFmtId="0" fontId="0" fillId="0" borderId="9" xfId="0" applyFill="1" applyBorder="1">
      <alignment vertical="center"/>
    </xf>
    <xf numFmtId="0" fontId="0" fillId="0" borderId="48" xfId="0" applyFont="1" applyFill="1" applyBorder="1" applyAlignment="1">
      <alignment vertical="top"/>
    </xf>
    <xf numFmtId="0" fontId="0" fillId="0" borderId="31" xfId="0" applyFont="1" applyFill="1" applyBorder="1" applyAlignment="1">
      <alignment vertical="center"/>
    </xf>
    <xf numFmtId="49" fontId="0" fillId="0" borderId="33" xfId="0" applyNumberFormat="1" applyFont="1" applyFill="1" applyBorder="1" applyAlignment="1">
      <alignment horizontal="left" vertical="center" wrapText="1"/>
    </xf>
    <xf numFmtId="0" fontId="31" fillId="0" borderId="49" xfId="169" applyNumberFormat="1" applyFont="1" applyFill="1" applyBorder="1" applyAlignment="1">
      <alignment horizontal="center" vertical="center"/>
    </xf>
    <xf numFmtId="0" fontId="76" fillId="0" borderId="27" xfId="0" applyFont="1" applyFill="1" applyBorder="1" applyAlignment="1">
      <alignment vertical="top"/>
    </xf>
    <xf numFmtId="0" fontId="0" fillId="0" borderId="43" xfId="0" applyFont="1" applyFill="1" applyBorder="1" applyAlignment="1">
      <alignment vertical="center"/>
    </xf>
    <xf numFmtId="0" fontId="0" fillId="0" borderId="46" xfId="0" applyFont="1" applyFill="1" applyBorder="1">
      <alignment vertical="center"/>
    </xf>
    <xf numFmtId="0" fontId="0" fillId="0" borderId="50" xfId="0" applyFont="1" applyFill="1" applyBorder="1" applyAlignment="1">
      <alignment horizontal="center" vertical="top" shrinkToFit="1"/>
    </xf>
    <xf numFmtId="0" fontId="0" fillId="0" borderId="51" xfId="0" applyFont="1" applyFill="1" applyBorder="1" applyAlignment="1">
      <alignment vertical="top"/>
    </xf>
    <xf numFmtId="0" fontId="0" fillId="0" borderId="52" xfId="0" applyFont="1" applyFill="1" applyBorder="1" applyAlignment="1">
      <alignment vertical="top"/>
    </xf>
    <xf numFmtId="0" fontId="0" fillId="0" borderId="53" xfId="0" applyFont="1" applyFill="1" applyBorder="1" applyAlignment="1">
      <alignment vertical="top"/>
    </xf>
    <xf numFmtId="0" fontId="0" fillId="0" borderId="54" xfId="0" applyFont="1" applyFill="1" applyBorder="1" applyAlignment="1">
      <alignment vertical="top"/>
    </xf>
    <xf numFmtId="0" fontId="0" fillId="0" borderId="55" xfId="0" applyFont="1" applyFill="1" applyBorder="1" applyAlignment="1">
      <alignment horizontal="center" vertical="top"/>
    </xf>
    <xf numFmtId="0" fontId="0" fillId="0" borderId="55" xfId="0" applyFont="1" applyFill="1" applyBorder="1" applyAlignment="1">
      <alignment vertical="center" wrapText="1"/>
    </xf>
    <xf numFmtId="0" fontId="0" fillId="0" borderId="50" xfId="0" applyFont="1" applyFill="1" applyBorder="1">
      <alignment vertical="center"/>
    </xf>
    <xf numFmtId="0" fontId="0" fillId="0" borderId="55" xfId="0" applyFont="1" applyFill="1" applyBorder="1" applyAlignment="1">
      <alignment vertical="center"/>
    </xf>
    <xf numFmtId="0" fontId="0" fillId="0" borderId="55" xfId="0" applyFont="1" applyFill="1" applyBorder="1" applyAlignment="1">
      <alignment horizontal="center" vertical="center"/>
    </xf>
    <xf numFmtId="0" fontId="0" fillId="0" borderId="55" xfId="0" applyFont="1" applyFill="1" applyBorder="1">
      <alignment vertical="center"/>
    </xf>
    <xf numFmtId="0" fontId="0" fillId="0" borderId="56" xfId="0" applyFont="1" applyFill="1" applyBorder="1" applyAlignment="1">
      <alignment vertical="center" wrapText="1"/>
    </xf>
    <xf numFmtId="0" fontId="0" fillId="0" borderId="55" xfId="0" applyFont="1" applyFill="1" applyBorder="1" applyAlignment="1">
      <alignment vertical="top"/>
    </xf>
    <xf numFmtId="0" fontId="0" fillId="0" borderId="57" xfId="0" applyFont="1" applyFill="1" applyBorder="1" applyAlignment="1">
      <alignment horizontal="center" vertical="center" shrinkToFit="1"/>
    </xf>
    <xf numFmtId="0" fontId="0" fillId="0" borderId="46" xfId="0" applyFont="1" applyFill="1" applyBorder="1" applyAlignment="1">
      <alignment horizontal="center" vertical="center" shrinkToFit="1"/>
    </xf>
    <xf numFmtId="0" fontId="0" fillId="0" borderId="24" xfId="0" applyFont="1" applyFill="1" applyBorder="1" applyAlignment="1">
      <alignment horizontal="center" vertical="center" shrinkToFit="1"/>
    </xf>
    <xf numFmtId="0" fontId="31" fillId="0" borderId="32" xfId="169" applyNumberFormat="1" applyFont="1" applyFill="1" applyBorder="1" applyAlignment="1">
      <alignment vertical="center"/>
    </xf>
    <xf numFmtId="0" fontId="31" fillId="0" borderId="6" xfId="169" applyNumberFormat="1" applyFont="1" applyFill="1" applyBorder="1" applyAlignment="1">
      <alignment horizontal="left" vertical="center"/>
    </xf>
    <xf numFmtId="0" fontId="31" fillId="0" borderId="29" xfId="169" applyNumberFormat="1" applyFont="1" applyFill="1" applyBorder="1" applyAlignment="1">
      <alignment vertical="center"/>
    </xf>
    <xf numFmtId="0" fontId="31" fillId="0" borderId="6" xfId="169" applyNumberFormat="1" applyFont="1" applyFill="1" applyBorder="1" applyAlignment="1">
      <alignment vertical="center"/>
    </xf>
    <xf numFmtId="0" fontId="4" fillId="0" borderId="44" xfId="169" applyNumberFormat="1" applyFont="1" applyFill="1" applyBorder="1" applyAlignment="1"/>
    <xf numFmtId="0" fontId="31" fillId="0" borderId="0" xfId="169" applyNumberFormat="1" applyFont="1" applyFill="1" applyBorder="1" applyAlignment="1">
      <alignment vertical="center"/>
    </xf>
    <xf numFmtId="0" fontId="0" fillId="32" borderId="58" xfId="0" applyFont="1" applyFill="1" applyBorder="1" applyAlignment="1">
      <alignment horizontal="center" vertical="center" textRotation="255" shrinkToFit="1"/>
    </xf>
    <xf numFmtId="0" fontId="0" fillId="32" borderId="52" xfId="0" applyFont="1" applyFill="1" applyBorder="1" applyAlignment="1">
      <alignment horizontal="center" vertical="center" textRotation="255"/>
    </xf>
    <xf numFmtId="0" fontId="0" fillId="32" borderId="52" xfId="0" applyFont="1" applyFill="1" applyBorder="1" applyAlignment="1">
      <alignment horizontal="center" vertical="center" wrapText="1"/>
    </xf>
    <xf numFmtId="0" fontId="0" fillId="32" borderId="52" xfId="0" applyFont="1" applyFill="1" applyBorder="1" applyAlignment="1">
      <alignment horizontal="center" vertical="center"/>
    </xf>
    <xf numFmtId="0" fontId="0" fillId="33" borderId="50" xfId="0" applyFont="1" applyFill="1" applyBorder="1" applyAlignment="1">
      <alignment horizontal="center" vertical="center" textRotation="255" shrinkToFit="1"/>
    </xf>
    <xf numFmtId="0" fontId="0" fillId="33" borderId="55" xfId="0" applyFont="1" applyFill="1" applyBorder="1" applyAlignment="1">
      <alignment horizontal="center" vertical="center" shrinkToFit="1"/>
    </xf>
    <xf numFmtId="0" fontId="0" fillId="33" borderId="55" xfId="0" applyFont="1" applyFill="1" applyBorder="1" applyAlignment="1">
      <alignment horizontal="center" vertical="center"/>
    </xf>
    <xf numFmtId="0" fontId="0" fillId="33" borderId="55" xfId="0" applyFont="1" applyFill="1" applyBorder="1" applyAlignment="1">
      <alignment horizontal="center" vertical="center" textRotation="255" shrinkToFit="1"/>
    </xf>
    <xf numFmtId="0" fontId="0" fillId="33" borderId="55" xfId="0" applyFont="1" applyFill="1" applyBorder="1" applyAlignment="1">
      <alignment horizontal="center" vertical="center" wrapText="1"/>
    </xf>
    <xf numFmtId="0" fontId="0" fillId="33" borderId="59" xfId="0" applyFont="1" applyFill="1" applyBorder="1" applyAlignment="1">
      <alignment horizontal="center" vertical="center"/>
    </xf>
    <xf numFmtId="0" fontId="0" fillId="34" borderId="50" xfId="0" applyFont="1" applyFill="1" applyBorder="1" applyAlignment="1">
      <alignment horizontal="center" vertical="center" textRotation="255" shrinkToFit="1"/>
    </xf>
    <xf numFmtId="0" fontId="0" fillId="34" borderId="52" xfId="0" applyFont="1" applyFill="1" applyBorder="1" applyAlignment="1">
      <alignment horizontal="center" vertical="center"/>
    </xf>
    <xf numFmtId="0" fontId="0" fillId="34" borderId="52" xfId="0" applyFont="1" applyFill="1" applyBorder="1" applyAlignment="1">
      <alignment horizontal="center" vertical="center" wrapText="1"/>
    </xf>
    <xf numFmtId="0" fontId="0" fillId="34" borderId="60" xfId="0" applyFont="1" applyFill="1" applyBorder="1" applyAlignment="1">
      <alignment horizontal="center" vertical="center" wrapText="1"/>
    </xf>
    <xf numFmtId="0" fontId="0" fillId="34" borderId="51" xfId="0" applyFont="1" applyFill="1" applyBorder="1" applyAlignment="1">
      <alignment horizontal="center" vertical="center" wrapText="1"/>
    </xf>
    <xf numFmtId="0" fontId="0" fillId="35" borderId="9" xfId="0" applyFont="1" applyFill="1" applyBorder="1" applyAlignment="1">
      <alignment horizontal="left" vertical="center"/>
    </xf>
    <xf numFmtId="49" fontId="0" fillId="35" borderId="9" xfId="0" quotePrefix="1" applyNumberFormat="1" applyFont="1" applyFill="1" applyBorder="1" applyAlignment="1">
      <alignment horizontal="left" vertical="center"/>
    </xf>
    <xf numFmtId="49" fontId="0" fillId="35" borderId="9" xfId="0" quotePrefix="1" applyNumberFormat="1" applyFill="1" applyBorder="1" applyAlignment="1">
      <alignment horizontal="left" vertical="center"/>
    </xf>
    <xf numFmtId="49" fontId="0" fillId="35" borderId="9" xfId="0" applyNumberFormat="1" applyFont="1" applyFill="1" applyBorder="1" applyAlignment="1">
      <alignment horizontal="left" vertical="center"/>
    </xf>
    <xf numFmtId="0" fontId="0" fillId="35" borderId="31" xfId="0" applyFont="1" applyFill="1" applyBorder="1" applyAlignment="1">
      <alignment horizontal="left" vertical="center"/>
    </xf>
    <xf numFmtId="0" fontId="0" fillId="35" borderId="9" xfId="0" quotePrefix="1" applyFont="1" applyFill="1" applyBorder="1" applyAlignment="1">
      <alignment horizontal="left" vertical="center"/>
    </xf>
    <xf numFmtId="0" fontId="0" fillId="0" borderId="26" xfId="130" applyFont="1" applyFill="1" applyBorder="1" applyAlignment="1">
      <alignment vertical="top"/>
    </xf>
    <xf numFmtId="0" fontId="31" fillId="0" borderId="27" xfId="169" applyNumberFormat="1" applyFont="1" applyFill="1" applyBorder="1" applyAlignment="1">
      <alignment vertical="center"/>
    </xf>
    <xf numFmtId="0" fontId="31" fillId="0" borderId="31" xfId="169" applyNumberFormat="1" applyFont="1" applyFill="1" applyBorder="1" applyAlignment="1">
      <alignment vertical="center"/>
    </xf>
    <xf numFmtId="0" fontId="31" fillId="0" borderId="25" xfId="169" applyNumberFormat="1" applyFont="1" applyFill="1" applyBorder="1" applyAlignment="1">
      <alignment horizontal="left" vertical="center"/>
    </xf>
    <xf numFmtId="0" fontId="31" fillId="0" borderId="0" xfId="169" applyNumberFormat="1" applyFont="1" applyFill="1" applyBorder="1" applyAlignment="1">
      <alignment horizontal="center"/>
    </xf>
    <xf numFmtId="0" fontId="31" fillId="0" borderId="25" xfId="169" applyNumberFormat="1" applyFont="1" applyFill="1" applyBorder="1" applyAlignment="1">
      <alignment horizontal="center" vertical="center"/>
    </xf>
    <xf numFmtId="0" fontId="0" fillId="0" borderId="6" xfId="0" applyFont="1" applyFill="1" applyBorder="1" applyAlignment="1">
      <alignment horizontal="left" vertical="top"/>
    </xf>
    <xf numFmtId="0" fontId="0" fillId="0" borderId="30" xfId="0" applyFont="1" applyFill="1" applyBorder="1" applyAlignment="1">
      <alignment horizontal="left" vertical="top"/>
    </xf>
    <xf numFmtId="0" fontId="0" fillId="0" borderId="57" xfId="0" applyFont="1" applyFill="1" applyBorder="1">
      <alignment vertical="center"/>
    </xf>
    <xf numFmtId="0" fontId="0" fillId="0" borderId="9" xfId="0" applyFill="1" applyBorder="1" applyAlignment="1">
      <alignment vertical="center" wrapText="1"/>
    </xf>
    <xf numFmtId="0" fontId="0" fillId="0" borderId="26" xfId="0" applyFill="1" applyBorder="1" applyAlignment="1">
      <alignment vertical="center" wrapText="1"/>
    </xf>
    <xf numFmtId="0" fontId="0" fillId="0" borderId="26" xfId="0" applyFont="1" applyFill="1" applyBorder="1" applyAlignment="1">
      <alignment vertical="center" wrapText="1"/>
    </xf>
    <xf numFmtId="0" fontId="0" fillId="0" borderId="41" xfId="0" applyFont="1" applyFill="1" applyBorder="1" applyAlignment="1">
      <alignment horizontal="center" vertical="top" shrinkToFit="1"/>
    </xf>
    <xf numFmtId="0" fontId="0" fillId="0" borderId="47" xfId="0" applyFont="1" applyFill="1" applyBorder="1" applyAlignment="1">
      <alignment vertical="center"/>
    </xf>
    <xf numFmtId="0" fontId="0" fillId="0" borderId="34" xfId="0" applyFill="1" applyBorder="1" applyAlignment="1">
      <alignment vertical="center" wrapText="1"/>
    </xf>
    <xf numFmtId="0" fontId="0" fillId="0" borderId="61" xfId="0" applyFont="1" applyFill="1" applyBorder="1">
      <alignment vertical="center"/>
    </xf>
    <xf numFmtId="0" fontId="0" fillId="0" borderId="54" xfId="0" applyFont="1" applyFill="1" applyBorder="1" applyAlignment="1">
      <alignment horizontal="center" vertical="top" shrinkToFit="1"/>
    </xf>
    <xf numFmtId="0" fontId="0" fillId="22" borderId="62" xfId="0" applyFont="1" applyFill="1" applyBorder="1" applyAlignment="1">
      <alignment vertical="top"/>
    </xf>
    <xf numFmtId="49" fontId="0" fillId="0" borderId="42" xfId="0" applyNumberFormat="1" applyFont="1" applyFill="1" applyBorder="1" applyAlignment="1">
      <alignment horizontal="center" vertical="center"/>
    </xf>
    <xf numFmtId="0" fontId="0" fillId="0" borderId="25" xfId="0" applyFont="1" applyFill="1" applyBorder="1" applyAlignment="1">
      <alignment horizontal="left" vertical="top"/>
    </xf>
    <xf numFmtId="0" fontId="4" fillId="0" borderId="63" xfId="169" applyNumberFormat="1" applyFont="1" applyFill="1" applyBorder="1" applyAlignment="1">
      <alignment vertical="center" wrapText="1"/>
    </xf>
    <xf numFmtId="0" fontId="31" fillId="0" borderId="64" xfId="169" applyNumberFormat="1" applyFont="1" applyFill="1" applyBorder="1" applyAlignment="1">
      <alignment horizontal="center" vertical="center"/>
    </xf>
    <xf numFmtId="0" fontId="31" fillId="0" borderId="36" xfId="169" applyNumberFormat="1" applyFont="1" applyFill="1" applyBorder="1" applyAlignment="1">
      <alignment vertical="center"/>
    </xf>
    <xf numFmtId="0" fontId="31" fillId="0" borderId="45" xfId="169" applyNumberFormat="1" applyFont="1" applyFill="1" applyBorder="1" applyAlignment="1">
      <alignment vertical="center"/>
    </xf>
    <xf numFmtId="0" fontId="31" fillId="0" borderId="27" xfId="169" applyNumberFormat="1" applyFont="1" applyFill="1" applyBorder="1" applyAlignment="1">
      <alignment horizontal="right" vertical="center"/>
    </xf>
    <xf numFmtId="0" fontId="31" fillId="0" borderId="0" xfId="169" applyNumberFormat="1" applyFont="1" applyFill="1" applyBorder="1" applyAlignment="1">
      <alignment horizontal="left" vertical="center"/>
    </xf>
    <xf numFmtId="0" fontId="31" fillId="0" borderId="29" xfId="169" applyNumberFormat="1" applyFont="1" applyFill="1" applyBorder="1" applyAlignment="1">
      <alignment horizontal="left" vertical="center"/>
    </xf>
    <xf numFmtId="0" fontId="31" fillId="0" borderId="31" xfId="169" applyNumberFormat="1" applyFont="1" applyFill="1" applyBorder="1" applyAlignment="1">
      <alignment horizontal="left" vertical="center"/>
    </xf>
    <xf numFmtId="0" fontId="31" fillId="0" borderId="35" xfId="169" applyNumberFormat="1" applyFont="1" applyFill="1" applyBorder="1" applyAlignment="1">
      <alignment horizontal="left" vertical="center"/>
    </xf>
    <xf numFmtId="0" fontId="31" fillId="0" borderId="36" xfId="169" applyNumberFormat="1" applyFont="1" applyFill="1" applyBorder="1" applyAlignment="1">
      <alignment horizontal="left" vertical="center"/>
    </xf>
    <xf numFmtId="0" fontId="31" fillId="0" borderId="51" xfId="169" applyNumberFormat="1" applyFont="1" applyFill="1" applyBorder="1" applyAlignment="1">
      <alignment vertical="center"/>
    </xf>
    <xf numFmtId="0" fontId="31" fillId="0" borderId="65" xfId="169" applyNumberFormat="1" applyFont="1" applyFill="1" applyBorder="1" applyAlignment="1">
      <alignment horizontal="right" vertical="center"/>
    </xf>
    <xf numFmtId="0" fontId="31" fillId="0" borderId="65" xfId="169" applyNumberFormat="1" applyFont="1" applyFill="1" applyBorder="1" applyAlignment="1">
      <alignment vertical="center"/>
    </xf>
    <xf numFmtId="0" fontId="31" fillId="0" borderId="66" xfId="169" applyNumberFormat="1" applyFont="1" applyFill="1" applyBorder="1" applyAlignment="1" applyProtection="1">
      <alignment vertical="center"/>
      <protection locked="0"/>
    </xf>
    <xf numFmtId="0" fontId="31" fillId="0" borderId="67" xfId="169" applyNumberFormat="1" applyFont="1" applyFill="1" applyBorder="1" applyAlignment="1">
      <alignment vertical="center"/>
    </xf>
    <xf numFmtId="0" fontId="31" fillId="0" borderId="40" xfId="169" applyNumberFormat="1" applyFont="1" applyFill="1" applyBorder="1" applyAlignment="1">
      <alignment vertical="center"/>
    </xf>
    <xf numFmtId="0" fontId="31" fillId="0" borderId="40" xfId="169" applyNumberFormat="1" applyFont="1" applyFill="1" applyBorder="1" applyAlignment="1">
      <alignment horizontal="center" vertical="center"/>
    </xf>
    <xf numFmtId="0" fontId="31" fillId="0" borderId="32" xfId="169" applyNumberFormat="1" applyFont="1" applyFill="1" applyBorder="1" applyAlignment="1" applyProtection="1">
      <alignment vertical="center"/>
      <protection locked="0"/>
    </xf>
    <xf numFmtId="0" fontId="31" fillId="0" borderId="6" xfId="169" applyNumberFormat="1" applyFont="1" applyFill="1" applyBorder="1" applyAlignment="1">
      <alignment horizontal="center" vertical="center"/>
    </xf>
    <xf numFmtId="0" fontId="31" fillId="0" borderId="39" xfId="169" applyNumberFormat="1" applyFont="1" applyFill="1" applyBorder="1" applyAlignment="1">
      <alignment vertical="center"/>
    </xf>
    <xf numFmtId="0" fontId="31" fillId="0" borderId="0" xfId="169" applyNumberFormat="1" applyFont="1" applyFill="1" applyBorder="1" applyAlignment="1">
      <alignment horizontal="right" vertical="center"/>
    </xf>
    <xf numFmtId="0" fontId="0" fillId="0" borderId="58" xfId="130" applyFont="1" applyFill="1" applyBorder="1" applyAlignment="1">
      <alignment horizontal="left" vertical="center"/>
    </xf>
    <xf numFmtId="0" fontId="0" fillId="0" borderId="52" xfId="130" applyFont="1" applyFill="1" applyBorder="1" applyAlignment="1">
      <alignment horizontal="left" vertical="center"/>
    </xf>
    <xf numFmtId="0" fontId="0" fillId="0" borderId="9" xfId="0" applyNumberFormat="1" applyFill="1" applyBorder="1" applyAlignment="1">
      <alignment horizontal="left" vertical="center"/>
    </xf>
    <xf numFmtId="49" fontId="0" fillId="0" borderId="50" xfId="0" applyNumberFormat="1" applyFont="1" applyFill="1" applyBorder="1" applyAlignment="1">
      <alignment horizontal="left" vertical="center"/>
    </xf>
    <xf numFmtId="49" fontId="0" fillId="35" borderId="55" xfId="0" applyNumberFormat="1" applyFont="1" applyFill="1" applyBorder="1" applyAlignment="1">
      <alignment horizontal="left" vertical="center"/>
    </xf>
    <xf numFmtId="0" fontId="0" fillId="0" borderId="65" xfId="130" applyFont="1" applyFill="1" applyBorder="1">
      <alignment vertical="center"/>
    </xf>
    <xf numFmtId="49" fontId="0" fillId="35" borderId="26" xfId="0" quotePrefix="1" applyNumberFormat="1" applyFill="1" applyBorder="1" applyAlignment="1">
      <alignment horizontal="left" vertical="center" wrapText="1"/>
    </xf>
    <xf numFmtId="49" fontId="0" fillId="0" borderId="55" xfId="0" applyNumberFormat="1" applyFont="1" applyFill="1" applyBorder="1" applyAlignment="1">
      <alignment horizontal="left" vertical="center"/>
    </xf>
    <xf numFmtId="0" fontId="0" fillId="22" borderId="46" xfId="0" applyFont="1" applyFill="1" applyBorder="1" applyAlignment="1">
      <alignment horizontal="left" vertical="center"/>
    </xf>
    <xf numFmtId="0" fontId="0" fillId="36" borderId="50" xfId="0" applyFill="1" applyBorder="1" applyAlignment="1">
      <alignment horizontal="left" vertical="center"/>
    </xf>
    <xf numFmtId="0" fontId="0" fillId="36" borderId="55" xfId="0" applyFill="1" applyBorder="1" applyAlignment="1">
      <alignment horizontal="left" vertical="center"/>
    </xf>
    <xf numFmtId="0" fontId="0" fillId="36" borderId="55" xfId="0" applyFill="1" applyBorder="1" applyAlignment="1">
      <alignment horizontal="left" vertical="center" wrapText="1"/>
    </xf>
    <xf numFmtId="0" fontId="0" fillId="0" borderId="9" xfId="0" quotePrefix="1" applyFont="1" applyFill="1" applyBorder="1" applyAlignment="1">
      <alignment horizontal="left" vertical="center"/>
    </xf>
    <xf numFmtId="0" fontId="0" fillId="0" borderId="0" xfId="0" applyFont="1" applyFill="1" applyAlignment="1">
      <alignment horizontal="left" vertical="center"/>
    </xf>
    <xf numFmtId="0" fontId="0" fillId="0" borderId="31" xfId="0" applyNumberFormat="1" applyFill="1" applyBorder="1" applyAlignment="1">
      <alignment horizontal="left" vertical="center"/>
    </xf>
    <xf numFmtId="0" fontId="0" fillId="0" borderId="55" xfId="0" applyNumberFormat="1" applyFill="1" applyBorder="1" applyAlignment="1">
      <alignment horizontal="left" vertical="center"/>
    </xf>
    <xf numFmtId="0" fontId="0" fillId="0" borderId="24" xfId="0" quotePrefix="1" applyFill="1" applyBorder="1" applyAlignment="1">
      <alignment horizontal="left" vertical="center"/>
    </xf>
    <xf numFmtId="0" fontId="1" fillId="0" borderId="29" xfId="130" applyFont="1" applyFill="1" applyBorder="1" applyAlignment="1">
      <alignment vertical="top"/>
    </xf>
    <xf numFmtId="0" fontId="1" fillId="0" borderId="6" xfId="130" applyFont="1" applyFill="1" applyBorder="1" applyAlignment="1">
      <alignment vertical="top"/>
    </xf>
    <xf numFmtId="0" fontId="1" fillId="0" borderId="30" xfId="130" applyFont="1" applyFill="1" applyBorder="1" applyAlignment="1">
      <alignment vertical="top"/>
    </xf>
    <xf numFmtId="0" fontId="1" fillId="0" borderId="27" xfId="130" applyFont="1" applyFill="1" applyBorder="1" applyAlignment="1">
      <alignment vertical="top"/>
    </xf>
    <xf numFmtId="0" fontId="1" fillId="0" borderId="26" xfId="0" applyFont="1" applyFill="1" applyBorder="1" applyAlignment="1">
      <alignment horizontal="center" vertical="top"/>
    </xf>
    <xf numFmtId="0" fontId="0" fillId="0" borderId="56" xfId="0" applyFont="1" applyFill="1" applyBorder="1">
      <alignment vertical="center"/>
    </xf>
    <xf numFmtId="0" fontId="0" fillId="0" borderId="55" xfId="130" applyFont="1" applyFill="1" applyBorder="1" applyAlignment="1">
      <alignment horizontal="center" vertical="top"/>
    </xf>
    <xf numFmtId="0" fontId="0" fillId="0" borderId="59" xfId="130" applyFont="1" applyFill="1" applyBorder="1" applyAlignment="1">
      <alignment vertical="top" wrapText="1"/>
    </xf>
    <xf numFmtId="0" fontId="1" fillId="0" borderId="33" xfId="130" applyFont="1" applyFill="1" applyBorder="1" applyAlignment="1">
      <alignment horizontal="center" vertical="top" shrinkToFit="1"/>
    </xf>
    <xf numFmtId="0" fontId="1" fillId="0" borderId="35" xfId="0" applyFont="1" applyFill="1" applyBorder="1" applyAlignment="1">
      <alignment horizontal="left" vertical="top"/>
    </xf>
    <xf numFmtId="0" fontId="1" fillId="0" borderId="50" xfId="130" applyFont="1" applyFill="1" applyBorder="1" applyAlignment="1">
      <alignment horizontal="center" vertical="top" shrinkToFit="1"/>
    </xf>
    <xf numFmtId="0" fontId="1" fillId="0" borderId="52" xfId="130" applyFont="1" applyFill="1" applyBorder="1" applyAlignment="1">
      <alignment vertical="top"/>
    </xf>
    <xf numFmtId="0" fontId="0" fillId="0" borderId="46" xfId="0" applyFont="1" applyFill="1" applyBorder="1" applyAlignment="1">
      <alignment horizontal="center" vertical="top" shrinkToFit="1"/>
    </xf>
    <xf numFmtId="0" fontId="1" fillId="0" borderId="59" xfId="0" applyFont="1" applyFill="1" applyBorder="1" applyAlignment="1">
      <alignment horizontal="left" vertical="top"/>
    </xf>
    <xf numFmtId="0" fontId="1" fillId="0" borderId="53" xfId="0" applyFont="1" applyFill="1" applyBorder="1" applyAlignment="1">
      <alignment horizontal="left" vertical="top"/>
    </xf>
    <xf numFmtId="0" fontId="1" fillId="0" borderId="54" xfId="0" applyFont="1" applyFill="1" applyBorder="1" applyAlignment="1">
      <alignment horizontal="left" vertical="top"/>
    </xf>
    <xf numFmtId="0" fontId="1" fillId="0" borderId="55" xfId="0" applyFont="1" applyFill="1" applyBorder="1" applyAlignment="1">
      <alignment horizontal="center" vertical="top"/>
    </xf>
    <xf numFmtId="0" fontId="1" fillId="0" borderId="25" xfId="0" applyFont="1" applyFill="1" applyBorder="1" applyAlignment="1">
      <alignment horizontal="left" vertical="top"/>
    </xf>
    <xf numFmtId="0" fontId="1" fillId="0" borderId="22" xfId="0" applyFont="1" applyFill="1" applyBorder="1" applyAlignment="1">
      <alignment horizontal="left" vertical="top"/>
    </xf>
    <xf numFmtId="0" fontId="0" fillId="0" borderId="57" xfId="0" applyFont="1" applyFill="1" applyBorder="1" applyAlignment="1">
      <alignment horizontal="center" vertical="top" shrinkToFit="1"/>
    </xf>
    <xf numFmtId="0" fontId="0" fillId="0" borderId="62" xfId="0" applyFont="1" applyFill="1" applyBorder="1" applyAlignment="1">
      <alignment vertical="top"/>
    </xf>
    <xf numFmtId="0" fontId="0" fillId="0" borderId="67" xfId="0" applyFont="1" applyFill="1" applyBorder="1" applyAlignment="1">
      <alignment vertical="top"/>
    </xf>
    <xf numFmtId="49" fontId="77" fillId="0" borderId="25" xfId="155" applyNumberFormat="1" applyFont="1" applyFill="1" applyBorder="1" applyAlignment="1">
      <alignment vertical="center"/>
    </xf>
    <xf numFmtId="0" fontId="31" fillId="0" borderId="36" xfId="169" applyNumberFormat="1" applyFont="1" applyFill="1" applyBorder="1" applyAlignment="1">
      <alignment horizontal="right" vertical="center"/>
    </xf>
    <xf numFmtId="0" fontId="31" fillId="0" borderId="68" xfId="169" applyNumberFormat="1" applyFont="1" applyFill="1" applyBorder="1" applyAlignment="1">
      <alignment horizontal="center" vertical="center"/>
    </xf>
    <xf numFmtId="0" fontId="31" fillId="0" borderId="69" xfId="169" applyNumberFormat="1" applyFont="1" applyFill="1" applyBorder="1" applyAlignment="1">
      <alignment horizontal="center" vertical="center"/>
    </xf>
    <xf numFmtId="0" fontId="31" fillId="0" borderId="70" xfId="169" applyNumberFormat="1" applyFont="1" applyFill="1" applyBorder="1" applyAlignment="1">
      <alignment horizontal="center" vertical="center"/>
    </xf>
    <xf numFmtId="0" fontId="31" fillId="0" borderId="71" xfId="169" applyNumberFormat="1" applyFont="1" applyFill="1" applyBorder="1" applyAlignment="1">
      <alignment horizontal="center" vertical="center"/>
    </xf>
    <xf numFmtId="0" fontId="31" fillId="0" borderId="49" xfId="169" applyNumberFormat="1" applyFont="1" applyFill="1" applyBorder="1" applyAlignment="1">
      <alignment horizontal="center" vertical="center" shrinkToFit="1"/>
    </xf>
    <xf numFmtId="0" fontId="31" fillId="0" borderId="72" xfId="169" applyNumberFormat="1" applyFont="1" applyFill="1" applyBorder="1" applyAlignment="1">
      <alignment horizontal="center" vertical="center" shrinkToFit="1"/>
    </xf>
    <xf numFmtId="0" fontId="31" fillId="0" borderId="73" xfId="169" applyNumberFormat="1" applyFont="1" applyFill="1" applyBorder="1" applyAlignment="1">
      <alignment horizontal="center" vertical="center"/>
    </xf>
    <xf numFmtId="0" fontId="31" fillId="0" borderId="65" xfId="169" applyNumberFormat="1" applyFont="1" applyFill="1" applyBorder="1" applyAlignment="1">
      <alignment horizontal="center" vertical="center"/>
    </xf>
    <xf numFmtId="49" fontId="0" fillId="0" borderId="24" xfId="0" quotePrefix="1" applyNumberFormat="1" applyFont="1" applyFill="1" applyBorder="1" applyAlignment="1">
      <alignment horizontal="left" vertical="center"/>
    </xf>
    <xf numFmtId="0" fontId="0" fillId="36" borderId="55" xfId="0" applyFont="1" applyFill="1" applyBorder="1" applyAlignment="1">
      <alignment horizontal="left" vertical="center"/>
    </xf>
    <xf numFmtId="0" fontId="0" fillId="36" borderId="56" xfId="0" applyFont="1" applyFill="1" applyBorder="1" applyAlignment="1">
      <alignment horizontal="left" vertical="center"/>
    </xf>
    <xf numFmtId="0" fontId="0" fillId="36" borderId="55" xfId="0" applyFont="1" applyFill="1" applyBorder="1" applyAlignment="1">
      <alignment horizontal="left" vertical="center" wrapText="1"/>
    </xf>
    <xf numFmtId="0" fontId="0" fillId="22" borderId="31" xfId="0" quotePrefix="1" applyFont="1" applyFill="1" applyBorder="1" applyAlignment="1">
      <alignment horizontal="left" vertical="center"/>
    </xf>
    <xf numFmtId="0" fontId="0" fillId="22" borderId="43" xfId="0" applyNumberFormat="1" applyFont="1" applyFill="1" applyBorder="1" applyAlignment="1">
      <alignment horizontal="left" vertical="center"/>
    </xf>
    <xf numFmtId="0" fontId="0" fillId="0" borderId="9" xfId="0" quotePrefix="1" applyNumberFormat="1" applyFont="1" applyFill="1" applyBorder="1" applyAlignment="1">
      <alignment horizontal="left" vertical="center"/>
    </xf>
    <xf numFmtId="49" fontId="0" fillId="35" borderId="26" xfId="0" quotePrefix="1" applyNumberFormat="1" applyFont="1" applyFill="1" applyBorder="1" applyAlignment="1">
      <alignment horizontal="left" vertical="center" wrapText="1"/>
    </xf>
    <xf numFmtId="49" fontId="0" fillId="0" borderId="9" xfId="0" quotePrefix="1" applyNumberFormat="1" applyFont="1" applyFill="1" applyBorder="1" applyAlignment="1">
      <alignment horizontal="left" vertical="center"/>
    </xf>
    <xf numFmtId="0" fontId="1" fillId="35" borderId="9" xfId="130" applyFont="1" applyFill="1" applyBorder="1" applyAlignment="1">
      <alignment horizontal="left" vertical="center"/>
    </xf>
    <xf numFmtId="0" fontId="1" fillId="35" borderId="52" xfId="130" applyFont="1" applyFill="1" applyBorder="1" applyAlignment="1">
      <alignment horizontal="left" vertical="center"/>
    </xf>
    <xf numFmtId="0" fontId="31" fillId="0" borderId="66" xfId="169" applyNumberFormat="1" applyFont="1" applyFill="1" applyBorder="1" applyAlignment="1">
      <alignment vertical="center"/>
    </xf>
    <xf numFmtId="0" fontId="0" fillId="0" borderId="35" xfId="0" applyFill="1" applyBorder="1" applyAlignment="1">
      <alignment vertical="top"/>
    </xf>
    <xf numFmtId="0" fontId="0" fillId="0" borderId="74" xfId="0" applyFont="1" applyFill="1" applyBorder="1" applyAlignment="1">
      <alignment vertical="center" wrapText="1"/>
    </xf>
    <xf numFmtId="0" fontId="0" fillId="0" borderId="33" xfId="0" applyFont="1" applyFill="1" applyBorder="1">
      <alignment vertical="center"/>
    </xf>
    <xf numFmtId="49" fontId="0" fillId="0" borderId="26" xfId="0" applyNumberFormat="1" applyFont="1" applyFill="1" applyBorder="1" applyAlignment="1">
      <alignment horizontal="center" vertical="center" wrapText="1"/>
    </xf>
    <xf numFmtId="0" fontId="0" fillId="0" borderId="34" xfId="0" applyFont="1" applyFill="1" applyBorder="1" applyAlignment="1">
      <alignment vertical="center" wrapText="1"/>
    </xf>
    <xf numFmtId="0" fontId="0" fillId="0" borderId="35" xfId="0" applyFont="1" applyFill="1" applyBorder="1" applyAlignment="1">
      <alignment vertical="center" wrapText="1"/>
    </xf>
    <xf numFmtId="0" fontId="0" fillId="0" borderId="33" xfId="0" applyFont="1" applyFill="1" applyBorder="1" applyAlignment="1">
      <alignment horizontal="left" vertical="center"/>
    </xf>
    <xf numFmtId="0" fontId="0" fillId="35" borderId="27" xfId="0" applyFont="1" applyFill="1" applyBorder="1" applyAlignment="1">
      <alignment horizontal="left" vertical="center"/>
    </xf>
    <xf numFmtId="0" fontId="0" fillId="0" borderId="26" xfId="0" applyNumberFormat="1" applyFill="1" applyBorder="1" applyAlignment="1">
      <alignment horizontal="left" vertical="center"/>
    </xf>
    <xf numFmtId="49" fontId="0" fillId="0" borderId="26" xfId="0" quotePrefix="1" applyNumberFormat="1" applyFont="1" applyFill="1" applyBorder="1" applyAlignment="1">
      <alignment horizontal="left" vertical="center"/>
    </xf>
    <xf numFmtId="0" fontId="0" fillId="0" borderId="42" xfId="0" applyFont="1" applyFill="1" applyBorder="1" applyAlignment="1">
      <alignment vertical="center" wrapText="1"/>
    </xf>
    <xf numFmtId="0" fontId="0" fillId="0" borderId="75" xfId="0" applyFont="1" applyFill="1" applyBorder="1" applyAlignment="1">
      <alignment vertical="center" wrapText="1"/>
    </xf>
    <xf numFmtId="49" fontId="0" fillId="0" borderId="42" xfId="0" applyNumberFormat="1" applyFont="1" applyFill="1" applyBorder="1" applyAlignment="1">
      <alignment horizontal="center" vertical="center" wrapText="1"/>
    </xf>
    <xf numFmtId="0" fontId="0" fillId="0" borderId="47" xfId="0" applyFont="1" applyFill="1" applyBorder="1" applyAlignment="1">
      <alignment vertical="center" wrapText="1"/>
    </xf>
    <xf numFmtId="0" fontId="0" fillId="0" borderId="48" xfId="0" applyFont="1" applyFill="1" applyBorder="1" applyAlignment="1">
      <alignment vertical="center" wrapText="1"/>
    </xf>
    <xf numFmtId="0" fontId="0" fillId="0" borderId="57" xfId="0" applyFont="1" applyFill="1" applyBorder="1" applyAlignment="1">
      <alignment horizontal="left" vertical="center"/>
    </xf>
    <xf numFmtId="0" fontId="0" fillId="35" borderId="42" xfId="0" applyFont="1" applyFill="1" applyBorder="1" applyAlignment="1">
      <alignment horizontal="left" vertical="center"/>
    </xf>
    <xf numFmtId="0" fontId="0" fillId="0" borderId="42" xfId="0" applyNumberFormat="1" applyFill="1" applyBorder="1" applyAlignment="1">
      <alignment horizontal="left" vertical="center"/>
    </xf>
    <xf numFmtId="0" fontId="0" fillId="37" borderId="31" xfId="0" quotePrefix="1" applyNumberFormat="1" applyFont="1" applyFill="1" applyBorder="1" applyAlignment="1">
      <alignment horizontal="left" vertical="center"/>
    </xf>
    <xf numFmtId="0" fontId="4" fillId="0" borderId="76" xfId="169" applyNumberFormat="1" applyFont="1" applyFill="1" applyBorder="1" applyAlignment="1"/>
    <xf numFmtId="0" fontId="4" fillId="0" borderId="29" xfId="169" applyNumberFormat="1" applyFont="1" applyFill="1" applyBorder="1" applyAlignment="1"/>
    <xf numFmtId="0" fontId="31" fillId="0" borderId="77" xfId="169" applyNumberFormat="1" applyFont="1" applyFill="1" applyBorder="1" applyAlignment="1">
      <alignment horizontal="center" vertical="center"/>
    </xf>
    <xf numFmtId="0" fontId="31" fillId="0" borderId="78" xfId="169" applyNumberFormat="1" applyFont="1" applyFill="1" applyBorder="1" applyAlignment="1">
      <alignment horizontal="center" vertical="center"/>
    </xf>
    <xf numFmtId="0" fontId="31" fillId="0" borderId="79" xfId="169" applyNumberFormat="1" applyFont="1" applyFill="1" applyBorder="1" applyAlignment="1">
      <alignment horizontal="center" vertical="center"/>
    </xf>
    <xf numFmtId="0" fontId="31" fillId="0" borderId="80" xfId="169" applyNumberFormat="1" applyFont="1" applyFill="1" applyBorder="1" applyAlignment="1">
      <alignment horizontal="center" vertical="center"/>
    </xf>
    <xf numFmtId="0" fontId="31" fillId="0" borderId="77" xfId="169" applyNumberFormat="1" applyFont="1" applyFill="1" applyBorder="1" applyAlignment="1">
      <alignment horizontal="center" vertical="center" shrinkToFit="1"/>
    </xf>
    <xf numFmtId="0" fontId="31" fillId="0" borderId="81" xfId="169" applyNumberFormat="1" applyFont="1" applyFill="1" applyBorder="1" applyAlignment="1">
      <alignment horizontal="center" vertical="center" shrinkToFit="1"/>
    </xf>
    <xf numFmtId="0" fontId="31" fillId="0" borderId="82" xfId="169" applyNumberFormat="1" applyFont="1" applyFill="1" applyBorder="1" applyAlignment="1">
      <alignment horizontal="center" vertical="center"/>
    </xf>
    <xf numFmtId="0" fontId="31" fillId="0" borderId="83" xfId="169" applyNumberFormat="1" applyFont="1" applyFill="1" applyBorder="1" applyAlignment="1">
      <alignment horizontal="center" vertical="center"/>
    </xf>
    <xf numFmtId="0" fontId="4" fillId="0" borderId="84" xfId="169" applyNumberFormat="1" applyFont="1" applyFill="1" applyBorder="1" applyAlignment="1">
      <alignment vertical="center" wrapText="1"/>
    </xf>
    <xf numFmtId="0" fontId="31" fillId="0" borderId="85" xfId="169" applyNumberFormat="1" applyFont="1" applyFill="1" applyBorder="1" applyAlignment="1">
      <alignment horizontal="center" vertical="center" wrapText="1"/>
    </xf>
    <xf numFmtId="0" fontId="32" fillId="0" borderId="86" xfId="169" applyNumberFormat="1" applyFont="1" applyFill="1" applyBorder="1" applyAlignment="1"/>
    <xf numFmtId="0" fontId="32" fillId="0" borderId="63" xfId="169" applyNumberFormat="1" applyFont="1" applyFill="1" applyBorder="1" applyAlignment="1"/>
    <xf numFmtId="0" fontId="32" fillId="0" borderId="87" xfId="169" applyNumberFormat="1" applyFont="1" applyFill="1" applyBorder="1" applyAlignment="1"/>
    <xf numFmtId="0" fontId="34" fillId="0" borderId="63" xfId="169" applyNumberFormat="1" applyFont="1" applyFill="1" applyBorder="1" applyAlignment="1"/>
    <xf numFmtId="0" fontId="31" fillId="0" borderId="63" xfId="169" applyNumberFormat="1" applyFont="1" applyFill="1" applyBorder="1" applyAlignment="1"/>
    <xf numFmtId="0" fontId="31" fillId="0" borderId="87" xfId="169" applyNumberFormat="1" applyFont="1" applyFill="1" applyBorder="1" applyAlignment="1"/>
    <xf numFmtId="0" fontId="32" fillId="0" borderId="87" xfId="169" applyNumberFormat="1" applyFont="1" applyFill="1" applyBorder="1" applyAlignment="1">
      <alignment horizontal="center"/>
    </xf>
    <xf numFmtId="0" fontId="32" fillId="0" borderId="88" xfId="169" applyNumberFormat="1" applyFont="1" applyFill="1" applyBorder="1" applyAlignment="1"/>
    <xf numFmtId="0" fontId="32" fillId="0" borderId="6" xfId="169" applyNumberFormat="1" applyFont="1" applyFill="1" applyBorder="1" applyAlignment="1"/>
    <xf numFmtId="0" fontId="32" fillId="0" borderId="30" xfId="169" applyNumberFormat="1" applyFont="1" applyFill="1" applyBorder="1" applyAlignment="1"/>
    <xf numFmtId="0" fontId="31" fillId="0" borderId="6" xfId="169" applyNumberFormat="1" applyFont="1" applyFill="1" applyBorder="1" applyAlignment="1"/>
    <xf numFmtId="0" fontId="31" fillId="0" borderId="30" xfId="169" applyNumberFormat="1" applyFont="1" applyFill="1" applyBorder="1" applyAlignment="1"/>
    <xf numFmtId="0" fontId="32" fillId="0" borderId="37" xfId="169" applyNumberFormat="1" applyFont="1" applyFill="1" applyBorder="1" applyAlignment="1">
      <alignment horizontal="center"/>
    </xf>
    <xf numFmtId="0" fontId="32" fillId="0" borderId="89" xfId="169" applyNumberFormat="1" applyFont="1" applyFill="1" applyBorder="1" applyAlignment="1"/>
    <xf numFmtId="0" fontId="32" fillId="0" borderId="11" xfId="169" applyNumberFormat="1" applyFont="1" applyFill="1" applyBorder="1" applyAlignment="1"/>
    <xf numFmtId="0" fontId="32" fillId="0" borderId="90" xfId="169" applyNumberFormat="1" applyFont="1" applyFill="1" applyBorder="1" applyAlignment="1"/>
    <xf numFmtId="49" fontId="35" fillId="0" borderId="91" xfId="139" applyNumberFormat="1" applyFont="1" applyFill="1" applyBorder="1" applyAlignment="1">
      <alignment horizontal="center" vertical="center" wrapText="1" shrinkToFit="1"/>
    </xf>
    <xf numFmtId="49" fontId="35" fillId="0" borderId="73" xfId="139" applyNumberFormat="1" applyFont="1" applyFill="1" applyBorder="1" applyAlignment="1">
      <alignment horizontal="center" vertical="center" wrapText="1" shrinkToFit="1"/>
    </xf>
    <xf numFmtId="0" fontId="31" fillId="0" borderId="92" xfId="169" applyNumberFormat="1" applyFont="1" applyFill="1" applyBorder="1" applyAlignment="1">
      <alignment horizontal="center" vertical="center"/>
    </xf>
    <xf numFmtId="0" fontId="31" fillId="0" borderId="93" xfId="169" applyNumberFormat="1" applyFont="1" applyFill="1" applyBorder="1" applyAlignment="1">
      <alignment vertical="center"/>
    </xf>
    <xf numFmtId="0" fontId="31" fillId="0" borderId="85" xfId="169" applyNumberFormat="1" applyFont="1" applyFill="1" applyBorder="1" applyAlignment="1">
      <alignment vertical="center"/>
    </xf>
    <xf numFmtId="0" fontId="31" fillId="0" borderId="85" xfId="169" applyNumberFormat="1" applyFont="1" applyFill="1" applyBorder="1" applyAlignment="1">
      <alignment horizontal="right" vertical="center"/>
    </xf>
    <xf numFmtId="0" fontId="31" fillId="0" borderId="85" xfId="169" applyNumberFormat="1" applyFont="1" applyFill="1" applyBorder="1" applyAlignment="1">
      <alignment vertical="center" wrapText="1"/>
    </xf>
    <xf numFmtId="0" fontId="31" fillId="0" borderId="94" xfId="169" applyNumberFormat="1" applyFont="1" applyFill="1" applyBorder="1" applyAlignment="1">
      <alignment horizontal="center" vertical="center"/>
    </xf>
    <xf numFmtId="0" fontId="31" fillId="0" borderId="95" xfId="169" applyNumberFormat="1" applyFont="1" applyFill="1" applyBorder="1" applyAlignment="1" applyProtection="1">
      <alignment vertical="center"/>
      <protection locked="0"/>
    </xf>
    <xf numFmtId="0" fontId="31" fillId="0" borderId="96" xfId="169" applyNumberFormat="1" applyFont="1" applyFill="1" applyBorder="1" applyAlignment="1">
      <alignment vertical="center"/>
    </xf>
    <xf numFmtId="0" fontId="31" fillId="0" borderId="97" xfId="169" applyNumberFormat="1" applyFont="1" applyFill="1" applyBorder="1" applyAlignment="1">
      <alignment vertical="center"/>
    </xf>
    <xf numFmtId="0" fontId="35" fillId="0" borderId="96" xfId="169" applyNumberFormat="1" applyFont="1" applyFill="1" applyBorder="1" applyAlignment="1">
      <alignment horizontal="center" vertical="center"/>
    </xf>
    <xf numFmtId="0" fontId="31" fillId="0" borderId="98" xfId="169" applyNumberFormat="1" applyFont="1" applyFill="1" applyBorder="1" applyAlignment="1">
      <alignment horizontal="center" vertical="center"/>
    </xf>
    <xf numFmtId="0" fontId="31" fillId="0" borderId="86" xfId="169" applyNumberFormat="1" applyFont="1" applyFill="1" applyBorder="1" applyAlignment="1">
      <alignment vertical="center"/>
    </xf>
    <xf numFmtId="0" fontId="31" fillId="0" borderId="63" xfId="169" applyNumberFormat="1" applyFont="1" applyFill="1" applyBorder="1" applyAlignment="1">
      <alignment vertical="center"/>
    </xf>
    <xf numFmtId="0" fontId="31" fillId="0" borderId="84" xfId="169" applyNumberFormat="1" applyFont="1" applyFill="1" applyBorder="1" applyAlignment="1">
      <alignment vertical="center"/>
    </xf>
    <xf numFmtId="0" fontId="31" fillId="0" borderId="99" xfId="169" applyNumberFormat="1" applyFont="1" applyFill="1" applyBorder="1" applyAlignment="1">
      <alignment vertical="center"/>
    </xf>
    <xf numFmtId="0" fontId="35" fillId="0" borderId="39" xfId="169" applyNumberFormat="1" applyFont="1" applyFill="1" applyBorder="1" applyAlignment="1">
      <alignment horizontal="center" vertical="center"/>
    </xf>
    <xf numFmtId="0" fontId="31" fillId="0" borderId="100" xfId="169" applyNumberFormat="1" applyFont="1" applyFill="1" applyBorder="1" applyAlignment="1">
      <alignment horizontal="center" vertical="center" wrapText="1"/>
    </xf>
    <xf numFmtId="0" fontId="31" fillId="0" borderId="32" xfId="169" applyNumberFormat="1" applyFont="1" applyFill="1" applyBorder="1" applyAlignment="1">
      <alignment horizontal="right" vertical="center"/>
    </xf>
    <xf numFmtId="0" fontId="31" fillId="0" borderId="101" xfId="169" applyNumberFormat="1" applyFont="1" applyFill="1" applyBorder="1" applyAlignment="1"/>
    <xf numFmtId="0" fontId="31" fillId="0" borderId="101" xfId="169" applyNumberFormat="1" applyFont="1" applyFill="1" applyBorder="1" applyAlignment="1">
      <alignment vertical="center"/>
    </xf>
    <xf numFmtId="0" fontId="31" fillId="0" borderId="102" xfId="169" applyNumberFormat="1" applyFont="1" applyFill="1" applyBorder="1" applyAlignment="1">
      <alignment vertical="center"/>
    </xf>
    <xf numFmtId="0" fontId="35" fillId="0" borderId="0" xfId="169" applyNumberFormat="1" applyFont="1" applyFill="1" applyBorder="1" applyAlignment="1">
      <alignment horizontal="center" vertical="center"/>
    </xf>
    <xf numFmtId="0" fontId="31" fillId="0" borderId="91" xfId="169" applyNumberFormat="1" applyFont="1" applyFill="1" applyBorder="1" applyAlignment="1">
      <alignment horizontal="center" vertical="center"/>
    </xf>
    <xf numFmtId="0" fontId="31" fillId="0" borderId="103" xfId="169" applyNumberFormat="1" applyFont="1" applyFill="1" applyBorder="1" applyAlignment="1">
      <alignment horizontal="right" vertical="center"/>
    </xf>
    <xf numFmtId="0" fontId="31" fillId="0" borderId="104" xfId="169" applyNumberFormat="1" applyFont="1" applyFill="1" applyBorder="1" applyAlignment="1">
      <alignment vertical="center"/>
    </xf>
    <xf numFmtId="0" fontId="31" fillId="0" borderId="105" xfId="169" applyNumberFormat="1" applyFont="1" applyFill="1" applyBorder="1" applyAlignment="1">
      <alignment vertical="center"/>
    </xf>
    <xf numFmtId="0" fontId="31" fillId="0" borderId="105" xfId="169" applyNumberFormat="1" applyFont="1" applyFill="1" applyBorder="1" applyAlignment="1"/>
    <xf numFmtId="0" fontId="31" fillId="0" borderId="105" xfId="169" applyNumberFormat="1" applyFont="1" applyFill="1" applyBorder="1" applyAlignment="1" applyProtection="1">
      <alignment vertical="center" wrapText="1"/>
      <protection locked="0"/>
    </xf>
    <xf numFmtId="0" fontId="31" fillId="0" borderId="106" xfId="169" applyNumberFormat="1" applyFont="1" applyFill="1" applyBorder="1" applyAlignment="1" applyProtection="1">
      <alignment vertical="center" wrapText="1"/>
      <protection locked="0"/>
    </xf>
    <xf numFmtId="0" fontId="31" fillId="0" borderId="99" xfId="169" applyNumberFormat="1" applyFont="1" applyFill="1" applyBorder="1" applyAlignment="1" applyProtection="1">
      <alignment vertical="center" wrapText="1"/>
      <protection locked="0"/>
    </xf>
    <xf numFmtId="0" fontId="31" fillId="0" borderId="39" xfId="169" applyNumberFormat="1" applyFont="1" applyFill="1" applyBorder="1" applyAlignment="1" applyProtection="1">
      <alignment vertical="center" wrapText="1"/>
      <protection locked="0"/>
    </xf>
    <xf numFmtId="0" fontId="31" fillId="0" borderId="100" xfId="169" applyNumberFormat="1" applyFont="1" applyFill="1" applyBorder="1" applyAlignment="1">
      <alignment horizontal="center" vertical="center"/>
    </xf>
    <xf numFmtId="0" fontId="31" fillId="0" borderId="105" xfId="169" applyNumberFormat="1" applyFont="1" applyFill="1" applyBorder="1" applyAlignment="1" applyProtection="1">
      <alignment vertical="center"/>
      <protection locked="0"/>
    </xf>
    <xf numFmtId="0" fontId="31" fillId="0" borderId="106" xfId="169" applyNumberFormat="1" applyFont="1" applyFill="1" applyBorder="1" applyAlignment="1">
      <alignment vertical="center"/>
    </xf>
    <xf numFmtId="0" fontId="31" fillId="0" borderId="107" xfId="169" applyNumberFormat="1" applyFont="1" applyFill="1" applyBorder="1" applyAlignment="1">
      <alignment horizontal="center" vertical="center"/>
    </xf>
    <xf numFmtId="0" fontId="1" fillId="0" borderId="100" xfId="169" applyNumberFormat="1" applyFont="1" applyFill="1" applyBorder="1" applyAlignment="1">
      <alignment horizontal="center" vertical="center"/>
    </xf>
    <xf numFmtId="0" fontId="31" fillId="0" borderId="103" xfId="169" applyNumberFormat="1" applyFont="1" applyFill="1" applyBorder="1" applyAlignment="1" applyProtection="1">
      <alignment horizontal="right" vertical="center"/>
      <protection locked="0"/>
    </xf>
    <xf numFmtId="0" fontId="35" fillId="0" borderId="0" xfId="169" applyNumberFormat="1" applyFont="1" applyFill="1" applyBorder="1" applyAlignment="1">
      <alignment horizontal="center"/>
    </xf>
    <xf numFmtId="0" fontId="35" fillId="0" borderId="107" xfId="169" applyNumberFormat="1" applyFont="1" applyFill="1" applyBorder="1" applyAlignment="1">
      <alignment horizontal="center" vertical="center" wrapText="1"/>
    </xf>
    <xf numFmtId="0" fontId="35" fillId="0" borderId="39" xfId="169" applyNumberFormat="1" applyFont="1" applyFill="1" applyBorder="1" applyAlignment="1">
      <alignment horizontal="center" vertical="top"/>
    </xf>
    <xf numFmtId="0" fontId="35" fillId="0" borderId="100" xfId="169" applyNumberFormat="1" applyFont="1" applyFill="1" applyBorder="1" applyAlignment="1">
      <alignment horizontal="center" vertical="center" wrapText="1"/>
    </xf>
    <xf numFmtId="0" fontId="35" fillId="0" borderId="107" xfId="169" applyNumberFormat="1" applyFont="1" applyFill="1" applyBorder="1" applyAlignment="1">
      <alignment horizontal="center" vertical="center" textRotation="255"/>
    </xf>
    <xf numFmtId="0" fontId="31" fillId="0" borderId="89" xfId="169" applyNumberFormat="1" applyFont="1" applyFill="1" applyBorder="1" applyAlignment="1">
      <alignment horizontal="right" vertical="center"/>
    </xf>
    <xf numFmtId="0" fontId="31" fillId="0" borderId="64" xfId="169" applyNumberFormat="1" applyFont="1" applyFill="1" applyBorder="1" applyAlignment="1">
      <alignment vertical="center"/>
    </xf>
    <xf numFmtId="0" fontId="31" fillId="0" borderId="108" xfId="169" applyNumberFormat="1" applyFont="1" applyFill="1" applyBorder="1" applyAlignment="1" applyProtection="1">
      <alignment vertical="center" wrapText="1"/>
      <protection locked="0"/>
    </xf>
    <xf numFmtId="0" fontId="31" fillId="0" borderId="109" xfId="169" applyNumberFormat="1" applyFont="1" applyFill="1" applyBorder="1" applyAlignment="1" applyProtection="1">
      <alignment vertical="center" wrapText="1"/>
      <protection locked="0"/>
    </xf>
    <xf numFmtId="0" fontId="31" fillId="0" borderId="11" xfId="169" applyNumberFormat="1" applyFont="1" applyFill="1" applyBorder="1" applyAlignment="1" applyProtection="1">
      <alignment vertical="center" wrapText="1"/>
      <protection locked="0"/>
    </xf>
    <xf numFmtId="0" fontId="35" fillId="0" borderId="11" xfId="169" applyNumberFormat="1" applyFont="1" applyFill="1" applyBorder="1" applyAlignment="1">
      <alignment horizontal="center" vertical="center"/>
    </xf>
    <xf numFmtId="0" fontId="35" fillId="0" borderId="110" xfId="169" applyNumberFormat="1" applyFont="1" applyFill="1" applyBorder="1" applyAlignment="1">
      <alignment horizontal="center" vertical="center" textRotation="255"/>
    </xf>
    <xf numFmtId="0" fontId="31" fillId="0" borderId="111" xfId="169" applyNumberFormat="1" applyFont="1" applyFill="1" applyBorder="1" applyAlignment="1">
      <alignment horizontal="center" vertical="center"/>
    </xf>
    <xf numFmtId="0" fontId="31" fillId="0" borderId="112" xfId="169" applyNumberFormat="1" applyFont="1" applyFill="1" applyBorder="1" applyAlignment="1">
      <alignment horizontal="center" vertical="center"/>
    </xf>
    <xf numFmtId="0" fontId="31" fillId="0" borderId="92" xfId="169" applyNumberFormat="1" applyFont="1" applyFill="1" applyBorder="1" applyAlignment="1">
      <alignment horizontal="center" vertical="center" shrinkToFit="1"/>
    </xf>
    <xf numFmtId="0" fontId="31" fillId="0" borderId="91" xfId="169" applyNumberFormat="1" applyFont="1" applyFill="1" applyBorder="1" applyAlignment="1">
      <alignment horizontal="center" vertical="center" shrinkToFit="1"/>
    </xf>
    <xf numFmtId="0" fontId="31" fillId="0" borderId="30" xfId="169" applyNumberFormat="1" applyFont="1" applyFill="1" applyBorder="1" applyAlignment="1">
      <alignment horizontal="center" vertical="center"/>
    </xf>
    <xf numFmtId="49" fontId="31" fillId="0" borderId="72" xfId="139" applyNumberFormat="1" applyFont="1" applyFill="1" applyBorder="1" applyAlignment="1">
      <alignment horizontal="center" vertical="center" wrapText="1" shrinkToFit="1"/>
    </xf>
    <xf numFmtId="0" fontId="1" fillId="35" borderId="9" xfId="130" quotePrefix="1" applyFont="1" applyFill="1" applyBorder="1" applyAlignment="1">
      <alignment horizontal="left" vertical="center"/>
    </xf>
    <xf numFmtId="0" fontId="76" fillId="0" borderId="55" xfId="130" applyFont="1" applyFill="1" applyBorder="1" applyAlignment="1">
      <alignment horizontal="left" vertical="center"/>
    </xf>
    <xf numFmtId="0" fontId="1" fillId="35" borderId="52" xfId="130" quotePrefix="1" applyFont="1" applyFill="1" applyBorder="1" applyAlignment="1">
      <alignment horizontal="left" vertical="center"/>
    </xf>
    <xf numFmtId="0" fontId="78" fillId="0" borderId="113" xfId="169" applyNumberFormat="1" applyFont="1" applyFill="1" applyBorder="1" applyAlignment="1">
      <alignment horizontal="center" vertical="center"/>
    </xf>
    <xf numFmtId="0" fontId="31" fillId="0" borderId="0" xfId="169" applyNumberFormat="1" applyFont="1" applyFill="1" applyBorder="1" applyAlignment="1">
      <alignment horizontal="center" vertical="center"/>
    </xf>
    <xf numFmtId="0" fontId="31" fillId="0" borderId="30" xfId="169" applyNumberFormat="1" applyFont="1" applyFill="1" applyBorder="1" applyAlignment="1">
      <alignment vertical="center"/>
    </xf>
    <xf numFmtId="49" fontId="31" fillId="0" borderId="81" xfId="139" applyNumberFormat="1" applyFont="1" applyFill="1" applyBorder="1" applyAlignment="1">
      <alignment horizontal="center" vertical="center" wrapText="1" shrinkToFit="1"/>
    </xf>
    <xf numFmtId="49" fontId="31" fillId="0" borderId="114" xfId="139" applyNumberFormat="1" applyFont="1" applyFill="1" applyBorder="1" applyAlignment="1">
      <alignment horizontal="center" vertical="center" wrapText="1" shrinkToFit="1"/>
    </xf>
    <xf numFmtId="49" fontId="31" fillId="0" borderId="115" xfId="139" applyNumberFormat="1" applyFont="1" applyFill="1" applyBorder="1" applyAlignment="1">
      <alignment horizontal="center" vertical="center" wrapText="1" shrinkToFit="1"/>
    </xf>
    <xf numFmtId="49" fontId="31" fillId="0" borderId="80" xfId="139" applyNumberFormat="1" applyFont="1" applyFill="1" applyBorder="1" applyAlignment="1">
      <alignment horizontal="center" vertical="center" wrapText="1" shrinkToFit="1"/>
    </xf>
    <xf numFmtId="20" fontId="0" fillId="0" borderId="26" xfId="0" applyNumberFormat="1" applyFont="1" applyFill="1" applyBorder="1" applyAlignment="1">
      <alignment vertical="top" wrapText="1"/>
    </xf>
    <xf numFmtId="20" fontId="0" fillId="0" borderId="55" xfId="0" applyNumberFormat="1" applyFont="1" applyFill="1" applyBorder="1" applyAlignment="1">
      <alignment vertical="top" wrapText="1"/>
    </xf>
    <xf numFmtId="49" fontId="31" fillId="0" borderId="71" xfId="139" applyNumberFormat="1" applyFont="1" applyFill="1" applyBorder="1" applyAlignment="1">
      <alignment horizontal="center" vertical="center" wrapText="1" shrinkToFit="1"/>
    </xf>
    <xf numFmtId="0" fontId="1" fillId="35" borderId="55" xfId="130" quotePrefix="1" applyFont="1" applyFill="1" applyBorder="1" applyAlignment="1">
      <alignment horizontal="left" vertical="center"/>
    </xf>
    <xf numFmtId="0" fontId="0" fillId="0" borderId="56" xfId="0" applyNumberFormat="1" applyFont="1" applyFill="1" applyBorder="1" applyAlignment="1">
      <alignment horizontal="left" vertical="center"/>
    </xf>
    <xf numFmtId="0" fontId="1" fillId="35" borderId="52" xfId="130" quotePrefix="1" applyFont="1" applyFill="1" applyBorder="1" applyAlignment="1">
      <alignment horizontal="left" vertical="center"/>
    </xf>
    <xf numFmtId="0" fontId="0" fillId="0" borderId="33" xfId="130" applyFont="1" applyFill="1" applyBorder="1" applyAlignment="1">
      <alignment horizontal="center" vertical="top" shrinkToFit="1"/>
    </xf>
    <xf numFmtId="0" fontId="0" fillId="0" borderId="26" xfId="130" applyFont="1" applyFill="1" applyBorder="1" applyAlignment="1">
      <alignment horizontal="center" vertical="top"/>
    </xf>
    <xf numFmtId="0" fontId="0" fillId="0" borderId="25" xfId="130" applyFont="1" applyFill="1" applyBorder="1" applyAlignment="1">
      <alignment vertical="center"/>
    </xf>
    <xf numFmtId="0" fontId="0" fillId="0" borderId="34" xfId="130" applyFont="1" applyFill="1" applyBorder="1" applyAlignment="1">
      <alignment vertical="top" wrapText="1"/>
    </xf>
    <xf numFmtId="0" fontId="0" fillId="0" borderId="22" xfId="130" applyFont="1" applyFill="1" applyBorder="1" applyAlignment="1">
      <alignment horizontal="center" vertical="top" shrinkToFit="1"/>
    </xf>
    <xf numFmtId="0" fontId="0" fillId="0" borderId="35" xfId="130" applyFont="1" applyFill="1" applyBorder="1" applyAlignment="1">
      <alignment vertical="top" wrapText="1"/>
    </xf>
    <xf numFmtId="0" fontId="0" fillId="0" borderId="33" xfId="130" applyFont="1" applyFill="1" applyBorder="1" applyAlignment="1">
      <alignment horizontal="left" vertical="center"/>
    </xf>
    <xf numFmtId="0" fontId="1" fillId="35" borderId="26" xfId="130" applyFont="1" applyFill="1" applyBorder="1" applyAlignment="1">
      <alignment horizontal="left" vertical="center"/>
    </xf>
    <xf numFmtId="0" fontId="0" fillId="0" borderId="26" xfId="130" applyFont="1" applyFill="1" applyBorder="1" applyAlignment="1">
      <alignment horizontal="left" vertical="center"/>
    </xf>
    <xf numFmtId="0" fontId="0" fillId="0" borderId="116" xfId="0" applyNumberFormat="1" applyFont="1" applyFill="1" applyBorder="1" applyAlignment="1">
      <alignment horizontal="left" vertical="center"/>
    </xf>
    <xf numFmtId="0" fontId="0" fillId="0" borderId="50" xfId="130" applyFont="1" applyFill="1" applyBorder="1" applyAlignment="1">
      <alignment horizontal="left" vertical="center"/>
    </xf>
    <xf numFmtId="0" fontId="0" fillId="0" borderId="55" xfId="130" applyFont="1" applyFill="1" applyBorder="1" applyAlignment="1">
      <alignment horizontal="left" vertical="center"/>
    </xf>
    <xf numFmtId="0" fontId="78" fillId="0" borderId="117" xfId="169" applyNumberFormat="1" applyFont="1" applyFill="1" applyBorder="1" applyAlignment="1">
      <alignment horizontal="center" vertical="center"/>
    </xf>
    <xf numFmtId="0" fontId="0" fillId="0" borderId="26" xfId="0" applyFont="1" applyFill="1" applyBorder="1">
      <alignment vertical="center"/>
    </xf>
    <xf numFmtId="0" fontId="78" fillId="0" borderId="118" xfId="169" applyNumberFormat="1" applyFont="1" applyFill="1" applyBorder="1" applyAlignment="1">
      <alignment horizontal="center" vertical="center"/>
    </xf>
    <xf numFmtId="0" fontId="78" fillId="0" borderId="119" xfId="169" applyNumberFormat="1" applyFont="1" applyFill="1" applyBorder="1" applyAlignment="1">
      <alignment horizontal="center" vertical="center"/>
    </xf>
    <xf numFmtId="0" fontId="78" fillId="0" borderId="117" xfId="169" applyNumberFormat="1" applyFont="1" applyFill="1" applyBorder="1" applyAlignment="1">
      <alignment horizontal="center" vertical="center"/>
    </xf>
    <xf numFmtId="20" fontId="0" fillId="36" borderId="9" xfId="0" applyNumberFormat="1" applyFont="1" applyFill="1" applyBorder="1" applyAlignment="1">
      <alignment vertical="top" wrapText="1"/>
    </xf>
    <xf numFmtId="0" fontId="0" fillId="36" borderId="9" xfId="0" applyFont="1" applyFill="1" applyBorder="1" applyAlignment="1">
      <alignment vertical="top" wrapText="1"/>
    </xf>
    <xf numFmtId="0" fontId="0" fillId="36" borderId="26" xfId="0" applyFont="1" applyFill="1" applyBorder="1" applyAlignment="1">
      <alignment vertical="center" wrapText="1"/>
    </xf>
    <xf numFmtId="20" fontId="0" fillId="0" borderId="9" xfId="0" applyNumberFormat="1" applyFill="1" applyBorder="1" applyAlignment="1">
      <alignment vertical="top" wrapText="1"/>
    </xf>
    <xf numFmtId="0" fontId="0" fillId="0" borderId="9" xfId="0" applyFill="1" applyBorder="1" applyAlignment="1">
      <alignment vertical="top" wrapText="1"/>
    </xf>
    <xf numFmtId="0" fontId="76" fillId="36" borderId="26" xfId="0" applyFont="1" applyFill="1" applyBorder="1" applyAlignment="1">
      <alignment vertical="center" wrapText="1"/>
    </xf>
    <xf numFmtId="0" fontId="31" fillId="0" borderId="27" xfId="169" applyNumberFormat="1" applyFont="1" applyFill="1" applyBorder="1" applyAlignment="1">
      <alignment horizontal="left" vertical="center"/>
    </xf>
    <xf numFmtId="0" fontId="31" fillId="0" borderId="35" xfId="169" quotePrefix="1" applyNumberFormat="1" applyFont="1" applyFill="1" applyBorder="1" applyAlignment="1">
      <alignment horizontal="left" vertical="center"/>
    </xf>
    <xf numFmtId="0" fontId="31" fillId="0" borderId="26" xfId="169" applyNumberFormat="1" applyFont="1" applyFill="1" applyBorder="1" applyAlignment="1">
      <alignment horizontal="left" vertical="center"/>
    </xf>
    <xf numFmtId="49" fontId="77" fillId="0" borderId="29" xfId="155" applyNumberFormat="1" applyFont="1" applyFill="1" applyBorder="1" applyAlignment="1">
      <alignment horizontal="left" vertical="center"/>
    </xf>
    <xf numFmtId="49" fontId="77" fillId="0" borderId="38" xfId="155" applyNumberFormat="1" applyFont="1" applyFill="1" applyBorder="1" applyAlignment="1">
      <alignment horizontal="left" vertical="center"/>
    </xf>
    <xf numFmtId="49" fontId="77" fillId="0" borderId="25" xfId="155" applyNumberFormat="1" applyFont="1" applyFill="1" applyBorder="1" applyAlignment="1">
      <alignment horizontal="left" vertical="center"/>
    </xf>
    <xf numFmtId="0" fontId="31" fillId="0" borderId="29" xfId="177" applyNumberFormat="1" applyFont="1" applyFill="1" applyBorder="1" applyAlignment="1">
      <alignment horizontal="left" vertical="center"/>
    </xf>
    <xf numFmtId="0" fontId="31" fillId="0" borderId="6" xfId="177" applyNumberFormat="1" applyFont="1" applyFill="1" applyBorder="1" applyAlignment="1">
      <alignment horizontal="left" vertical="center"/>
    </xf>
    <xf numFmtId="0" fontId="31" fillId="0" borderId="35" xfId="177" applyNumberFormat="1" applyFont="1" applyFill="1" applyBorder="1" applyAlignment="1">
      <alignment horizontal="left" vertical="center"/>
    </xf>
    <xf numFmtId="0" fontId="31" fillId="0" borderId="25" xfId="177" applyNumberFormat="1" applyFont="1" applyFill="1" applyBorder="1" applyAlignment="1">
      <alignment horizontal="left" vertical="center"/>
    </xf>
    <xf numFmtId="0" fontId="31" fillId="0" borderId="36" xfId="177" applyNumberFormat="1" applyFont="1" applyFill="1" applyBorder="1" applyAlignment="1">
      <alignment horizontal="left" vertical="center"/>
    </xf>
    <xf numFmtId="0" fontId="31" fillId="0" borderId="31" xfId="177" applyNumberFormat="1" applyFont="1" applyFill="1" applyBorder="1" applyAlignment="1">
      <alignment horizontal="left" vertical="center"/>
    </xf>
    <xf numFmtId="0" fontId="31" fillId="0" borderId="29" xfId="177" quotePrefix="1" applyNumberFormat="1" applyFont="1" applyFill="1" applyBorder="1" applyAlignment="1">
      <alignment horizontal="left" vertical="center"/>
    </xf>
    <xf numFmtId="0" fontId="78" fillId="0" borderId="36" xfId="169" applyNumberFormat="1" applyFont="1" applyFill="1" applyBorder="1" applyAlignment="1">
      <alignment vertical="center"/>
    </xf>
    <xf numFmtId="0" fontId="78" fillId="0" borderId="27" xfId="169" applyNumberFormat="1" applyFont="1" applyFill="1" applyBorder="1" applyAlignment="1">
      <alignment vertical="center"/>
    </xf>
    <xf numFmtId="0" fontId="31" fillId="0" borderId="29" xfId="169" quotePrefix="1" applyNumberFormat="1" applyFont="1" applyFill="1" applyBorder="1" applyAlignment="1">
      <alignment horizontal="left" vertical="center"/>
    </xf>
    <xf numFmtId="0" fontId="31" fillId="0" borderId="72" xfId="169" applyNumberFormat="1" applyFont="1" applyFill="1" applyBorder="1" applyAlignment="1">
      <alignment horizontal="center" vertical="center"/>
    </xf>
    <xf numFmtId="0" fontId="31" fillId="0" borderId="120" xfId="169" applyNumberFormat="1" applyFont="1" applyFill="1" applyBorder="1" applyAlignment="1">
      <alignment horizontal="center" vertical="center"/>
    </xf>
    <xf numFmtId="0" fontId="31" fillId="0" borderId="121" xfId="169" applyNumberFormat="1" applyFont="1" applyFill="1" applyBorder="1" applyAlignment="1">
      <alignment horizontal="center" vertical="center"/>
    </xf>
    <xf numFmtId="0" fontId="4" fillId="0" borderId="0" xfId="0" applyFont="1">
      <alignment vertical="center"/>
    </xf>
    <xf numFmtId="0" fontId="79" fillId="0" borderId="0" xfId="0" applyFont="1" applyFill="1">
      <alignment vertical="center"/>
    </xf>
    <xf numFmtId="0" fontId="4" fillId="0" borderId="0" xfId="0" applyFont="1" applyFill="1">
      <alignment vertical="center"/>
    </xf>
    <xf numFmtId="0" fontId="4" fillId="0" borderId="0" xfId="0" applyFont="1" applyAlignment="1">
      <alignment horizontal="center" vertical="center"/>
    </xf>
    <xf numFmtId="0" fontId="72" fillId="32" borderId="26" xfId="0" applyFont="1" applyFill="1" applyBorder="1" applyAlignment="1">
      <alignment horizontal="center" vertical="center"/>
    </xf>
    <xf numFmtId="49" fontId="77" fillId="0" borderId="29" xfId="155" applyNumberFormat="1" applyFont="1" applyFill="1" applyBorder="1">
      <alignment vertical="center"/>
    </xf>
    <xf numFmtId="0" fontId="78" fillId="0" borderId="117" xfId="169" applyNumberFormat="1" applyFont="1" applyFill="1" applyBorder="1" applyAlignment="1">
      <alignment horizontal="center" vertical="center"/>
    </xf>
    <xf numFmtId="0" fontId="80" fillId="0" borderId="6" xfId="169" applyNumberFormat="1" applyFont="1" applyFill="1" applyBorder="1" applyAlignment="1">
      <alignment horizontal="left" vertical="center"/>
    </xf>
    <xf numFmtId="0" fontId="0" fillId="0" borderId="122" xfId="0" applyFont="1" applyBorder="1" applyAlignment="1">
      <alignment horizontal="left" vertical="center"/>
    </xf>
    <xf numFmtId="0" fontId="0" fillId="0" borderId="122" xfId="0" applyFont="1" applyFill="1" applyBorder="1" applyAlignment="1">
      <alignment vertical="center" wrapText="1"/>
    </xf>
    <xf numFmtId="0" fontId="0" fillId="0" borderId="123" xfId="0" applyFont="1" applyBorder="1" applyAlignment="1">
      <alignment horizontal="left" vertical="center"/>
    </xf>
    <xf numFmtId="0" fontId="0" fillId="0" borderId="124" xfId="0" applyFont="1" applyFill="1" applyBorder="1" applyAlignment="1">
      <alignment vertical="center" wrapText="1"/>
    </xf>
    <xf numFmtId="0" fontId="0" fillId="0" borderId="124" xfId="0" applyFont="1" applyBorder="1" applyAlignment="1">
      <alignment horizontal="left" vertical="center"/>
    </xf>
    <xf numFmtId="0" fontId="0" fillId="0" borderId="31" xfId="0" applyFont="1" applyBorder="1" applyAlignment="1">
      <alignment horizontal="left" vertical="center"/>
    </xf>
    <xf numFmtId="0" fontId="0" fillId="0" borderId="125" xfId="0" applyFont="1" applyFill="1" applyBorder="1" applyAlignment="1">
      <alignment vertical="center" wrapText="1"/>
    </xf>
    <xf numFmtId="0" fontId="0" fillId="0" borderId="125" xfId="0" applyFont="1" applyBorder="1" applyAlignment="1">
      <alignment horizontal="left" vertical="center"/>
    </xf>
    <xf numFmtId="0" fontId="0" fillId="0" borderId="122" xfId="0" applyFont="1" applyFill="1" applyBorder="1" applyAlignment="1">
      <alignment horizontal="left" vertical="center"/>
    </xf>
    <xf numFmtId="0" fontId="0" fillId="0" borderId="122" xfId="0" applyFont="1" applyFill="1" applyBorder="1" applyAlignment="1">
      <alignment vertical="center"/>
    </xf>
    <xf numFmtId="0" fontId="0" fillId="0" borderId="124" xfId="0" applyFont="1" applyFill="1" applyBorder="1" applyAlignment="1">
      <alignment horizontal="left" vertical="center"/>
    </xf>
    <xf numFmtId="0" fontId="0" fillId="0" borderId="124" xfId="0" applyFont="1" applyFill="1" applyBorder="1" applyAlignment="1">
      <alignment vertical="center"/>
    </xf>
    <xf numFmtId="0" fontId="0" fillId="0" borderId="125" xfId="0" applyFont="1" applyFill="1" applyBorder="1" applyAlignment="1">
      <alignment horizontal="left" vertical="center"/>
    </xf>
    <xf numFmtId="0" fontId="0" fillId="0" borderId="125" xfId="0" applyFont="1" applyFill="1" applyBorder="1" applyAlignment="1">
      <alignment vertical="center"/>
    </xf>
    <xf numFmtId="0" fontId="0" fillId="0" borderId="27" xfId="0" applyFont="1" applyBorder="1" applyAlignment="1">
      <alignment horizontal="left" vertical="center"/>
    </xf>
    <xf numFmtId="0" fontId="0" fillId="0" borderId="126" xfId="0" applyFont="1" applyFill="1" applyBorder="1" applyAlignment="1">
      <alignment horizontal="left" vertical="center"/>
    </xf>
    <xf numFmtId="0" fontId="0" fillId="0" borderId="126" xfId="0" applyFont="1" applyFill="1" applyBorder="1" applyAlignment="1">
      <alignment vertical="center" wrapText="1"/>
    </xf>
    <xf numFmtId="0" fontId="0" fillId="0" borderId="126" xfId="0" applyFont="1" applyFill="1" applyBorder="1" applyAlignment="1">
      <alignment vertical="center"/>
    </xf>
    <xf numFmtId="0" fontId="0" fillId="0" borderId="123" xfId="0" applyFont="1" applyFill="1" applyBorder="1" applyAlignment="1">
      <alignment horizontal="left" vertical="center"/>
    </xf>
    <xf numFmtId="0" fontId="0" fillId="0" borderId="123" xfId="0" applyFont="1" applyFill="1" applyBorder="1" applyAlignment="1">
      <alignment vertical="center" wrapText="1"/>
    </xf>
    <xf numFmtId="0" fontId="0" fillId="0" borderId="123" xfId="0" applyFont="1" applyFill="1" applyBorder="1" applyAlignment="1">
      <alignment vertical="center"/>
    </xf>
    <xf numFmtId="0" fontId="0" fillId="0" borderId="122" xfId="0" applyFont="1" applyBorder="1" applyAlignment="1">
      <alignment horizontal="center" vertical="center"/>
    </xf>
    <xf numFmtId="0" fontId="0" fillId="0" borderId="124" xfId="0" applyFont="1" applyBorder="1" applyAlignment="1">
      <alignment horizontal="center" vertical="center" wrapText="1"/>
    </xf>
    <xf numFmtId="0" fontId="0" fillId="0" borderId="125" xfId="0" applyFont="1" applyBorder="1" applyAlignment="1">
      <alignment horizontal="center" vertical="center" wrapText="1"/>
    </xf>
    <xf numFmtId="0" fontId="0" fillId="0" borderId="122" xfId="0" applyFont="1" applyFill="1" applyBorder="1" applyAlignment="1">
      <alignment horizontal="center" vertical="center"/>
    </xf>
    <xf numFmtId="0" fontId="0" fillId="0" borderId="124" xfId="0" applyFont="1" applyFill="1" applyBorder="1" applyAlignment="1">
      <alignment horizontal="center" vertical="center"/>
    </xf>
    <xf numFmtId="0" fontId="0" fillId="0" borderId="125" xfId="0" applyFont="1" applyFill="1" applyBorder="1" applyAlignment="1">
      <alignment horizontal="center" vertical="center"/>
    </xf>
    <xf numFmtId="0" fontId="0" fillId="0" borderId="126" xfId="0" applyFont="1" applyFill="1" applyBorder="1" applyAlignment="1">
      <alignment horizontal="center" vertical="center"/>
    </xf>
    <xf numFmtId="0" fontId="0" fillId="0" borderId="123" xfId="0" applyFont="1" applyFill="1" applyBorder="1" applyAlignment="1">
      <alignment horizontal="center" vertical="center"/>
    </xf>
    <xf numFmtId="0" fontId="0" fillId="0" borderId="126" xfId="0" applyFont="1" applyBorder="1" applyAlignment="1">
      <alignment horizontal="left" vertical="center"/>
    </xf>
    <xf numFmtId="49" fontId="0" fillId="32" borderId="24" xfId="0" quotePrefix="1" applyNumberFormat="1" applyFill="1" applyBorder="1" applyAlignment="1">
      <alignment horizontal="left" vertical="center"/>
    </xf>
    <xf numFmtId="0" fontId="0" fillId="38" borderId="43" xfId="0" applyNumberFormat="1" applyFont="1" applyFill="1" applyBorder="1" applyAlignment="1">
      <alignment horizontal="left" vertical="center"/>
    </xf>
    <xf numFmtId="0" fontId="0" fillId="38" borderId="56" xfId="0" applyNumberFormat="1" applyFont="1" applyFill="1" applyBorder="1" applyAlignment="1">
      <alignment horizontal="left" vertical="center"/>
    </xf>
    <xf numFmtId="0" fontId="0" fillId="35" borderId="55" xfId="0" applyFont="1" applyFill="1" applyBorder="1" applyAlignment="1">
      <alignment horizontal="left" vertical="center"/>
    </xf>
    <xf numFmtId="0" fontId="1" fillId="35" borderId="9" xfId="130" applyFont="1" applyFill="1" applyBorder="1" applyAlignment="1">
      <alignment horizontal="left" vertical="center"/>
    </xf>
    <xf numFmtId="0" fontId="0" fillId="32" borderId="24" xfId="0" applyFont="1" applyFill="1" applyBorder="1" applyAlignment="1">
      <alignment horizontal="left" vertical="center"/>
    </xf>
    <xf numFmtId="49" fontId="0" fillId="0" borderId="55" xfId="0" quotePrefix="1" applyNumberFormat="1" applyFont="1" applyFill="1" applyBorder="1" applyAlignment="1">
      <alignment horizontal="left" vertical="center"/>
    </xf>
    <xf numFmtId="0" fontId="1" fillId="35" borderId="55" xfId="130" quotePrefix="1" applyFont="1" applyFill="1" applyBorder="1" applyAlignment="1">
      <alignment horizontal="left" vertical="center"/>
    </xf>
    <xf numFmtId="0" fontId="1" fillId="0" borderId="55" xfId="130" applyFont="1" applyFill="1" applyBorder="1" applyAlignment="1">
      <alignment horizontal="left" vertical="center"/>
    </xf>
    <xf numFmtId="0" fontId="1" fillId="35" borderId="55" xfId="130" applyFont="1" applyFill="1" applyBorder="1" applyAlignment="1">
      <alignment horizontal="left" vertical="center"/>
    </xf>
    <xf numFmtId="0" fontId="1" fillId="35" borderId="9" xfId="130" quotePrefix="1" applyFont="1" applyFill="1" applyBorder="1" applyAlignment="1">
      <alignment horizontal="left" vertical="center"/>
    </xf>
    <xf numFmtId="0" fontId="78" fillId="0" borderId="117" xfId="169" applyNumberFormat="1" applyFont="1" applyFill="1" applyBorder="1" applyAlignment="1">
      <alignment horizontal="center" vertical="center"/>
    </xf>
    <xf numFmtId="0" fontId="78" fillId="0" borderId="117" xfId="169" applyNumberFormat="1" applyFont="1" applyFill="1" applyBorder="1" applyAlignment="1">
      <alignment horizontal="center" vertical="center"/>
    </xf>
    <xf numFmtId="0" fontId="31" fillId="36" borderId="25" xfId="169" applyNumberFormat="1" applyFont="1" applyFill="1" applyBorder="1" applyAlignment="1">
      <alignment vertical="center"/>
    </xf>
    <xf numFmtId="49" fontId="0" fillId="35" borderId="55" xfId="0" quotePrefix="1" applyNumberFormat="1" applyFont="1" applyFill="1" applyBorder="1" applyAlignment="1">
      <alignment horizontal="left" vertical="center"/>
    </xf>
    <xf numFmtId="0" fontId="0" fillId="35" borderId="27" xfId="0" quotePrefix="1" applyFont="1" applyFill="1" applyBorder="1" applyAlignment="1">
      <alignment horizontal="left" vertical="center"/>
    </xf>
    <xf numFmtId="0" fontId="78" fillId="36" borderId="21" xfId="169" applyNumberFormat="1" applyFont="1" applyFill="1" applyBorder="1" applyAlignment="1">
      <alignment horizontal="center" vertical="center"/>
    </xf>
    <xf numFmtId="0" fontId="78" fillId="0" borderId="21" xfId="169" applyNumberFormat="1" applyFont="1" applyFill="1" applyBorder="1" applyAlignment="1">
      <alignment horizontal="center" vertical="center"/>
    </xf>
    <xf numFmtId="0" fontId="78" fillId="36" borderId="69" xfId="169" applyNumberFormat="1" applyFont="1" applyFill="1" applyBorder="1" applyAlignment="1">
      <alignment horizontal="center" vertical="center"/>
    </xf>
    <xf numFmtId="0" fontId="31" fillId="36" borderId="6" xfId="169" applyNumberFormat="1" applyFont="1" applyFill="1" applyBorder="1" applyAlignment="1">
      <alignment vertical="center"/>
    </xf>
    <xf numFmtId="0" fontId="78" fillId="36" borderId="25" xfId="177" applyNumberFormat="1" applyFont="1" applyFill="1" applyBorder="1" applyAlignment="1">
      <alignment horizontal="left" vertical="center"/>
    </xf>
    <xf numFmtId="0" fontId="78" fillId="36" borderId="25" xfId="169" applyNumberFormat="1" applyFont="1" applyFill="1" applyBorder="1" applyAlignment="1">
      <alignment vertical="center"/>
    </xf>
    <xf numFmtId="0" fontId="78" fillId="36" borderId="6" xfId="169" applyNumberFormat="1" applyFont="1" applyFill="1" applyBorder="1" applyAlignment="1">
      <alignment vertical="center"/>
    </xf>
    <xf numFmtId="0" fontId="31" fillId="0" borderId="0" xfId="177" applyNumberFormat="1" applyFont="1" applyFill="1" applyBorder="1" applyAlignment="1">
      <alignment horizontal="left" vertical="center"/>
    </xf>
    <xf numFmtId="0" fontId="78" fillId="36" borderId="29" xfId="169" applyNumberFormat="1" applyFont="1" applyFill="1" applyBorder="1" applyAlignment="1">
      <alignment vertical="center"/>
    </xf>
    <xf numFmtId="0" fontId="81" fillId="0" borderId="21" xfId="169" applyNumberFormat="1" applyFont="1" applyFill="1" applyBorder="1" applyAlignment="1">
      <alignment horizontal="center" vertical="center"/>
    </xf>
    <xf numFmtId="49" fontId="0" fillId="22" borderId="0" xfId="0" applyNumberFormat="1" applyFont="1" applyFill="1" applyAlignment="1">
      <alignment horizontal="left" vertical="center"/>
    </xf>
    <xf numFmtId="49" fontId="0" fillId="36" borderId="55" xfId="0" applyNumberFormat="1" applyFill="1" applyBorder="1" applyAlignment="1">
      <alignment horizontal="left" vertical="center"/>
    </xf>
    <xf numFmtId="49" fontId="0" fillId="35" borderId="31" xfId="0" applyNumberFormat="1" applyFont="1" applyFill="1" applyBorder="1" applyAlignment="1">
      <alignment horizontal="left" vertical="center"/>
    </xf>
    <xf numFmtId="49" fontId="0" fillId="35" borderId="27" xfId="0" quotePrefix="1" applyNumberFormat="1" applyFont="1" applyFill="1" applyBorder="1" applyAlignment="1">
      <alignment horizontal="left" vertical="center"/>
    </xf>
    <xf numFmtId="49" fontId="0" fillId="35" borderId="42" xfId="0" applyNumberFormat="1" applyFont="1" applyFill="1" applyBorder="1" applyAlignment="1">
      <alignment horizontal="left" vertical="center"/>
    </xf>
    <xf numFmtId="49" fontId="1" fillId="35" borderId="9" xfId="130" quotePrefix="1" applyNumberFormat="1" applyFont="1" applyFill="1" applyBorder="1" applyAlignment="1">
      <alignment horizontal="left" vertical="center"/>
    </xf>
    <xf numFmtId="49" fontId="1" fillId="35" borderId="52" xfId="130" quotePrefix="1" applyNumberFormat="1" applyFont="1" applyFill="1" applyBorder="1" applyAlignment="1">
      <alignment horizontal="left" vertical="center"/>
    </xf>
    <xf numFmtId="49" fontId="1" fillId="35" borderId="26" xfId="130" quotePrefix="1" applyNumberFormat="1" applyFont="1" applyFill="1" applyBorder="1" applyAlignment="1">
      <alignment horizontal="left" vertical="center"/>
    </xf>
    <xf numFmtId="49" fontId="1" fillId="35" borderId="55" xfId="130" quotePrefix="1" applyNumberFormat="1" applyFont="1" applyFill="1" applyBorder="1" applyAlignment="1">
      <alignment horizontal="left" vertical="center"/>
    </xf>
    <xf numFmtId="49" fontId="1" fillId="35" borderId="9" xfId="130" applyNumberFormat="1" applyFont="1" applyFill="1" applyBorder="1" applyAlignment="1">
      <alignment horizontal="left" vertical="center"/>
    </xf>
    <xf numFmtId="49" fontId="1" fillId="35" borderId="26" xfId="130" applyNumberFormat="1" applyFont="1" applyFill="1" applyBorder="1" applyAlignment="1">
      <alignment horizontal="left" vertical="center"/>
    </xf>
    <xf numFmtId="49" fontId="0" fillId="35" borderId="27" xfId="0" applyNumberFormat="1" applyFont="1" applyFill="1" applyBorder="1" applyAlignment="1">
      <alignment horizontal="left" vertical="center"/>
    </xf>
    <xf numFmtId="0" fontId="81" fillId="39" borderId="21" xfId="169" applyNumberFormat="1" applyFont="1" applyFill="1" applyBorder="1" applyAlignment="1">
      <alignment horizontal="center" vertical="center"/>
    </xf>
    <xf numFmtId="49" fontId="0" fillId="38" borderId="9" xfId="0" quotePrefix="1" applyNumberFormat="1" applyFont="1" applyFill="1" applyBorder="1" applyAlignment="1">
      <alignment horizontal="left" vertical="center"/>
    </xf>
    <xf numFmtId="0" fontId="0" fillId="38" borderId="9" xfId="0" applyFont="1" applyFill="1" applyBorder="1" applyAlignment="1">
      <alignment horizontal="left" vertical="center"/>
    </xf>
    <xf numFmtId="0" fontId="0" fillId="38" borderId="9" xfId="0" quotePrefix="1" applyFont="1" applyFill="1" applyBorder="1" applyAlignment="1">
      <alignment horizontal="left" vertical="center"/>
    </xf>
    <xf numFmtId="49" fontId="0" fillId="38" borderId="26" xfId="0" quotePrefix="1" applyNumberFormat="1" applyFont="1" applyFill="1" applyBorder="1" applyAlignment="1">
      <alignment horizontal="left" vertical="center"/>
    </xf>
    <xf numFmtId="0" fontId="78" fillId="0" borderId="117" xfId="169" applyNumberFormat="1" applyFont="1" applyFill="1" applyBorder="1" applyAlignment="1">
      <alignment horizontal="center" vertical="center"/>
    </xf>
    <xf numFmtId="49" fontId="0" fillId="40" borderId="24" xfId="0" quotePrefix="1" applyNumberFormat="1" applyFill="1" applyBorder="1" applyAlignment="1">
      <alignment horizontal="left" vertical="center"/>
    </xf>
    <xf numFmtId="0" fontId="0" fillId="40" borderId="24" xfId="0" applyFont="1" applyFill="1" applyBorder="1" applyAlignment="1">
      <alignment horizontal="left" vertical="center"/>
    </xf>
    <xf numFmtId="0" fontId="0" fillId="32" borderId="127" xfId="0" applyFont="1" applyFill="1" applyBorder="1" applyAlignment="1">
      <alignment horizontal="center" vertical="center"/>
    </xf>
    <xf numFmtId="0" fontId="0" fillId="32" borderId="128" xfId="0" applyFont="1" applyFill="1" applyBorder="1" applyAlignment="1">
      <alignment horizontal="center" vertical="center"/>
    </xf>
    <xf numFmtId="0" fontId="72" fillId="41" borderId="9" xfId="0" applyFont="1" applyFill="1" applyBorder="1" applyAlignment="1">
      <alignment horizontal="center" vertical="center"/>
    </xf>
    <xf numFmtId="0" fontId="72" fillId="41" borderId="26" xfId="0" applyFont="1" applyFill="1" applyBorder="1" applyAlignment="1">
      <alignment horizontal="center" vertical="center"/>
    </xf>
    <xf numFmtId="0" fontId="72" fillId="41" borderId="9" xfId="0" applyFont="1" applyFill="1" applyBorder="1" applyAlignment="1">
      <alignment horizontal="center" vertical="center" wrapText="1"/>
    </xf>
    <xf numFmtId="0" fontId="72" fillId="41" borderId="26" xfId="0" applyFont="1" applyFill="1" applyBorder="1" applyAlignment="1">
      <alignment horizontal="center" vertical="center" wrapText="1"/>
    </xf>
    <xf numFmtId="0" fontId="72" fillId="32" borderId="26" xfId="0" applyFont="1" applyFill="1" applyBorder="1" applyAlignment="1">
      <alignment horizontal="center" vertical="center"/>
    </xf>
    <xf numFmtId="0" fontId="72" fillId="32" borderId="27" xfId="0" applyFont="1" applyFill="1" applyBorder="1" applyAlignment="1">
      <alignment horizontal="center" vertical="center"/>
    </xf>
    <xf numFmtId="0" fontId="72" fillId="32" borderId="6" xfId="0" applyFont="1" applyFill="1" applyBorder="1" applyAlignment="1">
      <alignment horizontal="center" vertical="center"/>
    </xf>
    <xf numFmtId="0" fontId="72" fillId="32" borderId="30" xfId="0" applyFont="1" applyFill="1" applyBorder="1" applyAlignment="1">
      <alignment horizontal="center" vertical="center"/>
    </xf>
    <xf numFmtId="0" fontId="72" fillId="32" borderId="35" xfId="0" applyFont="1" applyFill="1" applyBorder="1" applyAlignment="1">
      <alignment horizontal="center" vertical="center"/>
    </xf>
    <xf numFmtId="0" fontId="72" fillId="32" borderId="36" xfId="0" applyFont="1" applyFill="1" applyBorder="1" applyAlignment="1">
      <alignment horizontal="center" vertical="center"/>
    </xf>
    <xf numFmtId="0" fontId="82" fillId="0" borderId="113" xfId="169" applyNumberFormat="1" applyFont="1" applyFill="1" applyBorder="1" applyAlignment="1">
      <alignment horizontal="center" vertical="center" textRotation="255"/>
    </xf>
    <xf numFmtId="0" fontId="82" fillId="0" borderId="129" xfId="169" applyNumberFormat="1" applyFont="1" applyFill="1" applyBorder="1" applyAlignment="1">
      <alignment horizontal="center" vertical="center" textRotation="255"/>
    </xf>
    <xf numFmtId="0" fontId="78" fillId="0" borderId="115" xfId="169" applyNumberFormat="1" applyFont="1" applyFill="1" applyBorder="1" applyAlignment="1">
      <alignment horizontal="center" vertical="center"/>
    </xf>
    <xf numFmtId="0" fontId="78" fillId="0" borderId="117" xfId="169" applyNumberFormat="1" applyFont="1" applyFill="1" applyBorder="1" applyAlignment="1">
      <alignment horizontal="center" vertical="center"/>
    </xf>
    <xf numFmtId="0" fontId="78" fillId="0" borderId="113" xfId="169" applyNumberFormat="1" applyFont="1" applyFill="1" applyBorder="1" applyAlignment="1">
      <alignment horizontal="center" vertical="center" wrapText="1"/>
    </xf>
    <xf numFmtId="0" fontId="78" fillId="0" borderId="117" xfId="169" applyNumberFormat="1" applyFont="1" applyFill="1" applyBorder="1" applyAlignment="1">
      <alignment horizontal="center" vertical="center" wrapText="1"/>
    </xf>
    <xf numFmtId="0" fontId="32" fillId="0" borderId="131" xfId="169" applyNumberFormat="1" applyFont="1" applyFill="1" applyBorder="1" applyAlignment="1">
      <alignment horizontal="center" vertical="center"/>
    </xf>
    <xf numFmtId="0" fontId="32" fillId="0" borderId="96" xfId="169" applyNumberFormat="1" applyFont="1" applyFill="1" applyBorder="1" applyAlignment="1">
      <alignment horizontal="center" vertical="center"/>
    </xf>
    <xf numFmtId="0" fontId="1" fillId="0" borderId="96" xfId="169" applyNumberFormat="1" applyFont="1" applyFill="1" applyBorder="1" applyAlignment="1">
      <alignment horizontal="center" vertical="center"/>
    </xf>
    <xf numFmtId="0" fontId="1" fillId="0" borderId="132" xfId="169" applyNumberFormat="1" applyFont="1" applyFill="1" applyBorder="1" applyAlignment="1">
      <alignment horizontal="center" vertical="center"/>
    </xf>
    <xf numFmtId="0" fontId="1" fillId="0" borderId="36" xfId="169" applyNumberFormat="1" applyFont="1" applyFill="1" applyBorder="1" applyAlignment="1">
      <alignment horizontal="center" vertical="center"/>
    </xf>
    <xf numFmtId="0" fontId="1" fillId="0" borderId="0" xfId="169" applyNumberFormat="1" applyFont="1" applyFill="1" applyBorder="1" applyAlignment="1">
      <alignment horizontal="center" vertical="center"/>
    </xf>
    <xf numFmtId="0" fontId="1" fillId="0" borderId="45" xfId="169" applyNumberFormat="1" applyFont="1" applyFill="1" applyBorder="1" applyAlignment="1">
      <alignment horizontal="center" vertical="center"/>
    </xf>
    <xf numFmtId="0" fontId="1" fillId="0" borderId="38" xfId="169" applyNumberFormat="1" applyFont="1" applyFill="1" applyBorder="1" applyAlignment="1">
      <alignment horizontal="center" vertical="center"/>
    </xf>
    <xf numFmtId="0" fontId="1" fillId="0" borderId="39" xfId="169" applyNumberFormat="1" applyFont="1" applyFill="1" applyBorder="1" applyAlignment="1">
      <alignment horizontal="center" vertical="center"/>
    </xf>
    <xf numFmtId="0" fontId="1" fillId="0" borderId="37" xfId="169" applyNumberFormat="1" applyFont="1" applyFill="1" applyBorder="1" applyAlignment="1">
      <alignment horizontal="center" vertical="center"/>
    </xf>
    <xf numFmtId="0" fontId="32" fillId="0" borderId="85" xfId="169" applyNumberFormat="1" applyFont="1" applyFill="1" applyBorder="1" applyAlignment="1">
      <alignment horizontal="left" wrapText="1"/>
    </xf>
    <xf numFmtId="0" fontId="32" fillId="0" borderId="85" xfId="169" applyNumberFormat="1" applyFont="1" applyFill="1" applyBorder="1" applyAlignment="1">
      <alignment horizontal="left"/>
    </xf>
    <xf numFmtId="0" fontId="1" fillId="0" borderId="85" xfId="169" applyNumberFormat="1" applyFont="1" applyFill="1" applyBorder="1" applyAlignment="1">
      <alignment horizontal="left"/>
    </xf>
    <xf numFmtId="0" fontId="1" fillId="0" borderId="135" xfId="169" applyNumberFormat="1" applyFont="1" applyFill="1" applyBorder="1" applyAlignment="1">
      <alignment horizontal="left"/>
    </xf>
    <xf numFmtId="0" fontId="32" fillId="0" borderId="136" xfId="169" applyNumberFormat="1" applyFont="1" applyFill="1" applyBorder="1" applyAlignment="1">
      <alignment horizontal="center"/>
    </xf>
    <xf numFmtId="0" fontId="32" fillId="0" borderId="85" xfId="169" applyNumberFormat="1" applyFont="1" applyFill="1" applyBorder="1" applyAlignment="1">
      <alignment horizontal="center"/>
    </xf>
    <xf numFmtId="0" fontId="1" fillId="0" borderId="85" xfId="169" applyNumberFormat="1" applyFont="1" applyFill="1" applyBorder="1" applyAlignment="1">
      <alignment horizontal="center"/>
    </xf>
    <xf numFmtId="0" fontId="31" fillId="0" borderId="136" xfId="169" applyNumberFormat="1" applyFont="1" applyFill="1" applyBorder="1" applyAlignment="1">
      <alignment horizontal="center" vertical="center" wrapText="1"/>
    </xf>
    <xf numFmtId="0" fontId="31" fillId="0" borderId="85" xfId="169" applyNumberFormat="1" applyFont="1" applyFill="1" applyBorder="1" applyAlignment="1">
      <alignment horizontal="center" vertical="center" wrapText="1"/>
    </xf>
    <xf numFmtId="0" fontId="31" fillId="0" borderId="137" xfId="169" applyNumberFormat="1" applyFont="1" applyFill="1" applyBorder="1" applyAlignment="1">
      <alignment horizontal="center" vertical="center" wrapText="1"/>
    </xf>
    <xf numFmtId="0" fontId="32" fillId="0" borderId="29" xfId="169" applyNumberFormat="1" applyFont="1" applyFill="1" applyBorder="1" applyAlignment="1">
      <alignment horizontal="center" vertical="center" wrapText="1"/>
    </xf>
    <xf numFmtId="0" fontId="32" fillId="0" borderId="6" xfId="169" applyNumberFormat="1" applyFont="1" applyFill="1" applyBorder="1" applyAlignment="1">
      <alignment horizontal="center" vertical="center" wrapText="1"/>
    </xf>
    <xf numFmtId="0" fontId="78" fillId="0" borderId="138" xfId="169" applyNumberFormat="1" applyFont="1" applyFill="1" applyBorder="1" applyAlignment="1">
      <alignment horizontal="center" vertical="center"/>
    </xf>
    <xf numFmtId="0" fontId="78" fillId="0" borderId="119" xfId="169" applyNumberFormat="1" applyFont="1" applyFill="1" applyBorder="1" applyAlignment="1">
      <alignment horizontal="center" vertical="center"/>
    </xf>
    <xf numFmtId="0" fontId="32" fillId="0" borderId="95" xfId="169" applyNumberFormat="1" applyFont="1" applyFill="1" applyBorder="1" applyAlignment="1">
      <alignment horizontal="center" vertical="center"/>
    </xf>
    <xf numFmtId="0" fontId="32" fillId="0" borderId="132" xfId="169" applyNumberFormat="1" applyFont="1" applyFill="1" applyBorder="1" applyAlignment="1">
      <alignment horizontal="center" vertical="center"/>
    </xf>
    <xf numFmtId="0" fontId="32" fillId="0" borderId="32" xfId="169" applyNumberFormat="1" applyFont="1" applyFill="1" applyBorder="1" applyAlignment="1">
      <alignment horizontal="center" vertical="center"/>
    </xf>
    <xf numFmtId="0" fontId="32" fillId="0" borderId="0" xfId="169" applyNumberFormat="1" applyFont="1" applyFill="1" applyBorder="1" applyAlignment="1">
      <alignment horizontal="center" vertical="center"/>
    </xf>
    <xf numFmtId="0" fontId="32" fillId="0" borderId="45" xfId="169" applyNumberFormat="1" applyFont="1" applyFill="1" applyBorder="1" applyAlignment="1">
      <alignment horizontal="center" vertical="center"/>
    </xf>
    <xf numFmtId="0" fontId="32" fillId="0" borderId="139" xfId="169" applyNumberFormat="1" applyFont="1" applyFill="1" applyBorder="1" applyAlignment="1">
      <alignment horizontal="center" vertical="center"/>
    </xf>
    <xf numFmtId="0" fontId="32" fillId="0" borderId="1" xfId="169" applyNumberFormat="1" applyFont="1" applyFill="1" applyBorder="1" applyAlignment="1">
      <alignment horizontal="center" vertical="center"/>
    </xf>
    <xf numFmtId="0" fontId="32" fillId="0" borderId="134" xfId="169" applyNumberFormat="1" applyFont="1" applyFill="1" applyBorder="1" applyAlignment="1">
      <alignment horizontal="center" vertical="center"/>
    </xf>
    <xf numFmtId="0" fontId="82" fillId="0" borderId="118" xfId="169" applyNumberFormat="1" applyFont="1" applyFill="1" applyBorder="1" applyAlignment="1">
      <alignment horizontal="center" vertical="center" textRotation="255"/>
    </xf>
    <xf numFmtId="0" fontId="82" fillId="0" borderId="130" xfId="169" applyNumberFormat="1" applyFont="1" applyFill="1" applyBorder="1" applyAlignment="1">
      <alignment horizontal="center" vertical="center" textRotation="255"/>
    </xf>
    <xf numFmtId="0" fontId="32" fillId="0" borderId="36" xfId="169" applyNumberFormat="1" applyFont="1" applyFill="1" applyBorder="1" applyAlignment="1">
      <alignment horizontal="center" vertical="center"/>
    </xf>
    <xf numFmtId="0" fontId="32" fillId="0" borderId="133" xfId="169" applyNumberFormat="1" applyFont="1" applyFill="1" applyBorder="1" applyAlignment="1">
      <alignment horizontal="center" vertical="center"/>
    </xf>
    <xf numFmtId="0" fontId="78" fillId="0" borderId="118" xfId="169" applyNumberFormat="1" applyFont="1" applyFill="1" applyBorder="1" applyAlignment="1">
      <alignment horizontal="center" vertical="center" wrapText="1"/>
    </xf>
    <xf numFmtId="0" fontId="78" fillId="0" borderId="119" xfId="169" applyNumberFormat="1" applyFont="1" applyFill="1" applyBorder="1" applyAlignment="1">
      <alignment horizontal="center" vertical="center" wrapText="1"/>
    </xf>
    <xf numFmtId="0" fontId="5" fillId="0" borderId="141" xfId="119" applyFont="1" applyFill="1" applyBorder="1" applyAlignment="1" applyProtection="1">
      <alignment vertical="center"/>
    </xf>
    <xf numFmtId="0" fontId="5" fillId="0" borderId="5" xfId="119" applyFont="1" applyFill="1" applyBorder="1" applyAlignment="1" applyProtection="1">
      <alignment vertical="center"/>
    </xf>
    <xf numFmtId="0" fontId="5" fillId="31" borderId="141" xfId="0" applyFont="1" applyFill="1" applyBorder="1" applyAlignment="1">
      <alignment vertical="center"/>
    </xf>
    <xf numFmtId="0" fontId="5" fillId="31" borderId="5" xfId="0" applyFont="1" applyFill="1" applyBorder="1" applyAlignment="1">
      <alignment vertical="center"/>
    </xf>
    <xf numFmtId="0" fontId="5" fillId="31" borderId="142" xfId="0" applyFont="1" applyFill="1" applyBorder="1" applyAlignment="1">
      <alignment vertical="center"/>
    </xf>
    <xf numFmtId="0" fontId="5" fillId="32" borderId="86" xfId="0" applyFont="1" applyFill="1" applyBorder="1" applyAlignment="1">
      <alignment horizontal="center" vertical="center" shrinkToFit="1"/>
    </xf>
    <xf numFmtId="0" fontId="5" fillId="32" borderId="63" xfId="0" applyFont="1" applyFill="1" applyBorder="1" applyAlignment="1">
      <alignment horizontal="center" vertical="center" shrinkToFit="1"/>
    </xf>
    <xf numFmtId="0" fontId="5" fillId="32" borderId="84" xfId="0" applyFont="1" applyFill="1" applyBorder="1" applyAlignment="1">
      <alignment horizontal="center" vertical="center" shrinkToFit="1"/>
    </xf>
    <xf numFmtId="0" fontId="5" fillId="33" borderId="86" xfId="0" applyFont="1" applyFill="1" applyBorder="1" applyAlignment="1">
      <alignment horizontal="center" vertical="center"/>
    </xf>
    <xf numFmtId="0" fontId="5" fillId="33" borderId="63" xfId="0" applyFont="1" applyFill="1" applyBorder="1" applyAlignment="1">
      <alignment horizontal="center" vertical="center"/>
    </xf>
    <xf numFmtId="0" fontId="0" fillId="0" borderId="29" xfId="0" applyFill="1" applyBorder="1" applyAlignment="1">
      <alignment horizontal="left" vertical="top"/>
    </xf>
    <xf numFmtId="0" fontId="0" fillId="0" borderId="6" xfId="0" applyFont="1" applyFill="1" applyBorder="1" applyAlignment="1">
      <alignment horizontal="left" vertical="top"/>
    </xf>
    <xf numFmtId="0" fontId="0" fillId="0" borderId="30" xfId="0" applyFont="1" applyFill="1" applyBorder="1" applyAlignment="1">
      <alignment horizontal="left" vertical="top"/>
    </xf>
    <xf numFmtId="0" fontId="0" fillId="32" borderId="59" xfId="0" applyFont="1" applyFill="1" applyBorder="1" applyAlignment="1">
      <alignment horizontal="center" vertical="center"/>
    </xf>
    <xf numFmtId="0" fontId="0" fillId="32" borderId="53" xfId="0" applyFont="1" applyFill="1" applyBorder="1" applyAlignment="1">
      <alignment horizontal="center" vertical="center"/>
    </xf>
    <xf numFmtId="0" fontId="0" fillId="32" borderId="54" xfId="0" applyFont="1" applyFill="1" applyBorder="1" applyAlignment="1">
      <alignment horizontal="center" vertical="center"/>
    </xf>
    <xf numFmtId="0" fontId="0" fillId="0" borderId="38" xfId="0" applyFont="1" applyFill="1" applyBorder="1" applyAlignment="1">
      <alignment vertical="top"/>
    </xf>
    <xf numFmtId="0" fontId="0" fillId="0" borderId="39" xfId="0" applyFont="1" applyFill="1" applyBorder="1" applyAlignment="1">
      <alignment vertical="top"/>
    </xf>
    <xf numFmtId="0" fontId="0" fillId="0" borderId="37" xfId="0" applyFont="1" applyFill="1" applyBorder="1" applyAlignment="1">
      <alignment vertical="top"/>
    </xf>
    <xf numFmtId="0" fontId="0" fillId="0" borderId="29" xfId="0" applyFont="1" applyFill="1" applyBorder="1" applyAlignment="1">
      <alignment vertical="top"/>
    </xf>
    <xf numFmtId="0" fontId="0" fillId="0" borderId="6" xfId="0" applyFont="1" applyFill="1" applyBorder="1" applyAlignment="1">
      <alignment vertical="top"/>
    </xf>
    <xf numFmtId="0" fontId="0" fillId="0" borderId="30" xfId="0" applyFont="1" applyFill="1" applyBorder="1" applyAlignment="1">
      <alignment vertical="top"/>
    </xf>
    <xf numFmtId="0" fontId="0" fillId="36" borderId="63" xfId="0" applyFill="1" applyBorder="1" applyAlignment="1">
      <alignment horizontal="center" vertical="center"/>
    </xf>
    <xf numFmtId="0" fontId="0" fillId="36" borderId="84" xfId="0" applyFill="1" applyBorder="1" applyAlignment="1">
      <alignment horizontal="center" vertical="center"/>
    </xf>
    <xf numFmtId="0" fontId="5" fillId="32" borderId="140" xfId="0" applyFont="1" applyFill="1" applyBorder="1" applyAlignment="1">
      <alignment horizontal="center" vertical="center"/>
    </xf>
    <xf numFmtId="49" fontId="5" fillId="22" borderId="141" xfId="0" applyNumberFormat="1" applyFont="1" applyFill="1" applyBorder="1" applyAlignment="1">
      <alignment vertical="center"/>
    </xf>
    <xf numFmtId="49" fontId="5" fillId="22" borderId="5" xfId="0" applyNumberFormat="1" applyFont="1" applyFill="1" applyBorder="1" applyAlignment="1">
      <alignment vertical="center"/>
    </xf>
    <xf numFmtId="49" fontId="5" fillId="22" borderId="142" xfId="0" applyNumberFormat="1" applyFont="1" applyFill="1" applyBorder="1" applyAlignment="1">
      <alignment vertical="center"/>
    </xf>
    <xf numFmtId="0" fontId="5" fillId="32" borderId="140" xfId="0" applyFont="1" applyFill="1" applyBorder="1" applyAlignment="1">
      <alignment vertical="center"/>
    </xf>
    <xf numFmtId="0" fontId="5" fillId="22" borderId="141" xfId="0" applyFont="1" applyFill="1" applyBorder="1" applyAlignment="1">
      <alignment vertical="center"/>
    </xf>
    <xf numFmtId="0" fontId="5" fillId="22" borderId="5" xfId="0" applyFont="1" applyFill="1" applyBorder="1" applyAlignment="1">
      <alignment vertical="center"/>
    </xf>
    <xf numFmtId="0" fontId="5" fillId="22" borderId="142" xfId="0" applyFont="1" applyFill="1" applyBorder="1" applyAlignment="1">
      <alignment vertical="center"/>
    </xf>
    <xf numFmtId="0" fontId="5" fillId="32" borderId="141" xfId="0" applyFont="1" applyFill="1" applyBorder="1" applyAlignment="1">
      <alignment vertical="center"/>
    </xf>
    <xf numFmtId="0" fontId="5" fillId="32" borderId="5" xfId="0" applyFont="1" applyFill="1" applyBorder="1" applyAlignment="1">
      <alignment vertical="center"/>
    </xf>
    <xf numFmtId="0" fontId="5" fillId="32" borderId="142" xfId="0" applyFont="1" applyFill="1" applyBorder="1" applyAlignment="1">
      <alignment vertical="center"/>
    </xf>
    <xf numFmtId="0" fontId="5" fillId="0" borderId="141" xfId="0" applyFont="1" applyFill="1" applyBorder="1" applyAlignment="1">
      <alignment vertical="center"/>
    </xf>
    <xf numFmtId="0" fontId="5" fillId="0" borderId="5" xfId="0" applyFont="1" applyFill="1" applyBorder="1" applyAlignment="1">
      <alignment vertical="center"/>
    </xf>
    <xf numFmtId="0" fontId="5" fillId="0" borderId="142" xfId="0" applyFont="1" applyFill="1" applyBorder="1" applyAlignment="1">
      <alignment vertical="center"/>
    </xf>
    <xf numFmtId="0" fontId="5" fillId="34" borderId="86" xfId="0" applyFont="1" applyFill="1" applyBorder="1" applyAlignment="1">
      <alignment horizontal="center" vertical="center" shrinkToFit="1"/>
    </xf>
    <xf numFmtId="0" fontId="5" fillId="34" borderId="63" xfId="0" applyFont="1" applyFill="1" applyBorder="1" applyAlignment="1">
      <alignment horizontal="center" vertical="center" shrinkToFit="1"/>
    </xf>
    <xf numFmtId="0" fontId="5" fillId="34" borderId="84" xfId="0" applyFont="1" applyFill="1" applyBorder="1" applyAlignment="1">
      <alignment horizontal="center" vertical="center" shrinkToFit="1"/>
    </xf>
  </cellXfs>
  <cellStyles count="200">
    <cellStyle name="??????" xfId="1"/>
    <cellStyle name="??_???? ?? ??? (2)" xfId="2"/>
    <cellStyle name="?E°CE，°e1yAI" xfId="3"/>
    <cellStyle name="20% - Accent1" xfId="4"/>
    <cellStyle name="20% - Accent2" xfId="5"/>
    <cellStyle name="20% - Accent3" xfId="6"/>
    <cellStyle name="20% - Accent4" xfId="7"/>
    <cellStyle name="20% - Accent5" xfId="8"/>
    <cellStyle name="20% - Accent6" xfId="9"/>
    <cellStyle name="40% - Accent1" xfId="10"/>
    <cellStyle name="40% - Accent2" xfId="11"/>
    <cellStyle name="40% - Accent3" xfId="12"/>
    <cellStyle name="40% - Accent4" xfId="13"/>
    <cellStyle name="40% - Accent5" xfId="14"/>
    <cellStyle name="40% - Accent6" xfId="15"/>
    <cellStyle name="60% - Accent1" xfId="16"/>
    <cellStyle name="60% - Accent2" xfId="17"/>
    <cellStyle name="60% - Accent3" xfId="18"/>
    <cellStyle name="60% - Accent4" xfId="19"/>
    <cellStyle name="60% - Accent5" xfId="20"/>
    <cellStyle name="60% - Accent6" xfId="21"/>
    <cellStyle name="Accent1" xfId="22"/>
    <cellStyle name="Accent2" xfId="23"/>
    <cellStyle name="Accent3" xfId="24"/>
    <cellStyle name="Accent4" xfId="25"/>
    <cellStyle name="Accent5" xfId="26"/>
    <cellStyle name="Accent6" xfId="27"/>
    <cellStyle name="AeE- [0]_Co´e0124" xfId="28"/>
    <cellStyle name="AeE-_Co´e0124" xfId="29"/>
    <cellStyle name="AT，¶ [0]_Co´e0124" xfId="30"/>
    <cellStyle name="AT，¶_Co´e0124" xfId="31"/>
    <cellStyle name="Bad" xfId="32"/>
    <cellStyle name="BD標準" xfId="33"/>
    <cellStyle name="C\AO_Co´e0124" xfId="34"/>
    <cellStyle name="Calc Currency (0)" xfId="35"/>
    <cellStyle name="Calculation" xfId="36"/>
    <cellStyle name="category" xfId="37"/>
    <cellStyle name="Check Cell" xfId="38"/>
    <cellStyle name="Comma [0]_1995" xfId="39"/>
    <cellStyle name="Comma_1995" xfId="40"/>
    <cellStyle name="Comma0 - Modelo1" xfId="41"/>
    <cellStyle name="Comma0 - Style1" xfId="42"/>
    <cellStyle name="Comma1 - Modelo2" xfId="43"/>
    <cellStyle name="Comma1 - Style2" xfId="44"/>
    <cellStyle name="Currency [0]_1995" xfId="45"/>
    <cellStyle name="Currency_1995" xfId="46"/>
    <cellStyle name="Dia" xfId="47"/>
    <cellStyle name="Encabez1" xfId="48"/>
    <cellStyle name="Encabez2" xfId="49"/>
    <cellStyle name="entry" xfId="50"/>
    <cellStyle name="Explanatory Text" xfId="51"/>
    <cellStyle name="F2" xfId="52"/>
    <cellStyle name="F3" xfId="53"/>
    <cellStyle name="F4" xfId="54"/>
    <cellStyle name="F5" xfId="55"/>
    <cellStyle name="F6" xfId="56"/>
    <cellStyle name="F7" xfId="57"/>
    <cellStyle name="F8" xfId="58"/>
    <cellStyle name="Fijo" xfId="59"/>
    <cellStyle name="Financiero" xfId="60"/>
    <cellStyle name="Good" xfId="61"/>
    <cellStyle name="Grey" xfId="62"/>
    <cellStyle name="HEADER" xfId="63"/>
    <cellStyle name="Header 1" xfId="64"/>
    <cellStyle name="Header 2" xfId="65"/>
    <cellStyle name="Header Center" xfId="66"/>
    <cellStyle name="Header1" xfId="67"/>
    <cellStyle name="Header2" xfId="68"/>
    <cellStyle name="Heading 1" xfId="69"/>
    <cellStyle name="Heading 2" xfId="70"/>
    <cellStyle name="Heading 3" xfId="71"/>
    <cellStyle name="Heading 4" xfId="72"/>
    <cellStyle name="HP Logo" xfId="73"/>
    <cellStyle name="Hyperlink 2" xfId="74"/>
    <cellStyle name="IBM(401K)" xfId="75"/>
    <cellStyle name="Input" xfId="76"/>
    <cellStyle name="Input [yellow]" xfId="77"/>
    <cellStyle name="J401K" xfId="78"/>
    <cellStyle name="Linked Cell" xfId="79"/>
    <cellStyle name="MFPStyle_Title" xfId="80"/>
    <cellStyle name="Millares [0]_10 AVERIAS MASIVAS + ANT" xfId="81"/>
    <cellStyle name="Millares_10 AVERIAS MASIVAS + ANT" xfId="82"/>
    <cellStyle name="Model" xfId="83"/>
    <cellStyle name="Moneda [0]_10 AVERIAS MASIVAS + ANT" xfId="84"/>
    <cellStyle name="Moneda_10 AVERIAS MASIVAS + ANT" xfId="85"/>
    <cellStyle name="Monetario" xfId="86"/>
    <cellStyle name="Neutral" xfId="87"/>
    <cellStyle name="no dec" xfId="88"/>
    <cellStyle name="Normal - Style1" xfId="89"/>
    <cellStyle name="Normal 2" xfId="90"/>
    <cellStyle name="Normal_#10-Headcount" xfId="91"/>
    <cellStyle name="Normale_2000S TPI TARIFF" xfId="92"/>
    <cellStyle name="Note" xfId="93"/>
    <cellStyle name="NUMERO" xfId="94"/>
    <cellStyle name="Output" xfId="95"/>
    <cellStyle name="Percent [2]" xfId="96"/>
    <cellStyle name="Porcentaje" xfId="97"/>
    <cellStyle name="price" xfId="98"/>
    <cellStyle name="PSChar" xfId="99"/>
    <cellStyle name="PSHeading" xfId="100"/>
    <cellStyle name="revised" xfId="101"/>
    <cellStyle name="RM" xfId="102"/>
    <cellStyle name="section" xfId="103"/>
    <cellStyle name="SPOl" xfId="104"/>
    <cellStyle name="subhead" xfId="105"/>
    <cellStyle name="Table Entry" xfId="106"/>
    <cellStyle name="Table Heading" xfId="107"/>
    <cellStyle name="Table Heading Center" xfId="108"/>
    <cellStyle name="Table Medium" xfId="109"/>
    <cellStyle name="Table Normal" xfId="110"/>
    <cellStyle name="Table Small" xfId="111"/>
    <cellStyle name="Table Small Bold" xfId="112"/>
    <cellStyle name="Table Small Center" xfId="113"/>
    <cellStyle name="Table Title" xfId="114"/>
    <cellStyle name="Title" xfId="115"/>
    <cellStyle name="Total" xfId="116"/>
    <cellStyle name="Warning Text" xfId="117"/>
    <cellStyle name="ハイパーリンク 2" xfId="118"/>
    <cellStyle name="ハイパーリンク 2 2" xfId="119"/>
    <cellStyle name="ハイパーリンク 2 2 2" xfId="120"/>
    <cellStyle name="下点線" xfId="121"/>
    <cellStyle name="価格桁区切り" xfId="122"/>
    <cellStyle name="貨物標準" xfId="123"/>
    <cellStyle name="型番" xfId="124"/>
    <cellStyle name="桁区切り [##.##]" xfId="125"/>
    <cellStyle name="見出し" xfId="126"/>
    <cellStyle name="見出し 1 2" xfId="127"/>
    <cellStyle name="常规_【NWエリア検索】 住所探索画面-API" xfId="128"/>
    <cellStyle name="常规_0805_FMCオンライン向けAPIパラメータ一覧20080305" xfId="129"/>
    <cellStyle name="常规_仕掛中0805_FMCオンライン向けAPIパラメータ一覧" xfId="130"/>
    <cellStyle name="人月" xfId="131"/>
    <cellStyle name="数値" xfId="132"/>
    <cellStyle name="数値（桁区切り）" xfId="133"/>
    <cellStyle name="数値_4-2-00%28UQSVC%29" xfId="134"/>
    <cellStyle name="製品通知&quot;-&quot;" xfId="135"/>
    <cellStyle name="製品通知価格" xfId="136"/>
    <cellStyle name="製品通知日付" xfId="137"/>
    <cellStyle name="製品通知文字列" xfId="138"/>
    <cellStyle name="通貨 2" xfId="139"/>
    <cellStyle name="日付" xfId="140"/>
    <cellStyle name="年月日" xfId="141"/>
    <cellStyle name="標・_HTL99S" xfId="142"/>
    <cellStyle name="標準" xfId="0" builtinId="0"/>
    <cellStyle name="標準 10" xfId="143"/>
    <cellStyle name="標準 11" xfId="144"/>
    <cellStyle name="標準 12" xfId="145"/>
    <cellStyle name="標準 13" xfId="146"/>
    <cellStyle name="標準 13 2" xfId="147"/>
    <cellStyle name="標準 14" xfId="148"/>
    <cellStyle name="標準 14 2" xfId="149"/>
    <cellStyle name="標準 15" xfId="150"/>
    <cellStyle name="標準 16" xfId="151"/>
    <cellStyle name="標準 17" xfId="152"/>
    <cellStyle name="標準 18" xfId="153"/>
    <cellStyle name="標準 19" xfId="154"/>
    <cellStyle name="標準 2" xfId="155"/>
    <cellStyle name="標準 2 2" xfId="156"/>
    <cellStyle name="標準 2 3" xfId="157"/>
    <cellStyle name="標準 20" xfId="158"/>
    <cellStyle name="標準 21" xfId="159"/>
    <cellStyle name="標準 22" xfId="160"/>
    <cellStyle name="標準 23" xfId="161"/>
    <cellStyle name="標準 24" xfId="162"/>
    <cellStyle name="標準 25" xfId="163"/>
    <cellStyle name="標準 26" xfId="164"/>
    <cellStyle name="標準 27" xfId="165"/>
    <cellStyle name="標準 28" xfId="166"/>
    <cellStyle name="標準 29" xfId="167"/>
    <cellStyle name="標準 3" xfId="168"/>
    <cellStyle name="標準 3 2" xfId="169"/>
    <cellStyle name="標準 30" xfId="170"/>
    <cellStyle name="標準 31" xfId="171"/>
    <cellStyle name="標準 32" xfId="172"/>
    <cellStyle name="標準 33" xfId="173"/>
    <cellStyle name="標準 34" xfId="174"/>
    <cellStyle name="標準 35" xfId="175"/>
    <cellStyle name="標準 36" xfId="176"/>
    <cellStyle name="標準 37" xfId="177"/>
    <cellStyle name="標準 38" xfId="178"/>
    <cellStyle name="標準 39" xfId="179"/>
    <cellStyle name="標準 4" xfId="180"/>
    <cellStyle name="標準 4 2" xfId="181"/>
    <cellStyle name="標準 40" xfId="182"/>
    <cellStyle name="標準 41" xfId="183"/>
    <cellStyle name="標準 42" xfId="184"/>
    <cellStyle name="標準 43" xfId="185"/>
    <cellStyle name="標準 5" xfId="186"/>
    <cellStyle name="標準 5 2" xfId="187"/>
    <cellStyle name="標準 6" xfId="188"/>
    <cellStyle name="標準 6 2" xfId="189"/>
    <cellStyle name="標準 7" xfId="190"/>
    <cellStyle name="標準 8" xfId="191"/>
    <cellStyle name="標準 9" xfId="192"/>
    <cellStyle name="標準 9 2" xfId="193"/>
    <cellStyle name="表題" xfId="194"/>
    <cellStyle name="文字列" xfId="195"/>
    <cellStyle name="未定義" xfId="196"/>
    <cellStyle name="網かけ" xfId="197"/>
    <cellStyle name="網掛け" xfId="198"/>
    <cellStyle name="樘準_購－表紙 (2)_1_型－PRINT_ＳＩ型番 (2)_構成明細  (原調込み） (2)" xfId="19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26" Type="http://schemas.openxmlformats.org/officeDocument/2006/relationships/externalLink" Target="externalLinks/externalLink22.xml"/><Relationship Id="rId39" Type="http://schemas.openxmlformats.org/officeDocument/2006/relationships/externalLink" Target="externalLinks/externalLink35.xml"/><Relationship Id="rId21" Type="http://schemas.openxmlformats.org/officeDocument/2006/relationships/externalLink" Target="externalLinks/externalLink17.xml"/><Relationship Id="rId34" Type="http://schemas.openxmlformats.org/officeDocument/2006/relationships/externalLink" Target="externalLinks/externalLink30.xml"/><Relationship Id="rId42" Type="http://schemas.openxmlformats.org/officeDocument/2006/relationships/styles" Target="styles.xml"/><Relationship Id="rId47" Type="http://schemas.openxmlformats.org/officeDocument/2006/relationships/customXml" Target="../customXml/item3.xml"/><Relationship Id="rId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12.xml"/><Relationship Id="rId29" Type="http://schemas.openxmlformats.org/officeDocument/2006/relationships/externalLink" Target="externalLinks/externalLink25.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24" Type="http://schemas.openxmlformats.org/officeDocument/2006/relationships/externalLink" Target="externalLinks/externalLink20.xml"/><Relationship Id="rId32" Type="http://schemas.openxmlformats.org/officeDocument/2006/relationships/externalLink" Target="externalLinks/externalLink28.xml"/><Relationship Id="rId37" Type="http://schemas.openxmlformats.org/officeDocument/2006/relationships/externalLink" Target="externalLinks/externalLink33.xml"/><Relationship Id="rId40" Type="http://schemas.openxmlformats.org/officeDocument/2006/relationships/externalLink" Target="externalLinks/externalLink36.xml"/><Relationship Id="rId45" Type="http://schemas.openxmlformats.org/officeDocument/2006/relationships/customXml" Target="../customXml/item1.xml"/><Relationship Id="rId5" Type="http://schemas.openxmlformats.org/officeDocument/2006/relationships/externalLink" Target="externalLinks/externalLink1.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36" Type="http://schemas.openxmlformats.org/officeDocument/2006/relationships/externalLink" Target="externalLinks/externalLink32.xml"/><Relationship Id="rId10" Type="http://schemas.openxmlformats.org/officeDocument/2006/relationships/externalLink" Target="externalLinks/externalLink6.xml"/><Relationship Id="rId19" Type="http://schemas.openxmlformats.org/officeDocument/2006/relationships/externalLink" Target="externalLinks/externalLink15.xml"/><Relationship Id="rId31" Type="http://schemas.openxmlformats.org/officeDocument/2006/relationships/externalLink" Target="externalLinks/externalLink27.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30" Type="http://schemas.openxmlformats.org/officeDocument/2006/relationships/externalLink" Target="externalLinks/externalLink26.xml"/><Relationship Id="rId35" Type="http://schemas.openxmlformats.org/officeDocument/2006/relationships/externalLink" Target="externalLinks/externalLink31.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externalLink" Target="externalLinks/externalLink4.xml"/><Relationship Id="rId3" Type="http://schemas.openxmlformats.org/officeDocument/2006/relationships/worksheet" Target="worksheets/sheet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externalLink" Target="externalLinks/externalLink21.xml"/><Relationship Id="rId33" Type="http://schemas.openxmlformats.org/officeDocument/2006/relationships/externalLink" Target="externalLinks/externalLink29.xml"/><Relationship Id="rId38" Type="http://schemas.openxmlformats.org/officeDocument/2006/relationships/externalLink" Target="externalLinks/externalLink34.xml"/><Relationship Id="rId46" Type="http://schemas.openxmlformats.org/officeDocument/2006/relationships/customXml" Target="../customXml/item2.xml"/><Relationship Id="rId20" Type="http://schemas.openxmlformats.org/officeDocument/2006/relationships/externalLink" Target="externalLinks/externalLink16.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9524</xdr:colOff>
      <xdr:row>30</xdr:row>
      <xdr:rowOff>19049</xdr:rowOff>
    </xdr:from>
    <xdr:to>
      <xdr:col>16</xdr:col>
      <xdr:colOff>0</xdr:colOff>
      <xdr:row>144</xdr:row>
      <xdr:rowOff>123826</xdr:rowOff>
    </xdr:to>
    <xdr:sp macro="" textlink="">
      <xdr:nvSpPr>
        <xdr:cNvPr id="2077" name="Text Box 29">
          <a:extLst>
            <a:ext uri="{FF2B5EF4-FFF2-40B4-BE49-F238E27FC236}">
              <a16:creationId xmlns:a16="http://schemas.microsoft.com/office/drawing/2014/main" id="{49B881D9-C22A-44AE-A701-2CC97FF984AA}"/>
            </a:ext>
          </a:extLst>
        </xdr:cNvPr>
        <xdr:cNvSpPr txBox="1">
          <a:spLocks noChangeArrowheads="1"/>
        </xdr:cNvSpPr>
      </xdr:nvSpPr>
      <xdr:spPr bwMode="auto">
        <a:xfrm>
          <a:off x="695324" y="4648199"/>
          <a:ext cx="10277476" cy="19659601"/>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ctr" rtl="0">
            <a:lnSpc>
              <a:spcPts val="1900"/>
            </a:lnSpc>
            <a:defRPr sz="1000"/>
          </a:pPr>
          <a:endParaRPr lang="en-US" altLang="ja-JP" sz="1600" b="1" i="0" u="none" strike="noStrike" baseline="0">
            <a:solidFill>
              <a:srgbClr val="000000"/>
            </a:solidFill>
            <a:latin typeface="+mj-ea"/>
            <a:ea typeface="+mj-ea"/>
          </a:endParaRPr>
        </a:p>
        <a:p>
          <a:pPr algn="ctr" rtl="0">
            <a:lnSpc>
              <a:spcPts val="1900"/>
            </a:lnSpc>
            <a:defRPr sz="1000"/>
          </a:pPr>
          <a:r>
            <a:rPr lang="ja-JP" altLang="en-US" sz="1600" b="1" i="0" u="none" strike="noStrike" baseline="0">
              <a:solidFill>
                <a:srgbClr val="000000"/>
              </a:solidFill>
              <a:latin typeface="+mj-ea"/>
              <a:ea typeface="+mj-ea"/>
            </a:rPr>
            <a:t>利用手順</a:t>
          </a:r>
          <a:br>
            <a:rPr lang="en-US" altLang="ja-JP" sz="1100" b="1" i="0" u="none" strike="noStrike" baseline="0">
              <a:solidFill>
                <a:srgbClr val="000000"/>
              </a:solidFill>
              <a:latin typeface="+mj-ea"/>
              <a:ea typeface="+mj-ea"/>
            </a:rPr>
          </a:br>
          <a:endParaRPr lang="en-US" altLang="ja-JP" sz="1600" b="1" i="0" u="none" strike="noStrike" baseline="0">
            <a:solidFill>
              <a:srgbClr val="000000"/>
            </a:solidFill>
            <a:latin typeface="+mj-ea"/>
            <a:ea typeface="+mj-ea"/>
          </a:endParaRPr>
        </a:p>
        <a:p>
          <a:pPr algn="l" rtl="0">
            <a:lnSpc>
              <a:spcPts val="1300"/>
            </a:lnSpc>
            <a:defRPr sz="1000"/>
          </a:pPr>
          <a:r>
            <a:rPr lang="en-US" altLang="ja-JP" sz="1100" b="1" i="0" u="none" strike="noStrike" baseline="0">
              <a:solidFill>
                <a:srgbClr val="000000"/>
              </a:solidFill>
              <a:latin typeface="+mj-ea"/>
              <a:ea typeface="+mj-ea"/>
            </a:rPr>
            <a:t>1</a:t>
          </a:r>
          <a:r>
            <a:rPr lang="ja-JP" altLang="en-US" sz="1100" b="1" i="0" u="none" strike="noStrike" baseline="0">
              <a:solidFill>
                <a:srgbClr val="000000"/>
              </a:solidFill>
              <a:latin typeface="+mj-ea"/>
              <a:ea typeface="+mj-ea"/>
            </a:rPr>
            <a:t>、</a:t>
          </a:r>
          <a:r>
            <a:rPr lang="en-US" altLang="ja-JP" sz="1100" b="1" i="0" u="none" strike="noStrike" baseline="0">
              <a:solidFill>
                <a:srgbClr val="000000"/>
              </a:solidFill>
              <a:latin typeface="+mj-ea"/>
              <a:ea typeface="+mj-ea"/>
            </a:rPr>
            <a:t>APIIF</a:t>
          </a:r>
          <a:r>
            <a:rPr lang="ja-JP" altLang="en-US" sz="1100" b="1" i="0" u="none" strike="noStrike" baseline="0">
              <a:solidFill>
                <a:srgbClr val="000000"/>
              </a:solidFill>
              <a:latin typeface="+mj-ea"/>
              <a:ea typeface="+mj-ea"/>
            </a:rPr>
            <a:t>仕様書の項目定義シートをこのツールにコピーする。</a:t>
          </a:r>
          <a:endParaRPr lang="en-US" altLang="ja-JP" sz="1100" b="1" i="0" u="none" strike="noStrike" baseline="0">
            <a:solidFill>
              <a:srgbClr val="000000"/>
            </a:solidFill>
            <a:latin typeface="+mj-ea"/>
            <a:ea typeface="+mj-ea"/>
          </a:endParaRPr>
        </a:p>
        <a:p>
          <a:pPr algn="l" rtl="0">
            <a:lnSpc>
              <a:spcPts val="1300"/>
            </a:lnSpc>
            <a:defRPr sz="1000"/>
          </a:pP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シート名：</a:t>
          </a:r>
          <a:r>
            <a:rPr lang="en-US" altLang="ja-JP" sz="1100" b="0" i="0" u="none" strike="noStrike" baseline="0">
              <a:solidFill>
                <a:srgbClr val="000000"/>
              </a:solidFill>
              <a:latin typeface="+mj-ea"/>
              <a:ea typeface="+mj-ea"/>
            </a:rPr>
            <a:t>API-ID</a:t>
          </a:r>
          <a:r>
            <a:rPr lang="ja-JP" altLang="en-US" sz="1100" b="0" i="0" u="none" strike="noStrike" baseline="0">
              <a:solidFill>
                <a:srgbClr val="000000"/>
              </a:solidFill>
              <a:latin typeface="+mj-ea"/>
              <a:ea typeface="+mj-ea"/>
            </a:rPr>
            <a:t>（例えば、</a:t>
          </a:r>
          <a:r>
            <a:rPr lang="en-US" altLang="ja-JP" sz="1100" b="0" i="0" u="none" strike="noStrike" baseline="0">
              <a:solidFill>
                <a:srgbClr val="000000"/>
              </a:solidFill>
              <a:latin typeface="+mj-ea"/>
              <a:ea typeface="+mj-ea"/>
            </a:rPr>
            <a:t>B006</a:t>
          </a:r>
          <a:r>
            <a:rPr lang="ja-JP" altLang="en-US" sz="1100" b="0" i="0" u="none" strike="noStrike" baseline="0">
              <a:solidFill>
                <a:srgbClr val="000000"/>
              </a:solidFill>
              <a:latin typeface="+mj-ea"/>
              <a:ea typeface="+mj-ea"/>
            </a:rPr>
            <a:t>）</a:t>
          </a:r>
          <a:endParaRPr lang="en-US" altLang="ja-JP" sz="1100" b="0" i="0" u="none" strike="noStrike" baseline="0">
            <a:solidFill>
              <a:srgbClr val="000000"/>
            </a:solidFill>
            <a:latin typeface="+mj-ea"/>
            <a:ea typeface="+mj-ea"/>
          </a:endParaRPr>
        </a:p>
        <a:p>
          <a:pPr algn="l" rtl="0">
            <a:lnSpc>
              <a:spcPts val="1300"/>
            </a:lnSpc>
            <a:defRPr sz="1000"/>
          </a:pPr>
          <a:endParaRPr lang="en-US" altLang="ja-JP" sz="1100" b="0" i="0" u="none" strike="noStrike" baseline="0">
            <a:solidFill>
              <a:srgbClr val="000000"/>
            </a:solidFill>
            <a:latin typeface="+mj-ea"/>
            <a:ea typeface="+mj-ea"/>
          </a:endParaRPr>
        </a:p>
        <a:p>
          <a:pPr algn="l" rtl="0">
            <a:lnSpc>
              <a:spcPts val="1200"/>
            </a:lnSpc>
            <a:defRPr sz="1000"/>
          </a:pPr>
          <a:r>
            <a:rPr lang="ja-JP" altLang="en-US" sz="1100" b="1" i="0" u="none" strike="noStrike" baseline="0">
              <a:solidFill>
                <a:srgbClr val="000000"/>
              </a:solidFill>
              <a:latin typeface="+mj-ea"/>
              <a:ea typeface="+mj-ea"/>
            </a:rPr>
            <a:t>２．各項目を設定する</a:t>
          </a:r>
          <a:br>
            <a:rPr lang="en-US" altLang="ja-JP" sz="1100" b="0" i="0" u="none" strike="noStrike" baseline="0">
              <a:solidFill>
                <a:srgbClr val="000000"/>
              </a:solidFill>
              <a:latin typeface="+mj-ea"/>
              <a:ea typeface="+mj-ea"/>
            </a:rPr>
          </a:br>
          <a:r>
            <a:rPr lang="ja-JP" altLang="en-US" sz="1100" b="0" i="0" u="none" strike="noStrike" baseline="0">
              <a:solidFill>
                <a:srgbClr val="000000"/>
              </a:solidFill>
              <a:latin typeface="+mj-ea"/>
              <a:ea typeface="+mj-ea"/>
            </a:rPr>
            <a:t>　　</a:t>
          </a:r>
          <a:r>
            <a:rPr lang="ja-JP" altLang="en-US" sz="1100" b="1" i="0" u="none" strike="noStrike" baseline="0">
              <a:solidFill>
                <a:srgbClr val="000000"/>
              </a:solidFill>
              <a:latin typeface="+mj-ea"/>
              <a:ea typeface="+mj-ea"/>
            </a:rPr>
            <a:t>①　</a:t>
          </a:r>
          <a:r>
            <a:rPr lang="en-US" altLang="ja-JP" sz="1100" b="1" i="0">
              <a:latin typeface="+mj-ea"/>
              <a:ea typeface="+mj-ea"/>
              <a:cs typeface="+mn-cs"/>
            </a:rPr>
            <a:t>APISheetName</a:t>
          </a:r>
          <a:r>
            <a:rPr lang="ja-JP" altLang="en-US" sz="1100" b="1" i="0">
              <a:latin typeface="+mj-ea"/>
              <a:ea typeface="+mj-ea"/>
              <a:cs typeface="+mn-cs"/>
            </a:rPr>
            <a:t>　</a:t>
          </a:r>
          <a:endParaRPr lang="en-US" altLang="ja-JP" sz="1100" b="1" i="0">
            <a:latin typeface="+mj-ea"/>
            <a:ea typeface="+mj-ea"/>
            <a:cs typeface="+mn-cs"/>
          </a:endParaRPr>
        </a:p>
        <a:p>
          <a:pPr algn="l" rtl="0">
            <a:lnSpc>
              <a:spcPts val="1300"/>
            </a:lnSpc>
            <a:defRPr sz="1000"/>
          </a:pPr>
          <a:r>
            <a:rPr lang="ja-JP" altLang="en-US" sz="1100" b="0" i="0">
              <a:latin typeface="+mj-ea"/>
              <a:ea typeface="+mj-ea"/>
              <a:cs typeface="+mn-cs"/>
            </a:rPr>
            <a:t>　　　　</a:t>
          </a:r>
          <a:r>
            <a:rPr lang="ja-JP" altLang="ja-JP" sz="1100" b="0" i="0">
              <a:latin typeface="+mj-ea"/>
              <a:ea typeface="+mj-ea"/>
              <a:cs typeface="+mn-cs"/>
            </a:rPr>
            <a:t>対象シート名</a:t>
          </a:r>
          <a:r>
            <a:rPr lang="ja-JP" altLang="en-US" sz="1100" b="0" i="0">
              <a:latin typeface="+mj-ea"/>
              <a:ea typeface="+mj-ea"/>
              <a:cs typeface="+mn-cs"/>
            </a:rPr>
            <a:t>（</a:t>
          </a:r>
          <a:r>
            <a:rPr lang="ja-JP" altLang="ja-JP" sz="1100" b="0" i="0">
              <a:latin typeface="+mj-ea"/>
              <a:ea typeface="+mj-ea"/>
              <a:cs typeface="+mn-cs"/>
            </a:rPr>
            <a:t>必須</a:t>
          </a:r>
          <a:r>
            <a:rPr lang="ja-JP" altLang="en-US" sz="1100" b="0" i="0">
              <a:latin typeface="+mj-ea"/>
              <a:ea typeface="+mj-ea"/>
              <a:cs typeface="+mn-cs"/>
            </a:rPr>
            <a:t>）　</a:t>
          </a:r>
          <a:endParaRPr lang="en-US" altLang="ja-JP" sz="1100" b="0" i="0">
            <a:latin typeface="+mj-ea"/>
            <a:ea typeface="+mj-ea"/>
            <a:cs typeface="+mn-cs"/>
          </a:endParaRPr>
        </a:p>
        <a:p>
          <a:pPr algn="l" rtl="0">
            <a:lnSpc>
              <a:spcPts val="1200"/>
            </a:lnSpc>
            <a:defRPr sz="1000"/>
          </a:pPr>
          <a:r>
            <a:rPr lang="ja-JP" altLang="en-US" sz="1100" b="0" i="0" u="none" strike="noStrike" baseline="0">
              <a:solidFill>
                <a:srgbClr val="000000"/>
              </a:solidFill>
              <a:latin typeface="+mj-ea"/>
              <a:ea typeface="+mj-ea"/>
              <a:cs typeface="+mn-cs"/>
            </a:rPr>
            <a:t>　　　　■</a:t>
          </a:r>
          <a:r>
            <a:rPr lang="ja-JP" altLang="ja-JP" sz="1100" b="0" i="0" baseline="0">
              <a:latin typeface="+mj-ea"/>
              <a:ea typeface="+mj-ea"/>
              <a:cs typeface="+mn-cs"/>
            </a:rPr>
            <a:t>例えば、</a:t>
          </a:r>
          <a:r>
            <a:rPr lang="en-US" altLang="ja-JP" sz="1100" b="0" i="0" baseline="0">
              <a:latin typeface="+mj-ea"/>
              <a:ea typeface="+mj-ea"/>
              <a:cs typeface="+mn-cs"/>
            </a:rPr>
            <a:t>B006</a:t>
          </a:r>
        </a:p>
        <a:p>
          <a:pPr algn="l" rtl="0">
            <a:lnSpc>
              <a:spcPts val="1300"/>
            </a:lnSpc>
            <a:defRPr sz="1000"/>
          </a:pPr>
          <a:endParaRPr lang="en-US" altLang="ja-JP" sz="1100" b="0" i="0" baseline="0">
            <a:latin typeface="+mj-ea"/>
            <a:ea typeface="+mj-ea"/>
            <a:cs typeface="+mn-cs"/>
          </a:endParaRPr>
        </a:p>
        <a:p>
          <a:pPr algn="l" rtl="0">
            <a:lnSpc>
              <a:spcPts val="1200"/>
            </a:lnSpc>
            <a:defRPr sz="1000"/>
          </a:pPr>
          <a:r>
            <a:rPr lang="ja-JP" altLang="en-US" sz="1100" b="1" i="0" u="none" strike="noStrike" baseline="0">
              <a:solidFill>
                <a:srgbClr val="000000"/>
              </a:solidFill>
              <a:latin typeface="+mj-ea"/>
              <a:ea typeface="+mj-ea"/>
              <a:cs typeface="+mn-cs"/>
            </a:rPr>
            <a:t>　　②　</a:t>
          </a:r>
          <a:r>
            <a:rPr lang="en-US" altLang="ja-JP" sz="1100" b="1" i="0" u="none" strike="noStrike">
              <a:latin typeface="+mj-ea"/>
              <a:ea typeface="+mj-ea"/>
              <a:cs typeface="+mn-cs"/>
            </a:rPr>
            <a:t>CaseNo</a:t>
          </a:r>
        </a:p>
        <a:p>
          <a:pPr algn="l" rtl="0">
            <a:lnSpc>
              <a:spcPts val="1300"/>
            </a:lnSpc>
            <a:defRPr sz="1000"/>
          </a:pPr>
          <a:r>
            <a:rPr lang="ja-JP" altLang="en-US" sz="1100" b="0" i="0" u="none" strike="noStrike">
              <a:latin typeface="+mj-ea"/>
              <a:ea typeface="+mj-ea"/>
              <a:cs typeface="+mn-cs"/>
            </a:rPr>
            <a:t>　　　　</a:t>
          </a:r>
          <a:r>
            <a:rPr lang="ja-JP" altLang="ja-JP" sz="1100" b="0" i="0">
              <a:latin typeface="+mj-ea"/>
              <a:ea typeface="+mj-ea"/>
              <a:cs typeface="+mn-cs"/>
            </a:rPr>
            <a:t>対象ケース名（非必須）　</a:t>
          </a:r>
          <a:endParaRPr lang="en-US" altLang="ja-JP" sz="1100" b="0" i="0" u="none" strike="noStrike">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u="none" strike="noStrike">
              <a:latin typeface="+mj-ea"/>
              <a:ea typeface="+mj-ea"/>
              <a:cs typeface="+mn-cs"/>
            </a:rPr>
            <a:t>　　　　</a:t>
          </a:r>
          <a:r>
            <a:rPr lang="ja-JP" altLang="ja-JP" sz="1100" b="0" i="0" baseline="0">
              <a:latin typeface="+mj-ea"/>
              <a:ea typeface="+mj-ea"/>
              <a:cs typeface="+mn-cs"/>
            </a:rPr>
            <a:t>■例えば、</a:t>
          </a:r>
          <a:r>
            <a:rPr lang="en-US" altLang="ja-JP" sz="1100" b="0" i="0">
              <a:latin typeface="+mj-ea"/>
              <a:ea typeface="+mj-ea"/>
              <a:cs typeface="+mn-cs"/>
            </a:rPr>
            <a:t>ID0001</a:t>
          </a:r>
          <a:r>
            <a:rPr lang="ja-JP" altLang="en-US" sz="1100" b="0" i="0">
              <a:latin typeface="+mj-ea"/>
              <a:ea typeface="+mj-ea"/>
              <a:cs typeface="+mn-cs"/>
            </a:rPr>
            <a:t>（テストケースの７行目の</a:t>
          </a:r>
          <a:r>
            <a:rPr lang="en-US" altLang="ja-JP" sz="1100" b="0" i="0">
              <a:latin typeface="+mj-ea"/>
              <a:ea typeface="+mj-ea"/>
              <a:cs typeface="+mn-cs"/>
            </a:rPr>
            <a:t>ID</a:t>
          </a:r>
          <a:r>
            <a:rPr lang="ja-JP" altLang="en-US" sz="1100" b="0" i="0">
              <a:latin typeface="+mj-ea"/>
              <a:ea typeface="+mj-ea"/>
              <a:cs typeface="+mn-cs"/>
            </a:rPr>
            <a:t>番号、</a:t>
          </a:r>
          <a:r>
            <a:rPr lang="en-US" altLang="ja-JP" sz="1100" b="0" i="0">
              <a:latin typeface="+mj-ea"/>
              <a:ea typeface="+mj-ea"/>
              <a:cs typeface="+mn-cs"/>
            </a:rPr>
            <a:t>IDXXXX</a:t>
          </a:r>
          <a:r>
            <a:rPr lang="ja-JP" altLang="en-US" sz="1100" b="0" i="0">
              <a:latin typeface="+mj-ea"/>
              <a:ea typeface="+mj-ea"/>
              <a:cs typeface="+mn-cs"/>
            </a:rPr>
            <a:t>形式）</a:t>
          </a:r>
          <a:endParaRPr lang="en-US" altLang="ja-JP" sz="1100" b="0" i="0">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a:latin typeface="+mj-ea"/>
              <a:ea typeface="+mj-ea"/>
              <a:cs typeface="+mn-cs"/>
            </a:rPr>
            <a:t>　　　　</a:t>
          </a:r>
          <a:r>
            <a:rPr lang="en-US" altLang="ja-JP" sz="1100" b="0" i="0">
              <a:latin typeface="+mj-ea"/>
              <a:ea typeface="+mj-ea"/>
              <a:cs typeface="+mn-cs"/>
            </a:rPr>
            <a:t>※</a:t>
          </a:r>
          <a:r>
            <a:rPr lang="ja-JP" altLang="en-US" sz="1100" b="0" i="0">
              <a:solidFill>
                <a:schemeClr val="tx1"/>
              </a:solidFill>
              <a:latin typeface="+mj-ea"/>
              <a:ea typeface="+mj-ea"/>
              <a:cs typeface="+mn-cs"/>
            </a:rPr>
            <a:t>③の</a:t>
          </a:r>
          <a:r>
            <a:rPr lang="en-US" altLang="ja-JP" sz="1100" b="1" i="0">
              <a:solidFill>
                <a:schemeClr val="tx1"/>
              </a:solidFill>
              <a:latin typeface="+mj-ea"/>
              <a:ea typeface="+mj-ea"/>
              <a:cs typeface="+mn-cs"/>
            </a:rPr>
            <a:t>CaseStartCol</a:t>
          </a:r>
          <a:r>
            <a:rPr lang="ja-JP" altLang="ja-JP" sz="1100" b="0" i="0">
              <a:solidFill>
                <a:schemeClr val="tx1"/>
              </a:solidFill>
              <a:latin typeface="+mj-ea"/>
              <a:ea typeface="+mj-ea"/>
              <a:cs typeface="+mn-cs"/>
            </a:rPr>
            <a:t>以降</a:t>
          </a:r>
          <a:r>
            <a:rPr lang="ja-JP" altLang="en-US" sz="1100" b="0" i="0">
              <a:solidFill>
                <a:schemeClr val="tx1"/>
              </a:solidFill>
              <a:latin typeface="+mj-ea"/>
              <a:ea typeface="+mj-ea"/>
              <a:cs typeface="+mn-cs"/>
            </a:rPr>
            <a:t>の列で</a:t>
          </a:r>
          <a:r>
            <a:rPr lang="ja-JP" altLang="ja-JP" sz="1100" b="0" i="0">
              <a:latin typeface="+mj-ea"/>
              <a:ea typeface="+mj-ea"/>
              <a:cs typeface="+mn-cs"/>
            </a:rPr>
            <a:t>設定</a:t>
          </a:r>
          <a:r>
            <a:rPr lang="ja-JP" altLang="en-US" sz="1100" b="0" i="0">
              <a:latin typeface="+mj-ea"/>
              <a:ea typeface="+mj-ea"/>
              <a:cs typeface="+mn-cs"/>
            </a:rPr>
            <a:t>する</a:t>
          </a:r>
          <a:r>
            <a:rPr lang="ja-JP" altLang="ja-JP" sz="1100" b="0" i="0">
              <a:latin typeface="+mj-ea"/>
              <a:ea typeface="+mj-ea"/>
              <a:cs typeface="+mn-cs"/>
            </a:rPr>
            <a:t>ケース</a:t>
          </a:r>
          <a:r>
            <a:rPr lang="ja-JP" altLang="en-US" sz="1100" b="0" i="0">
              <a:latin typeface="+mj-ea"/>
              <a:ea typeface="+mj-ea"/>
              <a:cs typeface="+mn-cs"/>
            </a:rPr>
            <a:t>の</a:t>
          </a:r>
          <a:r>
            <a:rPr lang="ja-JP" altLang="ja-JP" sz="1100" b="0" i="0">
              <a:latin typeface="+mj-ea"/>
              <a:ea typeface="+mj-ea"/>
              <a:cs typeface="+mn-cs"/>
            </a:rPr>
            <a:t>名</a:t>
          </a:r>
          <a:r>
            <a:rPr lang="ja-JP" altLang="en-US" sz="1100" b="0" i="0">
              <a:latin typeface="+mj-ea"/>
              <a:ea typeface="+mj-ea"/>
              <a:cs typeface="+mn-cs"/>
            </a:rPr>
            <a:t>を指定する</a:t>
          </a:r>
          <a:r>
            <a:rPr lang="ja-JP" altLang="ja-JP" sz="1100" b="0" i="0">
              <a:solidFill>
                <a:srgbClr val="FF0000"/>
              </a:solidFill>
              <a:latin typeface="+mj-ea"/>
              <a:ea typeface="+mj-ea"/>
              <a:cs typeface="+mn-cs"/>
            </a:rPr>
            <a:t>。</a:t>
          </a:r>
          <a:endParaRPr lang="en-US" altLang="ja-JP" sz="1100" b="0" i="0">
            <a:solidFill>
              <a:srgbClr val="FF0000"/>
            </a:solidFill>
            <a:latin typeface="+mj-ea"/>
            <a:ea typeface="+mj-ea"/>
            <a:cs typeface="+mn-cs"/>
          </a:endParaRPr>
        </a:p>
        <a:p>
          <a:pPr marL="0" marR="0" indent="0" algn="l" defTabSz="914400" rtl="0" eaLnBrk="1" fontAlgn="auto" latinLnBrk="0" hangingPunct="1">
            <a:lnSpc>
              <a:spcPts val="1300"/>
            </a:lnSpc>
            <a:spcBef>
              <a:spcPts val="0"/>
            </a:spcBef>
            <a:spcAft>
              <a:spcPts val="0"/>
            </a:spcAft>
            <a:buClrTx/>
            <a:buSzTx/>
            <a:buFontTx/>
            <a:buNone/>
            <a:tabLst/>
            <a:defRPr sz="1000"/>
          </a:pPr>
          <a:r>
            <a:rPr lang="ja-JP" altLang="en-US" sz="1100" b="0" i="0">
              <a:latin typeface="+mj-ea"/>
              <a:ea typeface="+mj-ea"/>
              <a:cs typeface="+mn-cs"/>
            </a:rPr>
            <a:t>　　　　　</a:t>
          </a:r>
          <a:r>
            <a:rPr lang="ja-JP" altLang="ja-JP" sz="1100" b="0" i="0">
              <a:latin typeface="+mj-ea"/>
              <a:ea typeface="+mj-ea"/>
              <a:cs typeface="+mn-cs"/>
            </a:rPr>
            <a:t>複数のケースは入力不可</a:t>
          </a:r>
          <a:endParaRPr lang="en-US" altLang="ja-JP" sz="1100" b="0" i="0">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baseline="0">
              <a:latin typeface="+mj-ea"/>
              <a:ea typeface="+mj-ea"/>
              <a:cs typeface="+mn-cs"/>
            </a:rPr>
            <a:t>　　　　　未設定の場合、ケース全体を対象となる。　</a:t>
          </a:r>
          <a:endParaRPr lang="en-US" altLang="ja-JP" sz="1100" b="0" i="0" baseline="0">
            <a:latin typeface="+mj-ea"/>
            <a:ea typeface="+mj-ea"/>
            <a:cs typeface="+mn-cs"/>
          </a:endParaRPr>
        </a:p>
        <a:p>
          <a:pPr marL="0" marR="0" indent="0" algn="l" defTabSz="914400" rtl="0" eaLnBrk="1" fontAlgn="auto" latinLnBrk="0" hangingPunct="1">
            <a:lnSpc>
              <a:spcPts val="1300"/>
            </a:lnSpc>
            <a:spcBef>
              <a:spcPts val="0"/>
            </a:spcBef>
            <a:spcAft>
              <a:spcPts val="0"/>
            </a:spcAft>
            <a:buClrTx/>
            <a:buSzTx/>
            <a:buFontTx/>
            <a:buNone/>
            <a:tabLst/>
            <a:defRPr sz="1000"/>
          </a:pPr>
          <a:endParaRPr lang="en-US" altLang="ja-JP" sz="1100" b="0" i="0" u="none" strike="noStrike">
            <a:latin typeface="+mj-ea"/>
            <a:ea typeface="+mj-ea"/>
            <a:cs typeface="+mn-cs"/>
          </a:endParaRPr>
        </a:p>
        <a:p>
          <a:pPr algn="l" rtl="0">
            <a:lnSpc>
              <a:spcPts val="1200"/>
            </a:lnSpc>
            <a:defRPr sz="1000"/>
          </a:pPr>
          <a:r>
            <a:rPr lang="ja-JP" altLang="en-US" sz="1100" b="1" i="0" u="none" strike="noStrike">
              <a:latin typeface="+mj-ea"/>
              <a:ea typeface="+mj-ea"/>
              <a:cs typeface="+mn-cs"/>
            </a:rPr>
            <a:t>　　③　</a:t>
          </a:r>
          <a:r>
            <a:rPr lang="en-US" altLang="ja-JP" sz="1100" b="1" i="0" u="none" strike="noStrike">
              <a:latin typeface="+mj-ea"/>
              <a:ea typeface="+mj-ea"/>
              <a:cs typeface="+mn-cs"/>
            </a:rPr>
            <a:t>CaseStartCol</a:t>
          </a:r>
          <a:endParaRPr lang="en-US" altLang="ja-JP" sz="1100" b="0" i="0" u="none" strike="noStrike">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ja-JP" altLang="ja-JP" sz="1100" b="0" i="0">
              <a:latin typeface="+mj-ea"/>
              <a:ea typeface="+mj-ea"/>
              <a:cs typeface="+mn-cs"/>
            </a:rPr>
            <a:t>テストデータ</a:t>
          </a:r>
          <a:r>
            <a:rPr lang="ja-JP" altLang="en-US" sz="1100" b="0" i="0">
              <a:latin typeface="+mj-ea"/>
              <a:ea typeface="+mj-ea"/>
              <a:cs typeface="+mn-cs"/>
            </a:rPr>
            <a:t>が</a:t>
          </a:r>
          <a:r>
            <a:rPr lang="ja-JP" altLang="en-US" sz="1100" b="0" i="0" u="none" strike="noStrike">
              <a:latin typeface="+mj-ea"/>
              <a:ea typeface="+mj-ea"/>
              <a:cs typeface="+mn-cs"/>
            </a:rPr>
            <a:t>どの列から設定するの</a:t>
          </a:r>
          <a:r>
            <a:rPr lang="ja-JP" altLang="en-US" sz="1100" b="0" i="0">
              <a:latin typeface="+mj-ea"/>
              <a:ea typeface="+mj-ea"/>
              <a:cs typeface="+mn-cs"/>
            </a:rPr>
            <a:t>を表す。</a:t>
          </a:r>
          <a:r>
            <a:rPr lang="ja-JP" altLang="ja-JP" sz="1100" b="0" i="0">
              <a:latin typeface="+mj-ea"/>
              <a:ea typeface="+mj-ea"/>
              <a:cs typeface="+mn-cs"/>
            </a:rPr>
            <a:t>（必須）</a:t>
          </a:r>
          <a:endParaRPr lang="en-US" altLang="ja-JP" sz="1100" b="0" i="0" u="none" strike="noStrike">
            <a:latin typeface="+mj-ea"/>
            <a:ea typeface="+mj-ea"/>
            <a:cs typeface="+mn-cs"/>
          </a:endParaRPr>
        </a:p>
        <a:p>
          <a:pPr algn="l" rtl="0">
            <a:lnSpc>
              <a:spcPts val="1300"/>
            </a:lnSpc>
            <a:defRPr sz="1000"/>
          </a:pPr>
          <a:r>
            <a:rPr lang="ja-JP" altLang="en-US" sz="1100" b="0" i="0" baseline="0">
              <a:latin typeface="+mj-ea"/>
              <a:ea typeface="+mj-ea"/>
              <a:cs typeface="+mn-cs"/>
            </a:rPr>
            <a:t>　　　　</a:t>
          </a:r>
          <a:r>
            <a:rPr lang="ja-JP" altLang="ja-JP" sz="1100" b="0" i="0" baseline="0">
              <a:latin typeface="+mj-ea"/>
              <a:ea typeface="+mj-ea"/>
              <a:cs typeface="+mn-cs"/>
            </a:rPr>
            <a:t>■例えば、</a:t>
          </a:r>
          <a:r>
            <a:rPr lang="en-US" altLang="ja-JP" sz="1100" b="0" i="0" u="none" strike="noStrike">
              <a:latin typeface="+mj-ea"/>
              <a:ea typeface="+mj-ea"/>
              <a:cs typeface="+mn-cs"/>
            </a:rPr>
            <a:t>CaseNo</a:t>
          </a:r>
          <a:r>
            <a:rPr lang="ja-JP" altLang="en-US" sz="1100" b="0" i="0" u="none" strike="noStrike">
              <a:latin typeface="+mj-ea"/>
              <a:ea typeface="+mj-ea"/>
              <a:cs typeface="+mn-cs"/>
            </a:rPr>
            <a:t>：</a:t>
          </a:r>
          <a:r>
            <a:rPr lang="en-US" altLang="ja-JP" sz="1100" b="0" i="0" u="none" strike="noStrike">
              <a:latin typeface="+mj-ea"/>
              <a:ea typeface="+mj-ea"/>
              <a:cs typeface="+mn-cs"/>
            </a:rPr>
            <a:t>ID0003</a:t>
          </a:r>
          <a:r>
            <a:rPr lang="ja-JP" altLang="en-US" sz="1100" b="0" i="0" u="none" strike="noStrike">
              <a:latin typeface="+mj-ea"/>
              <a:ea typeface="+mj-ea"/>
              <a:cs typeface="+mn-cs"/>
            </a:rPr>
            <a:t>、</a:t>
          </a:r>
          <a:r>
            <a:rPr lang="en-US" altLang="ja-JP" sz="1100" b="0" i="0" u="none" strike="noStrike">
              <a:latin typeface="+mj-ea"/>
              <a:ea typeface="+mj-ea"/>
              <a:cs typeface="+mn-cs"/>
            </a:rPr>
            <a:t>CaseStartCol</a:t>
          </a:r>
          <a:r>
            <a:rPr lang="ja-JP" altLang="en-US" sz="1100" b="0" i="0" u="none" strike="noStrike">
              <a:latin typeface="+mj-ea"/>
              <a:ea typeface="+mj-ea"/>
              <a:cs typeface="+mn-cs"/>
            </a:rPr>
            <a:t>：</a:t>
          </a:r>
          <a:r>
            <a:rPr lang="en-US" altLang="ja-JP" sz="1100" b="0" i="0" u="none" strike="noStrike">
              <a:latin typeface="+mj-ea"/>
              <a:ea typeface="+mj-ea"/>
              <a:cs typeface="+mn-cs"/>
            </a:rPr>
            <a:t>AD</a:t>
          </a:r>
        </a:p>
        <a:p>
          <a:pPr algn="l" rtl="0">
            <a:lnSpc>
              <a:spcPts val="1200"/>
            </a:lnSpc>
            <a:defRPr sz="1000"/>
          </a:pPr>
          <a:r>
            <a:rPr lang="ja-JP" altLang="en-US" sz="1100" b="0" i="0" u="none" strike="noStrike">
              <a:latin typeface="+mj-ea"/>
              <a:ea typeface="+mj-ea"/>
              <a:cs typeface="+mn-cs"/>
            </a:rPr>
            <a:t>　　　　　　　　　　意味：列</a:t>
          </a:r>
          <a:r>
            <a:rPr lang="en-US" altLang="ja-JP" sz="1100" b="0" i="0" u="none" strike="noStrike">
              <a:latin typeface="+mj-ea"/>
              <a:ea typeface="+mj-ea"/>
              <a:cs typeface="+mn-cs"/>
            </a:rPr>
            <a:t>AD</a:t>
          </a:r>
          <a:r>
            <a:rPr lang="ja-JP" altLang="en-US" sz="1100" b="0" i="0" u="none" strike="noStrike">
              <a:latin typeface="+mj-ea"/>
              <a:ea typeface="+mj-ea"/>
              <a:cs typeface="+mn-cs"/>
            </a:rPr>
            <a:t>から</a:t>
          </a:r>
          <a:r>
            <a:rPr lang="en-US" altLang="ja-JP" sz="1100" b="0" i="0" u="none" strike="noStrike">
              <a:latin typeface="+mj-ea"/>
              <a:ea typeface="+mj-ea"/>
              <a:cs typeface="+mn-cs"/>
            </a:rPr>
            <a:t>CaseNo</a:t>
          </a:r>
          <a:r>
            <a:rPr lang="ja-JP" altLang="en-US" sz="1100" b="0" i="0" u="none" strike="noStrike">
              <a:latin typeface="+mj-ea"/>
              <a:ea typeface="+mj-ea"/>
              <a:cs typeface="+mn-cs"/>
            </a:rPr>
            <a:t>を探し，</a:t>
          </a:r>
          <a:r>
            <a:rPr lang="en-US" altLang="ja-JP" sz="1100" b="0" i="0" u="none" strike="noStrike">
              <a:latin typeface="+mj-ea"/>
              <a:ea typeface="+mj-ea"/>
              <a:cs typeface="+mn-cs"/>
            </a:rPr>
            <a:t>ID0003</a:t>
          </a:r>
          <a:r>
            <a:rPr lang="ja-JP" altLang="en-US" sz="1100" b="0" i="0" u="none" strike="noStrike">
              <a:latin typeface="+mj-ea"/>
              <a:ea typeface="+mj-ea"/>
              <a:cs typeface="+mn-cs"/>
            </a:rPr>
            <a:t>のデータを生成する。</a:t>
          </a:r>
          <a:endParaRPr lang="en-US" altLang="ja-JP" sz="1100" b="0" i="0" u="none" strike="noStrike">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u="none" strike="noStrike">
              <a:latin typeface="+mj-ea"/>
              <a:ea typeface="+mj-ea"/>
              <a:cs typeface="+mn-cs"/>
            </a:rPr>
            <a:t>　　　　</a:t>
          </a:r>
          <a:r>
            <a:rPr lang="en-US" altLang="ja-JP" sz="1100" b="0" i="0">
              <a:latin typeface="+mj-ea"/>
              <a:ea typeface="+mj-ea"/>
              <a:cs typeface="+mn-cs"/>
            </a:rPr>
            <a:t>※</a:t>
          </a:r>
          <a:r>
            <a:rPr lang="ja-JP" altLang="en-US" sz="1100" b="0" i="0">
              <a:latin typeface="+mj-ea"/>
              <a:ea typeface="+mj-ea"/>
              <a:cs typeface="+mn-cs"/>
            </a:rPr>
            <a:t>一般的に、</a:t>
          </a:r>
          <a:r>
            <a:rPr lang="en-US" altLang="ja-JP" sz="1100" b="0" i="0">
              <a:latin typeface="+mj-ea"/>
              <a:ea typeface="+mj-ea"/>
              <a:cs typeface="+mn-cs"/>
            </a:rPr>
            <a:t>AD</a:t>
          </a:r>
          <a:r>
            <a:rPr lang="ja-JP" altLang="en-US" sz="1100" b="0" i="0">
              <a:latin typeface="+mj-ea"/>
              <a:ea typeface="+mj-ea"/>
              <a:cs typeface="+mn-cs"/>
            </a:rPr>
            <a:t>以降の列を設定する。</a:t>
          </a:r>
          <a:endParaRPr lang="en-US" altLang="ja-JP" sz="1100" b="0" i="0">
            <a:latin typeface="+mj-ea"/>
            <a:ea typeface="+mj-ea"/>
            <a:cs typeface="+mn-cs"/>
          </a:endParaRPr>
        </a:p>
        <a:p>
          <a:pPr algn="l" rtl="0">
            <a:lnSpc>
              <a:spcPts val="1300"/>
            </a:lnSpc>
            <a:defRPr sz="1000"/>
          </a:pPr>
          <a:endParaRPr lang="en-US" altLang="ja-JP" sz="1100" b="0" i="0" u="none" strike="noStrike">
            <a:latin typeface="+mj-ea"/>
            <a:ea typeface="+mj-ea"/>
            <a:cs typeface="+mn-cs"/>
          </a:endParaRPr>
        </a:p>
        <a:p>
          <a:pPr algn="l" rtl="0">
            <a:lnSpc>
              <a:spcPts val="1200"/>
            </a:lnSpc>
            <a:defRPr sz="1000"/>
          </a:pPr>
          <a:r>
            <a:rPr lang="ja-JP" altLang="en-US" sz="1100" b="1" i="0" u="none" strike="noStrike">
              <a:latin typeface="+mj-ea"/>
              <a:ea typeface="+mj-ea"/>
              <a:cs typeface="+mn-cs"/>
            </a:rPr>
            <a:t>　　④　</a:t>
          </a:r>
          <a:r>
            <a:rPr lang="en-US" altLang="ja-JP" sz="1100" b="1" i="0" u="none" strike="noStrike">
              <a:latin typeface="+mj-ea"/>
              <a:ea typeface="+mj-ea"/>
              <a:cs typeface="+mn-cs"/>
            </a:rPr>
            <a:t>Request file path</a:t>
          </a:r>
          <a:endParaRPr lang="en-US" altLang="ja-JP" sz="1100" b="0" i="0" u="none" strike="noStrike">
            <a:latin typeface="+mj-ea"/>
            <a:ea typeface="+mj-ea"/>
            <a:cs typeface="+mn-cs"/>
          </a:endParaRPr>
        </a:p>
        <a:p>
          <a:pPr algn="l" rtl="0">
            <a:lnSpc>
              <a:spcPts val="1300"/>
            </a:lnSpc>
            <a:defRPr sz="1000"/>
          </a:pPr>
          <a:r>
            <a:rPr lang="ja-JP" altLang="en-US" sz="1100" b="0" i="0" u="none" strike="noStrike">
              <a:latin typeface="+mj-ea"/>
              <a:ea typeface="+mj-ea"/>
              <a:cs typeface="+mn-cs"/>
            </a:rPr>
            <a:t>　　　　生成した要求電文・</a:t>
          </a:r>
          <a:r>
            <a:rPr lang="en-US" altLang="ja-JP" sz="1100" b="0" i="0" u="none" strike="noStrike">
              <a:latin typeface="+mj-ea"/>
              <a:ea typeface="+mj-ea"/>
              <a:cs typeface="+mn-cs"/>
            </a:rPr>
            <a:t>XML</a:t>
          </a:r>
          <a:r>
            <a:rPr lang="ja-JP" altLang="en-US" sz="1100" b="0" i="0">
              <a:latin typeface="+mj-ea"/>
              <a:ea typeface="+mj-ea"/>
              <a:cs typeface="+mn-cs"/>
            </a:rPr>
            <a:t>ファイルの</a:t>
          </a:r>
          <a:r>
            <a:rPr lang="ja-JP" altLang="en-US" sz="1100" b="0" i="0" u="none" strike="noStrike">
              <a:latin typeface="+mj-ea"/>
              <a:ea typeface="+mj-ea"/>
              <a:cs typeface="+mn-cs"/>
            </a:rPr>
            <a:t>格納場所。</a:t>
          </a:r>
          <a:r>
            <a:rPr lang="ja-JP" altLang="ja-JP" sz="1100" b="0" i="0">
              <a:latin typeface="+mj-ea"/>
              <a:ea typeface="+mj-ea"/>
              <a:cs typeface="+mn-cs"/>
            </a:rPr>
            <a:t>（非必須）　</a:t>
          </a:r>
          <a:endParaRPr lang="en-US" altLang="ja-JP" sz="1100" b="0" i="0">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en-US" altLang="ja-JP" sz="1100" b="0" i="0">
              <a:latin typeface="+mj-ea"/>
              <a:ea typeface="+mj-ea"/>
              <a:cs typeface="+mn-cs"/>
            </a:rPr>
            <a:t>※</a:t>
          </a:r>
          <a:r>
            <a:rPr lang="ja-JP" altLang="ja-JP" sz="1100" b="0" i="0" baseline="0">
              <a:latin typeface="+mj-ea"/>
              <a:ea typeface="+mj-ea"/>
              <a:cs typeface="+mn-cs"/>
            </a:rPr>
            <a:t>未設定の場合、</a:t>
          </a:r>
          <a:r>
            <a:rPr lang="ja-JP" altLang="en-US" sz="1100" b="0" i="0" baseline="0">
              <a:latin typeface="+mj-ea"/>
              <a:ea typeface="+mj-ea"/>
              <a:cs typeface="+mn-cs"/>
            </a:rPr>
            <a:t>このツールの</a:t>
          </a:r>
          <a:r>
            <a:rPr lang="ja-JP" altLang="ja-JP" sz="1100" b="0" i="0">
              <a:latin typeface="+mj-ea"/>
              <a:ea typeface="+mj-ea"/>
              <a:cs typeface="+mn-cs"/>
            </a:rPr>
            <a:t>格納場所</a:t>
          </a:r>
          <a:r>
            <a:rPr lang="ja-JP" altLang="en-US" sz="1100" b="0" i="0">
              <a:latin typeface="+mj-ea"/>
              <a:ea typeface="+mj-ea"/>
              <a:cs typeface="+mn-cs"/>
            </a:rPr>
            <a:t>と同じ。</a:t>
          </a:r>
          <a:endParaRPr lang="en-US" altLang="ja-JP" sz="1100" b="0" i="0">
            <a:latin typeface="+mj-ea"/>
            <a:ea typeface="+mj-ea"/>
            <a:cs typeface="+mn-cs"/>
          </a:endParaRPr>
        </a:p>
        <a:p>
          <a:pPr algn="l" rtl="0">
            <a:lnSpc>
              <a:spcPts val="1200"/>
            </a:lnSpc>
            <a:defRPr sz="1000"/>
          </a:pPr>
          <a:endParaRPr lang="en-US" altLang="ja-JP" sz="1100" b="0" i="0" u="none" strike="noStrike">
            <a:latin typeface="+mj-ea"/>
            <a:ea typeface="+mj-ea"/>
            <a:cs typeface="+mn-cs"/>
          </a:endParaRPr>
        </a:p>
        <a:p>
          <a:pPr algn="l" rtl="0">
            <a:lnSpc>
              <a:spcPts val="1300"/>
            </a:lnSpc>
            <a:defRPr sz="1000"/>
          </a:pPr>
          <a:r>
            <a:rPr lang="ja-JP" altLang="en-US" sz="1100" b="1" i="0" u="none" strike="noStrike">
              <a:latin typeface="+mj-ea"/>
              <a:ea typeface="+mj-ea"/>
              <a:cs typeface="+mn-cs"/>
            </a:rPr>
            <a:t>　　⑤　</a:t>
          </a:r>
          <a:r>
            <a:rPr lang="en-US" altLang="ja-JP" sz="1100" b="1" i="0" u="none" strike="noStrike">
              <a:latin typeface="+mj-ea"/>
              <a:ea typeface="+mj-ea"/>
              <a:cs typeface="+mn-cs"/>
            </a:rPr>
            <a:t>Response file path</a:t>
          </a:r>
          <a:endParaRPr lang="en-US" altLang="ja-JP" sz="1100" b="0" i="0" u="none" strike="noStrike">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ja-JP" altLang="ja-JP" sz="1100" b="0" i="0">
              <a:latin typeface="+mj-ea"/>
              <a:ea typeface="+mj-ea"/>
              <a:cs typeface="+mn-cs"/>
            </a:rPr>
            <a:t>解析</a:t>
          </a:r>
          <a:r>
            <a:rPr lang="ja-JP" altLang="en-US" sz="1100" b="0" i="0">
              <a:latin typeface="+mj-ea"/>
              <a:ea typeface="+mj-ea"/>
              <a:cs typeface="+mn-cs"/>
            </a:rPr>
            <a:t>したい</a:t>
          </a:r>
          <a:r>
            <a:rPr lang="ja-JP" altLang="en-US" sz="1100" b="0" i="0" u="none" strike="noStrike">
              <a:latin typeface="+mj-ea"/>
              <a:ea typeface="+mj-ea"/>
              <a:cs typeface="+mn-cs"/>
            </a:rPr>
            <a:t>応答</a:t>
          </a:r>
          <a:r>
            <a:rPr lang="ja-JP" altLang="ja-JP" sz="1100" b="0" i="0">
              <a:latin typeface="+mj-ea"/>
              <a:ea typeface="+mj-ea"/>
              <a:cs typeface="+mn-cs"/>
            </a:rPr>
            <a:t>電文</a:t>
          </a:r>
          <a:r>
            <a:rPr lang="ja-JP" altLang="en-US" sz="1100" b="0" i="0">
              <a:latin typeface="+mj-ea"/>
              <a:ea typeface="+mj-ea"/>
              <a:cs typeface="+mn-cs"/>
            </a:rPr>
            <a:t>の</a:t>
          </a:r>
          <a:r>
            <a:rPr lang="ja-JP" altLang="ja-JP" sz="1100" b="0" i="0">
              <a:latin typeface="+mj-ea"/>
              <a:ea typeface="+mj-ea"/>
              <a:cs typeface="+mn-cs"/>
            </a:rPr>
            <a:t>格納場所（</a:t>
          </a:r>
          <a:r>
            <a:rPr lang="en-US" sz="1000" b="0" i="0">
              <a:solidFill>
                <a:srgbClr val="FF0000"/>
              </a:solidFill>
              <a:latin typeface="+mn-lt"/>
              <a:ea typeface="+mn-ea"/>
              <a:cs typeface="+mn-cs"/>
            </a:rPr>
            <a:t>ResponseStream</a:t>
          </a:r>
          <a:r>
            <a:rPr lang="ja-JP" altLang="en-US" sz="1000" b="0" i="0">
              <a:solidFill>
                <a:srgbClr val="FF0000"/>
              </a:solidFill>
              <a:latin typeface="+mn-lt"/>
              <a:ea typeface="+mn-ea"/>
              <a:cs typeface="+mn-cs"/>
            </a:rPr>
            <a:t>は未入力時</a:t>
          </a:r>
          <a:r>
            <a:rPr lang="ja-JP" altLang="ja-JP" sz="1100" b="0" i="0">
              <a:solidFill>
                <a:srgbClr val="FF0000"/>
              </a:solidFill>
              <a:latin typeface="+mj-ea"/>
              <a:ea typeface="+mj-ea"/>
              <a:cs typeface="+mn-cs"/>
            </a:rPr>
            <a:t>必須</a:t>
          </a:r>
          <a:r>
            <a:rPr lang="ja-JP" altLang="ja-JP" sz="1100" b="0" i="0">
              <a:latin typeface="+mj-ea"/>
              <a:ea typeface="+mj-ea"/>
              <a:cs typeface="+mn-cs"/>
            </a:rPr>
            <a:t>）　</a:t>
          </a:r>
          <a:endParaRPr lang="en-US" altLang="ja-JP" sz="1100" b="0" i="0">
            <a:latin typeface="+mj-ea"/>
            <a:ea typeface="+mj-ea"/>
            <a:cs typeface="+mn-cs"/>
          </a:endParaRPr>
        </a:p>
        <a:p>
          <a:pPr marL="0" marR="0" indent="0" algn="l" defTabSz="914400" rtl="0" eaLnBrk="1" fontAlgn="auto" latinLnBrk="0" hangingPunct="1">
            <a:lnSpc>
              <a:spcPts val="1300"/>
            </a:lnSpc>
            <a:spcBef>
              <a:spcPts val="0"/>
            </a:spcBef>
            <a:spcAft>
              <a:spcPts val="0"/>
            </a:spcAft>
            <a:buClrTx/>
            <a:buSzTx/>
            <a:buFontTx/>
            <a:buNone/>
            <a:tabLst/>
            <a:defRPr sz="1000"/>
          </a:pPr>
          <a:r>
            <a:rPr lang="ja-JP" altLang="ja-JP" sz="1100" b="0" i="0">
              <a:latin typeface="+mj-ea"/>
              <a:ea typeface="+mj-ea"/>
              <a:cs typeface="+mn-cs"/>
            </a:rPr>
            <a:t>　　　　</a:t>
          </a:r>
          <a:endParaRPr lang="en-US" altLang="ja-JP" sz="1100" b="0" i="0">
            <a:latin typeface="+mj-ea"/>
            <a:ea typeface="+mj-ea"/>
            <a:cs typeface="+mn-cs"/>
          </a:endParaRPr>
        </a:p>
        <a:p>
          <a:pPr algn="l" rtl="0">
            <a:lnSpc>
              <a:spcPts val="1200"/>
            </a:lnSpc>
            <a:defRPr sz="1000"/>
          </a:pPr>
          <a:r>
            <a:rPr lang="ja-JP" altLang="en-US" sz="1100" b="1" i="0" u="none" strike="noStrike">
              <a:latin typeface="+mj-ea"/>
              <a:ea typeface="+mj-ea"/>
              <a:cs typeface="+mn-cs"/>
            </a:rPr>
            <a:t>　　⑥　</a:t>
          </a:r>
          <a:r>
            <a:rPr lang="en-US" altLang="ja-JP" sz="1100" b="1" i="0" u="none" strike="noStrike">
              <a:latin typeface="+mj-ea"/>
              <a:ea typeface="+mj-ea"/>
              <a:cs typeface="+mn-cs"/>
            </a:rPr>
            <a:t>ResponseStream</a:t>
          </a:r>
          <a:endParaRPr lang="en-US" altLang="ja-JP" sz="1100" b="0" i="0" u="none" strike="noStrike">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ja-JP" altLang="ja-JP" sz="1100" b="0" i="0">
              <a:latin typeface="+mj-ea"/>
              <a:ea typeface="+mj-ea"/>
              <a:cs typeface="+mn-cs"/>
            </a:rPr>
            <a:t>解析したい応答電文</a:t>
          </a:r>
          <a:r>
            <a:rPr lang="ja-JP" altLang="en-US" sz="1100" b="0" i="0">
              <a:latin typeface="+mj-ea"/>
              <a:ea typeface="+mj-ea"/>
              <a:cs typeface="+mn-cs"/>
            </a:rPr>
            <a:t>そのものである。</a:t>
          </a:r>
          <a:r>
            <a:rPr lang="ja-JP" altLang="ja-JP" sz="1100" b="0" i="0">
              <a:latin typeface="+mj-ea"/>
              <a:ea typeface="+mj-ea"/>
              <a:cs typeface="+mn-cs"/>
            </a:rPr>
            <a:t>（非必須）　</a:t>
          </a:r>
          <a:endParaRPr lang="en-US" altLang="ja-JP" sz="1100" b="0">
            <a:latin typeface="+mj-ea"/>
            <a:ea typeface="+mj-ea"/>
          </a:endParaRPr>
        </a:p>
        <a:p>
          <a:pPr algn="l" rtl="0">
            <a:lnSpc>
              <a:spcPts val="1300"/>
            </a:lnSpc>
            <a:defRPr sz="1000"/>
          </a:pPr>
          <a:r>
            <a:rPr lang="ja-JP" altLang="en-US" sz="1100" b="0" i="0" u="none" strike="noStrike">
              <a:latin typeface="+mj-ea"/>
              <a:ea typeface="+mj-ea"/>
              <a:cs typeface="+mn-cs"/>
            </a:rPr>
            <a:t>　　　　</a:t>
          </a:r>
          <a:r>
            <a:rPr lang="en-US" altLang="ja-JP" sz="1100" b="0" i="0" u="none" strike="noStrike">
              <a:latin typeface="+mj-ea"/>
              <a:ea typeface="+mj-ea"/>
              <a:cs typeface="+mn-cs"/>
            </a:rPr>
            <a:t>※</a:t>
          </a:r>
          <a:r>
            <a:rPr lang="ja-JP" altLang="en-US" sz="1100" b="0" i="0" u="none" strike="noStrike">
              <a:latin typeface="+mj-ea"/>
              <a:ea typeface="+mj-ea"/>
              <a:cs typeface="+mn-cs"/>
            </a:rPr>
            <a:t>⑤、⑥同時入力</a:t>
          </a:r>
          <a:r>
            <a:rPr lang="ja-JP" altLang="en-US" sz="1100" b="0" i="0" u="none" strike="noStrike">
              <a:solidFill>
                <a:srgbClr val="FF0000"/>
              </a:solidFill>
              <a:latin typeface="+mj-ea"/>
              <a:ea typeface="+mj-ea"/>
              <a:cs typeface="+mn-cs"/>
            </a:rPr>
            <a:t>したら、⑥は無効になる</a:t>
          </a:r>
          <a:r>
            <a:rPr lang="ja-JP" altLang="en-US" sz="1100" b="0" i="0" u="none" strike="noStrike">
              <a:latin typeface="+mj-ea"/>
              <a:ea typeface="+mj-ea"/>
              <a:cs typeface="+mn-cs"/>
            </a:rPr>
            <a:t>。</a:t>
          </a:r>
          <a:r>
            <a:rPr lang="ja-JP" altLang="en-US" sz="1100" b="0">
              <a:latin typeface="+mj-ea"/>
              <a:ea typeface="+mj-ea"/>
            </a:rPr>
            <a:t> </a:t>
          </a:r>
          <a:endParaRPr lang="en-US" altLang="ja-JP" sz="1100" b="0">
            <a:latin typeface="+mj-ea"/>
            <a:ea typeface="+mj-ea"/>
          </a:endParaRPr>
        </a:p>
        <a:p>
          <a:pPr algn="l" rtl="0">
            <a:lnSpc>
              <a:spcPts val="1200"/>
            </a:lnSpc>
            <a:defRPr sz="1000"/>
          </a:pPr>
          <a:endParaRPr lang="en-US" altLang="ja-JP" sz="1100" b="0" i="0" u="none" strike="noStrike" baseline="0">
            <a:solidFill>
              <a:srgbClr val="000000"/>
            </a:solidFill>
            <a:latin typeface="+mj-ea"/>
            <a:ea typeface="+mj-ea"/>
          </a:endParaRPr>
        </a:p>
        <a:p>
          <a:pPr algn="l" rtl="0">
            <a:lnSpc>
              <a:spcPts val="1200"/>
            </a:lnSpc>
            <a:defRPr sz="1000"/>
          </a:pPr>
          <a:r>
            <a:rPr lang="ja-JP" altLang="en-US" sz="1100" b="1" i="0" u="none" strike="noStrike" baseline="0">
              <a:solidFill>
                <a:srgbClr val="000000"/>
              </a:solidFill>
              <a:latin typeface="+mj-ea"/>
              <a:ea typeface="+mj-ea"/>
            </a:rPr>
            <a:t>３．下記の場合に応じて、各ボタンを押下する。</a:t>
          </a:r>
          <a:endParaRPr lang="en-US" altLang="ja-JP" sz="1100" b="1" i="0" u="none" strike="noStrike" baseline="0">
            <a:solidFill>
              <a:srgbClr val="000000"/>
            </a:solidFill>
            <a:latin typeface="+mj-ea"/>
            <a:ea typeface="+mj-ea"/>
          </a:endParaRPr>
        </a:p>
        <a:p>
          <a:pPr algn="l" rtl="0">
            <a:lnSpc>
              <a:spcPts val="1300"/>
            </a:lnSpc>
            <a:defRPr sz="1000"/>
          </a:pPr>
          <a:r>
            <a:rPr lang="ja-JP" altLang="en-US" sz="1100" b="1" i="0" u="none" strike="noStrike" baseline="0">
              <a:solidFill>
                <a:srgbClr val="000000"/>
              </a:solidFill>
              <a:latin typeface="+mj-ea"/>
              <a:ea typeface="+mj-ea"/>
            </a:rPr>
            <a:t>　　①要求電文を生成するなら　　⇒　　「</a:t>
          </a:r>
          <a:r>
            <a:rPr lang="en-US" altLang="ja-JP" sz="1100" b="1" i="0" u="none" strike="noStrike" baseline="0">
              <a:solidFill>
                <a:srgbClr val="000000"/>
              </a:solidFill>
              <a:latin typeface="+mj-ea"/>
              <a:ea typeface="+mj-ea"/>
            </a:rPr>
            <a:t>Generate-IN</a:t>
          </a:r>
          <a:r>
            <a:rPr lang="ja-JP" altLang="ja-JP" sz="1100" b="1" i="0" baseline="0">
              <a:latin typeface="+mj-ea"/>
              <a:ea typeface="+mj-ea"/>
              <a:cs typeface="+mn-cs"/>
            </a:rPr>
            <a:t>」ボタン</a:t>
          </a:r>
          <a:endParaRPr lang="en-US" altLang="ja-JP" sz="1100" b="1" i="0" baseline="0">
            <a:latin typeface="+mj-ea"/>
            <a:ea typeface="+mj-ea"/>
            <a:cs typeface="+mn-cs"/>
          </a:endParaRPr>
        </a:p>
        <a:p>
          <a:pPr algn="l" rtl="0">
            <a:lnSpc>
              <a:spcPts val="1200"/>
            </a:lnSpc>
            <a:defRPr sz="1000"/>
          </a:pPr>
          <a:r>
            <a:rPr lang="ja-JP" altLang="en-US" sz="1100" b="1" i="0" u="none" strike="noStrike" baseline="0">
              <a:solidFill>
                <a:srgbClr val="000000"/>
              </a:solidFill>
              <a:latin typeface="+mj-ea"/>
              <a:ea typeface="+mj-ea"/>
              <a:cs typeface="+mn-cs"/>
            </a:rPr>
            <a:t>　　　</a:t>
          </a: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(1)</a:t>
          </a:r>
          <a:r>
            <a:rPr lang="ja-JP" altLang="en-US" sz="1100" b="0" i="0" u="none" strike="noStrike" baseline="0">
              <a:solidFill>
                <a:srgbClr val="000000"/>
              </a:solidFill>
              <a:latin typeface="+mj-ea"/>
              <a:ea typeface="+mj-ea"/>
            </a:rPr>
            <a:t>　一件生成</a:t>
          </a:r>
          <a:r>
            <a:rPr lang="ja-JP" altLang="ja-JP" sz="1100" b="0" i="0" baseline="0">
              <a:latin typeface="+mj-ea"/>
              <a:ea typeface="+mj-ea"/>
              <a:cs typeface="+mn-cs"/>
            </a:rPr>
            <a:t>（</a:t>
          </a:r>
          <a:r>
            <a:rPr lang="en-US" altLang="ja-JP" sz="1100" b="0" i="0" baseline="0">
              <a:latin typeface="+mj-ea"/>
              <a:ea typeface="+mj-ea"/>
              <a:cs typeface="+mn-cs"/>
            </a:rPr>
            <a:t>CaseNo</a:t>
          </a:r>
          <a:r>
            <a:rPr lang="ja-JP" altLang="en-US" sz="1100" b="0" i="0" baseline="0">
              <a:latin typeface="+mj-ea"/>
              <a:ea typeface="+mj-ea"/>
              <a:cs typeface="+mn-cs"/>
            </a:rPr>
            <a:t>を</a:t>
          </a:r>
          <a:r>
            <a:rPr lang="ja-JP" altLang="ja-JP" sz="1100" b="0" i="0" baseline="0">
              <a:latin typeface="+mj-ea"/>
              <a:ea typeface="+mj-ea"/>
              <a:cs typeface="+mn-cs"/>
            </a:rPr>
            <a:t>設定</a:t>
          </a:r>
          <a:r>
            <a:rPr lang="ja-JP" altLang="en-US" sz="1100" b="0" i="0" baseline="0">
              <a:latin typeface="+mj-ea"/>
              <a:ea typeface="+mj-ea"/>
              <a:cs typeface="+mn-cs"/>
            </a:rPr>
            <a:t>する</a:t>
          </a:r>
          <a:r>
            <a:rPr lang="ja-JP" altLang="ja-JP" sz="1100" b="0" i="0" baseline="0">
              <a:latin typeface="+mj-ea"/>
              <a:ea typeface="+mj-ea"/>
              <a:cs typeface="+mn-cs"/>
            </a:rPr>
            <a:t>）</a:t>
          </a:r>
          <a:r>
            <a:rPr lang="ja-JP" altLang="en-US" sz="1100" b="0" i="0" u="none" strike="noStrike" baseline="0">
              <a:solidFill>
                <a:srgbClr val="000000"/>
              </a:solidFill>
              <a:latin typeface="+mj-ea"/>
              <a:ea typeface="+mj-ea"/>
            </a:rPr>
            <a:t>									</a:t>
          </a:r>
        </a:p>
        <a:p>
          <a:pPr algn="l" rtl="0">
            <a:lnSpc>
              <a:spcPts val="1300"/>
            </a:lnSpc>
            <a:defRPr sz="1000"/>
          </a:pPr>
          <a:r>
            <a:rPr lang="ja-JP" altLang="en-US" sz="1100" b="0" i="0" u="none" strike="noStrike" baseline="0">
              <a:solidFill>
                <a:srgbClr val="000000"/>
              </a:solidFill>
              <a:latin typeface="+mj-ea"/>
              <a:ea typeface="+mj-ea"/>
            </a:rPr>
            <a:t>　　　　　　　例：</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項目設定</a:t>
          </a:r>
          <a:r>
            <a:rPr lang="en-US" altLang="ja-JP" sz="1100" b="0" i="0" baseline="0">
              <a:latin typeface="+mj-ea"/>
              <a:ea typeface="+mj-ea"/>
              <a:cs typeface="+mn-cs"/>
            </a:rPr>
            <a:t>】</a:t>
          </a:r>
        </a:p>
        <a:p>
          <a:pPr algn="l" rtl="0">
            <a:lnSpc>
              <a:spcPts val="1200"/>
            </a:lnSpc>
            <a:defRPr sz="1000"/>
          </a:pPr>
          <a:r>
            <a:rPr lang="ja-JP" altLang="en-US" sz="1100" b="0" i="0" u="none" strike="noStrike" baseline="0">
              <a:solidFill>
                <a:srgbClr val="000000"/>
              </a:solidFill>
              <a:latin typeface="+mj-ea"/>
              <a:ea typeface="+mj-ea"/>
              <a:cs typeface="+mn-cs"/>
            </a:rPr>
            <a:t>　　　　　　　　　　・</a:t>
          </a:r>
          <a:r>
            <a:rPr lang="en-US" altLang="ja-JP" sz="1100" b="0" i="0" u="none" strike="noStrike" baseline="0">
              <a:solidFill>
                <a:srgbClr val="000000"/>
              </a:solidFill>
              <a:latin typeface="+mj-ea"/>
              <a:ea typeface="+mj-ea"/>
            </a:rPr>
            <a:t>APISheetName</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B006 </a:t>
          </a:r>
        </a:p>
        <a:p>
          <a:pPr algn="l" rtl="0">
            <a:lnSpc>
              <a:spcPts val="1200"/>
            </a:lnSpc>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CaseNo</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ID0003 </a:t>
          </a:r>
        </a:p>
        <a:p>
          <a:pPr algn="l" rtl="0">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CaseStartCol</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AD  </a:t>
          </a:r>
        </a:p>
        <a:p>
          <a:pPr algn="l" rtl="0">
            <a:lnSpc>
              <a:spcPts val="1200"/>
            </a:lnSpc>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Request file path</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C:\sample</a:t>
          </a:r>
        </a:p>
        <a:p>
          <a:pPr algn="l" rtl="0">
            <a:lnSpc>
              <a:spcPts val="1300"/>
            </a:lnSpc>
            <a:defRPr sz="1000"/>
          </a:pPr>
          <a:r>
            <a:rPr lang="ja-JP" altLang="en-US" sz="1100" b="0" i="0" u="none" strike="noStrike" baseline="0">
              <a:solidFill>
                <a:srgbClr val="000000"/>
              </a:solidFill>
              <a:latin typeface="+mj-ea"/>
              <a:ea typeface="+mj-ea"/>
            </a:rPr>
            <a:t>　　　　　　　　　</a:t>
          </a:r>
          <a:r>
            <a:rPr lang="en-US" altLang="ja-JP" sz="1100" b="0" i="0" baseline="0">
              <a:latin typeface="+mj-ea"/>
              <a:ea typeface="+mj-ea"/>
              <a:cs typeface="+mn-cs"/>
            </a:rPr>
            <a:t>【</a:t>
          </a:r>
          <a:r>
            <a:rPr lang="ja-JP" altLang="en-US" sz="1100" b="0" i="0" baseline="0">
              <a:latin typeface="+mj-ea"/>
              <a:ea typeface="+mj-ea"/>
              <a:cs typeface="+mn-cs"/>
            </a:rPr>
            <a:t>実行結果</a:t>
          </a:r>
          <a:r>
            <a:rPr lang="en-US" altLang="ja-JP" sz="1100" b="0" i="0" baseline="0">
              <a:latin typeface="+mj-ea"/>
              <a:ea typeface="+mj-ea"/>
              <a:cs typeface="+mn-cs"/>
            </a:rPr>
            <a:t>】</a:t>
          </a:r>
          <a:endParaRPr lang="en-US" altLang="ja-JP" sz="1100" b="0" i="0" u="none" strike="noStrike" baseline="0">
            <a:solidFill>
              <a:srgbClr val="000000"/>
            </a:solidFill>
            <a:latin typeface="+mj-ea"/>
            <a:ea typeface="+mj-ea"/>
          </a:endParaRPr>
        </a:p>
        <a:p>
          <a:pPr algn="l" rtl="0">
            <a:lnSpc>
              <a:spcPts val="1200"/>
            </a:lnSpc>
            <a:defRPr sz="1000"/>
          </a:pPr>
          <a:r>
            <a:rPr lang="ja-JP" altLang="en-US" sz="1100" b="0" i="0" u="none" strike="noStrike" baseline="0">
              <a:solidFill>
                <a:srgbClr val="000000"/>
              </a:solidFill>
              <a:latin typeface="+mj-ea"/>
              <a:ea typeface="+mj-ea"/>
            </a:rPr>
            <a:t>　　　　　　　　　　・</a:t>
          </a:r>
          <a:r>
            <a:rPr lang="en-US" altLang="ja-JP" sz="1100" b="0" i="0" baseline="0">
              <a:latin typeface="+mj-ea"/>
              <a:ea typeface="+mj-ea"/>
              <a:cs typeface="+mn-cs"/>
            </a:rPr>
            <a:t>C:\sample</a:t>
          </a:r>
          <a:r>
            <a:rPr lang="ja-JP" altLang="en-US" sz="1100" b="0" i="0" baseline="0">
              <a:latin typeface="+mj-ea"/>
              <a:ea typeface="+mj-ea"/>
              <a:cs typeface="+mn-cs"/>
            </a:rPr>
            <a:t>配下に要求電文</a:t>
          </a:r>
          <a:r>
            <a:rPr lang="ja-JP" altLang="ja-JP" sz="1100" b="0" i="0" baseline="0">
              <a:latin typeface="+mj-ea"/>
              <a:ea typeface="+mj-ea"/>
              <a:cs typeface="+mn-cs"/>
            </a:rPr>
            <a:t>ファイル</a:t>
          </a:r>
          <a:r>
            <a:rPr lang="ja-JP" altLang="en-US" sz="1100" b="0" i="0" baseline="0">
              <a:latin typeface="+mj-ea"/>
              <a:ea typeface="+mj-ea"/>
              <a:cs typeface="+mn-cs"/>
            </a:rPr>
            <a:t>の</a:t>
          </a:r>
          <a:r>
            <a:rPr lang="en-US" altLang="ja-JP" sz="1100" b="0" i="0" u="none" strike="noStrike" baseline="0">
              <a:solidFill>
                <a:srgbClr val="000000"/>
              </a:solidFill>
              <a:latin typeface="+mj-ea"/>
              <a:ea typeface="+mj-ea"/>
            </a:rPr>
            <a:t>B006_in_ID0003.txt</a:t>
          </a:r>
          <a:r>
            <a:rPr lang="ja-JP" altLang="en-US" sz="1100" b="0" i="0" u="none" strike="noStrike" baseline="0">
              <a:solidFill>
                <a:srgbClr val="000000"/>
              </a:solidFill>
              <a:latin typeface="+mj-ea"/>
              <a:ea typeface="+mj-ea"/>
            </a:rPr>
            <a:t>を生成する。				</a:t>
          </a:r>
        </a:p>
        <a:p>
          <a:pPr algn="l" rtl="0">
            <a:lnSpc>
              <a:spcPts val="1200"/>
            </a:lnSpc>
            <a:defRPr sz="1000"/>
          </a:pPr>
          <a:r>
            <a:rPr lang="ja-JP" altLang="en-US" sz="1100" b="0" i="0" u="none" strike="noStrike" baseline="0">
              <a:solidFill>
                <a:srgbClr val="000000"/>
              </a:solidFill>
              <a:latin typeface="+mj-ea"/>
              <a:ea typeface="+mj-ea"/>
            </a:rPr>
            <a:t>							</a:t>
          </a:r>
        </a:p>
        <a:p>
          <a:pPr algn="l" rtl="0">
            <a:defRPr sz="1000"/>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a:t>
          </a:r>
          <a:r>
            <a:rPr lang="ja-JP" altLang="en-US" sz="1100" b="0" i="0" u="none" strike="noStrike" baseline="0">
              <a:solidFill>
                <a:srgbClr val="000000"/>
              </a:solidFill>
              <a:latin typeface="+mj-ea"/>
              <a:ea typeface="+mj-ea"/>
            </a:rPr>
            <a:t>一括生成（</a:t>
          </a:r>
          <a:r>
            <a:rPr lang="en-US" altLang="ja-JP" sz="1100" b="0" i="0" u="none" strike="noStrike" baseline="0">
              <a:solidFill>
                <a:srgbClr val="000000"/>
              </a:solidFill>
              <a:latin typeface="+mj-ea"/>
              <a:ea typeface="+mj-ea"/>
            </a:rPr>
            <a:t>CaseNo</a:t>
          </a:r>
          <a:r>
            <a:rPr lang="ja-JP" altLang="en-US" sz="1100" b="0" i="0" u="none" strike="noStrike" baseline="0">
              <a:solidFill>
                <a:srgbClr val="000000"/>
              </a:solidFill>
              <a:latin typeface="+mj-ea"/>
              <a:ea typeface="+mj-ea"/>
            </a:rPr>
            <a:t>設定しない）</a:t>
          </a:r>
          <a:endParaRPr lang="en-US" altLang="ja-JP" sz="1100" b="0" i="0" u="none" strike="noStrike" baseline="0">
            <a:solidFill>
              <a:srgbClr val="000000"/>
            </a:solidFill>
            <a:latin typeface="+mj-ea"/>
            <a:ea typeface="+mj-ea"/>
          </a:endParaRPr>
        </a:p>
        <a:p>
          <a:pPr rtl="0">
            <a:lnSpc>
              <a:spcPts val="12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endParaRPr>
        </a:p>
        <a:p>
          <a:pPr rtl="0"/>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ja-JP" altLang="en-US" sz="1100" b="0" i="0" baseline="0">
              <a:latin typeface="+mj-ea"/>
              <a:ea typeface="+mj-ea"/>
              <a:cs typeface="+mn-cs"/>
            </a:rPr>
            <a:t>（空白）</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endParaRPr>
        </a:p>
        <a:p>
          <a:pPr rtl="0">
            <a:lnSpc>
              <a:spcPts val="1300"/>
            </a:lnSpc>
          </a:pPr>
          <a:r>
            <a:rPr lang="ja-JP" altLang="ja-JP" sz="1100" b="0" i="0" baseline="0">
              <a:latin typeface="+mj-ea"/>
              <a:ea typeface="+mj-ea"/>
              <a:cs typeface="+mn-cs"/>
            </a:rPr>
            <a:t>　　　　　　　　　　・</a:t>
          </a:r>
          <a:r>
            <a:rPr lang="en-US" altLang="ja-JP" sz="1100" b="0" i="0" baseline="0">
              <a:latin typeface="+mj-ea"/>
              <a:ea typeface="+mj-ea"/>
              <a:cs typeface="+mn-cs"/>
            </a:rPr>
            <a:t>Request file path</a:t>
          </a:r>
          <a:r>
            <a:rPr lang="ja-JP" altLang="ja-JP" sz="1100" b="0" i="0" baseline="0">
              <a:latin typeface="+mj-ea"/>
              <a:ea typeface="+mj-ea"/>
              <a:cs typeface="+mn-cs"/>
            </a:rPr>
            <a:t>：</a:t>
          </a:r>
          <a:r>
            <a:rPr lang="en-US" altLang="ja-JP" sz="1100" b="0" i="0" baseline="0">
              <a:latin typeface="+mj-ea"/>
              <a:ea typeface="+mj-ea"/>
              <a:cs typeface="+mn-cs"/>
            </a:rPr>
            <a:t>C:\sample</a:t>
          </a:r>
          <a:endParaRPr lang="ja-JP" altLang="ja-JP" sz="1100">
            <a:latin typeface="+mj-ea"/>
            <a:ea typeface="+mj-ea"/>
          </a:endParaRPr>
        </a:p>
        <a:p>
          <a:pPr rtl="0" fontAlgn="base">
            <a:lnSpc>
              <a:spcPts val="12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p>
        <a:p>
          <a:pPr>
            <a:lnSpc>
              <a:spcPts val="1200"/>
            </a:lnSpc>
          </a:pPr>
          <a:r>
            <a:rPr lang="ja-JP" altLang="ja-JP" sz="1100" b="0" i="0" baseline="0">
              <a:latin typeface="+mj-ea"/>
              <a:ea typeface="+mj-ea"/>
              <a:cs typeface="+mn-cs"/>
            </a:rPr>
            <a:t>　　　　　　　　　　・</a:t>
          </a:r>
          <a:r>
            <a:rPr lang="en-US" altLang="ja-JP" sz="1100" b="0" i="0" baseline="0">
              <a:latin typeface="+mj-ea"/>
              <a:ea typeface="+mj-ea"/>
              <a:cs typeface="+mn-cs"/>
            </a:rPr>
            <a:t>C:\sample</a:t>
          </a:r>
          <a:r>
            <a:rPr lang="ja-JP" altLang="ja-JP" sz="1100" b="0" i="0" baseline="0">
              <a:latin typeface="+mj-ea"/>
              <a:ea typeface="+mj-ea"/>
              <a:cs typeface="+mn-cs"/>
            </a:rPr>
            <a:t>配下に要求電文ファイル</a:t>
          </a:r>
          <a:r>
            <a:rPr lang="ja-JP" altLang="en-US" sz="1100" b="0" i="0" baseline="0">
              <a:latin typeface="+mj-ea"/>
              <a:ea typeface="+mj-ea"/>
              <a:cs typeface="+mn-cs"/>
            </a:rPr>
            <a:t>全体（</a:t>
          </a:r>
          <a:r>
            <a:rPr lang="en-US" altLang="ja-JP" sz="1100" b="0" i="0" baseline="0">
              <a:latin typeface="+mj-ea"/>
              <a:ea typeface="+mj-ea"/>
              <a:cs typeface="+mn-cs"/>
            </a:rPr>
            <a:t>B006_in_ID0001.txt</a:t>
          </a:r>
          <a:r>
            <a:rPr lang="ja-JP" altLang="ja-JP" sz="1100" b="0" i="0" baseline="0">
              <a:latin typeface="+mj-ea"/>
              <a:ea typeface="+mj-ea"/>
              <a:cs typeface="+mn-cs"/>
            </a:rPr>
            <a:t>，</a:t>
          </a:r>
          <a:r>
            <a:rPr lang="en-US" altLang="ja-JP" sz="1100" b="0" i="0" baseline="0">
              <a:latin typeface="+mj-ea"/>
              <a:ea typeface="+mj-ea"/>
              <a:cs typeface="+mn-cs"/>
            </a:rPr>
            <a:t>B006_in_ID0002.txt</a:t>
          </a:r>
          <a:r>
            <a:rPr lang="ja-JP" altLang="ja-JP" sz="1100" b="0" i="0" baseline="0">
              <a:latin typeface="+mj-ea"/>
              <a:ea typeface="+mj-ea"/>
              <a:cs typeface="+mn-cs"/>
            </a:rPr>
            <a:t>，</a:t>
          </a:r>
          <a:r>
            <a:rPr lang="en-US" altLang="ja-JP" sz="1100" b="0" i="0" baseline="0">
              <a:latin typeface="+mj-ea"/>
              <a:ea typeface="+mj-ea"/>
              <a:cs typeface="+mn-cs"/>
            </a:rPr>
            <a:t>B006_in_ID0003.txt</a:t>
          </a:r>
          <a:r>
            <a:rPr lang="ja-JP" altLang="ja-JP" sz="1100" b="0" i="0" baseline="0">
              <a:latin typeface="+mj-ea"/>
              <a:ea typeface="+mj-ea"/>
              <a:cs typeface="+mn-cs"/>
            </a:rPr>
            <a:t>など</a:t>
          </a:r>
          <a:r>
            <a:rPr lang="ja-JP" altLang="en-US" sz="1100" b="0" i="0" baseline="0">
              <a:latin typeface="+mj-ea"/>
              <a:ea typeface="+mj-ea"/>
              <a:cs typeface="+mn-cs"/>
            </a:rPr>
            <a:t>）</a:t>
          </a:r>
          <a:r>
            <a:rPr lang="ja-JP" altLang="ja-JP" sz="1100" b="0" i="0" baseline="0">
              <a:latin typeface="+mj-ea"/>
              <a:ea typeface="+mj-ea"/>
              <a:cs typeface="+mn-cs"/>
            </a:rPr>
            <a:t>を生成する。</a:t>
          </a:r>
          <a:r>
            <a:rPr lang="ja-JP" altLang="en-US" sz="1100" b="0" i="0" u="none" strike="noStrike" baseline="0">
              <a:solidFill>
                <a:srgbClr val="000000"/>
              </a:solidFill>
              <a:latin typeface="+mj-ea"/>
              <a:ea typeface="+mj-ea"/>
            </a:rPr>
            <a:t>			</a:t>
          </a: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②応答内容を解析</a:t>
          </a:r>
          <a:r>
            <a:rPr lang="ja-JP" altLang="ja-JP" sz="1100" b="1" i="0" baseline="0">
              <a:latin typeface="+mj-ea"/>
              <a:ea typeface="+mj-ea"/>
              <a:cs typeface="+mn-cs"/>
            </a:rPr>
            <a:t>するなら　　⇒　　「</a:t>
          </a:r>
          <a:r>
            <a:rPr lang="en-US" altLang="ja-JP" sz="1100" b="1" i="0" baseline="0">
              <a:latin typeface="+mj-ea"/>
              <a:ea typeface="+mj-ea"/>
              <a:cs typeface="+mn-cs"/>
            </a:rPr>
            <a:t>Analyze-OUT</a:t>
          </a:r>
          <a:r>
            <a:rPr lang="ja-JP" altLang="ja-JP" sz="1100" b="1" i="0" baseline="0">
              <a:latin typeface="+mj-ea"/>
              <a:ea typeface="+mj-ea"/>
              <a:cs typeface="+mn-cs"/>
            </a:rPr>
            <a:t>」</a:t>
          </a:r>
          <a:r>
            <a:rPr lang="ja-JP" altLang="en-US" sz="1100" b="1" i="0" baseline="0">
              <a:latin typeface="+mj-ea"/>
              <a:ea typeface="+mj-ea"/>
              <a:cs typeface="+mn-cs"/>
            </a:rPr>
            <a:t>、「</a:t>
          </a:r>
          <a:r>
            <a:rPr lang="en-US" altLang="ja-JP" sz="1100" b="1" i="0" baseline="0">
              <a:latin typeface="+mj-ea"/>
              <a:ea typeface="+mj-ea"/>
              <a:cs typeface="+mn-cs"/>
            </a:rPr>
            <a:t>Analyze-OUTXML</a:t>
          </a:r>
          <a:r>
            <a:rPr lang="ja-JP" altLang="en-US" sz="1100" b="1" i="0" baseline="0">
              <a:latin typeface="+mj-ea"/>
              <a:ea typeface="+mj-ea"/>
              <a:cs typeface="+mn-cs"/>
            </a:rPr>
            <a:t>」</a:t>
          </a:r>
          <a:r>
            <a:rPr lang="ja-JP" altLang="ja-JP" sz="1100" b="1" i="0" baseline="0">
              <a:latin typeface="+mj-ea"/>
              <a:ea typeface="+mj-ea"/>
              <a:cs typeface="+mn-cs"/>
            </a:rPr>
            <a:t>ボタン</a:t>
          </a:r>
          <a:endParaRPr lang="en-US" altLang="ja-JP" sz="1100" b="1" i="0" baseline="0">
            <a:latin typeface="+mj-ea"/>
            <a:ea typeface="+mj-ea"/>
            <a:cs typeface="+mn-cs"/>
          </a:endParaRPr>
        </a:p>
        <a:p>
          <a:pPr algn="l" rtl="0">
            <a:lnSpc>
              <a:spcPts val="1200"/>
            </a:lnSpc>
            <a:defRPr sz="1000"/>
          </a:pPr>
          <a:r>
            <a:rPr lang="ja-JP" altLang="en-US" sz="1100" b="0" i="0" u="none" strike="noStrike" baseline="0">
              <a:solidFill>
                <a:srgbClr val="000000"/>
              </a:solidFill>
              <a:latin typeface="+mj-ea"/>
              <a:ea typeface="+mj-ea"/>
              <a:cs typeface="+mn-cs"/>
            </a:rPr>
            <a:t>　　　　</a:t>
          </a:r>
          <a:r>
            <a:rPr lang="en-US" altLang="ja-JP" sz="1100" b="0" i="0" u="none" strike="noStrike" baseline="0">
              <a:solidFill>
                <a:srgbClr val="000000"/>
              </a:solidFill>
              <a:latin typeface="+mj-ea"/>
              <a:ea typeface="+mj-ea"/>
              <a:cs typeface="+mn-cs"/>
            </a:rPr>
            <a:t>※</a:t>
          </a:r>
          <a:r>
            <a:rPr lang="ja-JP" altLang="ja-JP" sz="1100" b="0" i="0" baseline="0">
              <a:latin typeface="+mj-ea"/>
              <a:ea typeface="+mj-ea"/>
              <a:cs typeface="+mn-cs"/>
            </a:rPr>
            <a:t>解析結果を指定した</a:t>
          </a:r>
          <a:r>
            <a:rPr lang="en-US" altLang="ja-JP" sz="1100" b="0" i="0" baseline="0">
              <a:latin typeface="+mj-ea"/>
              <a:ea typeface="+mj-ea"/>
              <a:cs typeface="+mn-cs"/>
            </a:rPr>
            <a:t>【APISheetName】</a:t>
          </a:r>
          <a:r>
            <a:rPr lang="ja-JP" altLang="ja-JP" sz="1100" b="0" i="0" baseline="0">
              <a:latin typeface="+mj-ea"/>
              <a:ea typeface="+mj-ea"/>
              <a:cs typeface="+mn-cs"/>
            </a:rPr>
            <a:t>に保存する</a:t>
          </a:r>
          <a:r>
            <a:rPr lang="ja-JP" altLang="en-US" sz="1100" b="0" i="0" baseline="0">
              <a:latin typeface="+mj-ea"/>
              <a:ea typeface="+mj-ea"/>
              <a:cs typeface="+mn-cs"/>
            </a:rPr>
            <a:t>。</a:t>
          </a:r>
          <a:endParaRPr lang="en-US" altLang="ja-JP" sz="1100" b="0" i="0" baseline="0">
            <a:latin typeface="+mj-ea"/>
            <a:ea typeface="+mj-ea"/>
            <a:cs typeface="+mn-cs"/>
          </a:endParaRPr>
        </a:p>
        <a:p>
          <a:pPr rtl="0"/>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(1)</a:t>
          </a:r>
          <a:r>
            <a:rPr lang="ja-JP" altLang="ja-JP" sz="1100" b="0" i="0" baseline="0">
              <a:latin typeface="+mj-ea"/>
              <a:ea typeface="+mj-ea"/>
              <a:cs typeface="+mn-cs"/>
            </a:rPr>
            <a:t>　一件生成（</a:t>
          </a:r>
          <a:r>
            <a:rPr lang="en-US" altLang="ja-JP" sz="1100" b="0" i="0" baseline="0">
              <a:latin typeface="+mj-ea"/>
              <a:ea typeface="+mj-ea"/>
              <a:cs typeface="+mn-cs"/>
            </a:rPr>
            <a:t>CaseNo</a:t>
          </a:r>
          <a:r>
            <a:rPr lang="ja-JP" altLang="ja-JP" sz="1100" b="0" i="0" baseline="0">
              <a:latin typeface="+mj-ea"/>
              <a:ea typeface="+mj-ea"/>
              <a:cs typeface="+mn-cs"/>
            </a:rPr>
            <a:t>を設定する）							</a:t>
          </a:r>
          <a:endParaRPr lang="ja-JP" altLang="ja-JP" sz="1100">
            <a:latin typeface="+mj-ea"/>
            <a:ea typeface="+mj-ea"/>
          </a:endParaRPr>
        </a:p>
        <a:p>
          <a:pPr rtl="0">
            <a:lnSpc>
              <a:spcPts val="1200"/>
            </a:lnSpc>
          </a:pPr>
          <a:r>
            <a:rPr lang="ja-JP" altLang="ja-JP" sz="1100" b="0" i="0" baseline="0">
              <a:latin typeface="+mj-ea"/>
              <a:ea typeface="+mj-ea"/>
              <a:cs typeface="+mn-cs"/>
            </a:rPr>
            <a:t>　　　　　　　例</a:t>
          </a:r>
          <a:r>
            <a:rPr lang="ja-JP" altLang="en-US" sz="1100" b="0" i="0" baseline="0">
              <a:latin typeface="+mj-ea"/>
              <a:ea typeface="+mj-ea"/>
              <a:cs typeface="+mn-cs"/>
            </a:rPr>
            <a:t>１</a:t>
          </a:r>
          <a:r>
            <a:rPr lang="ja-JP" altLang="ja-JP" sz="1100" b="0" i="0" baseline="0">
              <a:latin typeface="+mj-ea"/>
              <a:ea typeface="+mj-ea"/>
              <a:cs typeface="+mn-cs"/>
            </a:rPr>
            <a:t>：</a:t>
          </a:r>
          <a:r>
            <a:rPr lang="ja-JP" altLang="en-US" sz="1100" b="0" i="0" baseline="0">
              <a:latin typeface="+mj-ea"/>
              <a:ea typeface="+mj-ea"/>
              <a:cs typeface="+mn-cs"/>
            </a:rPr>
            <a:t>ファイルから読込みのパターン</a:t>
          </a:r>
          <a:endParaRPr lang="en-US" altLang="ja-JP" sz="1100" b="0" i="0" baseline="0">
            <a:latin typeface="+mj-ea"/>
            <a:ea typeface="+mj-ea"/>
            <a:cs typeface="+mn-cs"/>
          </a:endParaRPr>
        </a:p>
        <a:p>
          <a:pPr rtl="0">
            <a:lnSpc>
              <a:spcPts val="1200"/>
            </a:lnSpc>
          </a:pPr>
          <a:r>
            <a:rPr lang="ja-JP" altLang="en-US"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endParaRPr>
        </a:p>
        <a:p>
          <a:pPr rtl="0"/>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endParaRPr>
        </a:p>
        <a:p>
          <a:pPr rtl="0"/>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en-US" altLang="ja-JP" sz="1100" b="0" i="0" baseline="0">
              <a:latin typeface="+mj-ea"/>
              <a:ea typeface="+mj-ea"/>
              <a:cs typeface="+mn-cs"/>
            </a:rPr>
            <a:t>C:\sample\B006_out_ID0003.txt</a:t>
          </a: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ResponseStream</a:t>
          </a:r>
          <a:r>
            <a:rPr lang="ja-JP" altLang="en-US" sz="1100" b="0" i="0" baseline="0">
              <a:latin typeface="+mj-ea"/>
              <a:ea typeface="+mj-ea"/>
              <a:cs typeface="+mn-cs"/>
            </a:rPr>
            <a:t>：（空白）</a:t>
          </a:r>
          <a:endParaRPr lang="ja-JP" altLang="ja-JP" sz="1100">
            <a:latin typeface="+mj-ea"/>
            <a:ea typeface="+mj-ea"/>
          </a:endParaRPr>
        </a:p>
        <a:p>
          <a:pPr rtl="0" fontAlgn="base">
            <a:lnSpc>
              <a:spcPts val="13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C:\sample\B006_out_ID0003.txt</a:t>
          </a:r>
          <a:r>
            <a:rPr lang="ja-JP" altLang="en-US" sz="1100" b="0" i="0" baseline="0">
              <a:latin typeface="+mj-ea"/>
              <a:ea typeface="+mj-ea"/>
              <a:cs typeface="+mn-cs"/>
            </a:rPr>
            <a:t>にある</a:t>
          </a:r>
          <a:r>
            <a:rPr lang="ja-JP" altLang="ja-JP" sz="1100" b="0" i="0" baseline="0">
              <a:latin typeface="+mj-ea"/>
              <a:ea typeface="+mj-ea"/>
              <a:cs typeface="+mn-cs"/>
            </a:rPr>
            <a:t>応答電文</a:t>
          </a:r>
          <a:r>
            <a:rPr lang="ja-JP" altLang="en-US" sz="1100" b="0" i="0" baseline="0">
              <a:latin typeface="+mj-ea"/>
              <a:ea typeface="+mj-ea"/>
              <a:cs typeface="+mn-cs"/>
            </a:rPr>
            <a:t>を読込み、</a:t>
          </a:r>
          <a:r>
            <a:rPr lang="ja-JP" altLang="ja-JP" sz="1100" b="0" i="0" baseline="0">
              <a:latin typeface="+mj-ea"/>
              <a:ea typeface="+mj-ea"/>
              <a:cs typeface="+mn-cs"/>
            </a:rPr>
            <a:t>解析</a:t>
          </a:r>
          <a:r>
            <a:rPr lang="ja-JP" altLang="en-US" sz="1100" b="0" i="0" baseline="0">
              <a:latin typeface="+mj-ea"/>
              <a:ea typeface="+mj-ea"/>
              <a:cs typeface="+mn-cs"/>
            </a:rPr>
            <a:t>した</a:t>
          </a:r>
          <a:r>
            <a:rPr lang="ja-JP" altLang="ja-JP" sz="1100" b="0" i="0" baseline="0">
              <a:latin typeface="+mj-ea"/>
              <a:ea typeface="+mj-ea"/>
              <a:cs typeface="+mn-cs"/>
            </a:rPr>
            <a:t>結果</a:t>
          </a:r>
          <a:r>
            <a:rPr lang="ja-JP" altLang="en-US" sz="1100" b="0" i="0" baseline="0">
              <a:latin typeface="+mj-ea"/>
              <a:ea typeface="+mj-ea"/>
              <a:cs typeface="+mn-cs"/>
            </a:rPr>
            <a:t>を</a:t>
          </a:r>
          <a:r>
            <a:rPr lang="ja-JP" altLang="ja-JP" sz="1100" b="0" i="0" baseline="0">
              <a:latin typeface="+mj-ea"/>
              <a:ea typeface="+mj-ea"/>
              <a:cs typeface="+mn-cs"/>
            </a:rPr>
            <a:t>シート</a:t>
          </a:r>
          <a:r>
            <a:rPr lang="en-US" altLang="ja-JP" sz="1100" b="0" i="0" baseline="0">
              <a:latin typeface="+mj-ea"/>
              <a:ea typeface="+mj-ea"/>
              <a:cs typeface="+mn-cs"/>
            </a:rPr>
            <a:t>B006</a:t>
          </a:r>
          <a:r>
            <a:rPr lang="ja-JP" altLang="en-US" sz="1100" b="0" i="0" baseline="0">
              <a:latin typeface="+mj-ea"/>
              <a:ea typeface="+mj-ea"/>
              <a:cs typeface="+mn-cs"/>
            </a:rPr>
            <a:t>の</a:t>
          </a:r>
          <a:r>
            <a:rPr lang="en-US" altLang="ja-JP" sz="1100" b="0" i="0" baseline="0">
              <a:latin typeface="+mj-ea"/>
              <a:ea typeface="+mj-ea"/>
              <a:cs typeface="+mn-cs"/>
            </a:rPr>
            <a:t>ID0003</a:t>
          </a:r>
          <a:r>
            <a:rPr lang="ja-JP" altLang="en-US" sz="1100" b="0" i="0" baseline="0">
              <a:latin typeface="+mj-ea"/>
              <a:ea typeface="+mj-ea"/>
              <a:cs typeface="+mn-cs"/>
            </a:rPr>
            <a:t>に相応する</a:t>
          </a:r>
          <a:r>
            <a:rPr lang="ja-JP" altLang="ja-JP" sz="1100" b="0" i="0" baseline="0">
              <a:latin typeface="+mj-ea"/>
              <a:ea typeface="+mj-ea"/>
              <a:cs typeface="+mn-cs"/>
            </a:rPr>
            <a:t>列に</a:t>
          </a:r>
          <a:r>
            <a:rPr lang="ja-JP" altLang="en-US" sz="1100" b="0" i="0" baseline="0">
              <a:latin typeface="+mj-ea"/>
              <a:ea typeface="+mj-ea"/>
              <a:cs typeface="+mn-cs"/>
            </a:rPr>
            <a:t>反映する</a:t>
          </a:r>
          <a:r>
            <a:rPr lang="ja-JP" altLang="ja-JP" sz="1100" b="0" i="0" baseline="0">
              <a:latin typeface="+mj-ea"/>
              <a:ea typeface="+mj-ea"/>
              <a:cs typeface="+mn-cs"/>
            </a:rPr>
            <a:t>。</a:t>
          </a:r>
          <a:endParaRPr lang="en-US" altLang="ja-JP" sz="1100" b="0" i="0" baseline="0">
            <a:latin typeface="+mj-ea"/>
            <a:ea typeface="+mj-ea"/>
            <a:cs typeface="+mn-cs"/>
          </a:endParaRPr>
        </a:p>
        <a:p>
          <a:pPr rtl="0">
            <a:lnSpc>
              <a:spcPts val="1200"/>
            </a:lnSpc>
          </a:pPr>
          <a:r>
            <a:rPr lang="ja-JP" altLang="ja-JP" sz="1100" b="0" i="0" baseline="0">
              <a:latin typeface="+mj-ea"/>
              <a:ea typeface="+mj-ea"/>
              <a:cs typeface="+mn-cs"/>
            </a:rPr>
            <a:t>　　　　　　　例</a:t>
          </a:r>
          <a:r>
            <a:rPr lang="ja-JP" altLang="en-US" sz="1100" b="0" i="0" baseline="0">
              <a:latin typeface="+mj-ea"/>
              <a:ea typeface="+mj-ea"/>
              <a:cs typeface="+mn-cs"/>
            </a:rPr>
            <a:t>２</a:t>
          </a:r>
          <a:r>
            <a:rPr lang="ja-JP" altLang="ja-JP" sz="1100" b="0" i="0" baseline="0">
              <a:latin typeface="+mj-ea"/>
              <a:ea typeface="+mj-ea"/>
              <a:cs typeface="+mn-cs"/>
            </a:rPr>
            <a:t>：</a:t>
          </a:r>
          <a:r>
            <a:rPr lang="ja-JP" altLang="en-US" sz="1100" b="0" i="0" baseline="0">
              <a:latin typeface="+mj-ea"/>
              <a:ea typeface="+mj-ea"/>
              <a:cs typeface="+mn-cs"/>
            </a:rPr>
            <a:t>直接解析</a:t>
          </a:r>
          <a:r>
            <a:rPr lang="ja-JP" altLang="ja-JP" sz="1100" b="0" i="0" baseline="0">
              <a:latin typeface="+mj-ea"/>
              <a:ea typeface="+mj-ea"/>
              <a:cs typeface="+mn-cs"/>
            </a:rPr>
            <a:t>のパターン</a:t>
          </a:r>
          <a:endParaRPr lang="en-US" altLang="ja-JP" sz="1100" b="0" i="0" baseline="0">
            <a:latin typeface="+mj-ea"/>
            <a:ea typeface="+mj-ea"/>
            <a:cs typeface="+mn-cs"/>
          </a:endParaRPr>
        </a:p>
        <a:p>
          <a:pPr rtl="0"/>
          <a:r>
            <a:rPr lang="ja-JP" altLang="en-US"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ja-JP" altLang="en-US" sz="1100" b="0" i="0" baseline="0">
              <a:latin typeface="+mj-ea"/>
              <a:ea typeface="+mj-ea"/>
              <a:cs typeface="+mn-cs"/>
            </a:rPr>
            <a:t>（空白）</a:t>
          </a:r>
          <a:endParaRPr lang="en-US" altLang="ja-JP" sz="1100" b="0" i="0" baseline="0">
            <a:latin typeface="+mj-ea"/>
            <a:ea typeface="+mj-ea"/>
            <a:cs typeface="+mn-cs"/>
          </a:endParaRPr>
        </a:p>
        <a:p>
          <a:pPr rtl="0">
            <a:lnSpc>
              <a:spcPts val="1300"/>
            </a:lnSpc>
          </a:pPr>
          <a:r>
            <a:rPr lang="ja-JP" altLang="en-US" sz="1100" b="0" i="0" baseline="0">
              <a:latin typeface="+mj-ea"/>
              <a:ea typeface="+mj-ea"/>
              <a:cs typeface="+mn-cs"/>
            </a:rPr>
            <a:t>　　　　　　　　　　</a:t>
          </a:r>
          <a:r>
            <a:rPr lang="ja-JP" altLang="ja-JP" sz="1100" b="0" i="0" baseline="0">
              <a:latin typeface="+mj-ea"/>
              <a:ea typeface="+mj-ea"/>
              <a:cs typeface="+mn-cs"/>
            </a:rPr>
            <a:t>・</a:t>
          </a:r>
          <a:r>
            <a:rPr lang="en-US" altLang="ja-JP" sz="1100" b="0" i="0" baseline="0">
              <a:latin typeface="+mj-ea"/>
              <a:ea typeface="+mj-ea"/>
              <a:cs typeface="+mn-cs"/>
            </a:rPr>
            <a:t>ResponseStream</a:t>
          </a:r>
          <a:r>
            <a:rPr lang="ja-JP" altLang="en-US" sz="1100" b="0" i="0" baseline="0">
              <a:latin typeface="+mj-ea"/>
              <a:ea typeface="+mj-ea"/>
              <a:cs typeface="+mn-cs"/>
            </a:rPr>
            <a:t>：</a:t>
          </a:r>
          <a:r>
            <a:rPr lang="ja-JP" altLang="ja-JP" sz="1100" b="0" i="0" baseline="0">
              <a:latin typeface="+mj-ea"/>
              <a:ea typeface="+mj-ea"/>
              <a:cs typeface="+mn-cs"/>
            </a:rPr>
            <a:t>応答</a:t>
          </a:r>
          <a:r>
            <a:rPr lang="ja-JP" altLang="en-US" sz="1100" b="0" i="0" baseline="0">
              <a:latin typeface="+mj-ea"/>
              <a:ea typeface="+mj-ea"/>
              <a:cs typeface="+mn-cs"/>
            </a:rPr>
            <a:t>電文</a:t>
          </a:r>
          <a:r>
            <a:rPr lang="ja-JP" altLang="ja-JP" sz="1100" b="0" i="0" baseline="0">
              <a:latin typeface="+mj-ea"/>
              <a:ea typeface="+mj-ea"/>
              <a:cs typeface="+mn-cs"/>
            </a:rPr>
            <a:t>そのもの</a:t>
          </a:r>
          <a:endParaRPr lang="ja-JP" altLang="ja-JP" sz="1100">
            <a:latin typeface="+mj-ea"/>
            <a:ea typeface="+mj-ea"/>
            <a:cs typeface="+mn-cs"/>
          </a:endParaRPr>
        </a:p>
        <a:p>
          <a:pPr rtl="0" fontAlgn="base">
            <a:lnSpc>
              <a:spcPts val="12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rtl="0" fontAlgn="base">
            <a:lnSpc>
              <a:spcPts val="1200"/>
            </a:lnSpc>
          </a:pPr>
          <a:r>
            <a:rPr lang="ja-JP" altLang="ja-JP" sz="1100" b="0" i="0" baseline="0">
              <a:latin typeface="+mj-ea"/>
              <a:ea typeface="+mj-ea"/>
              <a:cs typeface="+mn-cs"/>
            </a:rPr>
            <a:t>　　　　　　　　　　・応答電文を解析した結果を、シート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ID0003</a:t>
          </a:r>
          <a:r>
            <a:rPr lang="ja-JP" altLang="ja-JP" sz="1100" b="0" i="0" baseline="0">
              <a:latin typeface="+mj-ea"/>
              <a:ea typeface="+mj-ea"/>
              <a:cs typeface="+mn-cs"/>
            </a:rPr>
            <a:t>が存在する列に反映する。				</a:t>
          </a:r>
          <a:endParaRPr lang="ja-JP" altLang="ja-JP" sz="1100">
            <a:latin typeface="+mj-ea"/>
            <a:ea typeface="+mj-ea"/>
          </a:endParaRPr>
        </a:p>
        <a:p>
          <a:pPr rtl="0"/>
          <a:r>
            <a:rPr lang="ja-JP" altLang="ja-JP" sz="1100" b="0" i="0" baseline="0">
              <a:latin typeface="+mj-ea"/>
              <a:ea typeface="+mj-ea"/>
              <a:cs typeface="+mn-cs"/>
            </a:rPr>
            <a:t>							</a:t>
          </a:r>
          <a:endParaRPr lang="ja-JP" altLang="ja-JP" sz="1100">
            <a:latin typeface="+mj-ea"/>
            <a:ea typeface="+mj-ea"/>
          </a:endParaRPr>
        </a:p>
        <a:p>
          <a:pPr rtl="0" fontAlgn="base">
            <a:lnSpc>
              <a:spcPts val="1200"/>
            </a:lnSpc>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一括生成（</a:t>
          </a:r>
          <a:r>
            <a:rPr lang="en-US" altLang="ja-JP" sz="1100" b="0" i="0" baseline="0">
              <a:latin typeface="+mj-ea"/>
              <a:ea typeface="+mj-ea"/>
              <a:cs typeface="+mn-cs"/>
            </a:rPr>
            <a:t>CaseNo</a:t>
          </a:r>
          <a:r>
            <a:rPr lang="ja-JP" altLang="ja-JP" sz="1100" b="0" i="0" baseline="0">
              <a:latin typeface="+mj-ea"/>
              <a:ea typeface="+mj-ea"/>
              <a:cs typeface="+mn-cs"/>
            </a:rPr>
            <a:t>設定しない）</a:t>
          </a:r>
          <a:endParaRPr lang="en-US" altLang="ja-JP" sz="1100" b="0" i="0" baseline="0">
            <a:latin typeface="+mj-ea"/>
            <a:ea typeface="+mj-ea"/>
            <a:cs typeface="+mn-cs"/>
          </a:endParaRPr>
        </a:p>
        <a:p>
          <a:pPr rtl="0"/>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：（空白）</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en-US" altLang="ja-JP" sz="1100" b="0" i="0" baseline="0">
              <a:latin typeface="+mj-ea"/>
              <a:ea typeface="+mj-ea"/>
              <a:cs typeface="+mn-cs"/>
            </a:rPr>
            <a:t>C:\sample</a:t>
          </a:r>
          <a:endParaRPr lang="ja-JP" altLang="ja-JP" sz="1100">
            <a:latin typeface="+mj-ea"/>
            <a:ea typeface="+mj-ea"/>
            <a:cs typeface="+mn-cs"/>
          </a:endParaRPr>
        </a:p>
        <a:p>
          <a:pPr rtl="0" fontAlgn="base">
            <a:lnSpc>
              <a:spcPts val="13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a:lnSpc>
              <a:spcPts val="1100"/>
            </a:lnSpc>
          </a:pPr>
          <a:r>
            <a:rPr lang="ja-JP" altLang="ja-JP" sz="1100" b="0" i="0" baseline="0">
              <a:solidFill>
                <a:srgbClr val="FF0000"/>
              </a:solidFill>
              <a:latin typeface="+mj-ea"/>
              <a:ea typeface="+mj-ea"/>
              <a:cs typeface="+mn-cs"/>
            </a:rPr>
            <a:t>　　　　　　　　　</a:t>
          </a:r>
          <a:r>
            <a:rPr lang="ja-JP" altLang="ja-JP" sz="1100" b="0" i="0" baseline="0">
              <a:solidFill>
                <a:sysClr val="windowText" lastClr="000000"/>
              </a:solidFill>
              <a:latin typeface="+mj-ea"/>
              <a:ea typeface="+mj-ea"/>
              <a:cs typeface="+mn-cs"/>
            </a:rPr>
            <a:t>　・</a:t>
          </a:r>
          <a:r>
            <a:rPr lang="en-US" altLang="ja-JP" sz="1100" b="0" i="0" baseline="0">
              <a:solidFill>
                <a:sysClr val="windowText" lastClr="000000"/>
              </a:solidFill>
              <a:latin typeface="+mj-ea"/>
              <a:ea typeface="+mj-ea"/>
              <a:cs typeface="+mn-cs"/>
            </a:rPr>
            <a:t>C:\sample</a:t>
          </a:r>
          <a:r>
            <a:rPr lang="ja-JP" altLang="en-US" sz="1100" b="0" i="0" baseline="0">
              <a:solidFill>
                <a:sysClr val="windowText" lastClr="000000"/>
              </a:solidFill>
              <a:latin typeface="+mj-ea"/>
              <a:ea typeface="+mj-ea"/>
              <a:cs typeface="+mn-cs"/>
            </a:rPr>
            <a:t>配下すべての</a:t>
          </a:r>
          <a:r>
            <a:rPr lang="en-US" altLang="ja-JP" sz="1100" b="0" i="0" baseline="0">
              <a:solidFill>
                <a:sysClr val="windowText" lastClr="000000"/>
              </a:solidFill>
              <a:latin typeface="+mj-ea"/>
              <a:ea typeface="+mj-ea"/>
              <a:cs typeface="+mn-cs"/>
            </a:rPr>
            <a:t>B006_out_IDXXXX.txt</a:t>
          </a:r>
          <a:r>
            <a:rPr lang="ja-JP" altLang="en-US" sz="1100" b="0" i="0" baseline="0">
              <a:solidFill>
                <a:sysClr val="windowText" lastClr="000000"/>
              </a:solidFill>
              <a:latin typeface="+mj-ea"/>
              <a:ea typeface="+mj-ea"/>
              <a:cs typeface="+mn-cs"/>
            </a:rPr>
            <a:t>形式のファイルを読込み、</a:t>
          </a:r>
          <a:r>
            <a:rPr lang="ja-JP" altLang="ja-JP" sz="1100" b="0" i="0" baseline="0">
              <a:solidFill>
                <a:sysClr val="windowText" lastClr="000000"/>
              </a:solidFill>
              <a:latin typeface="+mj-ea"/>
              <a:ea typeface="+mj-ea"/>
              <a:cs typeface="+mn-cs"/>
            </a:rPr>
            <a:t>解析した結果それぞれをシート</a:t>
          </a:r>
          <a:r>
            <a:rPr lang="en-US" altLang="ja-JP" sz="1100" b="0" i="0" baseline="0">
              <a:solidFill>
                <a:sysClr val="windowText" lastClr="000000"/>
              </a:solidFill>
              <a:latin typeface="+mj-ea"/>
              <a:ea typeface="+mj-ea"/>
              <a:cs typeface="+mn-cs"/>
            </a:rPr>
            <a:t>B006</a:t>
          </a:r>
          <a:r>
            <a:rPr lang="ja-JP" altLang="ja-JP" sz="1100" b="0" i="0" baseline="0">
              <a:solidFill>
                <a:sysClr val="windowText" lastClr="000000"/>
              </a:solidFill>
              <a:latin typeface="+mj-ea"/>
              <a:ea typeface="+mj-ea"/>
              <a:cs typeface="+mn-cs"/>
            </a:rPr>
            <a:t>の</a:t>
          </a:r>
          <a:r>
            <a:rPr lang="en-US" altLang="ja-JP" sz="1100" b="0" i="0" baseline="0">
              <a:solidFill>
                <a:sysClr val="windowText" lastClr="000000"/>
              </a:solidFill>
              <a:latin typeface="+mj-ea"/>
              <a:ea typeface="+mj-ea"/>
              <a:cs typeface="+mn-cs"/>
            </a:rPr>
            <a:t>IDXXXX</a:t>
          </a:r>
          <a:r>
            <a:rPr lang="ja-JP" altLang="en-US" sz="1100" b="0" i="0" baseline="0">
              <a:solidFill>
                <a:sysClr val="windowText" lastClr="000000"/>
              </a:solidFill>
              <a:latin typeface="+mj-ea"/>
              <a:ea typeface="+mj-ea"/>
              <a:cs typeface="+mn-cs"/>
            </a:rPr>
            <a:t>に相応する</a:t>
          </a:r>
          <a:r>
            <a:rPr lang="ja-JP" altLang="ja-JP" sz="1100" b="0" i="0" baseline="0">
              <a:solidFill>
                <a:sysClr val="windowText" lastClr="000000"/>
              </a:solidFill>
              <a:latin typeface="+mj-ea"/>
              <a:ea typeface="+mj-ea"/>
              <a:cs typeface="+mn-cs"/>
            </a:rPr>
            <a:t>列に反映する。</a:t>
          </a:r>
          <a:endParaRPr lang="en-US" altLang="ja-JP" sz="1100" b="1" i="0" u="none" strike="noStrike" baseline="0">
            <a:solidFill>
              <a:srgbClr val="000000"/>
            </a:solidFill>
            <a:latin typeface="+mj-ea"/>
            <a:ea typeface="+mj-ea"/>
          </a:endParaRPr>
        </a:p>
        <a:p>
          <a:pPr algn="l" rtl="0">
            <a:lnSpc>
              <a:spcPts val="1200"/>
            </a:lnSpc>
            <a:defRPr sz="1000"/>
          </a:pP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③</a:t>
          </a:r>
          <a:r>
            <a:rPr lang="ja-JP" altLang="ja-JP" sz="1100" b="1" i="0">
              <a:latin typeface="+mj-ea"/>
              <a:ea typeface="+mj-ea"/>
              <a:cs typeface="+mn-cs"/>
            </a:rPr>
            <a:t>テストデータ</a:t>
          </a:r>
          <a:r>
            <a:rPr lang="ja-JP" altLang="en-US" sz="1100" b="1" i="0">
              <a:latin typeface="+mj-ea"/>
              <a:ea typeface="+mj-ea"/>
              <a:cs typeface="+mn-cs"/>
            </a:rPr>
            <a:t>を削除するなら</a:t>
          </a:r>
          <a:r>
            <a:rPr lang="ja-JP" altLang="ja-JP" sz="1100" b="1" i="0" baseline="0">
              <a:latin typeface="+mj-ea"/>
              <a:ea typeface="+mj-ea"/>
              <a:cs typeface="+mn-cs"/>
            </a:rPr>
            <a:t>　　⇒　　「</a:t>
          </a:r>
          <a:r>
            <a:rPr lang="en-US" altLang="ja-JP" sz="1100" b="1" i="0" baseline="0">
              <a:latin typeface="+mj-ea"/>
              <a:ea typeface="+mj-ea"/>
              <a:cs typeface="+mn-cs"/>
            </a:rPr>
            <a:t>ClearResult</a:t>
          </a:r>
          <a:r>
            <a:rPr lang="ja-JP" altLang="ja-JP" sz="1100" b="1" i="0" baseline="0">
              <a:latin typeface="+mj-ea"/>
              <a:ea typeface="+mj-ea"/>
              <a:cs typeface="+mn-cs"/>
            </a:rPr>
            <a:t>」ボタン</a:t>
          </a:r>
          <a:endParaRPr lang="en-US" altLang="ja-JP" sz="1100" b="1" i="0" baseline="0">
            <a:latin typeface="+mj-ea"/>
            <a:ea typeface="+mj-ea"/>
            <a:cs typeface="+mn-cs"/>
          </a:endParaRPr>
        </a:p>
        <a:p>
          <a:pPr rtl="0">
            <a:lnSpc>
              <a:spcPts val="1100"/>
            </a:lnSpc>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(1)</a:t>
          </a:r>
          <a:r>
            <a:rPr lang="ja-JP" altLang="ja-JP" sz="1100" b="0" i="0" baseline="0">
              <a:latin typeface="+mj-ea"/>
              <a:ea typeface="+mj-ea"/>
              <a:cs typeface="+mn-cs"/>
            </a:rPr>
            <a:t>　一件</a:t>
          </a:r>
          <a:r>
            <a:rPr lang="ja-JP" altLang="en-US" sz="1100" b="0" i="0" baseline="0">
              <a:latin typeface="+mj-ea"/>
              <a:ea typeface="+mj-ea"/>
              <a:cs typeface="+mn-cs"/>
            </a:rPr>
            <a:t>削除</a:t>
          </a:r>
          <a:r>
            <a:rPr lang="ja-JP" altLang="ja-JP" sz="1100" b="0" i="0" baseline="0">
              <a:latin typeface="+mj-ea"/>
              <a:ea typeface="+mj-ea"/>
              <a:cs typeface="+mn-cs"/>
            </a:rPr>
            <a:t>（</a:t>
          </a:r>
          <a:r>
            <a:rPr lang="en-US" altLang="ja-JP" sz="1100" b="0" i="0" baseline="0">
              <a:latin typeface="+mj-ea"/>
              <a:ea typeface="+mj-ea"/>
              <a:cs typeface="+mn-cs"/>
            </a:rPr>
            <a:t>CaseNo</a:t>
          </a:r>
          <a:r>
            <a:rPr lang="ja-JP" altLang="ja-JP" sz="1100" b="0" i="0" baseline="0">
              <a:latin typeface="+mj-ea"/>
              <a:ea typeface="+mj-ea"/>
              <a:cs typeface="+mn-cs"/>
            </a:rPr>
            <a:t>を設定する）									</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rtl="0" fontAlgn="base">
            <a:lnSpc>
              <a:spcPts val="1200"/>
            </a:lnSpc>
          </a:pPr>
          <a:r>
            <a:rPr lang="ja-JP" altLang="ja-JP" sz="1100" b="0" i="0" baseline="0">
              <a:latin typeface="+mj-ea"/>
              <a:ea typeface="+mj-ea"/>
              <a:cs typeface="+mn-cs"/>
            </a:rPr>
            <a:t>　　　　　　　　　　・シート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ID0003</a:t>
          </a:r>
          <a:r>
            <a:rPr lang="ja-JP" altLang="ja-JP" sz="1100" b="0" i="0" baseline="0">
              <a:latin typeface="+mj-ea"/>
              <a:ea typeface="+mj-ea"/>
              <a:cs typeface="+mn-cs"/>
            </a:rPr>
            <a:t>に相応する</a:t>
          </a:r>
          <a:r>
            <a:rPr lang="ja-JP" altLang="en-US" sz="1100" b="0" i="0" baseline="0">
              <a:latin typeface="+mj-ea"/>
              <a:ea typeface="+mj-ea"/>
              <a:cs typeface="+mn-cs"/>
            </a:rPr>
            <a:t>列のデータを削除する</a:t>
          </a:r>
          <a:r>
            <a:rPr lang="ja-JP" altLang="ja-JP" sz="1100" b="0" i="0" baseline="0">
              <a:latin typeface="+mj-ea"/>
              <a:ea typeface="+mj-ea"/>
              <a:cs typeface="+mn-cs"/>
            </a:rPr>
            <a:t>。</a:t>
          </a:r>
          <a:endParaRPr lang="en-US" altLang="ja-JP" sz="1100" b="0" i="0" baseline="0">
            <a:latin typeface="+mj-ea"/>
            <a:ea typeface="+mj-ea"/>
            <a:cs typeface="+mn-cs"/>
          </a:endParaRPr>
        </a:p>
        <a:p>
          <a:pPr rtl="0"/>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a:t>
          </a:r>
          <a:r>
            <a:rPr lang="ja-JP" altLang="en-US" sz="1100" b="0" i="0" baseline="0">
              <a:latin typeface="+mj-ea"/>
              <a:ea typeface="+mj-ea"/>
              <a:cs typeface="+mn-cs"/>
            </a:rPr>
            <a:t>一括</a:t>
          </a:r>
          <a:r>
            <a:rPr lang="ja-JP" altLang="ja-JP" sz="1100" b="0" i="0" baseline="0">
              <a:latin typeface="+mj-ea"/>
              <a:ea typeface="+mj-ea"/>
              <a:cs typeface="+mn-cs"/>
            </a:rPr>
            <a:t>削除（</a:t>
          </a:r>
          <a:r>
            <a:rPr lang="en-US" altLang="ja-JP" sz="1100" b="0" i="0" baseline="0">
              <a:latin typeface="+mj-ea"/>
              <a:ea typeface="+mj-ea"/>
              <a:cs typeface="+mn-cs"/>
            </a:rPr>
            <a:t>CaseNo</a:t>
          </a:r>
          <a:r>
            <a:rPr lang="ja-JP" altLang="ja-JP" sz="1100" b="0" i="0" baseline="0">
              <a:latin typeface="+mj-ea"/>
              <a:ea typeface="+mj-ea"/>
              <a:cs typeface="+mn-cs"/>
            </a:rPr>
            <a:t>を設定</a:t>
          </a:r>
          <a:r>
            <a:rPr lang="ja-JP" altLang="en-US" sz="1100" b="0" i="0" baseline="0">
              <a:latin typeface="+mj-ea"/>
              <a:ea typeface="+mj-ea"/>
              <a:cs typeface="+mn-cs"/>
            </a:rPr>
            <a:t>しない</a:t>
          </a:r>
          <a:r>
            <a:rPr lang="ja-JP" altLang="ja-JP" sz="1100" b="0" i="0" baseline="0">
              <a:latin typeface="+mj-ea"/>
              <a:ea typeface="+mj-ea"/>
              <a:cs typeface="+mn-cs"/>
            </a:rPr>
            <a:t>）									</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lnSpc>
              <a:spcPts val="13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ja-JP" altLang="en-US" sz="1100" b="0" i="0" baseline="0">
              <a:latin typeface="+mj-ea"/>
              <a:ea typeface="+mj-ea"/>
              <a:cs typeface="+mn-cs"/>
            </a:rPr>
            <a:t>（空白）</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fontAlgn="base"/>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AD</a:t>
          </a:r>
          <a:r>
            <a:rPr lang="ja-JP" altLang="en-US" sz="1100" b="0" i="0" baseline="0">
              <a:latin typeface="+mj-ea"/>
              <a:ea typeface="+mj-ea"/>
              <a:cs typeface="+mn-cs"/>
            </a:rPr>
            <a:t>列</a:t>
          </a:r>
          <a:r>
            <a:rPr lang="ja-JP" altLang="ja-JP" sz="1100" b="0" i="0" baseline="0">
              <a:latin typeface="+mj-ea"/>
              <a:ea typeface="+mj-ea"/>
              <a:cs typeface="+mn-cs"/>
            </a:rPr>
            <a:t>以降</a:t>
          </a:r>
          <a:r>
            <a:rPr lang="ja-JP" altLang="en-US" sz="1100" b="0" i="0" baseline="0">
              <a:latin typeface="+mj-ea"/>
              <a:ea typeface="+mj-ea"/>
              <a:cs typeface="+mn-cs"/>
            </a:rPr>
            <a:t>のデータ全件</a:t>
          </a:r>
          <a:r>
            <a:rPr lang="ja-JP" altLang="ja-JP" sz="1100" b="0" i="0" baseline="0">
              <a:latin typeface="+mj-ea"/>
              <a:ea typeface="+mj-ea"/>
              <a:cs typeface="+mn-cs"/>
            </a:rPr>
            <a:t>を削除する。</a:t>
          </a:r>
          <a:endParaRPr lang="en-US" altLang="ja-JP" sz="1100" b="0" i="0" baseline="0">
            <a:latin typeface="+mj-ea"/>
            <a:ea typeface="+mj-ea"/>
            <a:cs typeface="+mn-cs"/>
          </a:endParaRPr>
        </a:p>
        <a:p>
          <a:pPr algn="l" rtl="0">
            <a:lnSpc>
              <a:spcPts val="1200"/>
            </a:lnSpc>
            <a:defRPr sz="1000"/>
          </a:pP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④</a:t>
          </a:r>
          <a:r>
            <a:rPr lang="ja-JP" altLang="ja-JP" sz="1100" b="1" i="0" baseline="0">
              <a:latin typeface="+mj-ea"/>
              <a:ea typeface="+mj-ea"/>
              <a:cs typeface="+mn-cs"/>
            </a:rPr>
            <a:t>要求</a:t>
          </a:r>
          <a:r>
            <a:rPr lang="en-US" altLang="ja-JP" sz="1100" b="1" i="0" baseline="0">
              <a:latin typeface="+mj-ea"/>
              <a:ea typeface="+mj-ea"/>
              <a:cs typeface="+mn-cs"/>
            </a:rPr>
            <a:t>XML</a:t>
          </a:r>
          <a:r>
            <a:rPr lang="ja-JP" altLang="en-US" sz="1100" b="1" i="0" baseline="0">
              <a:latin typeface="+mj-ea"/>
              <a:ea typeface="+mj-ea"/>
              <a:cs typeface="+mn-cs"/>
            </a:rPr>
            <a:t>ファイル</a:t>
          </a:r>
          <a:r>
            <a:rPr lang="ja-JP" altLang="ja-JP" sz="1100" b="1" i="0" baseline="0">
              <a:latin typeface="+mj-ea"/>
              <a:ea typeface="+mj-ea"/>
              <a:cs typeface="+mn-cs"/>
            </a:rPr>
            <a:t>を生成するなら　　⇒　　</a:t>
          </a:r>
          <a:r>
            <a:rPr lang="ja-JP" altLang="en-US" sz="1100" b="1" i="0" baseline="0">
              <a:latin typeface="+mj-ea"/>
              <a:ea typeface="+mj-ea"/>
              <a:cs typeface="+mn-cs"/>
            </a:rPr>
            <a:t>「</a:t>
          </a:r>
          <a:r>
            <a:rPr lang="en-US" altLang="ja-JP" sz="1100" b="1" i="0" baseline="0">
              <a:latin typeface="+mj-ea"/>
              <a:ea typeface="+mj-ea"/>
              <a:cs typeface="+mn-cs"/>
            </a:rPr>
            <a:t>GenerateInXml</a:t>
          </a:r>
          <a:r>
            <a:rPr lang="ja-JP" altLang="en-US" sz="1100" b="1" i="0" baseline="0">
              <a:latin typeface="+mj-ea"/>
              <a:ea typeface="+mj-ea"/>
              <a:cs typeface="+mn-cs"/>
            </a:rPr>
            <a:t>」ボタン</a:t>
          </a:r>
          <a:endParaRPr lang="en-US" altLang="ja-JP" sz="1100" b="1" i="0" baseline="0">
            <a:latin typeface="+mj-ea"/>
            <a:ea typeface="+mj-ea"/>
            <a:cs typeface="+mn-cs"/>
          </a:endParaRPr>
        </a:p>
        <a:p>
          <a:pPr algn="l" rtl="0">
            <a:lnSpc>
              <a:spcPts val="1100"/>
            </a:lnSpc>
            <a:defRPr sz="1000"/>
          </a:pP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項目</a:t>
          </a:r>
          <a:r>
            <a:rPr lang="ja-JP" altLang="ja-JP" sz="1100" b="0" i="0" baseline="0">
              <a:latin typeface="+mj-ea"/>
              <a:ea typeface="+mj-ea"/>
              <a:cs typeface="+mn-cs"/>
            </a:rPr>
            <a:t>設定</a:t>
          </a:r>
          <a:r>
            <a:rPr lang="ja-JP" altLang="en-US" sz="1100" b="0" i="0" baseline="0">
              <a:latin typeface="+mj-ea"/>
              <a:ea typeface="+mj-ea"/>
              <a:cs typeface="+mn-cs"/>
            </a:rPr>
            <a:t>については、①</a:t>
          </a:r>
          <a:r>
            <a:rPr lang="ja-JP" altLang="ja-JP" sz="1100" b="0" i="0" baseline="0">
              <a:latin typeface="+mj-ea"/>
              <a:ea typeface="+mj-ea"/>
              <a:cs typeface="+mn-cs"/>
            </a:rPr>
            <a:t>「</a:t>
          </a:r>
          <a:r>
            <a:rPr lang="en-US" altLang="ja-JP" sz="1100" b="0" i="0" baseline="0">
              <a:latin typeface="+mj-ea"/>
              <a:ea typeface="+mj-ea"/>
              <a:cs typeface="+mn-cs"/>
            </a:rPr>
            <a:t>Generate-IN</a:t>
          </a:r>
          <a:r>
            <a:rPr lang="ja-JP" altLang="ja-JP" sz="1100" b="0" i="0" baseline="0">
              <a:latin typeface="+mj-ea"/>
              <a:ea typeface="+mj-ea"/>
              <a:cs typeface="+mn-cs"/>
            </a:rPr>
            <a:t>」ボタン</a:t>
          </a:r>
          <a:r>
            <a:rPr lang="ja-JP" altLang="en-US" sz="1100" b="0" i="0" baseline="0">
              <a:latin typeface="+mj-ea"/>
              <a:ea typeface="+mj-ea"/>
              <a:cs typeface="+mn-cs"/>
            </a:rPr>
            <a:t>と同様。</a:t>
          </a:r>
          <a:endParaRPr lang="en-US" altLang="ja-JP" sz="1100" b="0" i="0" baseline="0">
            <a:latin typeface="+mj-ea"/>
            <a:ea typeface="+mj-ea"/>
            <a:cs typeface="+mn-cs"/>
          </a:endParaRPr>
        </a:p>
        <a:p>
          <a:pPr algn="l" rtl="0">
            <a:lnSpc>
              <a:spcPts val="1300"/>
            </a:lnSpc>
            <a:defRPr sz="1000"/>
          </a:pPr>
          <a:endParaRPr lang="en-US" altLang="ja-JP" sz="1100" b="0" i="0" u="none" strike="noStrike" baseline="0">
            <a:solidFill>
              <a:srgbClr val="000000"/>
            </a:solidFill>
            <a:latin typeface="+mj-ea"/>
            <a:ea typeface="+mj-ea"/>
            <a:cs typeface="+mn-cs"/>
          </a:endParaRPr>
        </a:p>
        <a:p>
          <a:pPr rtl="0" fontAlgn="base">
            <a:lnSpc>
              <a:spcPts val="1100"/>
            </a:lnSpc>
          </a:pPr>
          <a:r>
            <a:rPr lang="ja-JP" altLang="ja-JP" sz="1100" b="1" i="0" baseline="0">
              <a:latin typeface="+mn-lt"/>
              <a:ea typeface="+mn-ea"/>
              <a:cs typeface="+mn-cs"/>
            </a:rPr>
            <a:t>　　</a:t>
          </a:r>
          <a:r>
            <a:rPr lang="ja-JP" altLang="en-US" sz="1100" b="1" i="0" baseline="0">
              <a:latin typeface="+mn-lt"/>
              <a:ea typeface="+mn-ea"/>
              <a:cs typeface="+mn-cs"/>
            </a:rPr>
            <a:t>⑤応答</a:t>
          </a:r>
          <a:r>
            <a:rPr lang="en-US" altLang="ja-JP" sz="1100" b="1" i="0" baseline="0">
              <a:latin typeface="+mn-lt"/>
              <a:ea typeface="+mn-ea"/>
              <a:cs typeface="+mn-cs"/>
            </a:rPr>
            <a:t>XML</a:t>
          </a:r>
          <a:r>
            <a:rPr lang="ja-JP" altLang="ja-JP" sz="1100" b="1" i="0" baseline="0">
              <a:latin typeface="+mn-lt"/>
              <a:ea typeface="+mn-ea"/>
              <a:cs typeface="+mn-cs"/>
            </a:rPr>
            <a:t>ファイルを生成するなら　　⇒　　「</a:t>
          </a:r>
          <a:r>
            <a:rPr lang="en-US" altLang="ja-JP" sz="1100" b="1" i="0" baseline="0">
              <a:latin typeface="+mn-lt"/>
              <a:ea typeface="+mn-ea"/>
              <a:cs typeface="+mn-cs"/>
            </a:rPr>
            <a:t>GenerateOutXml</a:t>
          </a:r>
          <a:r>
            <a:rPr lang="ja-JP" altLang="ja-JP" sz="1100" b="1" i="0" baseline="0">
              <a:latin typeface="+mn-lt"/>
              <a:ea typeface="+mn-ea"/>
              <a:cs typeface="+mn-cs"/>
            </a:rPr>
            <a:t>」ボタン</a:t>
          </a:r>
          <a:endParaRPr lang="en-US" altLang="ja-JP" sz="1100" b="1" i="0" baseline="0">
            <a:latin typeface="+mn-lt"/>
            <a:ea typeface="+mn-ea"/>
            <a:cs typeface="+mn-cs"/>
          </a:endParaRPr>
        </a:p>
        <a:p>
          <a:pPr rtl="0" fontAlgn="base">
            <a:lnSpc>
              <a:spcPts val="1200"/>
            </a:lnSpc>
          </a:pPr>
          <a:r>
            <a:rPr lang="ja-JP" altLang="ja-JP" sz="1100" b="0" i="0" baseline="0">
              <a:latin typeface="+mn-lt"/>
              <a:ea typeface="+mn-ea"/>
              <a:cs typeface="+mn-cs"/>
            </a:rPr>
            <a:t>　　　　</a:t>
          </a:r>
          <a:r>
            <a:rPr lang="en-US" altLang="ja-JP" sz="1100" b="0" i="0" baseline="0">
              <a:latin typeface="+mn-lt"/>
              <a:ea typeface="+mn-ea"/>
              <a:cs typeface="+mn-cs"/>
            </a:rPr>
            <a:t>※</a:t>
          </a:r>
          <a:r>
            <a:rPr lang="ja-JP" altLang="ja-JP" sz="1100" b="0" i="0" baseline="0">
              <a:latin typeface="+mn-lt"/>
              <a:ea typeface="+mn-ea"/>
              <a:cs typeface="+mn-cs"/>
            </a:rPr>
            <a:t>項目設定については、</a:t>
          </a:r>
          <a:r>
            <a:rPr lang="ja-JP" altLang="en-US" sz="1100" b="0" i="0" baseline="0">
              <a:latin typeface="+mn-lt"/>
              <a:ea typeface="+mn-ea"/>
              <a:cs typeface="+mn-cs"/>
            </a:rPr>
            <a:t>②</a:t>
          </a:r>
          <a:r>
            <a:rPr lang="ja-JP" altLang="ja-JP" sz="1100" b="0" i="0" baseline="0">
              <a:latin typeface="+mn-lt"/>
              <a:ea typeface="+mn-ea"/>
              <a:cs typeface="+mn-cs"/>
            </a:rPr>
            <a:t>「</a:t>
          </a:r>
          <a:r>
            <a:rPr lang="en-US" altLang="ja-JP" sz="1100" b="0" i="0" baseline="0">
              <a:latin typeface="+mn-lt"/>
              <a:ea typeface="+mn-ea"/>
              <a:cs typeface="+mn-cs"/>
            </a:rPr>
            <a:t>Analyze-OUT</a:t>
          </a:r>
          <a:r>
            <a:rPr lang="ja-JP" altLang="ja-JP" sz="1100" b="0" i="0" baseline="0">
              <a:latin typeface="+mn-lt"/>
              <a:ea typeface="+mn-ea"/>
              <a:cs typeface="+mn-cs"/>
            </a:rPr>
            <a:t>」ボタンと同様。</a:t>
          </a:r>
          <a:endParaRPr lang="en-US" altLang="ja-JP" sz="1100" b="0" i="0" baseline="0">
            <a:latin typeface="+mn-lt"/>
            <a:ea typeface="+mn-ea"/>
            <a:cs typeface="+mn-cs"/>
          </a:endParaRPr>
        </a:p>
        <a:p>
          <a:pPr marL="0" marR="0" indent="0" defTabSz="914400" rtl="0" eaLnBrk="1" fontAlgn="base" latinLnBrk="0" hangingPunct="1">
            <a:lnSpc>
              <a:spcPts val="1100"/>
            </a:lnSpc>
            <a:spcBef>
              <a:spcPts val="0"/>
            </a:spcBef>
            <a:spcAft>
              <a:spcPts val="0"/>
            </a:spcAft>
            <a:buClrTx/>
            <a:buSzTx/>
            <a:buFontTx/>
            <a:buNone/>
            <a:tabLst/>
            <a:defRPr/>
          </a:pPr>
          <a:r>
            <a:rPr lang="ja-JP" altLang="ja-JP" sz="1100" b="0" i="0" baseline="0">
              <a:latin typeface="+mn-lt"/>
              <a:ea typeface="+mn-ea"/>
              <a:cs typeface="+mn-cs"/>
            </a:rPr>
            <a:t>　　　　　　</a:t>
          </a:r>
          <a:endParaRPr lang="ja-JP" altLang="en-US" sz="1100" b="0" i="0" u="none" strike="noStrike" baseline="0">
            <a:solidFill>
              <a:srgbClr val="000000"/>
            </a:solidFill>
            <a:latin typeface="+mj-ea"/>
            <a:ea typeface="+mj-ea"/>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15</xdr:row>
          <xdr:rowOff>61913</xdr:rowOff>
        </xdr:from>
        <xdr:to>
          <xdr:col>2</xdr:col>
          <xdr:colOff>342900</xdr:colOff>
          <xdr:row>17</xdr:row>
          <xdr:rowOff>119063</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9940386-3F60-434F-B09D-806C7E3DB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280988</xdr:colOff>
          <xdr:row>5</xdr:row>
          <xdr:rowOff>100013</xdr:rowOff>
        </xdr:from>
        <xdr:to>
          <xdr:col>3</xdr:col>
          <xdr:colOff>604838</xdr:colOff>
          <xdr:row>6</xdr:row>
          <xdr:rowOff>157163</xdr:rowOff>
        </xdr:to>
        <xdr:sp macro="" textlink="">
          <xdr:nvSpPr>
            <xdr:cNvPr id="2050" name="ISheet" hidden="1">
              <a:extLst>
                <a:ext uri="{63B3BB69-23CF-44E3-9099-C40C66FF867C}">
                  <a14:compatExt spid="_x0000_s2050"/>
                </a:ext>
                <a:ext uri="{FF2B5EF4-FFF2-40B4-BE49-F238E27FC236}">
                  <a16:creationId xmlns:a16="http://schemas.microsoft.com/office/drawing/2014/main" id="{F3058973-BBE1-4A0B-996F-8181975C7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7</xdr:row>
          <xdr:rowOff>90488</xdr:rowOff>
        </xdr:from>
        <xdr:to>
          <xdr:col>7</xdr:col>
          <xdr:colOff>142875</xdr:colOff>
          <xdr:row>9</xdr:row>
          <xdr:rowOff>4763</xdr:rowOff>
        </xdr:to>
        <xdr:sp macro="" textlink="">
          <xdr:nvSpPr>
            <xdr:cNvPr id="2051" name="OPath" hidden="1">
              <a:extLst>
                <a:ext uri="{63B3BB69-23CF-44E3-9099-C40C66FF867C}">
                  <a14:compatExt spid="_x0000_s2051"/>
                </a:ext>
                <a:ext uri="{FF2B5EF4-FFF2-40B4-BE49-F238E27FC236}">
                  <a16:creationId xmlns:a16="http://schemas.microsoft.com/office/drawing/2014/main" id="{702BF942-9CE6-4249-B0B0-EDCC0D4B2F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133350</xdr:rowOff>
        </xdr:from>
        <xdr:to>
          <xdr:col>2</xdr:col>
          <xdr:colOff>285750</xdr:colOff>
          <xdr:row>6</xdr:row>
          <xdr:rowOff>123825</xdr:rowOff>
        </xdr:to>
        <xdr:sp macro="" textlink="">
          <xdr:nvSpPr>
            <xdr:cNvPr id="2052" name="Label1" hidden="1">
              <a:extLst>
                <a:ext uri="{63B3BB69-23CF-44E3-9099-C40C66FF867C}">
                  <a14:compatExt spid="_x0000_s2052"/>
                </a:ext>
                <a:ext uri="{FF2B5EF4-FFF2-40B4-BE49-F238E27FC236}">
                  <a16:creationId xmlns:a16="http://schemas.microsoft.com/office/drawing/2014/main" id="{298CA0A5-AD07-4C40-B423-B1EAB1B5DB4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123825</xdr:rowOff>
        </xdr:from>
        <xdr:to>
          <xdr:col>2</xdr:col>
          <xdr:colOff>514350</xdr:colOff>
          <xdr:row>8</xdr:row>
          <xdr:rowOff>123825</xdr:rowOff>
        </xdr:to>
        <xdr:sp macro="" textlink="">
          <xdr:nvSpPr>
            <xdr:cNvPr id="2053" name="Label2" hidden="1">
              <a:extLst>
                <a:ext uri="{63B3BB69-23CF-44E3-9099-C40C66FF867C}">
                  <a14:compatExt spid="_x0000_s2053"/>
                </a:ext>
                <a:ext uri="{FF2B5EF4-FFF2-40B4-BE49-F238E27FC236}">
                  <a16:creationId xmlns:a16="http://schemas.microsoft.com/office/drawing/2014/main" id="{52396081-F712-409E-A57F-31BFBF31E21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423863</xdr:colOff>
          <xdr:row>15</xdr:row>
          <xdr:rowOff>61913</xdr:rowOff>
        </xdr:from>
        <xdr:to>
          <xdr:col>4</xdr:col>
          <xdr:colOff>61913</xdr:colOff>
          <xdr:row>17</xdr:row>
          <xdr:rowOff>109538</xdr:rowOff>
        </xdr:to>
        <xdr:sp macro="" textlink="">
          <xdr:nvSpPr>
            <xdr:cNvPr id="2054" name="CommandButton2" hidden="1">
              <a:extLst>
                <a:ext uri="{63B3BB69-23CF-44E3-9099-C40C66FF867C}">
                  <a14:compatExt spid="_x0000_s2054"/>
                </a:ext>
                <a:ext uri="{FF2B5EF4-FFF2-40B4-BE49-F238E27FC236}">
                  <a16:creationId xmlns:a16="http://schemas.microsoft.com/office/drawing/2014/main" id="{48CB8D41-66CA-42BE-AFB6-79E63FE921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100013</xdr:rowOff>
        </xdr:from>
        <xdr:to>
          <xdr:col>2</xdr:col>
          <xdr:colOff>514350</xdr:colOff>
          <xdr:row>13</xdr:row>
          <xdr:rowOff>128588</xdr:rowOff>
        </xdr:to>
        <xdr:sp macro="" textlink="">
          <xdr:nvSpPr>
            <xdr:cNvPr id="2055" name="Label3" hidden="1">
              <a:extLst>
                <a:ext uri="{63B3BB69-23CF-44E3-9099-C40C66FF867C}">
                  <a14:compatExt spid="_x0000_s2055"/>
                </a:ext>
                <a:ext uri="{FF2B5EF4-FFF2-40B4-BE49-F238E27FC236}">
                  <a16:creationId xmlns:a16="http://schemas.microsoft.com/office/drawing/2014/main" id="{7B99B4F8-6778-43B8-8E86-FB4BA52885B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12</xdr:row>
          <xdr:rowOff>100013</xdr:rowOff>
        </xdr:from>
        <xdr:to>
          <xdr:col>11</xdr:col>
          <xdr:colOff>238125</xdr:colOff>
          <xdr:row>14</xdr:row>
          <xdr:rowOff>14288</xdr:rowOff>
        </xdr:to>
        <xdr:sp macro="" textlink="">
          <xdr:nvSpPr>
            <xdr:cNvPr id="2056" name="OStream" hidden="1">
              <a:extLst>
                <a:ext uri="{63B3BB69-23CF-44E3-9099-C40C66FF867C}">
                  <a14:compatExt spid="_x0000_s2056"/>
                </a:ext>
                <a:ext uri="{FF2B5EF4-FFF2-40B4-BE49-F238E27FC236}">
                  <a16:creationId xmlns:a16="http://schemas.microsoft.com/office/drawing/2014/main" id="{45E7E294-47FB-4895-8ECE-68E7A14D1FD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638175</xdr:colOff>
          <xdr:row>5</xdr:row>
          <xdr:rowOff>119063</xdr:rowOff>
        </xdr:from>
        <xdr:to>
          <xdr:col>4</xdr:col>
          <xdr:colOff>542925</xdr:colOff>
          <xdr:row>6</xdr:row>
          <xdr:rowOff>157163</xdr:rowOff>
        </xdr:to>
        <xdr:sp macro="" textlink="">
          <xdr:nvSpPr>
            <xdr:cNvPr id="2058" name="Label4" hidden="1">
              <a:extLst>
                <a:ext uri="{63B3BB69-23CF-44E3-9099-C40C66FF867C}">
                  <a14:compatExt spid="_x0000_s2058"/>
                </a:ext>
                <a:ext uri="{FF2B5EF4-FFF2-40B4-BE49-F238E27FC236}">
                  <a16:creationId xmlns:a16="http://schemas.microsoft.com/office/drawing/2014/main" id="{864D650A-0C1D-4098-BB68-2CA18DE4B6C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5</xdr:row>
          <xdr:rowOff>100013</xdr:rowOff>
        </xdr:from>
        <xdr:to>
          <xdr:col>5</xdr:col>
          <xdr:colOff>514350</xdr:colOff>
          <xdr:row>7</xdr:row>
          <xdr:rowOff>4763</xdr:rowOff>
        </xdr:to>
        <xdr:sp macro="" textlink="">
          <xdr:nvSpPr>
            <xdr:cNvPr id="2059" name="CaseNo" hidden="1">
              <a:extLst>
                <a:ext uri="{63B3BB69-23CF-44E3-9099-C40C66FF867C}">
                  <a14:compatExt spid="_x0000_s2059"/>
                </a:ext>
                <a:ext uri="{FF2B5EF4-FFF2-40B4-BE49-F238E27FC236}">
                  <a16:creationId xmlns:a16="http://schemas.microsoft.com/office/drawing/2014/main" id="{BF318432-883B-41C9-8216-BF4860DA5ED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52388</xdr:rowOff>
        </xdr:from>
        <xdr:to>
          <xdr:col>2</xdr:col>
          <xdr:colOff>542925</xdr:colOff>
          <xdr:row>10</xdr:row>
          <xdr:rowOff>90488</xdr:rowOff>
        </xdr:to>
        <xdr:sp macro="" textlink="">
          <xdr:nvSpPr>
            <xdr:cNvPr id="2062" name="Label6" hidden="1">
              <a:extLst>
                <a:ext uri="{63B3BB69-23CF-44E3-9099-C40C66FF867C}">
                  <a14:compatExt spid="_x0000_s2062"/>
                </a:ext>
                <a:ext uri="{FF2B5EF4-FFF2-40B4-BE49-F238E27FC236}">
                  <a16:creationId xmlns:a16="http://schemas.microsoft.com/office/drawing/2014/main" id="{D7403513-1385-470F-83A7-5D21E85007E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9</xdr:row>
          <xdr:rowOff>42863</xdr:rowOff>
        </xdr:from>
        <xdr:to>
          <xdr:col>9</xdr:col>
          <xdr:colOff>352425</xdr:colOff>
          <xdr:row>10</xdr:row>
          <xdr:rowOff>100013</xdr:rowOff>
        </xdr:to>
        <xdr:sp macro="" textlink="">
          <xdr:nvSpPr>
            <xdr:cNvPr id="2063" name="IFile" hidden="1">
              <a:extLst>
                <a:ext uri="{63B3BB69-23CF-44E3-9099-C40C66FF867C}">
                  <a14:compatExt spid="_x0000_s2063"/>
                </a:ext>
                <a:ext uri="{FF2B5EF4-FFF2-40B4-BE49-F238E27FC236}">
                  <a16:creationId xmlns:a16="http://schemas.microsoft.com/office/drawing/2014/main" id="{2E214A88-2682-4740-9ED2-192EFEC139F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442913</xdr:colOff>
          <xdr:row>5</xdr:row>
          <xdr:rowOff>109538</xdr:rowOff>
        </xdr:from>
        <xdr:to>
          <xdr:col>10</xdr:col>
          <xdr:colOff>80963</xdr:colOff>
          <xdr:row>6</xdr:row>
          <xdr:rowOff>109538</xdr:rowOff>
        </xdr:to>
        <xdr:sp macro="" textlink="">
          <xdr:nvSpPr>
            <xdr:cNvPr id="2064" name="Label7" hidden="1">
              <a:extLst>
                <a:ext uri="{63B3BB69-23CF-44E3-9099-C40C66FF867C}">
                  <a14:compatExt spid="_x0000_s2064"/>
                </a:ext>
                <a:ext uri="{FF2B5EF4-FFF2-40B4-BE49-F238E27FC236}">
                  <a16:creationId xmlns:a16="http://schemas.microsoft.com/office/drawing/2014/main" id="{57A3FEE0-0493-47DB-A678-1C4D283426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61913</xdr:colOff>
          <xdr:row>5</xdr:row>
          <xdr:rowOff>80963</xdr:rowOff>
        </xdr:from>
        <xdr:to>
          <xdr:col>10</xdr:col>
          <xdr:colOff>623888</xdr:colOff>
          <xdr:row>6</xdr:row>
          <xdr:rowOff>147638</xdr:rowOff>
        </xdr:to>
        <xdr:sp macro="" textlink="">
          <xdr:nvSpPr>
            <xdr:cNvPr id="2065" name="caseCol" hidden="1">
              <a:extLst>
                <a:ext uri="{63B3BB69-23CF-44E3-9099-C40C66FF867C}">
                  <a14:compatExt spid="_x0000_s2065"/>
                </a:ext>
                <a:ext uri="{FF2B5EF4-FFF2-40B4-BE49-F238E27FC236}">
                  <a16:creationId xmlns:a16="http://schemas.microsoft.com/office/drawing/2014/main" id="{63D50171-94BD-49CE-9FC5-2FEECDC51EE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90488</xdr:colOff>
          <xdr:row>15</xdr:row>
          <xdr:rowOff>71438</xdr:rowOff>
        </xdr:from>
        <xdr:to>
          <xdr:col>5</xdr:col>
          <xdr:colOff>347663</xdr:colOff>
          <xdr:row>17</xdr:row>
          <xdr:rowOff>90488</xdr:rowOff>
        </xdr:to>
        <xdr:sp macro="" textlink="">
          <xdr:nvSpPr>
            <xdr:cNvPr id="2067" name="CommandButton4" hidden="1">
              <a:extLst>
                <a:ext uri="{63B3BB69-23CF-44E3-9099-C40C66FF867C}">
                  <a14:compatExt spid="_x0000_s2067"/>
                </a:ext>
                <a:ext uri="{FF2B5EF4-FFF2-40B4-BE49-F238E27FC236}">
                  <a16:creationId xmlns:a16="http://schemas.microsoft.com/office/drawing/2014/main" id="{4D79AE1B-0368-404F-872E-56BBE24599B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476250</xdr:colOff>
          <xdr:row>17</xdr:row>
          <xdr:rowOff>133350</xdr:rowOff>
        </xdr:from>
        <xdr:to>
          <xdr:col>11</xdr:col>
          <xdr:colOff>142875</xdr:colOff>
          <xdr:row>19</xdr:row>
          <xdr:rowOff>114300</xdr:rowOff>
        </xdr:to>
        <xdr:sp macro="" textlink="">
          <xdr:nvSpPr>
            <xdr:cNvPr id="2068" name="CommandButton3" hidden="1">
              <a:extLst>
                <a:ext uri="{63B3BB69-23CF-44E3-9099-C40C66FF867C}">
                  <a14:compatExt spid="_x0000_s2068"/>
                </a:ext>
                <a:ext uri="{FF2B5EF4-FFF2-40B4-BE49-F238E27FC236}">
                  <a16:creationId xmlns:a16="http://schemas.microsoft.com/office/drawing/2014/main" id="{C4C94E16-A798-497F-8BBA-FB26906D29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466725</xdr:colOff>
          <xdr:row>15</xdr:row>
          <xdr:rowOff>71438</xdr:rowOff>
        </xdr:from>
        <xdr:to>
          <xdr:col>11</xdr:col>
          <xdr:colOff>38100</xdr:colOff>
          <xdr:row>17</xdr:row>
          <xdr:rowOff>52388</xdr:rowOff>
        </xdr:to>
        <xdr:sp macro="" textlink="">
          <xdr:nvSpPr>
            <xdr:cNvPr id="2069" name="CommandButton5" hidden="1">
              <a:extLst>
                <a:ext uri="{63B3BB69-23CF-44E3-9099-C40C66FF867C}">
                  <a14:compatExt spid="_x0000_s2069"/>
                </a:ext>
                <a:ext uri="{FF2B5EF4-FFF2-40B4-BE49-F238E27FC236}">
                  <a16:creationId xmlns:a16="http://schemas.microsoft.com/office/drawing/2014/main" id="{983791F3-7EF6-4FC4-A867-DA11E77E0B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80963</xdr:rowOff>
        </xdr:from>
        <xdr:to>
          <xdr:col>8</xdr:col>
          <xdr:colOff>257175</xdr:colOff>
          <xdr:row>17</xdr:row>
          <xdr:rowOff>61913</xdr:rowOff>
        </xdr:to>
        <xdr:sp macro="" textlink="">
          <xdr:nvSpPr>
            <xdr:cNvPr id="2484" name="CommandButton6" hidden="1">
              <a:extLst>
                <a:ext uri="{63B3BB69-23CF-44E3-9099-C40C66FF867C}">
                  <a14:compatExt spid="_x0000_s2484"/>
                </a:ext>
                <a:ext uri="{FF2B5EF4-FFF2-40B4-BE49-F238E27FC236}">
                  <a16:creationId xmlns:a16="http://schemas.microsoft.com/office/drawing/2014/main" id="{BD0B0323-6FF8-48C3-8ADF-241E5E45EF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17</xdr:row>
          <xdr:rowOff>109538</xdr:rowOff>
        </xdr:from>
        <xdr:to>
          <xdr:col>8</xdr:col>
          <xdr:colOff>314325</xdr:colOff>
          <xdr:row>19</xdr:row>
          <xdr:rowOff>90488</xdr:rowOff>
        </xdr:to>
        <xdr:sp macro="" textlink="">
          <xdr:nvSpPr>
            <xdr:cNvPr id="2485" name="CommandButton7" hidden="1">
              <a:extLst>
                <a:ext uri="{63B3BB69-23CF-44E3-9099-C40C66FF867C}">
                  <a14:compatExt spid="_x0000_s2485"/>
                </a:ext>
                <a:ext uri="{FF2B5EF4-FFF2-40B4-BE49-F238E27FC236}">
                  <a16:creationId xmlns:a16="http://schemas.microsoft.com/office/drawing/2014/main" id="{D414E9F8-D7BE-4E15-94DF-074C616B33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414338</xdr:colOff>
          <xdr:row>18</xdr:row>
          <xdr:rowOff>9525</xdr:rowOff>
        </xdr:from>
        <xdr:to>
          <xdr:col>4</xdr:col>
          <xdr:colOff>366713</xdr:colOff>
          <xdr:row>20</xdr:row>
          <xdr:rowOff>57150</xdr:rowOff>
        </xdr:to>
        <xdr:sp macro="" textlink="">
          <xdr:nvSpPr>
            <xdr:cNvPr id="2486" name="CommandButton8" hidden="1">
              <a:extLst>
                <a:ext uri="{63B3BB69-23CF-44E3-9099-C40C66FF867C}">
                  <a14:compatExt spid="_x0000_s2486"/>
                </a:ext>
                <a:ext uri="{FF2B5EF4-FFF2-40B4-BE49-F238E27FC236}">
                  <a16:creationId xmlns:a16="http://schemas.microsoft.com/office/drawing/2014/main" id="{AFC897F6-130B-4739-9312-7D863D7E97C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54769</xdr:colOff>
      <xdr:row>13</xdr:row>
      <xdr:rowOff>130967</xdr:rowOff>
    </xdr:from>
    <xdr:to>
      <xdr:col>30</xdr:col>
      <xdr:colOff>11904</xdr:colOff>
      <xdr:row>20</xdr:row>
      <xdr:rowOff>11906</xdr:rowOff>
    </xdr:to>
    <xdr:sp macro="" textlink="">
      <xdr:nvSpPr>
        <xdr:cNvPr id="2" name="正方形/長方形 1">
          <a:extLst>
            <a:ext uri="{FF2B5EF4-FFF2-40B4-BE49-F238E27FC236}">
              <a16:creationId xmlns:a16="http://schemas.microsoft.com/office/drawing/2014/main" id="{E6953125-13FA-464C-8949-AD1BAB89FE4F}"/>
            </a:ext>
          </a:extLst>
        </xdr:cNvPr>
        <xdr:cNvSpPr/>
      </xdr:nvSpPr>
      <xdr:spPr bwMode="auto">
        <a:xfrm>
          <a:off x="3488532" y="4060030"/>
          <a:ext cx="2952749" cy="1214439"/>
        </a:xfrm>
        <a:prstGeom prst="rect">
          <a:avLst/>
        </a:prstGeom>
        <a:solidFill>
          <a:srgbClr val="FFFFFF"/>
        </a:solidFill>
        <a:ln w="28575" cap="flat" cmpd="sng" algn="ctr">
          <a:solidFill>
            <a:srgbClr val="FF0000"/>
          </a:solidFill>
          <a:prstDash val="solid"/>
          <a:round/>
          <a:headEnd type="none" w="med" len="med"/>
          <a:tailEnd type="none" w="med" len="med"/>
        </a:ln>
        <a:effectLst/>
      </xdr:spPr>
      <xdr:txBody>
        <a:bodyPr vertOverflow="clip" wrap="square" lIns="18288" tIns="0" rIns="0" bIns="0" rtlCol="0" anchor="ctr" upright="1"/>
        <a:lstStyle/>
        <a:p>
          <a:pPr algn="l">
            <a:lnSpc>
              <a:spcPts val="1300"/>
            </a:lnSpc>
          </a:pPr>
          <a:r>
            <a:rPr kumimoji="1" lang="en-US" altLang="ja-JP" sz="1100"/>
            <a:t>※</a:t>
          </a:r>
          <a:r>
            <a:rPr kumimoji="1" lang="ja-JP" altLang="en-US" sz="1100"/>
            <a:t>シミュレーターでの試験実施を前提とする。</a:t>
          </a:r>
          <a:endParaRPr kumimoji="1" lang="en-US" altLang="ja-JP" sz="1100"/>
        </a:p>
        <a:p>
          <a:pPr algn="l">
            <a:lnSpc>
              <a:spcPts val="1300"/>
            </a:lnSpc>
          </a:pPr>
          <a:r>
            <a:rPr kumimoji="1" lang="ja-JP" altLang="en-US" sz="1100"/>
            <a:t>　・郵便番号　　：</a:t>
          </a:r>
          <a:r>
            <a:rPr kumimoji="1" lang="en-US" altLang="ja-JP" sz="1100"/>
            <a:t>1001701</a:t>
          </a:r>
        </a:p>
        <a:p>
          <a:pPr algn="l">
            <a:lnSpc>
              <a:spcPts val="1300"/>
            </a:lnSpc>
          </a:pPr>
          <a:r>
            <a:rPr kumimoji="1" lang="ja-JP" altLang="en-US" sz="1100"/>
            <a:t>　・住所コード 　：</a:t>
          </a:r>
          <a:r>
            <a:rPr kumimoji="1" lang="en-US" altLang="ja-JP" sz="1100"/>
            <a:t>170101190XX</a:t>
          </a:r>
        </a:p>
        <a:p>
          <a:pPr algn="l">
            <a:lnSpc>
              <a:spcPts val="1300"/>
            </a:lnSpc>
          </a:pPr>
          <a:r>
            <a:rPr kumimoji="1" lang="ja-JP" altLang="en-US" sz="1100"/>
            <a:t>　・マンション</a:t>
          </a:r>
          <a:r>
            <a:rPr kumimoji="1" lang="en-US" altLang="ja-JP" sz="1100"/>
            <a:t>ID</a:t>
          </a:r>
          <a:r>
            <a:rPr kumimoji="1" lang="ja-JP" altLang="en-US" sz="1100" baseline="0"/>
            <a:t> ：</a:t>
          </a:r>
          <a:r>
            <a:rPr kumimoji="1" lang="en-US" altLang="ja-JP" sz="1100" baseline="0"/>
            <a:t>C17010XX</a:t>
          </a:r>
          <a:endParaRPr kumimoji="1" lang="en-US" altLang="ja-JP"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eyasu0.jpn.hp.com\Project\ono\&#32113;&#12499;&#12522;\2007&#27231;&#33021;&#20181;&#27096;&#26360;&#35211;&#30452;&#12375;\&#21481;&#12365;&#21488;\&#12487;&#12540;&#12479;&#35373;&#35336;&#26360;_Ver5.27a_200707_0703_GAT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com\KRIS\DOCUME~1\TETSUYA\LOCALS~1\Temp\~WmMIME\TempMIME\MIME034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T002033\&#38283;&#30330;\01%20&#38283;&#30330;&#21508;&#31038;&#29992;&#12501;&#12457;&#12523;&#12480;\04%20&#65325;&#65331;&#65315;\&#9660;2001.Q1&#38283;&#30330;&#26696;&#20214;\11.&#65314;&#65316;&#65298;(&#21608;&#36794;&#31995;)\&#20778;&#20808;&#25509;&#32154;&#31649;&#29702;\&#65394;&#65437;&#65408;&#65420;&#65386;&#65392;&#65405;&#32232;\BD2&#21608;%20&#31532;2&#31456;%20&#65394;&#65437;&#65408;&#65420;&#65386;&#65392;&#65405;&#35373;&#35336;(2.2%20&#65394;&#65437;&#65408;&#65420;&#65386;&#65392;&#65405;&#23450;&#32681;&#2636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tcom\KRIS\&#39015;&#23458;&#31995;&#65319;\&#9670;&#39015;&#23458;&#31995;&#25512;&#36914;&#65332;\&#20849;&#36890;\01&#65306;&#32113;&#21512;&#35336;&#30011;\&#65423;&#65394;&#65400;&#65438;&#65434;&#65392;&#65404;&#65390;&#65437;\&#65420;&#65435;&#65437;&#65412;&#38306;&#36899;\&#65419;&#65438;&#65404;&#65438;&#25903;&#20381;&#38972;&#65288;&#29031;&#20250;&#6528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enhanced1.sharepoint.hp.com/Users/sonyingy/AppData/Local/Microsoft/Windows/Temporary%20Internet%20Files/Content.Outlook/8QP3S808/J001_generate_out&#25253;&#38169;.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onyingy/AppData/Local/Microsoft/Windows/Temporary%20Internet%20Files/Content.Outlook/8QP3S808/J001_generate_out&#25253;&#38169;.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Project/05_gate/99%20&#12489;&#12461;&#12517;&#12513;&#12531;&#12488;/1305/1305(FMC&#12458;&#12531;&#12521;&#12452;&#12531;)/02.&#36939;&#29992;&#35373;&#35336;/06%20&#12510;&#12473;&#12479;&#12497;&#12521;&#12513;&#12540;&#12479;/GATE_&#20849;&#36890;DB(&#12510;&#12473;&#12479;)&#19968;&#35239;(FMC&#12458;&#12531;&#12521;&#12452;&#12531;)&#12304;20150526&#12305;.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ujitsu1\&#20844;&#38283;\&#65288;&#21830;&#29992;&#26412;&#30058;&#65289;&#32113;&#21512;&#65295;&#35336;&#19978;&#22522;&#28310;&#65402;&#65392;&#65412;&#65438;&#65423;&#65405;&#65408;\&#12381;&#12398;&#20182;&#12467;&#12540;&#12489;&#12510;&#12473;&#12479;\&#12469;&#12540;&#12499;&#12473;&#12467;&#12540;&#12489;&#12486;&#12540;&#12502;&#1252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Zwsstn01\ekiden\home\&#38283;&#30330;&#12481;&#12540;&#12512;\&#12463;&#12521;&#12473;&#12521;&#12452;&#12502;&#12521;&#12522;&#25913;&#21892;\UO&#35519;&#26619;&#36039;&#26009;\%5b970227.xls%5d&#65421;&#65439;&#65437;&#65411;&#65438;&#65384;&#65437;&#65400;&#65438;%12\%12"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Ehqsv02\cpopur\COMMON\2001%20WWW%20QTN\TPI\E-OFFICE%20CHECK&#29992;\01W%20TPI%20KP%20ALLOT(&#27604;&#36611;&#65289;.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Iss-pcs001\IBM\windows\TEMP\&#22806;&#37096;&#35373;&#35336;&#23616;&#38754;&#25104;&#26524;&#29289;&#20316;&#25104;&#12460;&#12452;&#12489;\&#12503;&#12525;&#12475;&#12473;&#38291;&#38306;&#20418;&#22259;.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Fsviidabashi13\iid13-702\&#35373;&#35336;&#26360;&#39006;\&#65327;&#65313;\OA&#20849;&#36890;\&#20849;&#36890;&#26989;&#21209;\1.0&#20849;&#36890;&#32232;\1.5&#22806;&#37096;&#12452;&#12531;&#12479;&#12540;&#12501;&#12455;&#12540;&#12473;&#20181;&#27096;&#26360;\&#12452;&#12531;&#12479;&#12540;&#12501;&#12455;&#12540;&#12473;&#23450;&#32681;.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H0416573\users\home\mokano\KDDI\DB\DB&#35373;&#35336;\&#12471;&#12473;&#12486;&#12512;&#23450;&#25968;&#12510;&#12473;&#12479;.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pple\smc\windows\TEMP\&#65296;&#65305;&#65297;.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192.168.254.250\kddi\TOHO\&#65326;&#65317;&#65315;&#25552;&#20379;&#26360;&#39006;\0623from&#22338;&#26525;\&#20181;&#27096;&#26360;&#12501;&#12457;&#12540;&#12510;&#12483;&#12488;\&#30011;&#38754;&#20837;&#21147;&#20516;&#12481;&#12455;&#12483;&#12463;&#20181;&#27096;.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Kddi-0007pc0122\&#26032;&#30334;&#21512;&#38283;&#30330;\WINDOWS\&#65411;&#65438;&#65405;&#65400;&#65412;&#65391;&#65420;&#65439;\&#29289;&#29702;&#65394;&#65437;&#65408;&#65392;&#65420;&#65386;&#65394;&#65405;&#23450;&#32681;&#26360;(MORIE)_&#21830;&#29992;0.3&#29256;_20020925.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G:\rodem_document\&#20849;&#36890;\&#35373;&#35336;&#26360;\&#12486;&#12540;&#12502;&#12523;&#35373;&#35336;&#26360;\&#12486;&#12540;&#12502;&#12523;&#35373;&#35336;&#26360;(WEB&#29256;).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Zwsstn01\ekiden\home\&#38283;&#30330;&#12481;&#12540;&#12512;\&#12463;&#12521;&#12473;&#12521;&#12452;&#12502;&#12521;&#12522;&#25913;&#21892;\UO&#35519;&#26619;&#36039;&#26009;\970227.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Share_dp63\&#12489;&#12467;&#12514;&#65331;&#65331;\&#35373;&#35336;&#26360;&#39006;\&#65327;&#65313;\OA&#20849;&#36890;\&#20849;&#36890;&#26989;&#21209;\1.0&#20849;&#36890;&#32232;\1.5&#22806;&#37096;&#12452;&#12531;&#12479;&#12540;&#12501;&#12455;&#12540;&#12473;&#20181;&#27096;&#26360;\&#12452;&#12531;&#12479;&#12540;&#12501;&#12455;&#12540;&#12473;&#23450;&#32681;.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shimizu/project/gate/1305/trunk/1305(FMC&#12458;&#12531;&#12521;&#12452;&#12531;)/08.&#32207;&#21512;&#35430;&#39443;/04%20&#35430;&#39443;&#38917;&#30446;&#31080;/01%20&#35201;&#20214;&#30906;&#35469;&#35430;&#39443;/&#30011;&#38754;&#35373;&#35336;&#26360;(&#21462;&#27425;&#30003;&#36796;&#24773;&#22577;&#20837;&#21147;)_Ver87.0.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10.100.16.109\public\Documents%20and%20Settings\P038458\&#12487;&#12473;&#12463;&#12488;&#12483;&#12503;\&#12471;&#12519;&#12483;&#12503;.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Fsviidabashi13\iid13-702\Documents%20and%20Settings\FBB049\&#12487;&#12473;&#12463;&#12488;&#12483;&#12503;\&#35373;&#35336;&#38917;&#30446;&#12510;&#12488;&#12522;&#12463;&#12473;.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Air-server03\bbc\GOTOH\DOC\CTC&#25991;&#26360;\&#27861;&#20154;&#31532;&#19968;\0409&#38283;&#30330;&#12521;&#12452;&#12531;\00%20&#27861;&#20154;&#12469;&#12540;&#12496;\C-ERD\3-&#29289;&#29702;ERD\&#27861;&#20154;&#22865;&#32004;ERD\0306&#22865;&#32004;&#36861;&#21152;&#12458;&#12502;&#12472;&#12455;&#12463;&#12488;(AW0414)\0306&#22865;&#32004;&#12288;&#32113;&#21512;&#36861;&#21152;&#12458;&#12502;&#12472;&#12455;&#12463;&#12488;(AW0414).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ss-pcs001\IBM\TEMP\&#12503;&#12525;&#12475;&#12473;&#38291;&#38306;&#20418;&#22259;.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sviidabashi13\iid13-702\Psn\&#26481;&#24029;\&#12362;&#20181;&#20107;\&#65334;&#65299;&#65298;\&#65315;&#65330;&#65318;&#38651;&#25991;&#31532;&#65297;&#65296;&#29256;.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Iss-pcs001\IBM\My%20Documents\Kayama\&#20966;&#29702;&#12497;&#12479;&#12540;&#12531;&#215;&#12503;&#12525;&#12475;&#12473;&#38306;&#36899;&#3492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MKHS002\&#12489;&#12461;&#12517;&#12513;&#12531;&#12488;\&#20840;&#20307;\&#65316;&#65314;&#20181;&#27096;&#26360;.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192.168.254.250\kddi\Documents%20and%20Settings\&#22338;&#26525;&#20280;&#20108;\My%20Documents\MyWork\SI&#20107;&#26989;\2004&#24180;&#24230;&#19978;&#26399;\&#65298;&#29987;&#26989;\&#20316;&#25104;&#25991;&#26360;\&#12484;&#12540;&#12523;&#38283;&#30330;\WebUI_XML\&#30011;&#38754;&#20837;&#21147;&#20516;&#12481;&#12455;&#12483;&#12463;&#20181;&#27096;(Validator).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Gpflsv02\3CS\&#21271;&#28023;&#36947;&#38651;&#21147;\&#36865;&#38651;\&#21697;&#36074;&#35413;&#20385;\ST&#21697;&#36074;&#22577;&#21578;\trb_SOUDEN990120.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Fsvcyan01\CYN01-0143\&#20225;&#30011;&#65319;\&#65403;&#65392;&#65419;&#65438;&#65405;&#20225;&#30011;T\&#26032;&#65403;&#65392;&#65419;&#65438;&#65405;\0210&#26696;&#20214;\&#35531;&#27714;&#32113;&#21512;&#12501;&#12455;&#12540;&#12474;&#65303;\01%20KRIS&#35201;&#20214;&#26908;&#35342;\&#26009;&#37329;&#31185;&#30446;&#38306;&#36899;\dabinci&#31185;&#30446;&#34920;&#20998;&#26512;.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svn/gate/Work/&#26696;&#20214;/1202/FMC&#12458;&#12531;&#12521;&#12452;&#12531;/05.&#26696;&#20214;&#23550;&#24540;&#19968;&#35239;&#65288;&#19978;&#28023;&#35500;&#26126;&#36039;&#26009;&#65289;/1202&#26696;&#20214;&#23550;&#24540;&#19968;&#35239;(FMC).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Js7301\users2\23&#65394;&#65437;&#65412;&#65431;&#38283;&#30330;G\42&#28040;&#32791;&#65317;&#65316;&#65321;\1&#27425;&#38283;&#30330;\&#65411;&#65392;&#65420;&#65438;&#65433;&#23450;&#32681;2.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Js7301\users2\Temp\oracle\&#65411;&#65392;&#65420;&#65438;&#65433;~1.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192.168.4.20\h16&#24180;&#24230;\10Mile\&#32207;&#21512;&#35430;&#39443;\&#32207;&#21512;&#23455;&#26045;\&#38917;&#30446;&#31649;&#29702;&#34920;.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Jio2\drsum_&#20849;&#36890;\Documents%20and%20Settings\ns004618\&#12487;&#12473;&#12463;&#12488;&#12483;&#12503;\&#12521;&#12531;&#12463;&#30331;&#37682;&#30011;&#38754;_rinku.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Square5\Project\Documents%20and%20Settings\&#27211;&#20117;&#20449;&#27835;\&#12487;&#12473;&#12463;&#12488;&#12483;&#12503;\&#20849;&#26377;&#21475;\0000&#12288;&#31038;&#20869;&#22577;&#21578;&#65295;&#35373;&#23450;&#38306;&#36899;\&#21220;&#24608;\1.&#23567;&#21475;&#20132;&#36890;&#36027;&#20253;&#3108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統合ビリング申込情報"/>
      <sheetName val="統合ビリング申込完了情報"/>
      <sheetName val="審査対象契約情報"/>
      <sheetName val="審査対象請求情報"/>
      <sheetName val="不備情報"/>
      <sheetName val="バッチサインアップ保留情報"/>
      <sheetName val="請求方法確定依頼保留情報"/>
      <sheetName val="承諾名義人情報"/>
      <sheetName val="申込予約中情報管理"/>
      <sheetName val="支払方法変更紐付管理情報"/>
      <sheetName val="コミッション根拠情報"/>
      <sheetName val="ポイント引継ぎ情報"/>
      <sheetName val="通知物情報"/>
      <sheetName val="統計情報出力管理"/>
      <sheetName val="代表契約管理情報"/>
      <sheetName val="代表契約管理請求先情報"/>
      <sheetName val="更新履歴"/>
      <sheetName val="契約情報検索更新履歴"/>
      <sheetName val="既存加入サービス引合情報"/>
      <sheetName val="統合ビリング削除済み申込情報"/>
      <sheetName val="申込取消情報"/>
      <sheetName val="申込検索条件情報"/>
      <sheetName val="排他制御オペレータ情報"/>
      <sheetName val="一時保留情報"/>
      <sheetName val="住所デフォルト表示ロ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Ｔｐ資料"/>
      <sheetName val="NR1100"/>
      <sheetName val="NR1110"/>
      <sheetName val="NR1200"/>
      <sheetName val="NR1210"/>
      <sheetName val="NR1300"/>
      <sheetName val="料金科目テーブル"/>
      <sheetName val="項番41売上一覧表②"/>
      <sheetName val="MIME0349"/>
      <sheetName val="管理"/>
      <sheetName val="ヘッダ"/>
      <sheetName val="list"/>
    </sheetNames>
    <sheetDataSet>
      <sheetData sheetId="0" refreshError="1">
        <row r="1">
          <cell r="A1" t="str">
            <v>ABB01</v>
          </cell>
        </row>
        <row r="2">
          <cell r="A2" t="str">
            <v>ABC01</v>
          </cell>
        </row>
        <row r="3">
          <cell r="A3" t="str">
            <v>ABC02</v>
          </cell>
        </row>
        <row r="4">
          <cell r="A4" t="str">
            <v>ABC03</v>
          </cell>
        </row>
        <row r="5">
          <cell r="A5" t="str">
            <v>ABC04</v>
          </cell>
        </row>
        <row r="6">
          <cell r="A6" t="str">
            <v>ABC05</v>
          </cell>
        </row>
        <row r="7">
          <cell r="A7" t="str">
            <v>ABC06</v>
          </cell>
        </row>
        <row r="8">
          <cell r="A8" t="str">
            <v>ABC07</v>
          </cell>
        </row>
        <row r="9">
          <cell r="A9" t="str">
            <v>ABD01</v>
          </cell>
        </row>
        <row r="10">
          <cell r="A10" t="str">
            <v>ABF01</v>
          </cell>
        </row>
        <row r="11">
          <cell r="A11" t="str">
            <v>ABI01</v>
          </cell>
        </row>
        <row r="12">
          <cell r="A12" t="str">
            <v>ABV01</v>
          </cell>
        </row>
        <row r="13">
          <cell r="A13" t="str">
            <v>ABW01</v>
          </cell>
        </row>
        <row r="14">
          <cell r="A14" t="str">
            <v>ABX02</v>
          </cell>
        </row>
        <row r="15">
          <cell r="A15" t="str">
            <v>AGA01</v>
          </cell>
        </row>
        <row r="16">
          <cell r="A16" t="str">
            <v>AGA02</v>
          </cell>
        </row>
        <row r="17">
          <cell r="A17" t="str">
            <v>AGB01</v>
          </cell>
        </row>
        <row r="18">
          <cell r="A18" t="str">
            <v>AGC01</v>
          </cell>
        </row>
        <row r="19">
          <cell r="A19" t="str">
            <v>AGD01</v>
          </cell>
        </row>
        <row r="20">
          <cell r="A20" t="str">
            <v>AGK01</v>
          </cell>
        </row>
        <row r="21">
          <cell r="A21" t="str">
            <v>AHA01</v>
          </cell>
        </row>
        <row r="22">
          <cell r="A22" t="str">
            <v>AHB01</v>
          </cell>
        </row>
        <row r="23">
          <cell r="A23" t="str">
            <v>AHC01</v>
          </cell>
        </row>
        <row r="24">
          <cell r="A24" t="str">
            <v>BBB01</v>
          </cell>
        </row>
        <row r="25">
          <cell r="A25" t="str">
            <v>BBD01</v>
          </cell>
        </row>
        <row r="26">
          <cell r="A26" t="str">
            <v>BBE01</v>
          </cell>
        </row>
        <row r="27">
          <cell r="A27" t="str">
            <v>BBG01</v>
          </cell>
        </row>
        <row r="28">
          <cell r="A28" t="str">
            <v>BBH01</v>
          </cell>
        </row>
        <row r="29">
          <cell r="A29" t="str">
            <v>BBJ01</v>
          </cell>
        </row>
        <row r="30">
          <cell r="A30" t="str">
            <v>BBK01</v>
          </cell>
        </row>
        <row r="31">
          <cell r="A31" t="str">
            <v>BBL01</v>
          </cell>
        </row>
        <row r="32">
          <cell r="A32" t="str">
            <v>BBM01</v>
          </cell>
        </row>
        <row r="33">
          <cell r="A33" t="str">
            <v>BBM02</v>
          </cell>
        </row>
        <row r="34">
          <cell r="A34" t="str">
            <v>BBN01</v>
          </cell>
        </row>
        <row r="35">
          <cell r="A35" t="str">
            <v>BBN02</v>
          </cell>
        </row>
        <row r="36">
          <cell r="A36" t="str">
            <v>BBN03</v>
          </cell>
        </row>
        <row r="37">
          <cell r="A37" t="str">
            <v>BBO01</v>
          </cell>
        </row>
        <row r="38">
          <cell r="A38" t="str">
            <v>BBO02</v>
          </cell>
        </row>
        <row r="39">
          <cell r="A39" t="str">
            <v>BBP01</v>
          </cell>
        </row>
        <row r="40">
          <cell r="A40" t="str">
            <v>BBP02</v>
          </cell>
        </row>
        <row r="41">
          <cell r="A41" t="str">
            <v>BBQ01</v>
          </cell>
        </row>
        <row r="42">
          <cell r="A42" t="str">
            <v>BBR01</v>
          </cell>
        </row>
        <row r="43">
          <cell r="A43" t="str">
            <v>BBR02</v>
          </cell>
        </row>
        <row r="44">
          <cell r="A44" t="str">
            <v>BBS01</v>
          </cell>
        </row>
        <row r="45">
          <cell r="A45" t="str">
            <v>BBT01</v>
          </cell>
        </row>
        <row r="46">
          <cell r="A46" t="str">
            <v>BBV01</v>
          </cell>
        </row>
        <row r="47">
          <cell r="A47" t="str">
            <v>BBV02</v>
          </cell>
        </row>
        <row r="48">
          <cell r="A48" t="str">
            <v>BBX01</v>
          </cell>
        </row>
        <row r="49">
          <cell r="A49" t="str">
            <v>BCA01</v>
          </cell>
        </row>
        <row r="50">
          <cell r="A50" t="str">
            <v>BGA01</v>
          </cell>
        </row>
        <row r="51">
          <cell r="A51" t="str">
            <v>BGA02</v>
          </cell>
        </row>
        <row r="52">
          <cell r="A52" t="str">
            <v>BGA03</v>
          </cell>
        </row>
        <row r="53">
          <cell r="A53" t="str">
            <v>BGC01</v>
          </cell>
        </row>
        <row r="54">
          <cell r="A54" t="str">
            <v>BGC02</v>
          </cell>
        </row>
        <row r="55">
          <cell r="A55" t="str">
            <v>BGC03</v>
          </cell>
        </row>
        <row r="56">
          <cell r="A56" t="str">
            <v>BGD01</v>
          </cell>
        </row>
        <row r="57">
          <cell r="A57" t="str">
            <v>BGE01</v>
          </cell>
        </row>
        <row r="58">
          <cell r="A58" t="str">
            <v>BGE02</v>
          </cell>
        </row>
        <row r="59">
          <cell r="A59" t="str">
            <v>BGF01</v>
          </cell>
        </row>
        <row r="60">
          <cell r="A60" t="str">
            <v>BGF02</v>
          </cell>
        </row>
        <row r="61">
          <cell r="A61" t="str">
            <v>BGG01</v>
          </cell>
        </row>
        <row r="62">
          <cell r="A62" t="str">
            <v>BGI01</v>
          </cell>
        </row>
        <row r="63">
          <cell r="A63" t="str">
            <v>BGK01</v>
          </cell>
        </row>
        <row r="64">
          <cell r="A64" t="str">
            <v>BGN01</v>
          </cell>
        </row>
        <row r="65">
          <cell r="A65" t="str">
            <v>BGN02</v>
          </cell>
        </row>
        <row r="66">
          <cell r="A66" t="str">
            <v>BGN03</v>
          </cell>
        </row>
        <row r="67">
          <cell r="A67" t="str">
            <v>BGO01</v>
          </cell>
        </row>
        <row r="68">
          <cell r="A68" t="str">
            <v>BGO02</v>
          </cell>
        </row>
        <row r="69">
          <cell r="A69" t="str">
            <v>BGP01</v>
          </cell>
        </row>
        <row r="70">
          <cell r="A70" t="str">
            <v>BGQ01</v>
          </cell>
        </row>
        <row r="71">
          <cell r="A71" t="str">
            <v>BGR01</v>
          </cell>
        </row>
        <row r="72">
          <cell r="A72" t="str">
            <v>BGV01</v>
          </cell>
        </row>
        <row r="73">
          <cell r="A73" t="str">
            <v>BHC01</v>
          </cell>
        </row>
        <row r="74">
          <cell r="A74" t="str">
            <v>CGP01</v>
          </cell>
        </row>
        <row r="75">
          <cell r="A75" t="str">
            <v>CGQ01</v>
          </cell>
        </row>
        <row r="76">
          <cell r="A76" t="str">
            <v>CGR01</v>
          </cell>
        </row>
        <row r="77">
          <cell r="A77" t="str">
            <v>CGS01</v>
          </cell>
        </row>
        <row r="78">
          <cell r="A78" t="str">
            <v>CGT01</v>
          </cell>
        </row>
        <row r="79">
          <cell r="A79" t="str">
            <v>CGU01</v>
          </cell>
        </row>
        <row r="80">
          <cell r="A80" t="str">
            <v>CGW01</v>
          </cell>
        </row>
        <row r="81">
          <cell r="A81" t="str">
            <v>CGX01</v>
          </cell>
        </row>
        <row r="82">
          <cell r="A82" t="str">
            <v>CGY01</v>
          </cell>
        </row>
        <row r="83">
          <cell r="A83" t="str">
            <v>CHC01</v>
          </cell>
        </row>
        <row r="84">
          <cell r="A84" t="str">
            <v>DGQ01</v>
          </cell>
        </row>
        <row r="85">
          <cell r="A85" t="str">
            <v>DGR01</v>
          </cell>
        </row>
        <row r="86">
          <cell r="A86" t="str">
            <v>DHA01</v>
          </cell>
        </row>
        <row r="87">
          <cell r="A87" t="str">
            <v>DHB01</v>
          </cell>
        </row>
        <row r="88">
          <cell r="A88" t="str">
            <v>DHC01</v>
          </cell>
        </row>
        <row r="89">
          <cell r="A89" t="str">
            <v>DHD01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2　ｲﾝﾀﾌｪｰｽ変更定義書"/>
      <sheetName val="1.優先割引（入力）"/>
      <sheetName val="2,3.優先割引顧客ﾊﾞｯﾁ(出力)"/>
      <sheetName val="4,5.割引サテライト引継"/>
      <sheetName val="6,7.優先割引移動指示"/>
      <sheetName val="8.優先割引顧客ﾊﾞｯﾁ（入力）"/>
      <sheetName val="9.優先割引（出力）"/>
      <sheetName val="10.支払情報登録結果(入力)"/>
      <sheetName val="11.支払情報登録結果(入力)"/>
      <sheetName val="12.支払（出力）"/>
      <sheetName val="1.4.1　ＮＮＮＮＮ機能仕様"/>
      <sheetName val="1.4.1.1　画面遷移図"/>
      <sheetName val="1.4.1,2　ＸＸＸＸ画面"/>
      <sheetName val="1.4.1.2(1)　画面イメージ・画面構成　請求書再発行"/>
      <sheetName val="1.4.1.2(1)　画面イメージ・画面構成　請求書 (2)"/>
      <sheetName val="1.4.1.2(2)　画面項目一覧 (2)"/>
      <sheetName val="1.4.1.2(3)　入出力情報一覧 (2)"/>
      <sheetName val="1.4.1.2(4)　入力編集仕様 (2)"/>
      <sheetName val="1.4.1.2(5)　出力編集仕様 (2)"/>
      <sheetName val="1.4.1.2(6)　補足 (2)"/>
      <sheetName val="1.4.1.2(6)別紙　画面入力項目チェック (2)"/>
      <sheetName val="1.4.1.2(6)別紙　エラー時出力メッセージ (2)"/>
      <sheetName val="1.4.1.2(1)　画面イメージ・画面構成　請求書発行除外"/>
      <sheetName val="1.4.1.2(2)　画面項目一覧 (3)"/>
      <sheetName val="1.4.1.2(3)　入出力情報一覧 (3)"/>
      <sheetName val="1.4.1.2(4)　入力編集仕様 (3)"/>
      <sheetName val="1.4.1.2(5)　出力編集仕様 (3)"/>
      <sheetName val="1.4.1.2(6)　補足 (3)"/>
      <sheetName val="1.4.1.2(6)別紙　画面入力項目チェック (3)"/>
      <sheetName val="1.4.1.2(6)別紙　エラー時出力メッセージ (3)"/>
      <sheetName val="1.4.1.2(1)　画面イメージ・画面構成　請求書発送除外"/>
      <sheetName val="1.4.1.2(2)　画面項目一覧 (4)"/>
      <sheetName val="1.4.1.2(3)　入出力情報一覧 (4)"/>
      <sheetName val="1.4.1.2(4)　入力編集仕様 (4)"/>
      <sheetName val="1.4.1.2(5)　出力編集仕様 (4)"/>
      <sheetName val="1.4.1.2(6)　補足 (4)"/>
      <sheetName val="1.4.1.2(6)別紙　画面入力項目チェック (4)"/>
      <sheetName val="1.4.1.2(6)別紙　エラー時出力メッセージ (4)"/>
      <sheetName val="1.4.1.2(1)　画面イメージ・画面構成　督促状再発行"/>
      <sheetName val="1.4.1.2(2)　画面項目一覧 (5)"/>
      <sheetName val="1.4.1.2(3)　入出力情報一覧 (5)"/>
      <sheetName val="1.4.1.2(4)　入力編集仕様 (5)"/>
      <sheetName val="1.4.1.2(5)　出力編集仕様 (5)"/>
      <sheetName val="1.4.1.2(6)　補足 (5)"/>
      <sheetName val="1.4.1.2(6)別紙　画面入力項目チェック (5)"/>
      <sheetName val="1.4.1.2(6)別紙　エラー時出力メッセージ (5)"/>
      <sheetName val="1.4.1.2(4)　入力編集仕様 (6)"/>
      <sheetName val="#REF"/>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efreshError="1"/>
      <sheetData sheetId="4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ｵﾝ画面"/>
    </sheetNames>
    <sheetDataSet>
      <sheetData sheetId="0"/>
      <sheetData sheetId="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data"/>
      <sheetName val="J001"/>
    </sheetNames>
    <sheetDataSet>
      <sheetData sheetId="0" refreshError="1"/>
      <sheetData sheetId="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data"/>
      <sheetName val="J001"/>
    </sheetNames>
    <sheetDataSet>
      <sheetData sheetId="0" refreshError="1"/>
      <sheetData sheetId="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更新ルール"/>
      <sheetName val="変更履歴"/>
      <sheetName val="FMC業務定数マスタ"/>
      <sheetName val="NWサービスマスタ"/>
      <sheetName val="販売状況マスタ (光マンション)"/>
      <sheetName val="販売状況マスタ（K&amp;Tホーム）"/>
      <sheetName val="販売状況マスタ（ホーム(S)）"/>
      <sheetName val="販売状況マスタ（メタル）"/>
      <sheetName val="販売緊急呼対応マスタ（メタル）"/>
      <sheetName val="メッセージマスタ"/>
      <sheetName val="WebマニュアルURLマスタ"/>
      <sheetName val="NWポートメッセージマスタ"/>
      <sheetName val="コース種別マスタ"/>
      <sheetName val="ADSL品目事業者マスタ"/>
      <sheetName val="販売状況マスタ (au one net ADSL)"/>
      <sheetName val="基本サービスグループマスタ"/>
      <sheetName val="BBC申込受付詳細チェックマスタ"/>
      <sheetName val="BBC申込受付チェックマスタ"/>
      <sheetName val="共通参照マスタ"/>
      <sheetName val="旧事業者マスタ"/>
      <sheetName val="宅内機器マスタ"/>
      <sheetName val="エリア検索結果表示制御マスタ"/>
      <sheetName val="事業者マスタ"/>
      <sheetName val="付加サービスコードマスタ"/>
      <sheetName val="付加サービスパックマスタ"/>
      <sheetName val="付加サービス排他マスタ"/>
      <sheetName val="プロバイダ付加サービスマスタ"/>
      <sheetName val="コードチェックパターンマスタ"/>
      <sheetName val="旧事業者マスタ（マンション）"/>
      <sheetName val="開通進捗表示項目マスタ"/>
      <sheetName val="月額商品マスタ"/>
      <sheetName val="排他商品マスタ"/>
      <sheetName val="パックマスタ"/>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システム連絡先"/>
    </sheetNames>
    <sheetDataSet>
      <sheetData sheetId="0" refreshError="1">
        <row r="2">
          <cell r="EZ2" t="str">
            <v>　　　　　　　　　</v>
          </cell>
        </row>
      </sheetData>
      <sheetData sheetId="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FFICE"/>
      <sheetName val="GREECE"/>
      <sheetName val="FRANCE"/>
      <sheetName val="SWITZERLAND"/>
      <sheetName val="SPAIN &amp; PORTUGAL"/>
      <sheetName val="ITALY"/>
      <sheetName val="AUSTRIA"/>
      <sheetName val="GERMANY"/>
      <sheetName val="GREAT BRITAIN"/>
      <sheetName val="HOLLAND&amp;BELGIUM"/>
      <sheetName val="#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作成要領・プロセス間関係図"/>
      <sheetName val="フォーム・プロセス間関係図"/>
    </sheetNames>
    <sheetDataSet>
      <sheetData sheetId="0" refreshError="1"/>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２．２システム間インタフェース一覧"/>
      <sheetName val="２．３システム間インタフェース定義（旧）"/>
      <sheetName val="インタフェース定義（依頼電文申請時)"/>
      <sheetName val="インタフェース定義（依頼電文承認時)"/>
      <sheetName val="インタフェース定義（可変長）"/>
      <sheetName val="インタフェース定義 (固定長)"/>
    </sheetNames>
    <sheetDataSet>
      <sheetData sheetId="0" refreshError="1"/>
      <sheetData sheetId="1" refreshError="1"/>
      <sheetData sheetId="2"/>
      <sheetData sheetId="3"/>
      <sheetData sheetId="4"/>
      <sheetData sheetId="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システム定数マスタ"/>
      <sheetName val="#REF"/>
    </sheetNames>
    <sheetDataSet>
      <sheetData sheetId="0"/>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別表2・091CDJ一覧表 1-20 "/>
    </sheetNames>
    <sheetDataSet>
      <sheetData sheetId="0"/>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版履歴"/>
      <sheetName val="情報入力画面"/>
      <sheetName val="errMsg一覧"/>
      <sheetName val="選択"/>
    </sheetNames>
    <sheetDataSet>
      <sheetData sheetId="0" refreshError="1"/>
      <sheetData sheetId="1" refreshError="1"/>
      <sheetData sheetId="2" refreshError="1"/>
      <sheetData sheetId="3" refreshError="1">
        <row r="7">
          <cell r="C7" t="str">
            <v>errNameLength</v>
          </cell>
        </row>
        <row r="8">
          <cell r="C8" t="str">
            <v>errInput</v>
          </cell>
        </row>
        <row r="9">
          <cell r="C9" t="str">
            <v>errMsg</v>
          </cell>
        </row>
        <row r="10">
          <cell r="C10" t="str">
            <v>errLength</v>
          </cell>
        </row>
        <row r="11">
          <cell r="C11" t="str">
            <v>errHankaku</v>
          </cell>
        </row>
        <row r="12">
          <cell r="C12" t="str">
            <v>errChugoku</v>
          </cell>
        </row>
        <row r="13">
          <cell r="C13" t="str">
            <v>errHiragana</v>
          </cell>
        </row>
      </sheetData>
      <sheetData sheetId="4" refreshError="1">
        <row r="2">
          <cell r="A2" t="str">
            <v>length</v>
          </cell>
        </row>
        <row r="3">
          <cell r="A3" t="str">
            <v>range</v>
          </cell>
        </row>
        <row r="4">
          <cell r="A4" t="str">
            <v>isDate</v>
          </cell>
        </row>
        <row r="5">
          <cell r="A5" t="str">
            <v>term</v>
          </cell>
        </row>
        <row r="6">
          <cell r="A6" t="str">
            <v>user</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2ｲﾝﾀｰﾌｪｲｽｲﾒｰｼﾞ (2)"/>
      <sheetName val="表紙"/>
      <sheetName val="変更履歴"/>
      <sheetName val="はじめに"/>
      <sheetName val="1.表紙"/>
      <sheetName val="1.1（入力ファイル）"/>
      <sheetName val="1.2（出力ファイル）"/>
      <sheetName val="2.表紙"/>
      <sheetName val="2.1表紙"/>
      <sheetName val="2.1.1ｲﾝﾀｰﾌｪｲｽ仕様"/>
      <sheetName val="2.1.2設備利用料金明細(GS)定義"/>
      <sheetName val="2.2表紙"/>
      <sheetName val="2.2.1ｲﾝﾀｰﾌｪｲｽ仕様"/>
      <sheetName val="2.2.2設備利用料金明細(IN)定義"/>
      <sheetName val="2.3表紙"/>
      <sheetName val="2.3.1ｲﾝﾀｰﾌｪｲｽ仕様"/>
      <sheetName val="2.3.2按分後割引料金明細(IN)定義"/>
      <sheetName val="2.4表紙"/>
      <sheetName val="2.4.1ｲﾝﾀｰﾌｪｲｽ仕様"/>
      <sheetName val="2.4.2通話料調整料金明細（IN）"/>
      <sheetName val="2.5表紙"/>
      <sheetName val="2.5.1ｲﾝﾀｰﾌｪｲｽ仕様"/>
      <sheetName val="2.5.2設備利用料金明細(LS)定義"/>
      <sheetName val="2.6表紙"/>
      <sheetName val="2.6.1ｲﾝﾀｰﾌｪｲｽ仕様"/>
      <sheetName val="2.6.2按分後割引サービス定額料金明細(LS)定義"/>
      <sheetName val="2.7表紙"/>
      <sheetName val="2.7.1ｲﾝﾀｰﾌｪｲｽ仕様"/>
      <sheetName val="2.7.2設備利用料金明細(VPN)定義"/>
      <sheetName val="2.8表紙"/>
      <sheetName val="2.8.1ｲﾝﾀｰﾌｪｲｽ仕様"/>
      <sheetName val="2.8.2通話料調整料金明細（移動体国際）"/>
      <sheetName val="2.9表紙"/>
      <sheetName val="2.9.1ｲﾝﾀｰﾌｪｲｽ仕様(1)"/>
      <sheetName val="2.9.1ｲﾝﾀｰﾌｪｲｽ仕様(2)"/>
      <sheetName val="2.9.20078国際移動体完済通知ファイル"/>
      <sheetName val="2.10表紙"/>
      <sheetName val="2.10.1ｲﾝﾀｰﾌｪｲｽ仕様"/>
      <sheetName val="2.10.2 ｱｶｳﾝﾄ請求履歴情報TBL"/>
      <sheetName val="2.11表紙"/>
      <sheetName val="2.11.1ｲﾝﾀｰﾌｪｲｽ仕様"/>
      <sheetName val="2.11.2 ｱｶｳﾝﾄ料金履歴情報TBL"/>
      <sheetName val="2.12表紙"/>
      <sheetName val="2.12.1ｲﾝﾀｰﾌｪｲｽ仕様"/>
      <sheetName val="2.12.2ｺﾐｯｼｮﾝ計算用割引料金（DION割引セット）"/>
      <sheetName val="3.表紙"/>
      <sheetName val="3.1ﾚｺｰﾄﾞ設定ｲﾒｰｼﾞ"/>
      <sheetName val="3.2.1ｲﾝﾀｰﾌｪｲｽｲﾒｰｼﾞ"/>
      <sheetName val="3.2.2ｲﾝﾀｰﾌｪｲｽｲﾒｰｼﾞ"/>
      <sheetName val="3.2.3ｲﾝﾀｰﾌｪｲｽｲﾒｰｼﾞ"/>
      <sheetName val="3.3料金科目一覧"/>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テーブル一覧"/>
      <sheetName val="修正履歴"/>
      <sheetName val="申込情報"/>
      <sheetName val="回線情報"/>
      <sheetName val="工事依頼情報"/>
      <sheetName val="工事依頼情報詳細"/>
      <sheetName val="工事内容マスタ"/>
      <sheetName val="お知らせ情報"/>
      <sheetName val="工事店マスタ"/>
      <sheetName val="タリフマスタ"/>
      <sheetName val="アカウントマスタ"/>
      <sheetName val="新アカウント権限マスタ"/>
      <sheetName val="権限設定マスタ"/>
      <sheetName val="アカウント権限マスタ"/>
      <sheetName val="名称マスタ"/>
      <sheetName val="オペレータマスタ"/>
      <sheetName val="DT名称マスタ"/>
      <sheetName val="DT名称マスタ(外部資料対応表)"/>
      <sheetName val="都道府県マスタ"/>
      <sheetName val="シーケンスマスタ"/>
      <sheetName val="INS権限切替情報"/>
      <sheetName val="郵便番号マスタ"/>
      <sheetName val="カレンダーマスタ"/>
      <sheetName val="取込CSV形式定義"/>
      <sheetName val="取込CSVヘッダー定義"/>
      <sheetName val="取込TBL形式定義"/>
      <sheetName val="取込TBLヘッダー定義"/>
      <sheetName val="支店マスタ"/>
      <sheetName val="機器情報"/>
      <sheetName val="商品マスタ"/>
      <sheetName val="開通立会申込情報"/>
      <sheetName val="開通立会回線情報"/>
      <sheetName val="工事当日進捗"/>
      <sheetName val="工事当日回線"/>
      <sheetName val="工事当日進捗メモ"/>
      <sheetName val="GCマスタ"/>
      <sheetName val="業者アカウントマスタ"/>
      <sheetName val="アクセスログ"/>
      <sheetName val="事前調査情報"/>
      <sheetName val="項目フォーマットマスタ"/>
      <sheetName val="操作ログテーブル"/>
      <sheetName val="ログイン失敗回数テーブル"/>
      <sheetName val="合言葉テーブル"/>
      <sheetName val="保守宅内図アップロードテーブル"/>
      <sheetName val="保守宅内図アップロード制限テーブル"/>
      <sheetName val="ロックテーブル"/>
      <sheetName val="申込情報履歴管理テーブル"/>
      <sheetName val="回線情報履歴管理テーブル"/>
      <sheetName val="工事進捗リスト履歴テーブル"/>
      <sheetName val="ファイルインポートテーブル"/>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70227"/>
      <sheetName val="ﾊﾞｸﾞ台帳ﾏｰｼﾞ版（最新）"/>
      <sheetName val="画面一覧"/>
      <sheetName val="data"/>
    </sheetNames>
    <definedNames>
      <definedName name="NewBook☆"/>
      <definedName name="NewBook★"/>
      <definedName name="SortNewBook"/>
      <definedName name="SortモジュｰルID"/>
      <definedName name="Sort確認用"/>
      <definedName name="Sort完了予定"/>
      <definedName name="Sort管理No"/>
      <definedName name="項目☆"/>
      <definedName name="集計"/>
    </definedNames>
    <sheetDataSet>
      <sheetData sheetId="0" refreshError="1"/>
      <sheetData sheetId="1" refreshError="1"/>
      <sheetData sheetId="2" refreshError="1"/>
      <sheetData sheetId="3"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２．２システム間インタフェース一覧"/>
      <sheetName val="２．３システム間インタフェース定義（旧）"/>
      <sheetName val="インタフェース定義（依頼電文申請時)"/>
      <sheetName val="インタフェース定義（依頼電文承認時)"/>
      <sheetName val="インタフェース定義（可変長）"/>
      <sheetName val="インタフェース定義 (固定長)"/>
    </sheetNames>
    <sheetDataSet>
      <sheetData sheetId="0" refreshError="1"/>
      <sheetData sheetId="1" refreshError="1"/>
      <sheetData sheetId="2"/>
      <sheetData sheetId="3"/>
      <sheetData sheetId="4"/>
      <sheetData sheetId="5"/>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訂履歴"/>
      <sheetName val="共通【画面イメージ】"/>
      <sheetName val="共通【項目説明】"/>
      <sheetName val="取次情報【画面イメージ】"/>
      <sheetName val="取次情報【項目説明】"/>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ショップ入金消込"/>
    </sheetNames>
    <sheetDataSet>
      <sheetData sheetId="0"/>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全体"/>
      <sheetName val="設計文書対比表"/>
      <sheetName val="新旧ファイル名対比表"/>
    </sheetNames>
    <sheetDataSet>
      <sheetData sheetId="0"/>
      <sheetData sheetId="1"/>
      <sheetData sheetId="2"/>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凡例"/>
      <sheetName val="テーブル定義"/>
      <sheetName val="はじめに"/>
      <sheetName val="シーケンス"/>
      <sheetName val="スナップショットログ"/>
      <sheetName val="スナップショット"/>
      <sheetName val="DBリンク"/>
      <sheetName val="ビュー"/>
      <sheetName val="トリガー"/>
      <sheetName val="インデックス"/>
      <sheetName val="デフォルト"/>
      <sheetName val="ユーザー"/>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作成要領・プロセス間関係図"/>
      <sheetName val="フォーム・プロセス間関係図"/>
      <sheetName val="補足説明書"/>
    </sheetNames>
    <sheetDataSet>
      <sheetData sheetId="0" refreshError="1"/>
      <sheetData sheetId="1" refreshError="1"/>
      <sheetData sheetId="2"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
      <sheetName val="目次"/>
      <sheetName val="プロセス一覧"/>
      <sheetName val="ルート探索"/>
      <sheetName val="申請"/>
      <sheetName val="承認一覧検索"/>
      <sheetName val="申請情報取得"/>
      <sheetName val="コメント取得"/>
      <sheetName val="処理待ち確定"/>
      <sheetName val="申請取消"/>
      <sheetName val="申請一覧検索"/>
      <sheetName val="リクエストキー取得"/>
      <sheetName val="進捗管理情報取得①"/>
      <sheetName val="進捗管理情報取得②"/>
      <sheetName val="ＵＲＩ取得"/>
      <sheetName val="承認プロセス一覧検索"/>
      <sheetName val="承認取消"/>
      <sheetName val="引継"/>
      <sheetName val="状態変更"/>
      <sheetName val="業務呼出し"/>
      <sheetName val="附録Ａ"/>
      <sheetName val="附録Ｂ"/>
      <sheetName val="附録Ｃ"/>
      <sheetName val="附録Ｄ"/>
      <sheetName val="附録Ｅ"/>
      <sheetName val="附録Ｆ①"/>
      <sheetName val="附録Ｆ②"/>
      <sheetName val="附録Ｆ③"/>
      <sheetName val="附録Ｆ④"/>
      <sheetName val="附録G"/>
      <sheetName val="附録Ｈ①"/>
      <sheetName val="附録Ｈ②"/>
      <sheetName val="附録Ｈ③"/>
      <sheetName val="附録Ｊ"/>
      <sheetName val="附録Ｋ"/>
      <sheetName val="附録Ｌ①"/>
      <sheetName val="附録Ｌ②"/>
      <sheetName val="附録Ｍ①"/>
      <sheetName val="附録Ｍ②"/>
      <sheetName val="附録Ｎ"/>
      <sheetName val="附録Ｐ"/>
      <sheetName val="附録Ｑ"/>
      <sheetName val="附録Ｒ"/>
      <sheetName val="選択用プルダウン"/>
    </sheetNames>
    <sheetDataSet>
      <sheetData sheetId="0">
        <row r="2">
          <cell r="N2" t="str">
            <v>企業情報システム開発プロジェクト</v>
          </cell>
        </row>
        <row r="4">
          <cell r="N4" t="str">
            <v>ワークフロー設計ガイドライン（イテレーション３用電文仕様書）</v>
          </cell>
        </row>
        <row r="6">
          <cell r="N6" t="str">
            <v>第3.2版</v>
          </cell>
        </row>
        <row r="7">
          <cell r="N7" t="str">
            <v>OA共通／ワークフロー</v>
          </cell>
        </row>
        <row r="9">
          <cell r="N9" t="str">
            <v>2001.05.14</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処理パターン×プロセス関連表"/>
    </sheetNames>
    <sheetDataSet>
      <sheetData sheetId="0"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項目一覧"/>
      <sheetName val="テーブル一覧"/>
      <sheetName val="相手先マスタ"/>
      <sheetName val="得意先マスタ"/>
      <sheetName val="仕入先マスタ"/>
      <sheetName val="商品マスタ"/>
      <sheetName val="出庫済ファイル"/>
      <sheetName val="出庫ファイル"/>
      <sheetName val="管理コントロールＦ"/>
      <sheetName val="商品コード変換Ｆ "/>
      <sheetName val="量販コード変換Ｆ"/>
      <sheetName val="月間用仕入計上Ｆ"/>
      <sheetName val="仕入計上ファイル"/>
      <sheetName val="売上ファイル"/>
      <sheetName val="社内移動ファイル"/>
      <sheetName val="月間用社内移動Ｆ"/>
      <sheetName val="採番ファイル"/>
      <sheetName val="欠品ファイル"/>
      <sheetName val="受注ファイル"/>
      <sheetName val="発注予定ファイル"/>
      <sheetName val="担当者マスタ"/>
      <sheetName val="管理事業所マスタ"/>
      <sheetName val="機能マスタ"/>
      <sheetName val="事業所マスタ"/>
      <sheetName val="●以降未確定●"/>
      <sheetName val="売上原始データＦ"/>
      <sheetName val="入庫予定Ｆ"/>
      <sheetName val="請求ファイル"/>
      <sheetName val="在庫マスタ"/>
      <sheetName val="ＬＯＴ在庫マスタ"/>
      <sheetName val="休日ｺﾝﾄﾛｰﾙＦ"/>
      <sheetName val="送信ファイル"/>
      <sheetName val="送信ポインタＦ"/>
      <sheetName val="商品部門検索"/>
      <sheetName val="Sheet2"/>
      <sheetName val="Sheet3"/>
      <sheetName val="選択用プルダウン"/>
    </sheetNames>
    <sheetDataSet>
      <sheetData sheetId="0" refreshError="1">
        <row r="3">
          <cell r="A3" t="str">
            <v>Ⅰ</v>
          </cell>
          <cell r="B3" t="str">
            <v>HINSH1</v>
          </cell>
          <cell r="C3">
            <v>9</v>
          </cell>
          <cell r="D3">
            <v>2</v>
          </cell>
        </row>
        <row r="4">
          <cell r="A4" t="str">
            <v>Ⅱ</v>
          </cell>
          <cell r="B4" t="str">
            <v>HINSH2</v>
          </cell>
          <cell r="C4">
            <v>9</v>
          </cell>
          <cell r="D4">
            <v>2</v>
          </cell>
        </row>
        <row r="5">
          <cell r="A5" t="str">
            <v>ＦＡＸ番号１</v>
          </cell>
          <cell r="B5" t="str">
            <v>FAX_NO1</v>
          </cell>
          <cell r="C5" t="str">
            <v>X</v>
          </cell>
          <cell r="D5">
            <v>10</v>
          </cell>
        </row>
        <row r="6">
          <cell r="A6" t="str">
            <v>ＦＡＸ番号２</v>
          </cell>
          <cell r="B6" t="str">
            <v>FAX_NO2</v>
          </cell>
          <cell r="C6" t="str">
            <v>X</v>
          </cell>
          <cell r="D6">
            <v>10</v>
          </cell>
        </row>
        <row r="7">
          <cell r="A7" t="str">
            <v>ＫＧ区分</v>
          </cell>
          <cell r="B7" t="str">
            <v>KGKBN</v>
          </cell>
          <cell r="C7">
            <v>9</v>
          </cell>
          <cell r="D7">
            <v>1</v>
          </cell>
        </row>
        <row r="8">
          <cell r="A8" t="str">
            <v>℡番号１</v>
          </cell>
          <cell r="B8" t="str">
            <v>TEL_NO1</v>
          </cell>
          <cell r="C8" t="str">
            <v>X</v>
          </cell>
          <cell r="D8">
            <v>10</v>
          </cell>
        </row>
        <row r="9">
          <cell r="A9" t="str">
            <v>℡番号２</v>
          </cell>
          <cell r="B9" t="str">
            <v>TEL_NO2</v>
          </cell>
          <cell r="C9" t="str">
            <v>X</v>
          </cell>
          <cell r="D9">
            <v>10</v>
          </cell>
        </row>
        <row r="10">
          <cell r="A10" t="str">
            <v>相手先ANK名称</v>
          </cell>
          <cell r="B10" t="str">
            <v>AITMEI_ANK</v>
          </cell>
          <cell r="C10" t="str">
            <v>X</v>
          </cell>
          <cell r="D10">
            <v>15</v>
          </cell>
        </row>
        <row r="11">
          <cell r="A11" t="str">
            <v>相手先ＣＤ</v>
          </cell>
          <cell r="B11" t="str">
            <v>AITCD</v>
          </cell>
          <cell r="C11">
            <v>9</v>
          </cell>
          <cell r="D11">
            <v>6</v>
          </cell>
        </row>
        <row r="12">
          <cell r="A12" t="str">
            <v>相手先区分</v>
          </cell>
          <cell r="B12" t="str">
            <v>AITKBN</v>
          </cell>
          <cell r="C12" t="str">
            <v>X</v>
          </cell>
          <cell r="D12">
            <v>2</v>
          </cell>
        </row>
        <row r="13">
          <cell r="A13" t="str">
            <v>相手先住所１</v>
          </cell>
          <cell r="B13" t="str">
            <v>AITADR1</v>
          </cell>
          <cell r="C13" t="str">
            <v>X</v>
          </cell>
          <cell r="D13">
            <v>60</v>
          </cell>
        </row>
        <row r="14">
          <cell r="A14" t="str">
            <v>相手先住所２</v>
          </cell>
          <cell r="B14" t="str">
            <v>AITADR2</v>
          </cell>
          <cell r="C14" t="str">
            <v>X</v>
          </cell>
          <cell r="D14">
            <v>60</v>
          </cell>
        </row>
        <row r="15">
          <cell r="A15" t="str">
            <v>相手先名称１</v>
          </cell>
          <cell r="B15" t="str">
            <v>AITMEI1</v>
          </cell>
          <cell r="C15" t="str">
            <v>X</v>
          </cell>
          <cell r="D15">
            <v>40</v>
          </cell>
        </row>
        <row r="16">
          <cell r="A16" t="str">
            <v>相手先名称２</v>
          </cell>
          <cell r="B16" t="str">
            <v>AITMEI2</v>
          </cell>
          <cell r="C16" t="str">
            <v>X</v>
          </cell>
          <cell r="D16">
            <v>40</v>
          </cell>
        </row>
        <row r="17">
          <cell r="A17" t="str">
            <v>相手先略称</v>
          </cell>
          <cell r="B17" t="str">
            <v>AITMEI_RYA</v>
          </cell>
          <cell r="C17" t="str">
            <v>X</v>
          </cell>
          <cell r="D17">
            <v>20</v>
          </cell>
        </row>
        <row r="18">
          <cell r="A18" t="str">
            <v>入数</v>
          </cell>
          <cell r="B18" t="str">
            <v>IRISU</v>
          </cell>
          <cell r="C18">
            <v>9</v>
          </cell>
          <cell r="D18">
            <v>5</v>
          </cell>
        </row>
        <row r="19">
          <cell r="A19" t="str">
            <v>受払区分</v>
          </cell>
          <cell r="B19" t="str">
            <v>UKEKBN</v>
          </cell>
          <cell r="C19">
            <v>9</v>
          </cell>
          <cell r="D19">
            <v>1</v>
          </cell>
        </row>
        <row r="20">
          <cell r="A20" t="str">
            <v>売上？？</v>
          </cell>
          <cell r="B20" t="str">
            <v>URIKBN</v>
          </cell>
          <cell r="C20">
            <v>9</v>
          </cell>
          <cell r="D20">
            <v>1</v>
          </cell>
        </row>
        <row r="21">
          <cell r="A21" t="str">
            <v>売掛</v>
          </cell>
          <cell r="B21" t="str">
            <v>KAKE</v>
          </cell>
          <cell r="C21">
            <v>9</v>
          </cell>
          <cell r="D21">
            <v>9</v>
          </cell>
        </row>
        <row r="22">
          <cell r="A22" t="str">
            <v>エラー区分</v>
          </cell>
          <cell r="B22" t="str">
            <v>ERRKBN</v>
          </cell>
          <cell r="C22">
            <v>9</v>
          </cell>
          <cell r="D22">
            <v>1</v>
          </cell>
        </row>
        <row r="23">
          <cell r="A23" t="str">
            <v>加工・生区分</v>
          </cell>
          <cell r="B23" t="str">
            <v>KAKONM</v>
          </cell>
          <cell r="C23">
            <v>9</v>
          </cell>
          <cell r="D23">
            <v>1</v>
          </cell>
        </row>
        <row r="24">
          <cell r="A24" t="str">
            <v>加工回数</v>
          </cell>
          <cell r="B24" t="str">
            <v>KAKKAI</v>
          </cell>
          <cell r="C24">
            <v>9</v>
          </cell>
          <cell r="D24">
            <v>2</v>
          </cell>
        </row>
        <row r="25">
          <cell r="A25" t="str">
            <v>加工締日</v>
          </cell>
          <cell r="B25" t="str">
            <v>KAKSIM</v>
          </cell>
          <cell r="C25" t="str">
            <v xml:space="preserve"> </v>
          </cell>
          <cell r="D25" t="str">
            <v xml:space="preserve"> </v>
          </cell>
        </row>
        <row r="26">
          <cell r="A26" t="str">
            <v>加工品・生肉</v>
          </cell>
          <cell r="B26" t="str">
            <v>KAKNAM</v>
          </cell>
          <cell r="C26" t="str">
            <v xml:space="preserve"> </v>
          </cell>
          <cell r="D26" t="str">
            <v xml:space="preserve"> </v>
          </cell>
        </row>
        <row r="27">
          <cell r="A27" t="str">
            <v>加工品売上額</v>
          </cell>
          <cell r="B27" t="str">
            <v>URIAGE_KAK</v>
          </cell>
          <cell r="C27">
            <v>9</v>
          </cell>
          <cell r="D27">
            <v>9</v>
          </cell>
        </row>
        <row r="28">
          <cell r="A28" t="str">
            <v>加工品消費税</v>
          </cell>
          <cell r="B28" t="str">
            <v>SHIZEI_KAK</v>
          </cell>
          <cell r="C28">
            <v>9</v>
          </cell>
          <cell r="D28">
            <v>9</v>
          </cell>
        </row>
        <row r="29">
          <cell r="A29" t="str">
            <v>加工品前月粗利益</v>
          </cell>
          <cell r="B29" t="str">
            <v>ARIEKI_ZEN</v>
          </cell>
          <cell r="C29">
            <v>9</v>
          </cell>
          <cell r="D29">
            <v>9</v>
          </cell>
        </row>
        <row r="30">
          <cell r="A30" t="str">
            <v>加工品前々月粗利益</v>
          </cell>
          <cell r="B30" t="str">
            <v>ARIEKI_ZZN</v>
          </cell>
          <cell r="C30">
            <v>9</v>
          </cell>
          <cell r="D30">
            <v>9</v>
          </cell>
        </row>
        <row r="31">
          <cell r="A31" t="str">
            <v>引当フラグ</v>
          </cell>
          <cell r="B31" t="str">
            <v>KHIFLG</v>
          </cell>
          <cell r="C31" t="str">
            <v>X</v>
          </cell>
          <cell r="D31">
            <v>1</v>
          </cell>
        </row>
        <row r="32">
          <cell r="A32" t="str">
            <v>期月</v>
          </cell>
          <cell r="B32" t="str">
            <v>KIJITU_MM</v>
          </cell>
          <cell r="C32">
            <v>9</v>
          </cell>
          <cell r="D32">
            <v>1</v>
          </cell>
        </row>
        <row r="33">
          <cell r="A33" t="str">
            <v>期日</v>
          </cell>
          <cell r="B33" t="str">
            <v>KIJITU_DD</v>
          </cell>
          <cell r="C33">
            <v>9</v>
          </cell>
          <cell r="D33">
            <v>2</v>
          </cell>
        </row>
        <row r="34">
          <cell r="A34" t="str">
            <v>機能ＣＤ</v>
          </cell>
          <cell r="B34" t="str">
            <v>KINOU_CD</v>
          </cell>
          <cell r="C34">
            <v>9</v>
          </cell>
          <cell r="D34">
            <v>3</v>
          </cell>
        </row>
        <row r="35">
          <cell r="A35" t="str">
            <v>機能区分</v>
          </cell>
          <cell r="B35" t="str">
            <v>KINOU_KBN</v>
          </cell>
          <cell r="C35">
            <v>9</v>
          </cell>
          <cell r="D35">
            <v>4</v>
          </cell>
        </row>
        <row r="36">
          <cell r="A36" t="str">
            <v>業種ＣＤ</v>
          </cell>
          <cell r="B36" t="str">
            <v>GYOSHU</v>
          </cell>
          <cell r="C36">
            <v>9</v>
          </cell>
          <cell r="D36">
            <v>3</v>
          </cell>
        </row>
        <row r="37">
          <cell r="A37" t="str">
            <v>経由先ＣＤ</v>
          </cell>
          <cell r="B37" t="str">
            <v>KEIYUC</v>
          </cell>
          <cell r="C37" t="str">
            <v>X</v>
          </cell>
          <cell r="D37">
            <v>6</v>
          </cell>
        </row>
        <row r="38">
          <cell r="A38" t="str">
            <v>経由先名</v>
          </cell>
          <cell r="B38" t="str">
            <v>KEIYUM</v>
          </cell>
          <cell r="C38" t="str">
            <v>X</v>
          </cell>
          <cell r="D38">
            <v>16</v>
          </cell>
        </row>
        <row r="39">
          <cell r="A39" t="str">
            <v>欠品数</v>
          </cell>
          <cell r="B39" t="str">
            <v>KETPIN</v>
          </cell>
          <cell r="C39">
            <v>9</v>
          </cell>
          <cell r="D39">
            <v>7</v>
          </cell>
        </row>
        <row r="40">
          <cell r="A40" t="str">
            <v>現金</v>
          </cell>
          <cell r="B40" t="str">
            <v>GENKIN</v>
          </cell>
          <cell r="C40">
            <v>9</v>
          </cell>
          <cell r="D40">
            <v>9</v>
          </cell>
        </row>
        <row r="41">
          <cell r="A41" t="str">
            <v>現在売掛残</v>
          </cell>
          <cell r="B41" t="str">
            <v>GENZAN</v>
          </cell>
          <cell r="C41">
            <v>9</v>
          </cell>
          <cell r="D41">
            <v>9</v>
          </cell>
        </row>
        <row r="42">
          <cell r="A42" t="str">
            <v>工場発注日数</v>
          </cell>
          <cell r="B42" t="str">
            <v>KOUNIS</v>
          </cell>
          <cell r="C42" t="str">
            <v>X</v>
          </cell>
          <cell r="D42">
            <v>2</v>
          </cell>
        </row>
        <row r="43">
          <cell r="A43" t="str">
            <v>コース種別</v>
          </cell>
          <cell r="B43" t="str">
            <v>COURSE</v>
          </cell>
          <cell r="C43">
            <v>9</v>
          </cell>
          <cell r="D43">
            <v>1</v>
          </cell>
        </row>
        <row r="44">
          <cell r="A44" t="str">
            <v>小切手</v>
          </cell>
          <cell r="B44" t="str">
            <v>KOGITE</v>
          </cell>
          <cell r="C44">
            <v>9</v>
          </cell>
          <cell r="D44">
            <v>9</v>
          </cell>
        </row>
        <row r="45">
          <cell r="A45" t="str">
            <v>梱包入数</v>
          </cell>
          <cell r="B45" t="str">
            <v>IRISU</v>
          </cell>
          <cell r="C45">
            <v>9</v>
          </cell>
          <cell r="D45">
            <v>3</v>
          </cell>
        </row>
        <row r="46">
          <cell r="A46" t="str">
            <v>在庫情報</v>
          </cell>
          <cell r="B46" t="str">
            <v>ZAIKO</v>
          </cell>
          <cell r="C46" t="str">
            <v>　</v>
          </cell>
          <cell r="D46" t="str">
            <v>　</v>
          </cell>
        </row>
        <row r="47">
          <cell r="A47" t="str">
            <v>在庫数</v>
          </cell>
          <cell r="B47" t="str">
            <v>ZAIKSU</v>
          </cell>
          <cell r="C47">
            <v>9</v>
          </cell>
          <cell r="D47">
            <v>9</v>
          </cell>
        </row>
        <row r="48">
          <cell r="A48" t="str">
            <v>最終仕入単価</v>
          </cell>
          <cell r="B48" t="str">
            <v>SHITNK_LST</v>
          </cell>
          <cell r="C48">
            <v>9</v>
          </cell>
          <cell r="D48">
            <v>9</v>
          </cell>
        </row>
        <row r="49">
          <cell r="A49" t="str">
            <v>最終仕入日付</v>
          </cell>
          <cell r="B49" t="str">
            <v>SHIDAT_LST</v>
          </cell>
          <cell r="C49" t="str">
            <v>X</v>
          </cell>
          <cell r="D49">
            <v>8</v>
          </cell>
        </row>
        <row r="50">
          <cell r="A50" t="str">
            <v>最終出庫日</v>
          </cell>
          <cell r="B50" t="str">
            <v>SHUKBI_LST</v>
          </cell>
          <cell r="C50" t="str">
            <v>X</v>
          </cell>
          <cell r="D50">
            <v>8</v>
          </cell>
        </row>
        <row r="51">
          <cell r="A51" t="str">
            <v>削除区分</v>
          </cell>
          <cell r="B51" t="str">
            <v>DELKBN</v>
          </cell>
          <cell r="C51">
            <v>9</v>
          </cell>
          <cell r="D51">
            <v>1</v>
          </cell>
        </row>
        <row r="52">
          <cell r="A52" t="str">
            <v>仕入先ＣＤ</v>
          </cell>
          <cell r="B52" t="str">
            <v>SIRESC</v>
          </cell>
          <cell r="C52" t="str">
            <v>X</v>
          </cell>
          <cell r="D52">
            <v>6</v>
          </cell>
        </row>
        <row r="53">
          <cell r="A53" t="str">
            <v>仕入先ＣＤ１</v>
          </cell>
          <cell r="B53" t="str">
            <v>SIRCD1</v>
          </cell>
          <cell r="C53">
            <v>9</v>
          </cell>
          <cell r="D53">
            <v>4</v>
          </cell>
        </row>
        <row r="54">
          <cell r="A54" t="str">
            <v>仕入先ＣＤ２</v>
          </cell>
          <cell r="B54" t="str">
            <v>SIRCD2</v>
          </cell>
          <cell r="C54">
            <v>9</v>
          </cell>
          <cell r="D54">
            <v>2</v>
          </cell>
        </row>
        <row r="55">
          <cell r="A55" t="str">
            <v>仕入先NM</v>
          </cell>
          <cell r="B55" t="str">
            <v>SIRESM</v>
          </cell>
          <cell r="C55" t="str">
            <v>X</v>
          </cell>
          <cell r="D55">
            <v>20</v>
          </cell>
        </row>
        <row r="56">
          <cell r="A56" t="str">
            <v>仕入先情報</v>
          </cell>
          <cell r="B56" t="str">
            <v>SIRESK</v>
          </cell>
          <cell r="C56" t="str">
            <v>　</v>
          </cell>
          <cell r="D56" t="str">
            <v>　</v>
          </cell>
        </row>
        <row r="57">
          <cell r="A57" t="str">
            <v>仕入先名</v>
          </cell>
          <cell r="B57" t="str">
            <v>SIRMEI</v>
          </cell>
          <cell r="C57" t="str">
            <v>X</v>
          </cell>
          <cell r="D57">
            <v>30</v>
          </cell>
        </row>
        <row r="58">
          <cell r="A58" t="str">
            <v>仕入先名(ANK)</v>
          </cell>
          <cell r="B58" t="str">
            <v>SIRMEI_ANK</v>
          </cell>
          <cell r="C58" t="str">
            <v>X</v>
          </cell>
          <cell r="D58">
            <v>20</v>
          </cell>
        </row>
        <row r="59">
          <cell r="A59" t="str">
            <v>仕入先有効日</v>
          </cell>
          <cell r="B59" t="str">
            <v>SIRYUK</v>
          </cell>
          <cell r="C59">
            <v>9</v>
          </cell>
          <cell r="D59">
            <v>8</v>
          </cell>
        </row>
        <row r="60">
          <cell r="A60" t="str">
            <v>事業所ＣＤ</v>
          </cell>
          <cell r="B60" t="str">
            <v>JIGYOC</v>
          </cell>
          <cell r="C60" t="str">
            <v>X</v>
          </cell>
          <cell r="D60">
            <v>4</v>
          </cell>
        </row>
        <row r="61">
          <cell r="A61" t="str">
            <v>事業所名</v>
          </cell>
          <cell r="B61" t="str">
            <v>JIGMEI</v>
          </cell>
          <cell r="C61" t="str">
            <v>X</v>
          </cell>
          <cell r="D61">
            <v>20</v>
          </cell>
        </row>
        <row r="62">
          <cell r="A62" t="str">
            <v>事業所名(ANK)</v>
          </cell>
          <cell r="B62" t="str">
            <v>JIGMEI_ANK</v>
          </cell>
          <cell r="C62" t="str">
            <v>X</v>
          </cell>
          <cell r="D62">
            <v>15</v>
          </cell>
        </row>
        <row r="63">
          <cell r="A63" t="str">
            <v>締日</v>
          </cell>
          <cell r="B63" t="str">
            <v>SIME_DAT</v>
          </cell>
          <cell r="C63">
            <v>9</v>
          </cell>
          <cell r="D63">
            <v>2</v>
          </cell>
        </row>
        <row r="64">
          <cell r="A64" t="str">
            <v>締日テーブル</v>
          </cell>
          <cell r="B64" t="str">
            <v>SIME_TBL</v>
          </cell>
          <cell r="C64" t="str">
            <v xml:space="preserve"> </v>
          </cell>
          <cell r="D64" t="str">
            <v xml:space="preserve"> </v>
          </cell>
        </row>
        <row r="65">
          <cell r="A65" t="str">
            <v>社内移動入力区分</v>
          </cell>
          <cell r="B65" t="str">
            <v>SNANYU</v>
          </cell>
          <cell r="C65">
            <v>9</v>
          </cell>
          <cell r="D65">
            <v>1</v>
          </cell>
        </row>
        <row r="66">
          <cell r="A66" t="str">
            <v>社内振替単価／㎏</v>
          </cell>
          <cell r="B66" t="str">
            <v>JYUTNK</v>
          </cell>
          <cell r="C66">
            <v>9</v>
          </cell>
          <cell r="D66">
            <v>7</v>
          </cell>
        </row>
        <row r="67">
          <cell r="A67" t="str">
            <v>社内振替単価／個</v>
          </cell>
          <cell r="B67" t="str">
            <v>KSUTNK</v>
          </cell>
          <cell r="C67">
            <v>9</v>
          </cell>
          <cell r="D67">
            <v>7</v>
          </cell>
        </row>
        <row r="68">
          <cell r="A68" t="str">
            <v>重量／個</v>
          </cell>
          <cell r="B68" t="str">
            <v>KSUJRY</v>
          </cell>
          <cell r="C68">
            <v>9</v>
          </cell>
          <cell r="D68">
            <v>5</v>
          </cell>
        </row>
        <row r="69">
          <cell r="A69" t="str">
            <v>受注№</v>
          </cell>
          <cell r="B69" t="str">
            <v>JYUCHU_NO</v>
          </cell>
          <cell r="C69" t="str">
            <v>X</v>
          </cell>
          <cell r="D69">
            <v>6</v>
          </cell>
        </row>
        <row r="70">
          <cell r="A70" t="str">
            <v>受注確定数</v>
          </cell>
          <cell r="B70" t="str">
            <v>JYUTYU_KAK</v>
          </cell>
          <cell r="C70">
            <v>9</v>
          </cell>
          <cell r="D70">
            <v>6</v>
          </cell>
        </row>
        <row r="71">
          <cell r="A71" t="str">
            <v>受注数</v>
          </cell>
          <cell r="B71" t="str">
            <v>JYUCHU</v>
          </cell>
          <cell r="C71">
            <v>9</v>
          </cell>
          <cell r="D71">
            <v>6</v>
          </cell>
        </row>
        <row r="72">
          <cell r="A72" t="str">
            <v>出庫確定日</v>
          </cell>
          <cell r="B72" t="str">
            <v>SHKKAK</v>
          </cell>
          <cell r="C72" t="str">
            <v>X</v>
          </cell>
          <cell r="D72">
            <v>8</v>
          </cell>
        </row>
        <row r="73">
          <cell r="A73" t="str">
            <v>出庫指示№</v>
          </cell>
          <cell r="B73" t="str">
            <v>SYUTKO_NO</v>
          </cell>
          <cell r="C73" t="str">
            <v>X</v>
          </cell>
          <cell r="D73">
            <v>2</v>
          </cell>
        </row>
        <row r="74">
          <cell r="A74" t="str">
            <v>出庫指示日</v>
          </cell>
          <cell r="B74" t="str">
            <v>SHKSJI</v>
          </cell>
          <cell r="C74" t="str">
            <v>X</v>
          </cell>
          <cell r="D74">
            <v>8</v>
          </cell>
        </row>
        <row r="75">
          <cell r="A75" t="str">
            <v>出庫日</v>
          </cell>
          <cell r="B75" t="str">
            <v xml:space="preserve">SHUKBI </v>
          </cell>
          <cell r="C75" t="str">
            <v>X</v>
          </cell>
          <cell r="D75">
            <v>8</v>
          </cell>
        </row>
        <row r="76">
          <cell r="A76" t="str">
            <v>出庫フラグ</v>
          </cell>
          <cell r="B76" t="str">
            <v>SHKFLG</v>
          </cell>
          <cell r="C76" t="str">
            <v>X</v>
          </cell>
          <cell r="D76">
            <v>2</v>
          </cell>
        </row>
        <row r="77">
          <cell r="A77" t="str">
            <v>商品ＣＤ</v>
          </cell>
          <cell r="B77" t="str">
            <v>SHOHNC</v>
          </cell>
          <cell r="C77" t="str">
            <v>X</v>
          </cell>
          <cell r="D77">
            <v>7</v>
          </cell>
        </row>
        <row r="78">
          <cell r="A78" t="str">
            <v>商品ＪＡＮ（１５）</v>
          </cell>
          <cell r="B78" t="str">
            <v>SYOHIN_JAN</v>
          </cell>
          <cell r="C78" t="str">
            <v>X</v>
          </cell>
          <cell r="D78">
            <v>15</v>
          </cell>
        </row>
        <row r="79">
          <cell r="A79" t="str">
            <v>商品グループＣＤ</v>
          </cell>
          <cell r="B79" t="str">
            <v>SHOGRP</v>
          </cell>
          <cell r="C79">
            <v>9</v>
          </cell>
          <cell r="D79">
            <v>1</v>
          </cell>
        </row>
        <row r="80">
          <cell r="A80" t="str">
            <v>商品サブＣＤ</v>
          </cell>
          <cell r="B80" t="str">
            <v>SHOSUB</v>
          </cell>
          <cell r="C80" t="str">
            <v>X</v>
          </cell>
          <cell r="D80">
            <v>2</v>
          </cell>
        </row>
        <row r="81">
          <cell r="A81" t="str">
            <v>商品名１</v>
          </cell>
          <cell r="B81" t="str">
            <v>HINMEI</v>
          </cell>
          <cell r="C81" t="str">
            <v>X</v>
          </cell>
          <cell r="D81">
            <v>40</v>
          </cell>
        </row>
        <row r="82">
          <cell r="A82" t="str">
            <v>商品名(ANK)</v>
          </cell>
          <cell r="B82" t="str">
            <v>HINMEI_ANK</v>
          </cell>
          <cell r="C82" t="str">
            <v>X</v>
          </cell>
          <cell r="D82">
            <v>15</v>
          </cell>
        </row>
        <row r="83">
          <cell r="A83" t="str">
            <v>商品名２</v>
          </cell>
          <cell r="B83" t="str">
            <v>HINSUB</v>
          </cell>
          <cell r="C83" t="str">
            <v>X</v>
          </cell>
          <cell r="D83">
            <v>20</v>
          </cell>
        </row>
        <row r="84">
          <cell r="A84" t="str">
            <v>処理区分</v>
          </cell>
          <cell r="B84" t="str">
            <v>SHRKBN</v>
          </cell>
          <cell r="C84" t="str">
            <v>X</v>
          </cell>
          <cell r="D84">
            <v>2</v>
          </cell>
        </row>
        <row r="85">
          <cell r="A85" t="str">
            <v>新商品区分</v>
          </cell>
          <cell r="B85" t="str">
            <v>NEWSHO_KBN</v>
          </cell>
          <cell r="C85">
            <v>9</v>
          </cell>
          <cell r="D85">
            <v>1</v>
          </cell>
        </row>
        <row r="86">
          <cell r="A86" t="str">
            <v>数量</v>
          </cell>
          <cell r="B86" t="str">
            <v>SURYO</v>
          </cell>
          <cell r="C86">
            <v>9</v>
          </cell>
          <cell r="D86">
            <v>7</v>
          </cell>
        </row>
        <row r="87">
          <cell r="A87" t="str">
            <v>請求先ＣＤ</v>
          </cell>
          <cell r="B87" t="str">
            <v>SEICOD</v>
          </cell>
          <cell r="C87">
            <v>9</v>
          </cell>
          <cell r="D87">
            <v>4</v>
          </cell>
        </row>
        <row r="88">
          <cell r="A88" t="str">
            <v>税計算区分</v>
          </cell>
          <cell r="B88" t="str">
            <v>ZEIKBN</v>
          </cell>
          <cell r="C88">
            <v>9</v>
          </cell>
          <cell r="D88">
            <v>1</v>
          </cell>
        </row>
        <row r="89">
          <cell r="A89" t="str">
            <v>製造元区分</v>
          </cell>
          <cell r="B89" t="str">
            <v>SEIZOU_KBN</v>
          </cell>
          <cell r="C89">
            <v>9</v>
          </cell>
          <cell r="D89">
            <v>1</v>
          </cell>
        </row>
        <row r="90">
          <cell r="A90" t="str">
            <v>前回請求額</v>
          </cell>
          <cell r="B90" t="str">
            <v>SEIKNG_ZEN</v>
          </cell>
          <cell r="C90">
            <v>9</v>
          </cell>
          <cell r="D90">
            <v>9</v>
          </cell>
        </row>
        <row r="91">
          <cell r="A91" t="str">
            <v>前回請求年月</v>
          </cell>
          <cell r="B91" t="str">
            <v>SEINGT_ZEN</v>
          </cell>
          <cell r="C91" t="str">
            <v>X</v>
          </cell>
          <cell r="D91">
            <v>8</v>
          </cell>
        </row>
        <row r="92">
          <cell r="A92" t="str">
            <v>前月売掛金残</v>
          </cell>
          <cell r="B92" t="str">
            <v>GENZAN_ZEN</v>
          </cell>
          <cell r="C92">
            <v>9</v>
          </cell>
          <cell r="D92">
            <v>9</v>
          </cell>
        </row>
        <row r="93">
          <cell r="A93" t="str">
            <v>前月休日</v>
          </cell>
          <cell r="B93" t="str">
            <v>KYUJIT_ZEN</v>
          </cell>
          <cell r="C93" t="str">
            <v>X</v>
          </cell>
          <cell r="D93">
            <v>1</v>
          </cell>
        </row>
        <row r="94">
          <cell r="A94" t="str">
            <v>前月工場休日区分</v>
          </cell>
          <cell r="B94" t="str">
            <v>KYUKBN_ZEN</v>
          </cell>
          <cell r="C94" t="str">
            <v xml:space="preserve"> </v>
          </cell>
          <cell r="D94" t="str">
            <v xml:space="preserve"> </v>
          </cell>
        </row>
        <row r="95">
          <cell r="A95" t="str">
            <v>前月純利益</v>
          </cell>
          <cell r="B95" t="str">
            <v>JYUURI_ZEN</v>
          </cell>
          <cell r="C95">
            <v>9</v>
          </cell>
          <cell r="D95">
            <v>9</v>
          </cell>
        </row>
        <row r="96">
          <cell r="A96" t="str">
            <v>前月諸経費等残</v>
          </cell>
          <cell r="B96" t="str">
            <v>SHOKHI_ZEN</v>
          </cell>
          <cell r="C96">
            <v>9</v>
          </cell>
          <cell r="D96">
            <v>9</v>
          </cell>
        </row>
        <row r="97">
          <cell r="A97" t="str">
            <v>前月不良品在庫数</v>
          </cell>
          <cell r="B97" t="str">
            <v>FRYZAI_ZEN</v>
          </cell>
          <cell r="C97">
            <v>9</v>
          </cell>
          <cell r="D97">
            <v>9</v>
          </cell>
        </row>
        <row r="98">
          <cell r="A98" t="str">
            <v>前月良品在庫数</v>
          </cell>
          <cell r="B98" t="str">
            <v>ZAIKO_ZEN</v>
          </cell>
          <cell r="C98">
            <v>9</v>
          </cell>
          <cell r="D98">
            <v>9</v>
          </cell>
        </row>
        <row r="99">
          <cell r="A99" t="str">
            <v>前々月純利益</v>
          </cell>
          <cell r="B99" t="str">
            <v>JYUURI_ZZN</v>
          </cell>
          <cell r="C99">
            <v>9</v>
          </cell>
          <cell r="D99">
            <v>9</v>
          </cell>
        </row>
        <row r="100">
          <cell r="A100" t="str">
            <v>送信先事業所ＣＤ</v>
          </cell>
          <cell r="B100" t="str">
            <v>SSNJIG</v>
          </cell>
          <cell r="C100">
            <v>9</v>
          </cell>
          <cell r="D100">
            <v>4</v>
          </cell>
        </row>
        <row r="101">
          <cell r="A101" t="str">
            <v>送話対象区分</v>
          </cell>
          <cell r="B101" t="str">
            <v>SSNTAI</v>
          </cell>
          <cell r="C101">
            <v>9</v>
          </cell>
          <cell r="D101">
            <v>1</v>
          </cell>
        </row>
        <row r="102">
          <cell r="A102" t="str">
            <v>その他</v>
          </cell>
          <cell r="B102" t="str">
            <v>SONOTA</v>
          </cell>
          <cell r="C102">
            <v>9</v>
          </cell>
          <cell r="D102">
            <v>9</v>
          </cell>
        </row>
        <row r="103">
          <cell r="A103" t="str">
            <v>単価</v>
          </cell>
          <cell r="B103" t="str">
            <v>TANKA</v>
          </cell>
          <cell r="C103">
            <v>9</v>
          </cell>
          <cell r="D103">
            <v>9</v>
          </cell>
        </row>
        <row r="104">
          <cell r="A104" t="str">
            <v>単価区分</v>
          </cell>
          <cell r="B104" t="str">
            <v>TANKBN</v>
          </cell>
          <cell r="C104">
            <v>9</v>
          </cell>
          <cell r="D104">
            <v>1</v>
          </cell>
        </row>
        <row r="105">
          <cell r="A105" t="str">
            <v>単価使用区分</v>
          </cell>
          <cell r="B105" t="str">
            <v>TANKBN</v>
          </cell>
          <cell r="C105">
            <v>9</v>
          </cell>
          <cell r="D105">
            <v>1</v>
          </cell>
        </row>
        <row r="106">
          <cell r="A106" t="str">
            <v>担当事業所ＣＤ</v>
          </cell>
          <cell r="B106" t="str">
            <v>TANTO_JIG</v>
          </cell>
          <cell r="C106" t="str">
            <v>X</v>
          </cell>
          <cell r="D106">
            <v>4</v>
          </cell>
        </row>
        <row r="107">
          <cell r="A107" t="str">
            <v>担当者ＣＤ</v>
          </cell>
          <cell r="B107" t="str">
            <v>TANTOC</v>
          </cell>
          <cell r="C107" t="str">
            <v>X</v>
          </cell>
          <cell r="D107">
            <v>4</v>
          </cell>
        </row>
        <row r="108">
          <cell r="A108" t="str">
            <v>担当者名</v>
          </cell>
          <cell r="B108" t="str">
            <v>TANMEI</v>
          </cell>
          <cell r="C108" t="str">
            <v>X</v>
          </cell>
          <cell r="D108">
            <v>16</v>
          </cell>
        </row>
        <row r="109">
          <cell r="A109" t="str">
            <v>担当者名(ANK)</v>
          </cell>
          <cell r="B109" t="str">
            <v>TANMEI_ANK</v>
          </cell>
          <cell r="C109" t="str">
            <v>X</v>
          </cell>
          <cell r="D109">
            <v>15</v>
          </cell>
        </row>
        <row r="110">
          <cell r="A110" t="str">
            <v>抽出フラグ</v>
          </cell>
          <cell r="B110" t="str">
            <v>SELFLG</v>
          </cell>
          <cell r="C110" t="str">
            <v>X</v>
          </cell>
          <cell r="D110">
            <v>1</v>
          </cell>
        </row>
        <row r="111">
          <cell r="A111" t="str">
            <v>データ区分</v>
          </cell>
          <cell r="B111" t="str">
            <v>CVSFLG</v>
          </cell>
          <cell r="C111" t="str">
            <v>X</v>
          </cell>
          <cell r="D111">
            <v>1</v>
          </cell>
        </row>
        <row r="112">
          <cell r="A112" t="str">
            <v>データ種別</v>
          </cell>
          <cell r="B112" t="str">
            <v>DATSHU</v>
          </cell>
          <cell r="C112" t="str">
            <v>X</v>
          </cell>
          <cell r="D112">
            <v>2</v>
          </cell>
        </row>
        <row r="113">
          <cell r="A113" t="str">
            <v>手形</v>
          </cell>
          <cell r="B113" t="str">
            <v>TEGATA</v>
          </cell>
          <cell r="C113">
            <v>9</v>
          </cell>
          <cell r="D113">
            <v>9</v>
          </cell>
        </row>
        <row r="114">
          <cell r="A114" t="str">
            <v>適正在庫数</v>
          </cell>
          <cell r="B114" t="str">
            <v>TEKZAI_SU</v>
          </cell>
          <cell r="C114">
            <v>9</v>
          </cell>
          <cell r="D114">
            <v>9</v>
          </cell>
        </row>
        <row r="115">
          <cell r="A115" t="str">
            <v>デポＣＤ</v>
          </cell>
          <cell r="B115" t="str">
            <v>DEPOC</v>
          </cell>
          <cell r="C115" t="str">
            <v>X</v>
          </cell>
          <cell r="D115">
            <v>6</v>
          </cell>
        </row>
        <row r="116">
          <cell r="A116" t="str">
            <v>デポ名</v>
          </cell>
          <cell r="B116" t="str">
            <v>DEPMEI</v>
          </cell>
          <cell r="C116" t="str">
            <v>X</v>
          </cell>
          <cell r="D116">
            <v>20</v>
          </cell>
        </row>
        <row r="117">
          <cell r="A117" t="str">
            <v>伝票番号</v>
          </cell>
          <cell r="B117" t="str">
            <v>DNPBNG</v>
          </cell>
          <cell r="C117">
            <v>9</v>
          </cell>
          <cell r="D117">
            <v>6</v>
          </cell>
        </row>
        <row r="118">
          <cell r="A118" t="str">
            <v>電話番号</v>
          </cell>
          <cell r="B118" t="str">
            <v>TEL_NO</v>
          </cell>
          <cell r="C118" t="str">
            <v>X</v>
          </cell>
          <cell r="D118">
            <v>15</v>
          </cell>
        </row>
        <row r="119">
          <cell r="A119" t="str">
            <v>当月粗利益</v>
          </cell>
          <cell r="B119" t="str">
            <v>ARIEKI</v>
          </cell>
          <cell r="C119">
            <v>9</v>
          </cell>
          <cell r="D119">
            <v>9</v>
          </cell>
        </row>
        <row r="120">
          <cell r="A120" t="str">
            <v>当月売上</v>
          </cell>
          <cell r="B120" t="str">
            <v>URIAGE</v>
          </cell>
          <cell r="C120">
            <v>9</v>
          </cell>
          <cell r="D120">
            <v>9</v>
          </cell>
        </row>
        <row r="121">
          <cell r="A121" t="str">
            <v>当月休日</v>
          </cell>
          <cell r="B121" t="str">
            <v>KYUJIT</v>
          </cell>
          <cell r="C121" t="str">
            <v>X</v>
          </cell>
          <cell r="D121">
            <v>1</v>
          </cell>
        </row>
        <row r="122">
          <cell r="A122" t="str">
            <v>当月工場休日区分</v>
          </cell>
          <cell r="B122" t="str">
            <v>KYUKBN</v>
          </cell>
          <cell r="C122" t="str">
            <v xml:space="preserve"> </v>
          </cell>
          <cell r="D122" t="str">
            <v xml:space="preserve"> </v>
          </cell>
        </row>
        <row r="123">
          <cell r="A123" t="str">
            <v>当月消費税</v>
          </cell>
          <cell r="B123" t="str">
            <v>SHIZEI</v>
          </cell>
          <cell r="C123">
            <v>9</v>
          </cell>
          <cell r="D123">
            <v>9</v>
          </cell>
        </row>
        <row r="124">
          <cell r="A124" t="str">
            <v>当月諸経費</v>
          </cell>
          <cell r="B124" t="str">
            <v>SHOKHI</v>
          </cell>
          <cell r="C124">
            <v>9</v>
          </cell>
          <cell r="D124">
            <v>9</v>
          </cell>
        </row>
        <row r="125">
          <cell r="A125" t="str">
            <v>当月請求</v>
          </cell>
          <cell r="B125" t="str">
            <v>SEIKYU</v>
          </cell>
          <cell r="C125" t="str">
            <v xml:space="preserve"> </v>
          </cell>
          <cell r="D125" t="str">
            <v xml:space="preserve">  </v>
          </cell>
        </row>
        <row r="126">
          <cell r="A126" t="str">
            <v>当月入金</v>
          </cell>
          <cell r="B126" t="str">
            <v>NYUKIN</v>
          </cell>
          <cell r="C126">
            <v>9</v>
          </cell>
          <cell r="D126">
            <v>9</v>
          </cell>
        </row>
        <row r="127">
          <cell r="A127" t="str">
            <v>当月返品・戻り・値引</v>
          </cell>
          <cell r="B127" t="str">
            <v>HENPIN</v>
          </cell>
          <cell r="C127">
            <v>9</v>
          </cell>
          <cell r="D127">
            <v>9</v>
          </cell>
        </row>
        <row r="128">
          <cell r="A128" t="str">
            <v>登録日付</v>
          </cell>
          <cell r="B128" t="str">
            <v>CDATE</v>
          </cell>
          <cell r="C128" t="str">
            <v>X</v>
          </cell>
          <cell r="D128">
            <v>8</v>
          </cell>
        </row>
        <row r="129">
          <cell r="A129" t="str">
            <v>得意先ＣＤ</v>
          </cell>
          <cell r="B129" t="str">
            <v>TOKUIC</v>
          </cell>
          <cell r="C129" t="str">
            <v>X</v>
          </cell>
          <cell r="D129">
            <v>6</v>
          </cell>
        </row>
        <row r="130">
          <cell r="A130" t="str">
            <v>得意先名</v>
          </cell>
          <cell r="B130" t="str">
            <v>TOKMEI</v>
          </cell>
          <cell r="C130" t="str">
            <v>X</v>
          </cell>
          <cell r="D130">
            <v>30</v>
          </cell>
        </row>
        <row r="131">
          <cell r="A131" t="str">
            <v>得意先名(ANK)</v>
          </cell>
          <cell r="B131" t="str">
            <v>TOKMEI_ANK</v>
          </cell>
          <cell r="C131" t="str">
            <v>X</v>
          </cell>
          <cell r="D131">
            <v>20</v>
          </cell>
        </row>
        <row r="132">
          <cell r="A132" t="str">
            <v>取扱区分</v>
          </cell>
          <cell r="B132" t="str">
            <v>TORKBN</v>
          </cell>
          <cell r="C132">
            <v>9</v>
          </cell>
          <cell r="D132">
            <v>1</v>
          </cell>
        </row>
        <row r="133">
          <cell r="A133" t="str">
            <v>取引日付</v>
          </cell>
          <cell r="B133" t="str">
            <v>HZK</v>
          </cell>
          <cell r="C133" t="str">
            <v>X</v>
          </cell>
          <cell r="D133">
            <v>8</v>
          </cell>
        </row>
        <row r="134">
          <cell r="A134" t="str">
            <v>生肉売上額</v>
          </cell>
          <cell r="B134" t="str">
            <v>URIAGE_NAM</v>
          </cell>
          <cell r="C134">
            <v>9</v>
          </cell>
          <cell r="D134">
            <v>9</v>
          </cell>
        </row>
        <row r="135">
          <cell r="A135" t="str">
            <v>入金領域</v>
          </cell>
          <cell r="B135" t="str">
            <v>NAMKAI</v>
          </cell>
          <cell r="C135" t="str">
            <v xml:space="preserve"> </v>
          </cell>
          <cell r="D135" t="str">
            <v xml:space="preserve"> </v>
          </cell>
        </row>
        <row r="136">
          <cell r="A136" t="str">
            <v>生肉回数</v>
          </cell>
          <cell r="B136" t="str">
            <v>NAMKAI</v>
          </cell>
          <cell r="C136">
            <v>9</v>
          </cell>
          <cell r="D136">
            <v>2</v>
          </cell>
        </row>
        <row r="137">
          <cell r="A137" t="str">
            <v>生肉締日</v>
          </cell>
          <cell r="B137" t="str">
            <v>NAMSIM</v>
          </cell>
          <cell r="C137" t="str">
            <v xml:space="preserve"> </v>
          </cell>
          <cell r="D137" t="str">
            <v xml:space="preserve"> </v>
          </cell>
        </row>
        <row r="138">
          <cell r="A138" t="str">
            <v>生肉消費税</v>
          </cell>
          <cell r="B138" t="str">
            <v>SHIZEI_NAM</v>
          </cell>
          <cell r="C138">
            <v>9</v>
          </cell>
          <cell r="D138">
            <v>9</v>
          </cell>
        </row>
        <row r="139">
          <cell r="A139" t="str">
            <v>入金領域</v>
          </cell>
          <cell r="B139" t="str">
            <v>NYUKIN_AREA</v>
          </cell>
        </row>
        <row r="140">
          <cell r="A140" t="str">
            <v>入庫確定数</v>
          </cell>
          <cell r="B140" t="str">
            <v>NYUKAK_SU</v>
          </cell>
          <cell r="C140">
            <v>9</v>
          </cell>
          <cell r="D140">
            <v>9</v>
          </cell>
        </row>
        <row r="141">
          <cell r="A141" t="str">
            <v>入庫日</v>
          </cell>
          <cell r="B141" t="str">
            <v>NYUKBI</v>
          </cell>
          <cell r="C141" t="str">
            <v>X</v>
          </cell>
          <cell r="D141">
            <v>8</v>
          </cell>
        </row>
        <row r="142">
          <cell r="A142" t="str">
            <v>入庫待数</v>
          </cell>
          <cell r="B142" t="str">
            <v>NYUMAT</v>
          </cell>
          <cell r="C142">
            <v>9</v>
          </cell>
          <cell r="D142">
            <v>9</v>
          </cell>
        </row>
        <row r="143">
          <cell r="A143" t="str">
            <v>入庫予定数</v>
          </cell>
          <cell r="B143" t="str">
            <v>NYUYOK</v>
          </cell>
          <cell r="C143">
            <v>9</v>
          </cell>
          <cell r="D143">
            <v>9</v>
          </cell>
        </row>
        <row r="144">
          <cell r="A144" t="str">
            <v>入庫予定日</v>
          </cell>
          <cell r="B144" t="str">
            <v>NYUYOT_DAT</v>
          </cell>
          <cell r="C144" t="str">
            <v>X</v>
          </cell>
          <cell r="D144">
            <v>8</v>
          </cell>
        </row>
        <row r="145">
          <cell r="A145" t="str">
            <v>値引</v>
          </cell>
          <cell r="B145" t="str">
            <v>NEBIKI</v>
          </cell>
          <cell r="C145">
            <v>9</v>
          </cell>
          <cell r="D145">
            <v>9</v>
          </cell>
        </row>
        <row r="146">
          <cell r="A146" t="str">
            <v>年月</v>
          </cell>
          <cell r="B146" t="str">
            <v>NENGET</v>
          </cell>
          <cell r="C146">
            <v>9</v>
          </cell>
          <cell r="D146">
            <v>6</v>
          </cell>
        </row>
        <row r="147">
          <cell r="A147" t="str">
            <v>納入サイクル</v>
          </cell>
          <cell r="B147" t="str">
            <v>SAIKUR</v>
          </cell>
          <cell r="C147">
            <v>9</v>
          </cell>
          <cell r="D147">
            <v>2</v>
          </cell>
        </row>
        <row r="148">
          <cell r="A148" t="str">
            <v>納品先ＣＤ</v>
          </cell>
          <cell r="B148" t="str">
            <v>NOUHNC</v>
          </cell>
          <cell r="C148" t="str">
            <v>X</v>
          </cell>
          <cell r="D148">
            <v>6</v>
          </cell>
        </row>
        <row r="149">
          <cell r="A149" t="str">
            <v>納品先区分</v>
          </cell>
          <cell r="B149" t="str">
            <v>NOUKBN</v>
          </cell>
          <cell r="C149">
            <v>9</v>
          </cell>
          <cell r="D149">
            <v>1</v>
          </cell>
        </row>
        <row r="150">
          <cell r="A150" t="str">
            <v>納品先名</v>
          </cell>
          <cell r="B150" t="str">
            <v>NOUHNM</v>
          </cell>
          <cell r="C150" t="str">
            <v>X</v>
          </cell>
          <cell r="D150">
            <v>16</v>
          </cell>
        </row>
        <row r="151">
          <cell r="A151" t="str">
            <v>納品日</v>
          </cell>
          <cell r="B151" t="str">
            <v>NOUHBI</v>
          </cell>
          <cell r="C151" t="str">
            <v>X</v>
          </cell>
          <cell r="D151">
            <v>8</v>
          </cell>
        </row>
        <row r="152">
          <cell r="A152" t="str">
            <v>配送休日</v>
          </cell>
          <cell r="B152" t="str">
            <v>HAIKYU</v>
          </cell>
          <cell r="C152" t="str">
            <v>X</v>
          </cell>
          <cell r="D152">
            <v>1</v>
          </cell>
        </row>
        <row r="153">
          <cell r="A153" t="str">
            <v>配送休日区分</v>
          </cell>
          <cell r="B153" t="str">
            <v>HAIKBN</v>
          </cell>
          <cell r="C153" t="str">
            <v xml:space="preserve"> </v>
          </cell>
          <cell r="D153" t="str">
            <v xml:space="preserve"> </v>
          </cell>
        </row>
        <row r="154">
          <cell r="A154" t="str">
            <v>発注№</v>
          </cell>
          <cell r="B154" t="str">
            <v>HAT_NO</v>
          </cell>
          <cell r="C154" t="str">
            <v>X</v>
          </cell>
          <cell r="D154">
            <v>6</v>
          </cell>
        </row>
        <row r="155">
          <cell r="A155" t="str">
            <v>発注先ＣＤ</v>
          </cell>
          <cell r="B155" t="str">
            <v>HATSAK</v>
          </cell>
          <cell r="C155" t="str">
            <v>X</v>
          </cell>
          <cell r="D155">
            <v>6</v>
          </cell>
        </row>
        <row r="156">
          <cell r="A156" t="str">
            <v>発注先名</v>
          </cell>
          <cell r="B156" t="str">
            <v>HATSAK_MEI</v>
          </cell>
          <cell r="C156" t="str">
            <v>X</v>
          </cell>
          <cell r="D156">
            <v>16</v>
          </cell>
        </row>
        <row r="157">
          <cell r="A157" t="str">
            <v>発注単位ＣＤ</v>
          </cell>
          <cell r="B157" t="str">
            <v>HATTNI</v>
          </cell>
          <cell r="C157">
            <v>9</v>
          </cell>
          <cell r="D157">
            <v>1</v>
          </cell>
        </row>
        <row r="158">
          <cell r="A158" t="str">
            <v>発注年月</v>
          </cell>
          <cell r="B158" t="str">
            <v>HATNGT</v>
          </cell>
          <cell r="C158" t="str">
            <v>X</v>
          </cell>
          <cell r="D158">
            <v>6</v>
          </cell>
        </row>
        <row r="159">
          <cell r="A159" t="str">
            <v>発注変更入力区分</v>
          </cell>
          <cell r="B159" t="str">
            <v>HNKKBN</v>
          </cell>
          <cell r="C159" t="str">
            <v>X</v>
          </cell>
          <cell r="D159">
            <v>1</v>
          </cell>
        </row>
        <row r="160">
          <cell r="A160" t="str">
            <v>発注元ＣＤ</v>
          </cell>
          <cell r="B160" t="str">
            <v>HATMOT</v>
          </cell>
          <cell r="C160" t="str">
            <v>X</v>
          </cell>
          <cell r="D160">
            <v>6</v>
          </cell>
        </row>
        <row r="161">
          <cell r="A161" t="str">
            <v>発注元事業所名称(ANK)</v>
          </cell>
          <cell r="B161" t="str">
            <v>HATMOT_MEI_ANK</v>
          </cell>
          <cell r="C161" t="str">
            <v>X</v>
          </cell>
          <cell r="D161">
            <v>15</v>
          </cell>
        </row>
        <row r="162">
          <cell r="A162" t="str">
            <v>発注元名</v>
          </cell>
          <cell r="B162" t="str">
            <v>HATMOT_MEI</v>
          </cell>
          <cell r="C162" t="str">
            <v>X</v>
          </cell>
          <cell r="D162">
            <v>16</v>
          </cell>
        </row>
        <row r="163">
          <cell r="A163" t="str">
            <v>発注予定日</v>
          </cell>
          <cell r="B163" t="str">
            <v>HATYOT_DAT</v>
          </cell>
          <cell r="C163" t="str">
            <v>X</v>
          </cell>
          <cell r="D163">
            <v>8</v>
          </cell>
        </row>
        <row r="164">
          <cell r="A164" t="str">
            <v>班コード</v>
          </cell>
          <cell r="B164" t="str">
            <v>HANC</v>
          </cell>
          <cell r="C164">
            <v>9</v>
          </cell>
          <cell r="D164">
            <v>1</v>
          </cell>
        </row>
        <row r="165">
          <cell r="A165" t="str">
            <v>引当数</v>
          </cell>
          <cell r="B165" t="str">
            <v>HIKIAT</v>
          </cell>
          <cell r="C165">
            <v>9</v>
          </cell>
          <cell r="D165">
            <v>9</v>
          </cell>
        </row>
        <row r="166">
          <cell r="A166" t="str">
            <v>引当日</v>
          </cell>
          <cell r="B166" t="str">
            <v>HIKIBI</v>
          </cell>
          <cell r="C166" t="str">
            <v>X</v>
          </cell>
          <cell r="D166">
            <v>8</v>
          </cell>
        </row>
        <row r="167">
          <cell r="A167" t="str">
            <v>標準売価</v>
          </cell>
          <cell r="B167" t="str">
            <v>BAITNK</v>
          </cell>
          <cell r="C167">
            <v>9</v>
          </cell>
          <cell r="D167">
            <v>9</v>
          </cell>
        </row>
        <row r="168">
          <cell r="A168" t="str">
            <v>品種Ｃ＊</v>
          </cell>
          <cell r="B168" t="str">
            <v>HINSHU</v>
          </cell>
          <cell r="C168" t="str">
            <v xml:space="preserve"> </v>
          </cell>
          <cell r="D168" t="str">
            <v xml:space="preserve"> </v>
          </cell>
        </row>
        <row r="169">
          <cell r="A169" t="str">
            <v>品種ＣＤ</v>
          </cell>
          <cell r="B169" t="str">
            <v>HINSHC</v>
          </cell>
          <cell r="C169">
            <v>9</v>
          </cell>
          <cell r="D169">
            <v>3</v>
          </cell>
        </row>
        <row r="170">
          <cell r="A170" t="str">
            <v>ファイル種別</v>
          </cell>
          <cell r="B170" t="str">
            <v>FILSYU</v>
          </cell>
          <cell r="C170" t="str">
            <v>X</v>
          </cell>
          <cell r="D170">
            <v>2</v>
          </cell>
        </row>
        <row r="171">
          <cell r="A171" t="str">
            <v>ファイル名</v>
          </cell>
          <cell r="B171" t="str">
            <v>FILMEI</v>
          </cell>
          <cell r="C171" t="str">
            <v>X</v>
          </cell>
          <cell r="D171">
            <v>15</v>
          </cell>
        </row>
        <row r="172">
          <cell r="A172" t="str">
            <v>複数事業所管理区分</v>
          </cell>
          <cell r="B172" t="str">
            <v>MU_JIKAN</v>
          </cell>
          <cell r="C172">
            <v>9</v>
          </cell>
          <cell r="D172">
            <v>3</v>
          </cell>
        </row>
        <row r="173">
          <cell r="A173" t="str">
            <v>不良品在庫数</v>
          </cell>
          <cell r="B173" t="str">
            <v>FRYZAI</v>
          </cell>
          <cell r="C173">
            <v>9</v>
          </cell>
          <cell r="D173">
            <v>9</v>
          </cell>
        </row>
        <row r="174">
          <cell r="A174" t="str">
            <v>プログラム名称</v>
          </cell>
          <cell r="B174" t="str">
            <v>AP_NM</v>
          </cell>
          <cell r="C174" t="str">
            <v>X</v>
          </cell>
          <cell r="D174">
            <v>15</v>
          </cell>
        </row>
        <row r="175">
          <cell r="A175" t="str">
            <v>変更日付</v>
          </cell>
          <cell r="B175" t="str">
            <v>UDATE</v>
          </cell>
          <cell r="C175" t="str">
            <v>X</v>
          </cell>
          <cell r="D175">
            <v>8</v>
          </cell>
        </row>
        <row r="176">
          <cell r="A176" t="str">
            <v>ポインター数</v>
          </cell>
          <cell r="B176" t="str">
            <v>POINT</v>
          </cell>
          <cell r="C176">
            <v>9</v>
          </cell>
          <cell r="D176">
            <v>6</v>
          </cell>
        </row>
        <row r="177">
          <cell r="A177" t="str">
            <v>ポインター名</v>
          </cell>
          <cell r="B177" t="str">
            <v>PINMEI</v>
          </cell>
          <cell r="C177" t="str">
            <v>X</v>
          </cell>
          <cell r="D177">
            <v>1</v>
          </cell>
        </row>
        <row r="178">
          <cell r="A178" t="str">
            <v>前月粗利益</v>
          </cell>
          <cell r="B178" t="str">
            <v>ARIEKI_ZEN</v>
          </cell>
          <cell r="C178">
            <v>9</v>
          </cell>
          <cell r="D178">
            <v>9</v>
          </cell>
        </row>
        <row r="179">
          <cell r="A179" t="str">
            <v>前月売上</v>
          </cell>
          <cell r="B179" t="str">
            <v>URIAGE_ZEN</v>
          </cell>
          <cell r="C179">
            <v>9</v>
          </cell>
          <cell r="D179">
            <v>9</v>
          </cell>
        </row>
        <row r="180">
          <cell r="A180" t="str">
            <v>前月消費税</v>
          </cell>
          <cell r="B180" t="str">
            <v>SHIZEI_ZEN</v>
          </cell>
          <cell r="C180">
            <v>9</v>
          </cell>
          <cell r="D180">
            <v>9</v>
          </cell>
        </row>
        <row r="181">
          <cell r="A181" t="str">
            <v>前月諸経費</v>
          </cell>
          <cell r="B181" t="str">
            <v>SHOKHI_ZEN</v>
          </cell>
          <cell r="C181">
            <v>9</v>
          </cell>
          <cell r="D181">
            <v>9</v>
          </cell>
        </row>
        <row r="182">
          <cell r="A182" t="str">
            <v>前月入金</v>
          </cell>
          <cell r="B182" t="str">
            <v>NYUKIN_ZEN</v>
          </cell>
          <cell r="C182">
            <v>9</v>
          </cell>
          <cell r="D182">
            <v>9</v>
          </cell>
        </row>
        <row r="183">
          <cell r="A183" t="str">
            <v>前月返品・戻り・値引</v>
          </cell>
          <cell r="B183" t="str">
            <v>NYUKIN_ZEN</v>
          </cell>
          <cell r="C183">
            <v>9</v>
          </cell>
          <cell r="D183">
            <v>9</v>
          </cell>
        </row>
        <row r="184">
          <cell r="A184" t="str">
            <v>明細行№</v>
          </cell>
          <cell r="B184" t="str">
            <v>MEISAI_NO</v>
          </cell>
          <cell r="C184">
            <v>9</v>
          </cell>
          <cell r="D184">
            <v>3</v>
          </cell>
        </row>
        <row r="185">
          <cell r="A185" t="str">
            <v>明細データ</v>
          </cell>
          <cell r="B185" t="str">
            <v>MEISAI</v>
          </cell>
          <cell r="C185" t="str">
            <v xml:space="preserve"> </v>
          </cell>
          <cell r="D185" t="str">
            <v xml:space="preserve"> </v>
          </cell>
        </row>
        <row r="186">
          <cell r="A186" t="str">
            <v>元発注？</v>
          </cell>
          <cell r="B186" t="str">
            <v>SNDKBN</v>
          </cell>
          <cell r="C186" t="str">
            <v>X</v>
          </cell>
          <cell r="D186">
            <v>1</v>
          </cell>
        </row>
        <row r="187">
          <cell r="A187" t="str">
            <v>有効期限</v>
          </cell>
          <cell r="B187" t="str">
            <v>YUKOBI</v>
          </cell>
          <cell r="C187" t="str">
            <v>X</v>
          </cell>
          <cell r="D187">
            <v>8</v>
          </cell>
        </row>
        <row r="188">
          <cell r="A188" t="str">
            <v>有効在庫数</v>
          </cell>
          <cell r="B188" t="str">
            <v>YUKZAI</v>
          </cell>
          <cell r="C188">
            <v>9</v>
          </cell>
          <cell r="D188">
            <v>9</v>
          </cell>
        </row>
        <row r="189">
          <cell r="A189" t="str">
            <v>翌月売上</v>
          </cell>
          <cell r="B189" t="str">
            <v>URIAGE_YOK</v>
          </cell>
          <cell r="C189">
            <v>9</v>
          </cell>
          <cell r="D189">
            <v>9</v>
          </cell>
        </row>
        <row r="190">
          <cell r="A190" t="str">
            <v>翌月消費税</v>
          </cell>
          <cell r="B190" t="str">
            <v>SHIZEI_YOK</v>
          </cell>
          <cell r="C190">
            <v>9</v>
          </cell>
          <cell r="D190">
            <v>9</v>
          </cell>
        </row>
        <row r="191">
          <cell r="A191" t="str">
            <v>翌月諸経費</v>
          </cell>
          <cell r="B191" t="str">
            <v>SHOKHI_YOK</v>
          </cell>
          <cell r="C191">
            <v>9</v>
          </cell>
          <cell r="D191">
            <v>9</v>
          </cell>
        </row>
        <row r="192">
          <cell r="A192" t="str">
            <v>翌月請求</v>
          </cell>
          <cell r="B192" t="str">
            <v>SEIKYU_YOK</v>
          </cell>
          <cell r="C192" t="str">
            <v xml:space="preserve"> </v>
          </cell>
          <cell r="D192" t="str">
            <v xml:space="preserve"> </v>
          </cell>
        </row>
        <row r="193">
          <cell r="A193" t="str">
            <v>翌月入金</v>
          </cell>
          <cell r="B193" t="str">
            <v>NYUKIN_YOK</v>
          </cell>
          <cell r="C193">
            <v>9</v>
          </cell>
          <cell r="D193">
            <v>9</v>
          </cell>
        </row>
        <row r="194">
          <cell r="A194" t="str">
            <v>翌月返品・戻り・値引</v>
          </cell>
          <cell r="B194" t="str">
            <v>HENPIN_YOK</v>
          </cell>
          <cell r="C194">
            <v>9</v>
          </cell>
          <cell r="D194">
            <v>9</v>
          </cell>
        </row>
        <row r="195">
          <cell r="A195" t="str">
            <v>与信限度額(万円)</v>
          </cell>
          <cell r="B195" t="str">
            <v>YOSHIN</v>
          </cell>
          <cell r="C195">
            <v>9</v>
          </cell>
          <cell r="D195">
            <v>9</v>
          </cell>
        </row>
        <row r="196">
          <cell r="A196" t="str">
            <v>量販店ＣＤ</v>
          </cell>
          <cell r="B196" t="str">
            <v>RYOHAN</v>
          </cell>
          <cell r="C196">
            <v>9</v>
          </cell>
          <cell r="D196">
            <v>6</v>
          </cell>
        </row>
        <row r="197">
          <cell r="A197" t="str">
            <v>良品在庫数</v>
          </cell>
          <cell r="B197" t="str">
            <v>ZAIKO</v>
          </cell>
          <cell r="C197">
            <v>9</v>
          </cell>
          <cell r="D197">
            <v>9</v>
          </cell>
        </row>
        <row r="198">
          <cell r="A198" t="str">
            <v>レコード種別</v>
          </cell>
          <cell r="B198" t="str">
            <v>RECSYU</v>
          </cell>
          <cell r="C198" t="str">
            <v>X</v>
          </cell>
          <cell r="D198">
            <v>1</v>
          </cell>
        </row>
        <row r="199">
          <cell r="A199" t="str">
            <v>ロット№</v>
          </cell>
          <cell r="B199" t="str">
            <v>LOT_NO</v>
          </cell>
          <cell r="C199" t="str">
            <v>X</v>
          </cell>
          <cell r="D199">
            <v>10</v>
          </cell>
        </row>
        <row r="200">
          <cell r="A200" t="str">
            <v>最終更新日</v>
          </cell>
          <cell r="B200" t="str">
            <v>UPDATE</v>
          </cell>
          <cell r="C200" t="str">
            <v>X</v>
          </cell>
          <cell r="D200">
            <v>8</v>
          </cell>
        </row>
        <row r="201">
          <cell r="A201" t="str">
            <v>作成日</v>
          </cell>
          <cell r="B201" t="str">
            <v>CRDATE</v>
          </cell>
          <cell r="C201" t="str">
            <v>X</v>
          </cell>
          <cell r="D201">
            <v>8</v>
          </cell>
        </row>
        <row r="202">
          <cell r="A202" t="str">
            <v>プログラムＩＤ</v>
          </cell>
          <cell r="B202" t="str">
            <v>AP_ID</v>
          </cell>
          <cell r="C202" t="str">
            <v>X</v>
          </cell>
          <cell r="D202">
            <v>20</v>
          </cell>
        </row>
        <row r="203">
          <cell r="A203" t="str">
            <v>行№</v>
          </cell>
          <cell r="B203" t="str">
            <v>GYONO</v>
          </cell>
          <cell r="C203">
            <v>9</v>
          </cell>
          <cell r="D203">
            <v>2</v>
          </cell>
        </row>
        <row r="204">
          <cell r="A204" t="str">
            <v>伝票区分</v>
          </cell>
          <cell r="B204" t="str">
            <v>DNPKBN</v>
          </cell>
          <cell r="C204" t="str">
            <v>X</v>
          </cell>
          <cell r="D204">
            <v>2</v>
          </cell>
        </row>
        <row r="205">
          <cell r="A205" t="str">
            <v>配送業者ＣＤ</v>
          </cell>
          <cell r="B205" t="str">
            <v>HAISOU_CD</v>
          </cell>
          <cell r="C205" t="str">
            <v>X</v>
          </cell>
          <cell r="D205">
            <v>6</v>
          </cell>
        </row>
        <row r="206">
          <cell r="A206" t="str">
            <v>配送業者名</v>
          </cell>
          <cell r="B206" t="str">
            <v>HAISOU_NM</v>
          </cell>
          <cell r="C206" t="str">
            <v>X</v>
          </cell>
          <cell r="D206">
            <v>40</v>
          </cell>
        </row>
        <row r="207">
          <cell r="A207" t="str">
            <v>単位区分</v>
          </cell>
          <cell r="B207" t="str">
            <v>TNIKBN</v>
          </cell>
          <cell r="C207" t="str">
            <v>X</v>
          </cell>
          <cell r="D207">
            <v>1</v>
          </cell>
        </row>
        <row r="208">
          <cell r="A208" t="str">
            <v>単位</v>
          </cell>
          <cell r="B208" t="str">
            <v>TNI</v>
          </cell>
          <cell r="C208" t="str">
            <v>X</v>
          </cell>
          <cell r="D208">
            <v>2</v>
          </cell>
        </row>
        <row r="209">
          <cell r="A209" t="str">
            <v>重量</v>
          </cell>
          <cell r="B209" t="str">
            <v>JYURYO</v>
          </cell>
          <cell r="C209">
            <v>9</v>
          </cell>
          <cell r="D209">
            <v>9</v>
          </cell>
        </row>
        <row r="210">
          <cell r="A210" t="str">
            <v>作成日時</v>
          </cell>
          <cell r="B210" t="str">
            <v>M_YMDHM</v>
          </cell>
          <cell r="C210">
            <v>9</v>
          </cell>
          <cell r="D210">
            <v>12</v>
          </cell>
        </row>
        <row r="211">
          <cell r="A211" t="str">
            <v>更新日時</v>
          </cell>
          <cell r="B211" t="str">
            <v>U_YMDHM</v>
          </cell>
          <cell r="C211">
            <v>9</v>
          </cell>
          <cell r="D211">
            <v>12</v>
          </cell>
        </row>
        <row r="212">
          <cell r="A212" t="str">
            <v>出庫依頼書出力パターン</v>
          </cell>
          <cell r="B212" t="str">
            <v>SYU_PTN</v>
          </cell>
          <cell r="C212">
            <v>9</v>
          </cell>
          <cell r="D212">
            <v>1</v>
          </cell>
        </row>
        <row r="213">
          <cell r="A213" t="str">
            <v>受注単位ＣＤ</v>
          </cell>
          <cell r="B213" t="str">
            <v>JYUTNI_CD</v>
          </cell>
          <cell r="C213">
            <v>9</v>
          </cell>
          <cell r="D213">
            <v>1</v>
          </cell>
        </row>
        <row r="214">
          <cell r="A214" t="str">
            <v>曜日</v>
          </cell>
          <cell r="B214" t="str">
            <v>YOBI</v>
          </cell>
          <cell r="C214" t="str">
            <v>X</v>
          </cell>
          <cell r="D214">
            <v>2</v>
          </cell>
        </row>
        <row r="215">
          <cell r="A215" t="str">
            <v>確認書出力パターン</v>
          </cell>
          <cell r="B215" t="str">
            <v>KAKUNI_PTN</v>
          </cell>
          <cell r="C215">
            <v>9</v>
          </cell>
          <cell r="D215">
            <v>1</v>
          </cell>
        </row>
        <row r="216">
          <cell r="A216" t="str">
            <v>倉移送フラグ</v>
          </cell>
          <cell r="B216" t="str">
            <v>KURAIS</v>
          </cell>
          <cell r="C216">
            <v>9</v>
          </cell>
          <cell r="D216">
            <v>1</v>
          </cell>
        </row>
        <row r="217">
          <cell r="A217" t="str">
            <v>受注確認書区分</v>
          </cell>
          <cell r="B217" t="str">
            <v>JYUKAK_KBN</v>
          </cell>
          <cell r="C217">
            <v>9</v>
          </cell>
          <cell r="D217">
            <v>1</v>
          </cell>
        </row>
        <row r="218">
          <cell r="A218" t="str">
            <v>受注確認書ＦＡＸ</v>
          </cell>
          <cell r="B218" t="str">
            <v>JYUKAK_FAX</v>
          </cell>
          <cell r="C218" t="str">
            <v>X</v>
          </cell>
          <cell r="D218">
            <v>10</v>
          </cell>
        </row>
        <row r="219">
          <cell r="A219" t="str">
            <v>開始№</v>
          </cell>
          <cell r="B219" t="str">
            <v>START_NO</v>
          </cell>
          <cell r="C219">
            <v>9</v>
          </cell>
          <cell r="D219">
            <v>6</v>
          </cell>
        </row>
        <row r="220">
          <cell r="A220" t="str">
            <v>終了№</v>
          </cell>
          <cell r="B220" t="str">
            <v>END_NO</v>
          </cell>
          <cell r="C220">
            <v>9</v>
          </cell>
          <cell r="D220">
            <v>6</v>
          </cell>
        </row>
        <row r="221">
          <cell r="A221" t="str">
            <v>現在№</v>
          </cell>
          <cell r="B221" t="str">
            <v>NOW_NO</v>
          </cell>
          <cell r="C221">
            <v>9</v>
          </cell>
          <cell r="D221">
            <v>6</v>
          </cell>
        </row>
        <row r="222">
          <cell r="A222" t="str">
            <v>雑区分</v>
          </cell>
          <cell r="B222" t="str">
            <v>ZATU_KBN</v>
          </cell>
          <cell r="C222">
            <v>9</v>
          </cell>
          <cell r="D222">
            <v>2</v>
          </cell>
        </row>
        <row r="223">
          <cell r="A223" t="str">
            <v>伝票行数</v>
          </cell>
          <cell r="B223" t="str">
            <v>DEN_GYOSU</v>
          </cell>
          <cell r="C223">
            <v>9</v>
          </cell>
          <cell r="D223">
            <v>2</v>
          </cell>
        </row>
        <row r="224">
          <cell r="A224" t="str">
            <v>仕入単価／個</v>
          </cell>
          <cell r="B224" t="str">
            <v>SIRTNK_KO</v>
          </cell>
          <cell r="C224">
            <v>9</v>
          </cell>
          <cell r="D224">
            <v>9</v>
          </cell>
        </row>
        <row r="225">
          <cell r="A225" t="str">
            <v>仕入単価／kg</v>
          </cell>
          <cell r="B225" t="str">
            <v>SIRTNK_KG</v>
          </cell>
          <cell r="C225">
            <v>9</v>
          </cell>
          <cell r="D225">
            <v>9</v>
          </cell>
        </row>
        <row r="226">
          <cell r="A226" t="str">
            <v>ステーション名</v>
          </cell>
          <cell r="B226" t="str">
            <v>TERMID</v>
          </cell>
          <cell r="C226" t="str">
            <v>X</v>
          </cell>
          <cell r="D226">
            <v>10</v>
          </cell>
        </row>
        <row r="227">
          <cell r="A227" t="str">
            <v>納品日数</v>
          </cell>
          <cell r="B227" t="str">
            <v>NOHDAT</v>
          </cell>
          <cell r="C227">
            <v>9</v>
          </cell>
          <cell r="D227">
            <v>2</v>
          </cell>
        </row>
        <row r="228">
          <cell r="A228" t="str">
            <v>移動伝票№</v>
          </cell>
          <cell r="B228" t="str">
            <v>IDODNO</v>
          </cell>
          <cell r="C228">
            <v>9</v>
          </cell>
          <cell r="D228">
            <v>6</v>
          </cell>
        </row>
        <row r="229">
          <cell r="A229" t="str">
            <v>伝票入力№</v>
          </cell>
          <cell r="B229" t="str">
            <v>DNYUNO</v>
          </cell>
          <cell r="C229">
            <v>9</v>
          </cell>
          <cell r="D229">
            <v>6</v>
          </cell>
        </row>
        <row r="230">
          <cell r="A230" t="str">
            <v>ケース数</v>
          </cell>
          <cell r="B230" t="str">
            <v>CASESU</v>
          </cell>
          <cell r="C230">
            <v>9</v>
          </cell>
          <cell r="D230">
            <v>7</v>
          </cell>
        </row>
        <row r="231">
          <cell r="A231" t="str">
            <v>個数</v>
          </cell>
          <cell r="B231" t="str">
            <v>KOSU</v>
          </cell>
          <cell r="C231">
            <v>9</v>
          </cell>
          <cell r="D231">
            <v>8</v>
          </cell>
        </row>
        <row r="232">
          <cell r="A232" t="str">
            <v>受注ケース数</v>
          </cell>
          <cell r="B232" t="str">
            <v>JYCASU</v>
          </cell>
          <cell r="C232">
            <v>9</v>
          </cell>
          <cell r="D232">
            <v>7</v>
          </cell>
        </row>
        <row r="233">
          <cell r="A233" t="str">
            <v>受注個数</v>
          </cell>
          <cell r="B233" t="str">
            <v>JYKOSU</v>
          </cell>
          <cell r="C233">
            <v>9</v>
          </cell>
          <cell r="D233">
            <v>8</v>
          </cell>
        </row>
        <row r="234">
          <cell r="A234" t="str">
            <v>引当ケース数</v>
          </cell>
          <cell r="B234" t="str">
            <v>HICASU</v>
          </cell>
          <cell r="C234">
            <v>9</v>
          </cell>
          <cell r="D234">
            <v>7</v>
          </cell>
        </row>
        <row r="235">
          <cell r="A235" t="str">
            <v>引当個数</v>
          </cell>
          <cell r="B235" t="str">
            <v>HIKOSU</v>
          </cell>
          <cell r="C235">
            <v>9</v>
          </cell>
          <cell r="D235">
            <v>8</v>
          </cell>
        </row>
        <row r="236">
          <cell r="A236" t="str">
            <v>欠品ケース数</v>
          </cell>
          <cell r="B236" t="str">
            <v>KECASU</v>
          </cell>
          <cell r="C236">
            <v>9</v>
          </cell>
          <cell r="D236">
            <v>7</v>
          </cell>
        </row>
        <row r="237">
          <cell r="A237" t="str">
            <v>欠品個数</v>
          </cell>
          <cell r="B237" t="str">
            <v>KEKOSU</v>
          </cell>
          <cell r="C237">
            <v>9</v>
          </cell>
          <cell r="D237">
            <v>8</v>
          </cell>
        </row>
        <row r="238">
          <cell r="A238" t="str">
            <v>確認フラグ</v>
          </cell>
          <cell r="B238" t="str">
            <v>KAKUFL</v>
          </cell>
          <cell r="C238">
            <v>9</v>
          </cell>
          <cell r="D238">
            <v>1</v>
          </cell>
        </row>
        <row r="239">
          <cell r="A239" t="str">
            <v>相手先伝票№</v>
          </cell>
          <cell r="B239" t="str">
            <v>AITDNO</v>
          </cell>
          <cell r="C239">
            <v>9</v>
          </cell>
          <cell r="D239">
            <v>10</v>
          </cell>
        </row>
        <row r="240">
          <cell r="A240" t="str">
            <v>仕入日</v>
          </cell>
          <cell r="B240" t="str">
            <v>SIRDAT</v>
          </cell>
          <cell r="C240">
            <v>9</v>
          </cell>
          <cell r="D240">
            <v>8</v>
          </cell>
        </row>
        <row r="241">
          <cell r="A241" t="str">
            <v>営業所ＣＤ</v>
          </cell>
          <cell r="B241" t="str">
            <v>EIGYCD</v>
          </cell>
          <cell r="C241" t="str">
            <v>X</v>
          </cell>
          <cell r="D241">
            <v>6</v>
          </cell>
        </row>
        <row r="242">
          <cell r="A242" t="str">
            <v>仕入単価</v>
          </cell>
          <cell r="B242" t="str">
            <v>SIRTAN</v>
          </cell>
          <cell r="C242">
            <v>9</v>
          </cell>
          <cell r="D242">
            <v>9</v>
          </cell>
        </row>
        <row r="243">
          <cell r="A243" t="str">
            <v>移動単価</v>
          </cell>
          <cell r="B243" t="str">
            <v>IDOTAN</v>
          </cell>
          <cell r="C243">
            <v>9</v>
          </cell>
          <cell r="D243">
            <v>9</v>
          </cell>
        </row>
        <row r="244">
          <cell r="A244" t="str">
            <v>受注日</v>
          </cell>
          <cell r="B244" t="str">
            <v>JYUDATE</v>
          </cell>
          <cell r="C244">
            <v>9</v>
          </cell>
          <cell r="D244">
            <v>8</v>
          </cell>
        </row>
        <row r="245">
          <cell r="A245" t="str">
            <v>伝票№</v>
          </cell>
          <cell r="B245" t="str">
            <v>DENNO</v>
          </cell>
          <cell r="C245">
            <v>9</v>
          </cell>
          <cell r="D245">
            <v>6</v>
          </cell>
        </row>
        <row r="246">
          <cell r="A246" t="str">
            <v>売上担当者ＣＤ</v>
          </cell>
          <cell r="B246" t="str">
            <v>URITANCD</v>
          </cell>
          <cell r="C246">
            <v>9</v>
          </cell>
          <cell r="D246">
            <v>4</v>
          </cell>
        </row>
        <row r="247">
          <cell r="A247" t="str">
            <v>取引先ＣＤ</v>
          </cell>
          <cell r="B247" t="str">
            <v>TORICD</v>
          </cell>
          <cell r="C247">
            <v>9</v>
          </cell>
          <cell r="D247">
            <v>8</v>
          </cell>
        </row>
        <row r="248">
          <cell r="A248" t="str">
            <v>ブランチＣＤ</v>
          </cell>
          <cell r="B248" t="str">
            <v>BRANCHICD</v>
          </cell>
          <cell r="C248">
            <v>9</v>
          </cell>
          <cell r="D248">
            <v>8</v>
          </cell>
        </row>
        <row r="249">
          <cell r="A249" t="str">
            <v>分類ＣＤ</v>
          </cell>
          <cell r="B249" t="str">
            <v>BUNRUICD</v>
          </cell>
          <cell r="C249">
            <v>9</v>
          </cell>
          <cell r="D249">
            <v>4</v>
          </cell>
        </row>
        <row r="250">
          <cell r="A250" t="str">
            <v>営業所名</v>
          </cell>
          <cell r="B250" t="str">
            <v>EIGYNM</v>
          </cell>
          <cell r="C250" t="str">
            <v>X</v>
          </cell>
          <cell r="D250">
            <v>40</v>
          </cell>
        </row>
        <row r="251">
          <cell r="A251" t="str">
            <v>売上担当者名</v>
          </cell>
          <cell r="B251" t="str">
            <v>URITANNM</v>
          </cell>
          <cell r="C251" t="str">
            <v>X</v>
          </cell>
          <cell r="D251">
            <v>16</v>
          </cell>
        </row>
        <row r="252">
          <cell r="A252" t="str">
            <v>取引先名</v>
          </cell>
          <cell r="B252" t="str">
            <v>TORINM</v>
          </cell>
          <cell r="C252" t="str">
            <v>X</v>
          </cell>
          <cell r="D252">
            <v>40</v>
          </cell>
        </row>
        <row r="253">
          <cell r="A253" t="str">
            <v>ブランチ名</v>
          </cell>
          <cell r="B253" t="str">
            <v>BRANCHINM</v>
          </cell>
          <cell r="C253" t="str">
            <v>X</v>
          </cell>
          <cell r="D253">
            <v>40</v>
          </cell>
        </row>
        <row r="254">
          <cell r="A254" t="str">
            <v>分類名</v>
          </cell>
        </row>
        <row r="255">
          <cell r="A255" t="str">
            <v>仕入金額</v>
          </cell>
          <cell r="B255" t="str">
            <v>SIREGAKU</v>
          </cell>
          <cell r="C255">
            <v>9</v>
          </cell>
          <cell r="D255">
            <v>9</v>
          </cell>
        </row>
        <row r="256">
          <cell r="A256" t="str">
            <v>移動金額</v>
          </cell>
          <cell r="B256" t="str">
            <v>IDOUGAKU</v>
          </cell>
          <cell r="C256">
            <v>9</v>
          </cell>
          <cell r="D256">
            <v>9</v>
          </cell>
        </row>
        <row r="257">
          <cell r="A257" t="str">
            <v>仕入営業所ＣＤ</v>
          </cell>
          <cell r="B257" t="str">
            <v>SIEIGCD</v>
          </cell>
        </row>
        <row r="258">
          <cell r="A258" t="str">
            <v>量販取引先ＣＤ</v>
          </cell>
          <cell r="B258" t="str">
            <v>RYOTORICD</v>
          </cell>
          <cell r="C258" t="str">
            <v>X</v>
          </cell>
          <cell r="D258">
            <v>8</v>
          </cell>
        </row>
        <row r="259">
          <cell r="A259" t="str">
            <v>量販店舗ＣＤ１</v>
          </cell>
          <cell r="B259" t="str">
            <v>RYOTENCD1</v>
          </cell>
          <cell r="C259" t="str">
            <v>X</v>
          </cell>
          <cell r="D259">
            <v>8</v>
          </cell>
        </row>
        <row r="260">
          <cell r="A260" t="str">
            <v>量販店舗ＣＤ２</v>
          </cell>
          <cell r="B260" t="str">
            <v>RYOTENCD2</v>
          </cell>
          <cell r="C260" t="str">
            <v>X</v>
          </cell>
          <cell r="D260">
            <v>8</v>
          </cell>
        </row>
        <row r="261">
          <cell r="A261" t="str">
            <v>自社事業所ＣＤ</v>
          </cell>
          <cell r="B261" t="str">
            <v>JIJIGCD</v>
          </cell>
          <cell r="C261">
            <v>9</v>
          </cell>
          <cell r="D261">
            <v>4</v>
          </cell>
        </row>
        <row r="262">
          <cell r="A262" t="str">
            <v>センターＣＤ</v>
          </cell>
          <cell r="B262" t="str">
            <v>CENTERCD</v>
          </cell>
          <cell r="C262" t="str">
            <v>X</v>
          </cell>
          <cell r="D262">
            <v>8</v>
          </cell>
        </row>
        <row r="263">
          <cell r="A263" t="str">
            <v>量販店舗名称ANK</v>
          </cell>
          <cell r="B263" t="str">
            <v>RYOTENNM_ANK</v>
          </cell>
          <cell r="C263" t="str">
            <v>X</v>
          </cell>
          <cell r="D263">
            <v>18</v>
          </cell>
        </row>
        <row r="264">
          <cell r="A264" t="str">
            <v>量販店舗名称</v>
          </cell>
          <cell r="B264" t="str">
            <v>RYOTENNM</v>
          </cell>
          <cell r="C264" t="str">
            <v>X</v>
          </cell>
          <cell r="D264">
            <v>40</v>
          </cell>
        </row>
        <row r="265">
          <cell r="A265" t="str">
            <v>データ変換区分</v>
          </cell>
          <cell r="B265" t="str">
            <v>DCHGKBN</v>
          </cell>
          <cell r="C265" t="str">
            <v>X</v>
          </cell>
          <cell r="D265">
            <v>1</v>
          </cell>
        </row>
        <row r="266">
          <cell r="A266" t="str">
            <v>印刷順位</v>
          </cell>
          <cell r="B266" t="str">
            <v>PRJYUNI</v>
          </cell>
          <cell r="C266">
            <v>9</v>
          </cell>
          <cell r="D266">
            <v>3</v>
          </cell>
        </row>
        <row r="267">
          <cell r="A267" t="str">
            <v>請求対象区分</v>
          </cell>
          <cell r="B267" t="str">
            <v>SEIKYUKBN</v>
          </cell>
          <cell r="C267">
            <v>9</v>
          </cell>
          <cell r="D267">
            <v>1</v>
          </cell>
        </row>
        <row r="268">
          <cell r="A268" t="str">
            <v>移動対象区分</v>
          </cell>
          <cell r="B268" t="str">
            <v>IDOUKUBN</v>
          </cell>
          <cell r="C268">
            <v>9</v>
          </cell>
          <cell r="D268">
            <v>1</v>
          </cell>
        </row>
        <row r="269">
          <cell r="A269" t="str">
            <v>物流区分</v>
          </cell>
          <cell r="B269" t="str">
            <v>BUTUKBN</v>
          </cell>
          <cell r="C269">
            <v>9</v>
          </cell>
          <cell r="D269">
            <v>1</v>
          </cell>
        </row>
        <row r="270">
          <cell r="A270" t="str">
            <v>課税区分</v>
          </cell>
          <cell r="B270" t="str">
            <v>KAZEIKBN</v>
          </cell>
          <cell r="C270">
            <v>9</v>
          </cell>
          <cell r="D270">
            <v>1</v>
          </cell>
        </row>
        <row r="271">
          <cell r="A271" t="str">
            <v>割戻率グループ</v>
          </cell>
          <cell r="B271" t="str">
            <v>WARI_G</v>
          </cell>
          <cell r="C271" t="str">
            <v xml:space="preserve"> </v>
          </cell>
          <cell r="D271" t="str">
            <v xml:space="preserve"> </v>
          </cell>
        </row>
        <row r="272">
          <cell r="A272" t="str">
            <v>割戻率</v>
          </cell>
          <cell r="B272" t="str">
            <v>WARIRITU</v>
          </cell>
          <cell r="C272">
            <v>9</v>
          </cell>
          <cell r="D272">
            <v>3</v>
          </cell>
        </row>
        <row r="273">
          <cell r="A273" t="str">
            <v>帳票出力区分</v>
          </cell>
          <cell r="B273" t="str">
            <v>PROUTKBN</v>
          </cell>
          <cell r="C273">
            <v>9</v>
          </cell>
          <cell r="D273">
            <v>1</v>
          </cell>
        </row>
        <row r="274">
          <cell r="A274" t="str">
            <v>請求元事業所ＣＤ</v>
          </cell>
          <cell r="B274" t="str">
            <v>SEIJIGCD</v>
          </cell>
          <cell r="C274">
            <v>9</v>
          </cell>
          <cell r="D274">
            <v>4</v>
          </cell>
        </row>
        <row r="275">
          <cell r="A275" t="str">
            <v>店舗区分</v>
          </cell>
          <cell r="B275" t="str">
            <v>TENKBN</v>
          </cell>
          <cell r="C275">
            <v>9</v>
          </cell>
          <cell r="D275">
            <v>1</v>
          </cell>
        </row>
        <row r="276">
          <cell r="A276" t="str">
            <v>量販区分</v>
          </cell>
          <cell r="B276" t="str">
            <v>RYOKBN</v>
          </cell>
          <cell r="C276" t="str">
            <v>X</v>
          </cell>
          <cell r="D276">
            <v>1</v>
          </cell>
        </row>
        <row r="277">
          <cell r="A277" t="str">
            <v>量販商品ＣＤ１</v>
          </cell>
          <cell r="B277" t="str">
            <v>RYOSHOCD1</v>
          </cell>
          <cell r="C277" t="str">
            <v>X</v>
          </cell>
          <cell r="D277">
            <v>13</v>
          </cell>
        </row>
        <row r="278">
          <cell r="A278" t="str">
            <v>量販商品ＣＤ２</v>
          </cell>
          <cell r="B278" t="str">
            <v>RYOSHOCD2</v>
          </cell>
          <cell r="C278" t="str">
            <v>X</v>
          </cell>
          <cell r="D278">
            <v>13</v>
          </cell>
        </row>
        <row r="279">
          <cell r="A279" t="str">
            <v>原価単価／個orケース</v>
          </cell>
          <cell r="B279" t="str">
            <v>GENTAN_KO</v>
          </cell>
          <cell r="C279">
            <v>9</v>
          </cell>
          <cell r="D279">
            <v>8</v>
          </cell>
        </row>
        <row r="280">
          <cell r="A280" t="str">
            <v>売価単価／個orケース</v>
          </cell>
          <cell r="B280" t="str">
            <v>BAITAN_KO</v>
          </cell>
          <cell r="C280">
            <v>9</v>
          </cell>
          <cell r="D280">
            <v>8</v>
          </cell>
        </row>
        <row r="281">
          <cell r="A281" t="str">
            <v>特売単価／個orケース</v>
          </cell>
          <cell r="B281" t="str">
            <v>TKBTAN_KO</v>
          </cell>
          <cell r="C281">
            <v>9</v>
          </cell>
          <cell r="D281">
            <v>8</v>
          </cell>
        </row>
        <row r="282">
          <cell r="A282" t="str">
            <v>原価単価／㎏</v>
          </cell>
          <cell r="B282" t="str">
            <v>GENTAN_KG</v>
          </cell>
          <cell r="C282">
            <v>9</v>
          </cell>
          <cell r="D282">
            <v>8</v>
          </cell>
        </row>
        <row r="283">
          <cell r="A283" t="str">
            <v>売価単価／㎏</v>
          </cell>
          <cell r="B283" t="str">
            <v>BAITAN_KG</v>
          </cell>
          <cell r="C283">
            <v>9</v>
          </cell>
          <cell r="D283">
            <v>8</v>
          </cell>
        </row>
        <row r="284">
          <cell r="A284" t="str">
            <v>特売単価／㎏</v>
          </cell>
          <cell r="B284" t="str">
            <v>TKBTAN_KG</v>
          </cell>
          <cell r="C284">
            <v>9</v>
          </cell>
          <cell r="D284">
            <v>8</v>
          </cell>
        </row>
        <row r="285">
          <cell r="A285" t="str">
            <v>割戻区分</v>
          </cell>
          <cell r="B285" t="str">
            <v>WAIKBN</v>
          </cell>
          <cell r="C285">
            <v>9</v>
          </cell>
          <cell r="D285">
            <v>1</v>
          </cell>
        </row>
        <row r="286">
          <cell r="A286" t="str">
            <v>商品区分</v>
          </cell>
          <cell r="B286" t="str">
            <v>SHOKBN</v>
          </cell>
          <cell r="C286">
            <v>9</v>
          </cell>
          <cell r="D286">
            <v>1</v>
          </cell>
        </row>
        <row r="287">
          <cell r="A287" t="str">
            <v>当月年月日</v>
          </cell>
          <cell r="B287" t="str">
            <v>TOUYMD</v>
          </cell>
          <cell r="C287">
            <v>9</v>
          </cell>
          <cell r="D287">
            <v>8</v>
          </cell>
        </row>
        <row r="288">
          <cell r="A288" t="str">
            <v>翌月年月日</v>
          </cell>
          <cell r="B288" t="str">
            <v>YOKYMD</v>
          </cell>
          <cell r="C288">
            <v>9</v>
          </cell>
          <cell r="D288">
            <v>8</v>
          </cell>
        </row>
        <row r="289">
          <cell r="A289" t="str">
            <v>デポ出庫用伝票区分</v>
          </cell>
          <cell r="B289" t="str">
            <v>DPODENKBN</v>
          </cell>
          <cell r="C289" t="str">
            <v>X</v>
          </cell>
          <cell r="D289">
            <v>2</v>
          </cell>
        </row>
        <row r="290">
          <cell r="A290" t="str">
            <v>メーカー直送用伝票区分</v>
          </cell>
          <cell r="B290" t="str">
            <v>MKODENKBN</v>
          </cell>
          <cell r="C290" t="str">
            <v>X</v>
          </cell>
          <cell r="D290">
            <v>1</v>
          </cell>
        </row>
        <row r="291">
          <cell r="A291" t="str">
            <v>入庫依頼書コメント印字区分</v>
          </cell>
          <cell r="B291" t="str">
            <v>NYUPRKBN</v>
          </cell>
          <cell r="C291" t="str">
            <v>X</v>
          </cell>
          <cell r="D291">
            <v>1</v>
          </cell>
        </row>
        <row r="292">
          <cell r="A292" t="str">
            <v>出庫依頼書コメント印字区分</v>
          </cell>
          <cell r="B292" t="str">
            <v>SYUPRKBN</v>
          </cell>
          <cell r="C292" t="str">
            <v>X</v>
          </cell>
          <cell r="D292">
            <v>1</v>
          </cell>
        </row>
        <row r="293">
          <cell r="A293" t="str">
            <v>入出庫コメント１</v>
          </cell>
          <cell r="B293" t="str">
            <v>NYUSYUCOM1</v>
          </cell>
          <cell r="C293" t="str">
            <v>X</v>
          </cell>
          <cell r="D293">
            <v>30</v>
          </cell>
        </row>
        <row r="294">
          <cell r="A294" t="str">
            <v>入出庫コメント２</v>
          </cell>
          <cell r="B294" t="str">
            <v>NYUSYUCOM2</v>
          </cell>
          <cell r="C294" t="str">
            <v>X</v>
          </cell>
          <cell r="D294">
            <v>30</v>
          </cell>
        </row>
        <row r="295">
          <cell r="A295" t="str">
            <v>消費税率</v>
          </cell>
          <cell r="B295" t="str">
            <v>SYOZEIRITU</v>
          </cell>
          <cell r="C295">
            <v>9</v>
          </cell>
          <cell r="D295">
            <v>2</v>
          </cell>
        </row>
        <row r="296">
          <cell r="A296" t="str">
            <v>消費税率グループ</v>
          </cell>
          <cell r="B296" t="str">
            <v>SYOZEI_G</v>
          </cell>
          <cell r="C296" t="str">
            <v xml:space="preserve"> </v>
          </cell>
          <cell r="D296" t="str">
            <v xml:space="preserve"> </v>
          </cell>
        </row>
        <row r="297">
          <cell r="A297" t="str">
            <v>適用開始年月日</v>
          </cell>
          <cell r="B297" t="str">
            <v>TST_YMD</v>
          </cell>
          <cell r="C297">
            <v>9</v>
          </cell>
          <cell r="D297">
            <v>8</v>
          </cell>
        </row>
        <row r="298">
          <cell r="A298" t="str">
            <v>適用終了年月日</v>
          </cell>
          <cell r="B298" t="str">
            <v>TEN_YMD</v>
          </cell>
          <cell r="C298">
            <v>9</v>
          </cell>
          <cell r="D298">
            <v>8</v>
          </cell>
        </row>
        <row r="299">
          <cell r="A299" t="str">
            <v>消費税単位区分</v>
          </cell>
          <cell r="B299" t="str">
            <v>SYOTANKBN</v>
          </cell>
          <cell r="C299">
            <v>9</v>
          </cell>
          <cell r="D299">
            <v>1</v>
          </cell>
        </row>
        <row r="300">
          <cell r="A300" t="str">
            <v>消費税端数区分</v>
          </cell>
          <cell r="B300" t="str">
            <v>SYOHASKBN</v>
          </cell>
          <cell r="C300">
            <v>9</v>
          </cell>
          <cell r="D300">
            <v>1</v>
          </cell>
        </row>
        <row r="301">
          <cell r="A301" t="str">
            <v>受注伝票区分</v>
          </cell>
          <cell r="B301" t="str">
            <v>JYUDENKBN</v>
          </cell>
          <cell r="C301" t="str">
            <v>X</v>
          </cell>
          <cell r="D301">
            <v>2</v>
          </cell>
        </row>
        <row r="302">
          <cell r="A302" t="str">
            <v>発注済フラグ</v>
          </cell>
          <cell r="B302" t="str">
            <v>HATSUMI</v>
          </cell>
          <cell r="C302" t="str">
            <v>X</v>
          </cell>
          <cell r="D302">
            <v>1</v>
          </cell>
        </row>
        <row r="303">
          <cell r="A303" t="str">
            <v>出荷依頼書№</v>
          </cell>
          <cell r="B303" t="str">
            <v>SYIRAINO</v>
          </cell>
          <cell r="C303">
            <v>9</v>
          </cell>
          <cell r="D303">
            <v>6</v>
          </cell>
        </row>
        <row r="304">
          <cell r="A304" t="str">
            <v>状態</v>
          </cell>
          <cell r="B304" t="str">
            <v>JYOTAI</v>
          </cell>
          <cell r="C304" t="str">
            <v>X</v>
          </cell>
          <cell r="D304">
            <v>6</v>
          </cell>
        </row>
        <row r="305">
          <cell r="A305" t="str">
            <v>枚数</v>
          </cell>
          <cell r="B305" t="str">
            <v>MAISU</v>
          </cell>
          <cell r="C305">
            <v>9</v>
          </cell>
          <cell r="D305">
            <v>3</v>
          </cell>
        </row>
        <row r="306">
          <cell r="A306" t="str">
            <v>処理時間</v>
          </cell>
          <cell r="B306" t="str">
            <v>SYORIHMS</v>
          </cell>
          <cell r="C306">
            <v>9</v>
          </cell>
          <cell r="D306">
            <v>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版履歴"/>
      <sheetName val="情報入力画面"/>
      <sheetName val="errMsg一覧"/>
      <sheetName val="選択"/>
      <sheetName val="項目一覧"/>
    </sheetNames>
    <sheetDataSet>
      <sheetData sheetId="0" refreshError="1"/>
      <sheetData sheetId="1" refreshError="1"/>
      <sheetData sheetId="2" refreshError="1"/>
      <sheetData sheetId="3" refreshError="1"/>
      <sheetData sheetId="4" refreshError="1"/>
      <sheetData sheetId="5" refreshError="1">
        <row r="7">
          <cell r="C7" t="str">
            <v>受注番号</v>
          </cell>
        </row>
        <row r="8">
          <cell r="C8" t="str">
            <v>ひらがな[姓]</v>
          </cell>
        </row>
        <row r="9">
          <cell r="C9" t="str">
            <v>ひらがな[名]</v>
          </cell>
        </row>
        <row r="10">
          <cell r="C10" t="str">
            <v>漢字[姓]</v>
          </cell>
        </row>
        <row r="11">
          <cell r="C11" t="str">
            <v>漢字[名]</v>
          </cell>
        </row>
        <row r="12">
          <cell r="C12" t="str">
            <v>性別(Grp)</v>
          </cell>
        </row>
        <row r="13">
          <cell r="C13" t="str">
            <v>生年月日西暦[年]</v>
          </cell>
        </row>
        <row r="14">
          <cell r="C14" t="str">
            <v>生年月日西暦[月]</v>
          </cell>
        </row>
        <row r="15">
          <cell r="C15" t="str">
            <v>生年月日西暦[日]</v>
          </cell>
        </row>
        <row r="16">
          <cell r="C16" t="str">
            <v>郵便番号(上桁)</v>
          </cell>
        </row>
        <row r="17">
          <cell r="C17" t="str">
            <v>郵便番号(下桁)</v>
          </cell>
        </row>
        <row r="18">
          <cell r="C18" t="str">
            <v>都道府県</v>
          </cell>
        </row>
        <row r="19">
          <cell r="C19" t="str">
            <v>市区町村</v>
          </cell>
        </row>
        <row r="20">
          <cell r="C20" t="str">
            <v>所番地</v>
          </cell>
        </row>
        <row r="21">
          <cell r="C21" t="str">
            <v>自宅電話番号1</v>
          </cell>
        </row>
        <row r="22">
          <cell r="C22" t="str">
            <v>自宅電話番号2</v>
          </cell>
        </row>
        <row r="23">
          <cell r="C23" t="str">
            <v>自宅電話番号3</v>
          </cell>
        </row>
        <row r="24">
          <cell r="C24" t="str">
            <v>昼間連絡先の電話番号1</v>
          </cell>
        </row>
        <row r="25">
          <cell r="C25" t="str">
            <v>昼間連絡先の電話番号2</v>
          </cell>
        </row>
        <row r="26">
          <cell r="C26" t="str">
            <v>昼間連絡先の電話番号3</v>
          </cell>
        </row>
        <row r="27">
          <cell r="C27" t="str">
            <v>ファミリータイプ</v>
          </cell>
        </row>
        <row r="28">
          <cell r="C28" t="str">
            <v>マンションタイプ</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b_送電990120"/>
      <sheetName val="ST分析"/>
      <sheetName val="データ"/>
      <sheetName val="前期試薬実績Ｄ"/>
      <sheetName val="キー選択ワーク"/>
      <sheetName val="当期試薬実績Ｄ"/>
      <sheetName val="項目一覧"/>
      <sheetName val="表紙"/>
      <sheetName val="説明"/>
    </sheetNames>
    <sheetDataSet>
      <sheetData sheetId="0"/>
      <sheetData sheetId="1" refreshError="1"/>
      <sheetData sheetId="2" refreshError="1">
        <row r="1">
          <cell r="A1" t="str">
            <v>03</v>
          </cell>
          <cell r="B1" t="str">
            <v>ST</v>
          </cell>
        </row>
        <row r="2">
          <cell r="A2" t="str">
            <v>03</v>
          </cell>
          <cell r="B2" t="str">
            <v>PS</v>
          </cell>
        </row>
        <row r="3">
          <cell r="A3" t="str">
            <v>01</v>
          </cell>
          <cell r="B3" t="str">
            <v>ST</v>
          </cell>
        </row>
        <row r="4">
          <cell r="A4" t="str">
            <v>03</v>
          </cell>
          <cell r="B4" t="str">
            <v>ST</v>
          </cell>
        </row>
        <row r="5">
          <cell r="A5" t="str">
            <v>03</v>
          </cell>
          <cell r="B5" t="str">
            <v>ST</v>
          </cell>
        </row>
        <row r="6">
          <cell r="A6" t="str">
            <v>03</v>
          </cell>
          <cell r="B6" t="str">
            <v>SS</v>
          </cell>
        </row>
        <row r="7">
          <cell r="A7" t="str">
            <v>03</v>
          </cell>
          <cell r="B7" t="str">
            <v>ST</v>
          </cell>
        </row>
        <row r="8">
          <cell r="A8" t="str">
            <v>03</v>
          </cell>
          <cell r="B8" t="str">
            <v>IT</v>
          </cell>
        </row>
        <row r="9">
          <cell r="A9" t="str">
            <v>03</v>
          </cell>
          <cell r="B9" t="str">
            <v>PT</v>
          </cell>
        </row>
        <row r="10">
          <cell r="A10" t="str">
            <v>03</v>
          </cell>
          <cell r="B10" t="str">
            <v>PG</v>
          </cell>
        </row>
        <row r="11">
          <cell r="A11" t="str">
            <v>03</v>
          </cell>
          <cell r="B11" t="str">
            <v>PT</v>
          </cell>
        </row>
        <row r="12">
          <cell r="A12" t="str">
            <v>03</v>
          </cell>
          <cell r="B12" t="str">
            <v>IT</v>
          </cell>
        </row>
        <row r="13">
          <cell r="A13" t="str">
            <v>10</v>
          </cell>
          <cell r="B13" t="str">
            <v>ST</v>
          </cell>
        </row>
        <row r="14">
          <cell r="A14" t="str">
            <v>03</v>
          </cell>
          <cell r="B14" t="str">
            <v>PS</v>
          </cell>
        </row>
        <row r="15">
          <cell r="A15" t="str">
            <v>03</v>
          </cell>
          <cell r="B15" t="str">
            <v>ST</v>
          </cell>
        </row>
        <row r="16">
          <cell r="A16" t="str">
            <v>03</v>
          </cell>
          <cell r="B16" t="str">
            <v>PS</v>
          </cell>
        </row>
        <row r="17">
          <cell r="A17" t="str">
            <v>03</v>
          </cell>
          <cell r="B17" t="str">
            <v>PG</v>
          </cell>
        </row>
        <row r="18">
          <cell r="A18" t="str">
            <v>03</v>
          </cell>
          <cell r="B18" t="str">
            <v>IT</v>
          </cell>
        </row>
        <row r="19">
          <cell r="A19" t="str">
            <v>03</v>
          </cell>
          <cell r="B19" t="str">
            <v>PG</v>
          </cell>
        </row>
        <row r="20">
          <cell r="A20" t="str">
            <v>02</v>
          </cell>
          <cell r="B20" t="str">
            <v>IT</v>
          </cell>
        </row>
        <row r="21">
          <cell r="A21" t="str">
            <v>03</v>
          </cell>
          <cell r="B21" t="str">
            <v>PS</v>
          </cell>
        </row>
        <row r="22">
          <cell r="A22" t="str">
            <v>07</v>
          </cell>
          <cell r="B22" t="str">
            <v>ST</v>
          </cell>
        </row>
        <row r="23">
          <cell r="A23" t="str">
            <v>01</v>
          </cell>
          <cell r="B23" t="str">
            <v>IT</v>
          </cell>
        </row>
        <row r="24">
          <cell r="A24" t="str">
            <v>03</v>
          </cell>
          <cell r="B24" t="str">
            <v>SS</v>
          </cell>
        </row>
        <row r="25">
          <cell r="A25" t="str">
            <v>03</v>
          </cell>
          <cell r="B25" t="str">
            <v>PS</v>
          </cell>
        </row>
        <row r="26">
          <cell r="A26" t="str">
            <v>03</v>
          </cell>
          <cell r="B26" t="str">
            <v>PS</v>
          </cell>
        </row>
        <row r="27">
          <cell r="A27" t="str">
            <v>10</v>
          </cell>
          <cell r="B27" t="str">
            <v>ST</v>
          </cell>
        </row>
        <row r="28">
          <cell r="A28" t="str">
            <v>03</v>
          </cell>
          <cell r="B28" t="str">
            <v>PS</v>
          </cell>
        </row>
        <row r="29">
          <cell r="A29" t="str">
            <v>03</v>
          </cell>
          <cell r="B29" t="str">
            <v>SS</v>
          </cell>
        </row>
        <row r="30">
          <cell r="A30" t="str">
            <v>03</v>
          </cell>
          <cell r="B30" t="str">
            <v>PS</v>
          </cell>
        </row>
        <row r="31">
          <cell r="A31" t="str">
            <v>01</v>
          </cell>
          <cell r="B31" t="str">
            <v>IT</v>
          </cell>
        </row>
        <row r="32">
          <cell r="A32" t="str">
            <v>03</v>
          </cell>
          <cell r="B32" t="str">
            <v>ST</v>
          </cell>
        </row>
        <row r="33">
          <cell r="A33" t="str">
            <v>03</v>
          </cell>
          <cell r="B33" t="str">
            <v>PT</v>
          </cell>
        </row>
        <row r="34">
          <cell r="A34" t="str">
            <v>03</v>
          </cell>
          <cell r="B34" t="str">
            <v>ST</v>
          </cell>
        </row>
        <row r="35">
          <cell r="A35" t="str">
            <v>01</v>
          </cell>
          <cell r="B35" t="str">
            <v>IT</v>
          </cell>
        </row>
        <row r="36">
          <cell r="A36" t="str">
            <v>03</v>
          </cell>
          <cell r="B36" t="str">
            <v>IT</v>
          </cell>
        </row>
        <row r="37">
          <cell r="A37" t="str">
            <v>09</v>
          </cell>
          <cell r="B37" t="str">
            <v>ST</v>
          </cell>
        </row>
        <row r="38">
          <cell r="A38" t="str">
            <v>03</v>
          </cell>
          <cell r="B38" t="str">
            <v>PG</v>
          </cell>
        </row>
        <row r="39">
          <cell r="A39" t="str">
            <v>03</v>
          </cell>
          <cell r="B39" t="str">
            <v>SS</v>
          </cell>
        </row>
        <row r="40">
          <cell r="A40" t="str">
            <v>03</v>
          </cell>
          <cell r="B40" t="str">
            <v>PT</v>
          </cell>
        </row>
        <row r="41">
          <cell r="A41" t="str">
            <v>03</v>
          </cell>
          <cell r="B41" t="str">
            <v>PS</v>
          </cell>
        </row>
        <row r="42">
          <cell r="A42" t="str">
            <v>10</v>
          </cell>
          <cell r="B42" t="str">
            <v>ST</v>
          </cell>
        </row>
        <row r="43">
          <cell r="A43" t="str">
            <v>03</v>
          </cell>
          <cell r="B43" t="str">
            <v>PT</v>
          </cell>
        </row>
        <row r="44">
          <cell r="A44" t="str">
            <v>03</v>
          </cell>
          <cell r="B44" t="str">
            <v>PT</v>
          </cell>
        </row>
        <row r="45">
          <cell r="A45" t="str">
            <v>03</v>
          </cell>
          <cell r="B45" t="str">
            <v>PS</v>
          </cell>
        </row>
        <row r="46">
          <cell r="A46" t="str">
            <v>03</v>
          </cell>
          <cell r="B46" t="str">
            <v>IT</v>
          </cell>
        </row>
        <row r="47">
          <cell r="A47" t="str">
            <v>03</v>
          </cell>
          <cell r="B47" t="str">
            <v>ST</v>
          </cell>
        </row>
        <row r="48">
          <cell r="A48" t="str">
            <v>03</v>
          </cell>
          <cell r="B48" t="str">
            <v>SS</v>
          </cell>
        </row>
        <row r="49">
          <cell r="A49" t="str">
            <v>03</v>
          </cell>
          <cell r="B49" t="str">
            <v>SS</v>
          </cell>
        </row>
        <row r="50">
          <cell r="A50" t="str">
            <v>03</v>
          </cell>
          <cell r="B50" t="str">
            <v>PS</v>
          </cell>
        </row>
        <row r="51">
          <cell r="A51" t="str">
            <v>01</v>
          </cell>
          <cell r="B51" t="str">
            <v>IT</v>
          </cell>
        </row>
        <row r="52">
          <cell r="A52" t="str">
            <v>01</v>
          </cell>
          <cell r="B52" t="str">
            <v>ST</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サービスコーステーブル"/>
      <sheetName val="品目テーブル"/>
      <sheetName val="料金科目テーブル"/>
      <sheetName val="ＫＲＩＳ合成料金科目"/>
      <sheetName val="はじめに"/>
      <sheetName val="モデル"/>
      <sheetName val="テーブル"/>
      <sheetName val="DABINCI料金科目"/>
      <sheetName val="マトリクス"/>
      <sheetName val="ヘッダ"/>
      <sheetName val="データ"/>
    </sheetNames>
    <sheetDataSet>
      <sheetData sheetId="0" refreshError="1"/>
      <sheetData sheetId="1" refreshError="1"/>
      <sheetData sheetId="2" refreshError="1">
        <row r="1">
          <cell r="F1" t="str">
            <v>下５桁</v>
          </cell>
          <cell r="G1" t="str">
            <v>見出し名</v>
          </cell>
          <cell r="H1" t="str">
            <v>料金名称（４層）</v>
          </cell>
          <cell r="I1" t="str">
            <v>文字数</v>
          </cell>
          <cell r="J1" t="str">
            <v>（４層補足）</v>
          </cell>
          <cell r="K1" t="str">
            <v>出力順</v>
          </cell>
          <cell r="L1" t="str">
            <v>ｺﾐｯｼｮﾝ</v>
          </cell>
          <cell r="M1" t="str">
            <v>ﾎﾟｲﾝﾄ</v>
          </cell>
          <cell r="N1" t="str">
            <v>課税ﾌﾗｸﾞ</v>
          </cell>
        </row>
        <row r="2">
          <cell r="F2" t="str">
            <v>0000001</v>
          </cell>
          <cell r="G2" t="str">
            <v>登録料</v>
          </cell>
          <cell r="H2" t="str">
            <v>ＤＩＯＮインターネットアクセス</v>
          </cell>
          <cell r="I2">
            <v>15</v>
          </cell>
          <cell r="J2" t="str">
            <v>なし</v>
          </cell>
          <cell r="K2" t="str">
            <v>1</v>
          </cell>
          <cell r="L2" t="str">
            <v>対象</v>
          </cell>
          <cell r="M2" t="str">
            <v>対象</v>
          </cell>
          <cell r="N2" t="str">
            <v>課税</v>
          </cell>
        </row>
        <row r="3">
          <cell r="F3" t="str">
            <v>0000002</v>
          </cell>
          <cell r="G3" t="str">
            <v>初期費用</v>
          </cell>
          <cell r="H3" t="str">
            <v>ＤＩＯＮ　ＡＤＳＬコース</v>
          </cell>
          <cell r="I3">
            <v>12</v>
          </cell>
          <cell r="J3" t="str">
            <v>なし</v>
          </cell>
          <cell r="K3">
            <v>1</v>
          </cell>
          <cell r="L3" t="str">
            <v>対象</v>
          </cell>
          <cell r="M3" t="str">
            <v>対象</v>
          </cell>
          <cell r="N3" t="str">
            <v>課税</v>
          </cell>
        </row>
        <row r="4">
          <cell r="F4" t="str">
            <v>0000004</v>
          </cell>
          <cell r="G4" t="str">
            <v>登録料</v>
          </cell>
          <cell r="H4" t="str">
            <v>モバイルＧＢ</v>
          </cell>
          <cell r="I4">
            <v>6</v>
          </cell>
          <cell r="N4" t="str">
            <v>課税</v>
          </cell>
        </row>
        <row r="5">
          <cell r="F5" t="str">
            <v>0000005</v>
          </cell>
          <cell r="G5" t="str">
            <v>加入料</v>
          </cell>
          <cell r="H5" t="str">
            <v>メールインワンＦＡＸ</v>
          </cell>
          <cell r="I5">
            <v>10</v>
          </cell>
          <cell r="N5" t="str">
            <v>課税</v>
          </cell>
        </row>
        <row r="6">
          <cell r="F6" t="str">
            <v>0000006</v>
          </cell>
          <cell r="G6" t="str">
            <v>登録料</v>
          </cell>
          <cell r="H6" t="str">
            <v>メールインワンＦＡＸ</v>
          </cell>
          <cell r="I6">
            <v>10</v>
          </cell>
          <cell r="N6" t="str">
            <v>課税</v>
          </cell>
        </row>
        <row r="7">
          <cell r="F7" t="str">
            <v>0000007</v>
          </cell>
          <cell r="G7" t="str">
            <v>初期費用</v>
          </cell>
          <cell r="H7" t="str">
            <v>ＶＡ</v>
          </cell>
          <cell r="I7">
            <v>2</v>
          </cell>
          <cell r="N7" t="str">
            <v>課税</v>
          </cell>
        </row>
        <row r="8">
          <cell r="F8" t="str">
            <v>0000010</v>
          </cell>
          <cell r="G8" t="str">
            <v>初期費用</v>
          </cell>
          <cell r="H8" t="str">
            <v>ｅ＊Ｔｅｍｐｏ</v>
          </cell>
          <cell r="I8">
            <v>7</v>
          </cell>
          <cell r="N8" t="str">
            <v>課税</v>
          </cell>
        </row>
        <row r="9">
          <cell r="F9" t="str">
            <v>0000011</v>
          </cell>
          <cell r="G9" t="str">
            <v>初期費用</v>
          </cell>
          <cell r="H9" t="str">
            <v>ＤＩＯＮショッピングパレード</v>
          </cell>
          <cell r="I9">
            <v>14</v>
          </cell>
          <cell r="N9" t="str">
            <v>課税</v>
          </cell>
        </row>
        <row r="10">
          <cell r="F10" t="str">
            <v>0000012</v>
          </cell>
          <cell r="G10" t="str">
            <v>初期費用</v>
          </cell>
          <cell r="H10" t="str">
            <v>ＰａｙＣｏｕｎｔｅｒ</v>
          </cell>
          <cell r="I10">
            <v>10</v>
          </cell>
          <cell r="N10" t="str">
            <v>課税</v>
          </cell>
        </row>
        <row r="11">
          <cell r="F11" t="str">
            <v>0000013</v>
          </cell>
          <cell r="G11" t="str">
            <v>初期費用</v>
          </cell>
          <cell r="H11" t="str">
            <v>”Ｆ”マンション</v>
          </cell>
          <cell r="I11">
            <v>8</v>
          </cell>
          <cell r="N11" t="str">
            <v>課税</v>
          </cell>
        </row>
        <row r="12">
          <cell r="F12" t="str">
            <v>0000101</v>
          </cell>
          <cell r="G12" t="str">
            <v>変更料</v>
          </cell>
          <cell r="H12" t="str">
            <v>ＤＩＯＮ品目変更</v>
          </cell>
          <cell r="I12">
            <v>8</v>
          </cell>
          <cell r="J12" t="str">
            <v>なし</v>
          </cell>
          <cell r="K12" t="str">
            <v>2</v>
          </cell>
          <cell r="L12" t="str">
            <v>対象</v>
          </cell>
          <cell r="M12" t="str">
            <v>対象</v>
          </cell>
          <cell r="N12" t="str">
            <v>課税</v>
          </cell>
        </row>
        <row r="13">
          <cell r="F13" t="str">
            <v>0000102</v>
          </cell>
          <cell r="G13" t="str">
            <v>変更料</v>
          </cell>
          <cell r="H13" t="str">
            <v>ＤＩＯＮ　ＡＤＳＬコース変更</v>
          </cell>
          <cell r="I13">
            <v>14</v>
          </cell>
          <cell r="J13" t="str">
            <v>なし</v>
          </cell>
          <cell r="K13">
            <v>2</v>
          </cell>
          <cell r="L13" t="str">
            <v>対象</v>
          </cell>
          <cell r="M13" t="str">
            <v>対象</v>
          </cell>
          <cell r="N13" t="str">
            <v>課税</v>
          </cell>
        </row>
        <row r="14">
          <cell r="F14" t="str">
            <v>0000202</v>
          </cell>
          <cell r="G14" t="str">
            <v>初期費用</v>
          </cell>
          <cell r="H14" t="str">
            <v>ＤＩＯＮ　ＡＤＳＬコース</v>
          </cell>
          <cell r="I14">
            <v>12</v>
          </cell>
          <cell r="J14" t="str">
            <v>なし</v>
          </cell>
          <cell r="K14">
            <v>3</v>
          </cell>
          <cell r="L14" t="str">
            <v>対象</v>
          </cell>
          <cell r="M14" t="str">
            <v>対象</v>
          </cell>
          <cell r="N14" t="str">
            <v>課税</v>
          </cell>
        </row>
        <row r="15">
          <cell r="F15" t="str">
            <v>0000213</v>
          </cell>
          <cell r="G15" t="str">
            <v>初期費用</v>
          </cell>
          <cell r="H15" t="str">
            <v>モデム追加料金</v>
          </cell>
          <cell r="I15">
            <v>7</v>
          </cell>
          <cell r="N15" t="str">
            <v>課税</v>
          </cell>
        </row>
        <row r="16">
          <cell r="F16" t="str">
            <v>0000216</v>
          </cell>
          <cell r="G16" t="str">
            <v>登録料</v>
          </cell>
          <cell r="H16" t="str">
            <v>ＩＰ電話登録料（内蔵型）</v>
          </cell>
          <cell r="I16">
            <v>12</v>
          </cell>
          <cell r="N16" t="str">
            <v>課税</v>
          </cell>
        </row>
        <row r="17">
          <cell r="F17" t="str">
            <v>0000302</v>
          </cell>
          <cell r="G17" t="str">
            <v>機器販売</v>
          </cell>
          <cell r="H17" t="str">
            <v>ＡＤＳＬモデム（ＵＳＢ）</v>
          </cell>
          <cell r="I17">
            <v>12</v>
          </cell>
          <cell r="N17" t="str">
            <v>課税</v>
          </cell>
        </row>
        <row r="18">
          <cell r="F18" t="str">
            <v>0000313</v>
          </cell>
          <cell r="G18" t="str">
            <v>初期費用</v>
          </cell>
          <cell r="H18" t="str">
            <v>フィルタ追加料金</v>
          </cell>
          <cell r="I18">
            <v>8</v>
          </cell>
          <cell r="N18" t="str">
            <v>課税</v>
          </cell>
        </row>
        <row r="19">
          <cell r="F19" t="str">
            <v>0000316</v>
          </cell>
          <cell r="G19" t="str">
            <v>登録料</v>
          </cell>
          <cell r="H19" t="str">
            <v>ＩＰ電話登録料（外付け型）</v>
          </cell>
          <cell r="I19">
            <v>13</v>
          </cell>
          <cell r="N19" t="str">
            <v>課税</v>
          </cell>
        </row>
        <row r="20">
          <cell r="F20" t="str">
            <v>0000402</v>
          </cell>
          <cell r="G20" t="str">
            <v>機器販売</v>
          </cell>
          <cell r="H20" t="str">
            <v>ＡＤＳＬモデム（ＵＳＢ）</v>
          </cell>
          <cell r="I20">
            <v>12</v>
          </cell>
          <cell r="N20" t="str">
            <v>課税</v>
          </cell>
        </row>
        <row r="21">
          <cell r="F21" t="str">
            <v>0000502</v>
          </cell>
          <cell r="G21" t="str">
            <v>機器販売</v>
          </cell>
          <cell r="H21" t="str">
            <v>ＡＤＳＬモデム（１０Ｂａｓｅ－Ｔ）</v>
          </cell>
          <cell r="I21">
            <v>17</v>
          </cell>
          <cell r="N21" t="str">
            <v>課税</v>
          </cell>
        </row>
        <row r="22">
          <cell r="F22" t="str">
            <v>0000602</v>
          </cell>
          <cell r="G22" t="str">
            <v>機器販売</v>
          </cell>
          <cell r="H22" t="str">
            <v>ＡＤＳＬモデム（１０Ｂａｓｅ－Ｔ）</v>
          </cell>
          <cell r="I22">
            <v>17</v>
          </cell>
          <cell r="N22" t="str">
            <v>課税</v>
          </cell>
        </row>
        <row r="23">
          <cell r="F23" t="str">
            <v>0000702</v>
          </cell>
          <cell r="G23" t="str">
            <v>機器販売</v>
          </cell>
          <cell r="H23" t="str">
            <v>スプリッタ</v>
          </cell>
          <cell r="I23">
            <v>5</v>
          </cell>
          <cell r="N23" t="str">
            <v>課税</v>
          </cell>
        </row>
        <row r="24">
          <cell r="F24" t="str">
            <v>0000802</v>
          </cell>
          <cell r="G24" t="str">
            <v>機器販売</v>
          </cell>
          <cell r="H24" t="str">
            <v>ＡＤＳＬモデム（ＵＳＢ）</v>
          </cell>
          <cell r="I24">
            <v>12</v>
          </cell>
          <cell r="N24" t="str">
            <v>課税</v>
          </cell>
        </row>
        <row r="25">
          <cell r="F25" t="str">
            <v>0000902</v>
          </cell>
          <cell r="G25" t="str">
            <v>機器販売</v>
          </cell>
          <cell r="H25" t="str">
            <v>ＡＤＳＬモデム（ＵＳＢ）</v>
          </cell>
          <cell r="I25">
            <v>12</v>
          </cell>
          <cell r="N25" t="str">
            <v>課税</v>
          </cell>
        </row>
        <row r="26">
          <cell r="F26" t="str">
            <v>0001002</v>
          </cell>
          <cell r="G26" t="str">
            <v>工事料</v>
          </cell>
          <cell r="H26" t="str">
            <v>ＡＤＳＬモデム設置工事</v>
          </cell>
          <cell r="I26">
            <v>11</v>
          </cell>
          <cell r="J26" t="str">
            <v>なし</v>
          </cell>
          <cell r="K26">
            <v>4</v>
          </cell>
          <cell r="L26" t="str">
            <v>対象</v>
          </cell>
          <cell r="M26" t="str">
            <v>対象</v>
          </cell>
          <cell r="N26" t="str">
            <v>課税</v>
          </cell>
        </row>
        <row r="27">
          <cell r="F27" t="str">
            <v>0001007</v>
          </cell>
          <cell r="G27" t="str">
            <v>変更料</v>
          </cell>
          <cell r="H27" t="str">
            <v>グループ名変更料</v>
          </cell>
          <cell r="I27">
            <v>8</v>
          </cell>
          <cell r="N27" t="str">
            <v>課税</v>
          </cell>
        </row>
        <row r="28">
          <cell r="F28" t="str">
            <v>0001016</v>
          </cell>
          <cell r="G28" t="str">
            <v>工事料</v>
          </cell>
          <cell r="H28" t="str">
            <v>宅内機器設置工事料</v>
          </cell>
          <cell r="I28">
            <v>9</v>
          </cell>
          <cell r="N28" t="str">
            <v>課税</v>
          </cell>
        </row>
        <row r="29">
          <cell r="F29" t="str">
            <v>0001102</v>
          </cell>
          <cell r="G29" t="str">
            <v>工事料</v>
          </cell>
          <cell r="H29" t="str">
            <v>ＮＴＴ（電話共用（交換機工事））</v>
          </cell>
          <cell r="I29">
            <v>16</v>
          </cell>
          <cell r="J29" t="str">
            <v>なし</v>
          </cell>
          <cell r="K29">
            <v>5</v>
          </cell>
          <cell r="L29" t="str">
            <v>対象</v>
          </cell>
          <cell r="M29" t="str">
            <v>対象</v>
          </cell>
          <cell r="N29" t="str">
            <v>課税</v>
          </cell>
        </row>
        <row r="30">
          <cell r="F30" t="str">
            <v>0001113</v>
          </cell>
          <cell r="G30" t="str">
            <v>工事料</v>
          </cell>
          <cell r="H30" t="str">
            <v>モデム設置派遣工事費</v>
          </cell>
          <cell r="I30">
            <v>10</v>
          </cell>
          <cell r="N30" t="str">
            <v>課税</v>
          </cell>
        </row>
        <row r="31">
          <cell r="F31" t="str">
            <v>0001116</v>
          </cell>
          <cell r="G31" t="str">
            <v>変更料</v>
          </cell>
          <cell r="H31" t="str">
            <v>宅内機器変更手数料</v>
          </cell>
          <cell r="I31">
            <v>9</v>
          </cell>
          <cell r="N31" t="str">
            <v>課税</v>
          </cell>
        </row>
        <row r="32">
          <cell r="F32" t="str">
            <v>0001202</v>
          </cell>
          <cell r="G32" t="str">
            <v>工事料</v>
          </cell>
          <cell r="H32" t="str">
            <v>ＮＴＴ（電話共用（交換機工事他））</v>
          </cell>
          <cell r="I32">
            <v>17</v>
          </cell>
          <cell r="J32" t="str">
            <v>なし</v>
          </cell>
          <cell r="K32">
            <v>6</v>
          </cell>
          <cell r="L32" t="str">
            <v>対象</v>
          </cell>
          <cell r="M32" t="str">
            <v>対象</v>
          </cell>
          <cell r="N32" t="str">
            <v>課税</v>
          </cell>
        </row>
        <row r="33">
          <cell r="F33" t="str">
            <v>0001213</v>
          </cell>
          <cell r="G33" t="str">
            <v>工事料</v>
          </cell>
          <cell r="H33" t="str">
            <v>モデム撤去派遣工事料</v>
          </cell>
          <cell r="I33">
            <v>10</v>
          </cell>
          <cell r="N33" t="str">
            <v>課税</v>
          </cell>
        </row>
        <row r="34">
          <cell r="F34" t="str">
            <v>0001302</v>
          </cell>
          <cell r="G34" t="str">
            <v>工事料</v>
          </cell>
          <cell r="H34" t="str">
            <v>ＮＴＴ（ＡＤＳＬ専用（交換機工事））</v>
          </cell>
          <cell r="I34">
            <v>18</v>
          </cell>
          <cell r="N34" t="str">
            <v>課税</v>
          </cell>
        </row>
        <row r="35">
          <cell r="F35" t="str">
            <v>0001313</v>
          </cell>
          <cell r="G35" t="str">
            <v>工事料</v>
          </cell>
          <cell r="H35" t="str">
            <v>モデム変更工事費</v>
          </cell>
          <cell r="I35">
            <v>8</v>
          </cell>
          <cell r="N35" t="str">
            <v>課税</v>
          </cell>
        </row>
        <row r="36">
          <cell r="F36" t="str">
            <v>0001402</v>
          </cell>
          <cell r="G36" t="str">
            <v>工事料</v>
          </cell>
          <cell r="H36" t="str">
            <v>ＮＴＴ（ＡＤＳＬ専用（交換機工事他））</v>
          </cell>
          <cell r="I36">
            <v>19</v>
          </cell>
          <cell r="N36" t="str">
            <v>課税</v>
          </cell>
        </row>
        <row r="37">
          <cell r="F37" t="str">
            <v>0001413</v>
          </cell>
          <cell r="G37" t="str">
            <v>工事料</v>
          </cell>
          <cell r="H37" t="str">
            <v>回線変更工事費</v>
          </cell>
          <cell r="I37">
            <v>7</v>
          </cell>
          <cell r="N37" t="str">
            <v>課税</v>
          </cell>
        </row>
        <row r="38">
          <cell r="F38" t="str">
            <v>0001502</v>
          </cell>
          <cell r="G38" t="str">
            <v>工事料</v>
          </cell>
          <cell r="H38" t="str">
            <v>モデム撤去工事料</v>
          </cell>
          <cell r="I38">
            <v>8</v>
          </cell>
          <cell r="N38" t="str">
            <v>課税</v>
          </cell>
        </row>
        <row r="39">
          <cell r="F39" t="str">
            <v>0001513</v>
          </cell>
          <cell r="G39" t="str">
            <v>工事料</v>
          </cell>
          <cell r="H39" t="str">
            <v>個別工事費</v>
          </cell>
          <cell r="I39">
            <v>5</v>
          </cell>
          <cell r="N39" t="str">
            <v>課税</v>
          </cell>
        </row>
        <row r="40">
          <cell r="F40" t="str">
            <v>0001602</v>
          </cell>
          <cell r="G40" t="str">
            <v>工事料</v>
          </cell>
          <cell r="H40" t="str">
            <v>回線変更工事料</v>
          </cell>
          <cell r="I40">
            <v>7</v>
          </cell>
          <cell r="N40" t="str">
            <v>課税</v>
          </cell>
        </row>
        <row r="41">
          <cell r="F41" t="str">
            <v>0001613</v>
          </cell>
          <cell r="G41" t="str">
            <v>工事料</v>
          </cell>
          <cell r="H41" t="str">
            <v>サテライト工事費</v>
          </cell>
          <cell r="I41">
            <v>8</v>
          </cell>
          <cell r="N41" t="str">
            <v>課税</v>
          </cell>
        </row>
        <row r="42">
          <cell r="F42" t="str">
            <v>0001702</v>
          </cell>
          <cell r="G42" t="str">
            <v>工事料</v>
          </cell>
          <cell r="H42" t="str">
            <v>ＡＤＳＬモデムタイプ変更工事料</v>
          </cell>
          <cell r="I42">
            <v>15</v>
          </cell>
          <cell r="N42" t="str">
            <v>課税</v>
          </cell>
        </row>
        <row r="43">
          <cell r="F43" t="str">
            <v>0001802</v>
          </cell>
          <cell r="G43" t="str">
            <v>工事料</v>
          </cell>
          <cell r="H43" t="str">
            <v>スプリッタ追加工事料</v>
          </cell>
          <cell r="I43">
            <v>10</v>
          </cell>
          <cell r="N43" t="str">
            <v>課税</v>
          </cell>
        </row>
        <row r="44">
          <cell r="F44" t="str">
            <v>0001902</v>
          </cell>
          <cell r="G44" t="str">
            <v>機器販売</v>
          </cell>
          <cell r="H44" t="str">
            <v>スプリッタ追加販売料</v>
          </cell>
          <cell r="I44">
            <v>10</v>
          </cell>
          <cell r="N44" t="str">
            <v>課税</v>
          </cell>
        </row>
        <row r="45">
          <cell r="F45" t="str">
            <v>0002002</v>
          </cell>
          <cell r="G45" t="str">
            <v>工事料</v>
          </cell>
          <cell r="H45" t="str">
            <v>ＡＤＳＬモデム追加設置工事料</v>
          </cell>
          <cell r="I45">
            <v>14</v>
          </cell>
          <cell r="N45" t="str">
            <v>課税</v>
          </cell>
        </row>
        <row r="46">
          <cell r="F46" t="str">
            <v>0002102</v>
          </cell>
          <cell r="G46" t="str">
            <v>工事料</v>
          </cell>
          <cell r="H46" t="str">
            <v>委託工事料（スプリッタ）</v>
          </cell>
          <cell r="I46">
            <v>12</v>
          </cell>
          <cell r="N46" t="str">
            <v>課税</v>
          </cell>
        </row>
        <row r="47">
          <cell r="F47" t="str">
            <v>0002202</v>
          </cell>
          <cell r="G47" t="str">
            <v>工事料</v>
          </cell>
          <cell r="H47" t="str">
            <v>保安器交換工事料</v>
          </cell>
          <cell r="I47">
            <v>8</v>
          </cell>
          <cell r="N47" t="str">
            <v>課税</v>
          </cell>
        </row>
        <row r="48">
          <cell r="F48" t="str">
            <v>0002302</v>
          </cell>
          <cell r="G48" t="str">
            <v>工事料</v>
          </cell>
          <cell r="H48" t="str">
            <v>光収容変更工事料</v>
          </cell>
          <cell r="I48">
            <v>8</v>
          </cell>
          <cell r="N48" t="str">
            <v>課税</v>
          </cell>
        </row>
        <row r="49">
          <cell r="F49" t="str">
            <v>0002402</v>
          </cell>
          <cell r="G49" t="str">
            <v>工事料</v>
          </cell>
          <cell r="H49" t="str">
            <v>ＮＴＴ回線調整工事料（基本）</v>
          </cell>
          <cell r="I49">
            <v>14</v>
          </cell>
          <cell r="N49" t="str">
            <v>課税</v>
          </cell>
        </row>
        <row r="50">
          <cell r="F50" t="str">
            <v>0002502</v>
          </cell>
          <cell r="G50" t="str">
            <v>工事料</v>
          </cell>
          <cell r="H50" t="str">
            <v>ＮＴＴ回線調整工事料（回線収容替え）</v>
          </cell>
          <cell r="I50">
            <v>18</v>
          </cell>
          <cell r="N50" t="str">
            <v>課税</v>
          </cell>
        </row>
        <row r="51">
          <cell r="F51" t="str">
            <v>0002602</v>
          </cell>
          <cell r="G51" t="str">
            <v>工事料</v>
          </cell>
          <cell r="H51" t="str">
            <v>ＮＴＴ回線調整工事料（ＢＴ外し）</v>
          </cell>
          <cell r="I51">
            <v>16</v>
          </cell>
          <cell r="N51" t="str">
            <v>課税</v>
          </cell>
        </row>
        <row r="52">
          <cell r="F52" t="str">
            <v>0002702</v>
          </cell>
          <cell r="G52" t="str">
            <v>工事料</v>
          </cell>
          <cell r="H52" t="str">
            <v>回線申込手続費</v>
          </cell>
          <cell r="I52">
            <v>7</v>
          </cell>
          <cell r="N52" t="str">
            <v>課税</v>
          </cell>
        </row>
        <row r="53">
          <cell r="F53" t="str">
            <v>0002802</v>
          </cell>
          <cell r="G53" t="str">
            <v>工事料</v>
          </cell>
          <cell r="H53" t="str">
            <v>プロトコル変更工事料</v>
          </cell>
          <cell r="I53">
            <v>10</v>
          </cell>
          <cell r="N53" t="str">
            <v>課税</v>
          </cell>
        </row>
        <row r="54">
          <cell r="F54" t="str">
            <v>0002902</v>
          </cell>
          <cell r="G54" t="str">
            <v>工事料</v>
          </cell>
          <cell r="H54" t="str">
            <v>その他工事料</v>
          </cell>
          <cell r="I54">
            <v>6</v>
          </cell>
          <cell r="N54" t="str">
            <v>課税</v>
          </cell>
        </row>
        <row r="55">
          <cell r="F55" t="str">
            <v>0003102</v>
          </cell>
          <cell r="G55" t="str">
            <v>違約金</v>
          </cell>
          <cell r="H55" t="str">
            <v>モデム未回収</v>
          </cell>
          <cell r="I55">
            <v>6</v>
          </cell>
          <cell r="N55" t="str">
            <v>課税</v>
          </cell>
        </row>
        <row r="56">
          <cell r="F56" t="str">
            <v>0003116</v>
          </cell>
          <cell r="G56" t="str">
            <v>違約金</v>
          </cell>
          <cell r="H56" t="str">
            <v>ＩＰ電話用宅内機器違約金</v>
          </cell>
          <cell r="I56">
            <v>12</v>
          </cell>
          <cell r="N56" t="str">
            <v>課税</v>
          </cell>
        </row>
        <row r="57">
          <cell r="F57" t="str">
            <v>0003202</v>
          </cell>
          <cell r="G57" t="str">
            <v>違約金</v>
          </cell>
          <cell r="H57" t="str">
            <v>モデム未回収</v>
          </cell>
          <cell r="I57">
            <v>6</v>
          </cell>
          <cell r="N57" t="str">
            <v>課税</v>
          </cell>
        </row>
        <row r="58">
          <cell r="F58" t="str">
            <v>0004001</v>
          </cell>
          <cell r="G58" t="str">
            <v>通信料</v>
          </cell>
          <cell r="H58" t="str">
            <v>ＤＩＯＮ月額利用料</v>
          </cell>
          <cell r="I58">
            <v>9</v>
          </cell>
          <cell r="J58" t="str">
            <v>なし</v>
          </cell>
          <cell r="K58" t="str">
            <v>3</v>
          </cell>
          <cell r="L58" t="str">
            <v>対象</v>
          </cell>
          <cell r="M58" t="str">
            <v>対象</v>
          </cell>
          <cell r="N58" t="str">
            <v>課税</v>
          </cell>
        </row>
        <row r="59">
          <cell r="F59" t="str">
            <v>0004002</v>
          </cell>
          <cell r="G59" t="str">
            <v>利用料</v>
          </cell>
          <cell r="H59" t="str">
            <v>月額利用料（ＡＤＳＬ電話共用）</v>
          </cell>
          <cell r="I59">
            <v>15</v>
          </cell>
          <cell r="N59" t="str">
            <v>課税</v>
          </cell>
        </row>
        <row r="60">
          <cell r="F60" t="str">
            <v>0004003</v>
          </cell>
          <cell r="G60" t="str">
            <v>通信料</v>
          </cell>
          <cell r="H60" t="str">
            <v>月額利用料（Ｎｅｗｅｂ）</v>
          </cell>
          <cell r="I60">
            <v>12</v>
          </cell>
          <cell r="N60" t="str">
            <v>課税</v>
          </cell>
        </row>
        <row r="61">
          <cell r="F61" t="str">
            <v>0004005</v>
          </cell>
          <cell r="G61" t="str">
            <v>通信料</v>
          </cell>
          <cell r="H61" t="str">
            <v>月額利用料（メールインワンＦＡＸ）</v>
          </cell>
          <cell r="I61">
            <v>17</v>
          </cell>
          <cell r="N61" t="str">
            <v>課税</v>
          </cell>
        </row>
        <row r="62">
          <cell r="F62" t="str">
            <v>0004006</v>
          </cell>
          <cell r="G62" t="str">
            <v>通信料</v>
          </cell>
          <cell r="H62" t="str">
            <v>月額利用料（メールインワンＦＡＸ）</v>
          </cell>
          <cell r="I62">
            <v>17</v>
          </cell>
          <cell r="N62" t="str">
            <v>課税</v>
          </cell>
        </row>
        <row r="63">
          <cell r="F63" t="str">
            <v>0004010</v>
          </cell>
          <cell r="G63" t="str">
            <v>利用料</v>
          </cell>
          <cell r="H63" t="str">
            <v>月額基本料（ｅ＊Ｔｅｍｐｏ）</v>
          </cell>
          <cell r="I63">
            <v>14</v>
          </cell>
          <cell r="N63" t="str">
            <v>課税</v>
          </cell>
        </row>
        <row r="64">
          <cell r="F64" t="str">
            <v>0004011</v>
          </cell>
          <cell r="G64" t="str">
            <v>利用料</v>
          </cell>
          <cell r="H64" t="str">
            <v>月額基本料（ショッピングパレード）</v>
          </cell>
          <cell r="I64">
            <v>17</v>
          </cell>
          <cell r="N64" t="str">
            <v>課税</v>
          </cell>
        </row>
        <row r="65">
          <cell r="F65" t="str">
            <v>0004013</v>
          </cell>
          <cell r="G65" t="str">
            <v>利用料</v>
          </cell>
          <cell r="H65" t="str">
            <v>月額利用料（”Ｆ”マンション）</v>
          </cell>
          <cell r="I65">
            <v>15</v>
          </cell>
          <cell r="N65" t="str">
            <v>課税</v>
          </cell>
        </row>
        <row r="66">
          <cell r="F66" t="str">
            <v>0004016</v>
          </cell>
          <cell r="G66" t="str">
            <v>利用料</v>
          </cell>
          <cell r="H66" t="str">
            <v>月額利用料（ＩＰ電話）</v>
          </cell>
          <cell r="I66">
            <v>11</v>
          </cell>
          <cell r="N66" t="str">
            <v>課税</v>
          </cell>
        </row>
        <row r="67">
          <cell r="F67" t="str">
            <v>0004102</v>
          </cell>
          <cell r="G67" t="str">
            <v>利用料</v>
          </cell>
          <cell r="H67" t="str">
            <v>月額利用料（ＡＤＳＬ専用）</v>
          </cell>
          <cell r="I67">
            <v>13</v>
          </cell>
          <cell r="N67" t="str">
            <v>課税</v>
          </cell>
        </row>
        <row r="68">
          <cell r="F68" t="str">
            <v>0004602</v>
          </cell>
          <cell r="G68" t="str">
            <v>回線使用料</v>
          </cell>
          <cell r="H68" t="str">
            <v>ＮＴＴ回線使用料（電話共用）</v>
          </cell>
          <cell r="I68">
            <v>14</v>
          </cell>
          <cell r="N68" t="str">
            <v>課税</v>
          </cell>
        </row>
        <row r="69">
          <cell r="F69" t="str">
            <v>0004702</v>
          </cell>
          <cell r="G69" t="str">
            <v>回線使用料</v>
          </cell>
          <cell r="H69" t="str">
            <v>ＮＴＴ回線使用料（ＡＤＳＬ専用）</v>
          </cell>
          <cell r="I69">
            <v>16</v>
          </cell>
          <cell r="N69" t="str">
            <v>課税</v>
          </cell>
        </row>
        <row r="70">
          <cell r="F70" t="str">
            <v>0005013</v>
          </cell>
          <cell r="G70" t="str">
            <v>利用料</v>
          </cell>
          <cell r="H70" t="str">
            <v>月額料金（”Ｆ”マンション）</v>
          </cell>
          <cell r="I70">
            <v>14</v>
          </cell>
          <cell r="J70" t="str">
            <v>DABINCI利用量</v>
          </cell>
          <cell r="N70" t="str">
            <v>課税</v>
          </cell>
        </row>
        <row r="71">
          <cell r="F71" t="str">
            <v>0006001</v>
          </cell>
          <cell r="G71" t="str">
            <v>割引額</v>
          </cell>
          <cell r="H71" t="str">
            <v>割引キャンペーン</v>
          </cell>
          <cell r="I71">
            <v>8</v>
          </cell>
          <cell r="J71" t="str">
            <v>なし</v>
          </cell>
          <cell r="K71" t="str">
            <v>6</v>
          </cell>
          <cell r="L71" t="str">
            <v>対象</v>
          </cell>
          <cell r="M71" t="str">
            <v>対象</v>
          </cell>
          <cell r="N71" t="str">
            <v>課税</v>
          </cell>
        </row>
        <row r="72">
          <cell r="F72" t="str">
            <v>0006010</v>
          </cell>
          <cell r="G72" t="str">
            <v>割引額</v>
          </cell>
          <cell r="H72" t="str">
            <v>（ボリュームディスカウントプランＡ）</v>
          </cell>
          <cell r="I72">
            <v>18</v>
          </cell>
          <cell r="N72" t="str">
            <v>課税</v>
          </cell>
        </row>
        <row r="73">
          <cell r="F73" t="str">
            <v>0006102</v>
          </cell>
          <cell r="G73" t="str">
            <v>割引額</v>
          </cell>
          <cell r="H73" t="str">
            <v>初期費用割引（ＡＤＳＬキャンペーン）</v>
          </cell>
          <cell r="I73">
            <v>18</v>
          </cell>
          <cell r="N73" t="str">
            <v>課税</v>
          </cell>
        </row>
        <row r="74">
          <cell r="F74" t="str">
            <v>0006110</v>
          </cell>
          <cell r="G74" t="str">
            <v>割引額</v>
          </cell>
          <cell r="H74" t="str">
            <v>（ボリュームディスカウントプランＢ）</v>
          </cell>
          <cell r="I74">
            <v>18</v>
          </cell>
          <cell r="N74" t="str">
            <v>課税</v>
          </cell>
        </row>
        <row r="75">
          <cell r="F75" t="str">
            <v>0006201</v>
          </cell>
          <cell r="G75" t="str">
            <v>割引額</v>
          </cell>
          <cell r="H75" t="str">
            <v>ＤＩＯＮセット割　付加サービス割引</v>
          </cell>
          <cell r="I75">
            <v>17</v>
          </cell>
          <cell r="J75" t="str">
            <v>なし</v>
          </cell>
          <cell r="K75" t="str">
            <v>8</v>
          </cell>
          <cell r="L75" t="str">
            <v>対象</v>
          </cell>
          <cell r="M75" t="str">
            <v>対象</v>
          </cell>
          <cell r="N75" t="str">
            <v>課税</v>
          </cell>
        </row>
        <row r="76">
          <cell r="F76" t="str">
            <v>0006202</v>
          </cell>
          <cell r="G76" t="str">
            <v>割引額</v>
          </cell>
          <cell r="H76" t="str">
            <v>ＤＩＯＮセット割　付加サービス割引</v>
          </cell>
          <cell r="I76">
            <v>17</v>
          </cell>
          <cell r="N76" t="str">
            <v>課税</v>
          </cell>
        </row>
        <row r="77">
          <cell r="F77" t="str">
            <v>0006203</v>
          </cell>
          <cell r="G77" t="str">
            <v>割引額</v>
          </cell>
          <cell r="H77" t="str">
            <v>ＤＩＯＮセット割　付加サービス割引</v>
          </cell>
          <cell r="I77">
            <v>17</v>
          </cell>
          <cell r="N77" t="str">
            <v>課税</v>
          </cell>
        </row>
        <row r="78">
          <cell r="F78" t="str">
            <v>0006210</v>
          </cell>
          <cell r="G78" t="str">
            <v>割引額</v>
          </cell>
          <cell r="H78" t="str">
            <v>割引額（ＥＣ割引パック）</v>
          </cell>
          <cell r="I78">
            <v>12</v>
          </cell>
        </row>
        <row r="79">
          <cell r="F79" t="str">
            <v>0006211</v>
          </cell>
          <cell r="G79" t="str">
            <v>割引額</v>
          </cell>
          <cell r="H79" t="str">
            <v>割引額（ＥＣ割引パック）</v>
          </cell>
          <cell r="I79">
            <v>12</v>
          </cell>
          <cell r="N79" t="str">
            <v>課税</v>
          </cell>
        </row>
        <row r="80">
          <cell r="F80" t="str">
            <v>0006213</v>
          </cell>
          <cell r="G80" t="str">
            <v>割引額</v>
          </cell>
          <cell r="H80" t="str">
            <v>ＤＩＯＮセット割　付加サービス割引</v>
          </cell>
          <cell r="I80">
            <v>17</v>
          </cell>
          <cell r="N80" t="str">
            <v>課税</v>
          </cell>
        </row>
        <row r="81">
          <cell r="F81" t="str">
            <v>0006301</v>
          </cell>
          <cell r="G81" t="str">
            <v>割引額</v>
          </cell>
          <cell r="H81" t="str">
            <v>ＤＩＯＮセット割　定額料割引</v>
          </cell>
          <cell r="I81">
            <v>14</v>
          </cell>
          <cell r="J81" t="str">
            <v>なし</v>
          </cell>
          <cell r="K81" t="str">
            <v>7</v>
          </cell>
          <cell r="L81" t="str">
            <v>対象</v>
          </cell>
          <cell r="M81" t="str">
            <v>対象</v>
          </cell>
          <cell r="N81" t="str">
            <v>課税</v>
          </cell>
        </row>
        <row r="82">
          <cell r="F82" t="str">
            <v>0006302</v>
          </cell>
          <cell r="G82" t="str">
            <v>割引額</v>
          </cell>
          <cell r="H82" t="str">
            <v>ＤＩＯＮセット割　ＡＤＳＬ定額料割引</v>
          </cell>
          <cell r="I82">
            <v>18</v>
          </cell>
          <cell r="N82" t="str">
            <v>課税</v>
          </cell>
        </row>
        <row r="83">
          <cell r="F83" t="str">
            <v>0006303</v>
          </cell>
          <cell r="G83" t="str">
            <v>割引額</v>
          </cell>
          <cell r="H83" t="str">
            <v>ＤＩＯＮセット割</v>
          </cell>
          <cell r="I83">
            <v>8</v>
          </cell>
          <cell r="J83" t="str">
            <v>DABINCI利用量</v>
          </cell>
          <cell r="N83" t="str">
            <v>課税</v>
          </cell>
        </row>
        <row r="84">
          <cell r="F84" t="str">
            <v>0006312</v>
          </cell>
          <cell r="G84" t="str">
            <v>初期費用</v>
          </cell>
          <cell r="H84" t="str">
            <v>ＰａｙＣｏｕｎｔｅｒ</v>
          </cell>
          <cell r="I84">
            <v>10</v>
          </cell>
          <cell r="N84" t="str">
            <v>課税</v>
          </cell>
        </row>
        <row r="85">
          <cell r="F85" t="str">
            <v>0006402</v>
          </cell>
          <cell r="G85" t="str">
            <v>割引額</v>
          </cell>
          <cell r="H85" t="str">
            <v>設定工事　割引料</v>
          </cell>
          <cell r="I85">
            <v>8</v>
          </cell>
          <cell r="N85" t="str">
            <v>課税</v>
          </cell>
        </row>
        <row r="86">
          <cell r="F86" t="str">
            <v>0007002</v>
          </cell>
          <cell r="G86" t="str">
            <v>工事料</v>
          </cell>
          <cell r="H86" t="str">
            <v>接続速度変更工事料</v>
          </cell>
          <cell r="I86">
            <v>9</v>
          </cell>
          <cell r="N86" t="str">
            <v>課税</v>
          </cell>
        </row>
        <row r="87">
          <cell r="F87" t="str">
            <v>0007102</v>
          </cell>
          <cell r="G87" t="str">
            <v>工事料</v>
          </cell>
          <cell r="H87" t="str">
            <v>移転工事料</v>
          </cell>
          <cell r="I87">
            <v>5</v>
          </cell>
          <cell r="N87" t="str">
            <v>課税</v>
          </cell>
        </row>
        <row r="88">
          <cell r="F88" t="str">
            <v>0007202</v>
          </cell>
          <cell r="G88" t="str">
            <v>工事料</v>
          </cell>
          <cell r="H88" t="str">
            <v>プラン変更料</v>
          </cell>
          <cell r="I88">
            <v>6</v>
          </cell>
          <cell r="N88" t="str">
            <v>課税</v>
          </cell>
        </row>
        <row r="89">
          <cell r="F89" t="str">
            <v>0007302</v>
          </cell>
          <cell r="G89" t="str">
            <v>工事料</v>
          </cell>
          <cell r="H89" t="str">
            <v>設定工事　基本料</v>
          </cell>
          <cell r="I89">
            <v>8</v>
          </cell>
          <cell r="N89" t="str">
            <v>課税</v>
          </cell>
        </row>
        <row r="90">
          <cell r="F90" t="str">
            <v>0007402</v>
          </cell>
          <cell r="G90" t="str">
            <v>工事料</v>
          </cell>
          <cell r="H90" t="str">
            <v>設定工事　追加工事料</v>
          </cell>
          <cell r="I90">
            <v>10</v>
          </cell>
          <cell r="N90" t="str">
            <v>課税</v>
          </cell>
        </row>
        <row r="91">
          <cell r="F91" t="str">
            <v>0008002</v>
          </cell>
          <cell r="G91" t="str">
            <v>機器販売</v>
          </cell>
          <cell r="H91" t="str">
            <v>ＡＤＳＬモデム（１０Ｂａｓｅ－Ｔ）</v>
          </cell>
          <cell r="I91">
            <v>17</v>
          </cell>
          <cell r="N91" t="str">
            <v>課税</v>
          </cell>
        </row>
        <row r="92">
          <cell r="F92" t="str">
            <v>0008102</v>
          </cell>
          <cell r="G92" t="str">
            <v>機器販売</v>
          </cell>
          <cell r="H92" t="str">
            <v>ＡＤＳＬモデム（１０Ｂａｓｅ－Ｔ）</v>
          </cell>
          <cell r="I92">
            <v>17</v>
          </cell>
          <cell r="N92" t="str">
            <v>課税</v>
          </cell>
        </row>
        <row r="93">
          <cell r="F93" t="str">
            <v>0008202</v>
          </cell>
          <cell r="G93" t="str">
            <v>その他</v>
          </cell>
          <cell r="H93" t="str">
            <v>設定工事　付属品購入（ＬＡＮボード）</v>
          </cell>
          <cell r="I93">
            <v>18</v>
          </cell>
          <cell r="N93" t="str">
            <v>課税</v>
          </cell>
        </row>
        <row r="94">
          <cell r="F94" t="str">
            <v>0008302</v>
          </cell>
          <cell r="G94" t="str">
            <v>その他</v>
          </cell>
          <cell r="H94" t="str">
            <v>設定工事　付属品購入（ＬＡＮカード）</v>
          </cell>
          <cell r="I94">
            <v>18</v>
          </cell>
          <cell r="N94" t="str">
            <v>課税</v>
          </cell>
        </row>
        <row r="95">
          <cell r="F95" t="str">
            <v>0008402</v>
          </cell>
          <cell r="G95" t="str">
            <v>その他</v>
          </cell>
          <cell r="H95" t="str">
            <v>設定工事　付属品購入（ＬＡＮケーブル）</v>
          </cell>
          <cell r="I95">
            <v>19</v>
          </cell>
          <cell r="N95" t="str">
            <v>課税</v>
          </cell>
        </row>
        <row r="96">
          <cell r="F96" t="str">
            <v>0008502</v>
          </cell>
          <cell r="G96" t="str">
            <v>その他</v>
          </cell>
          <cell r="H96" t="str">
            <v>設定工事　付属品購入（その他）</v>
          </cell>
          <cell r="I96">
            <v>15</v>
          </cell>
          <cell r="N96" t="str">
            <v>課税</v>
          </cell>
        </row>
        <row r="97">
          <cell r="F97" t="str">
            <v>0009001</v>
          </cell>
          <cell r="G97" t="str">
            <v>料金調整</v>
          </cell>
          <cell r="H97" t="str">
            <v>ＤＩＯＮ料金調整</v>
          </cell>
          <cell r="I97">
            <v>8</v>
          </cell>
          <cell r="J97" t="str">
            <v>なし</v>
          </cell>
          <cell r="K97" t="str">
            <v>9000</v>
          </cell>
          <cell r="L97" t="str">
            <v>対象</v>
          </cell>
          <cell r="M97" t="str">
            <v>対象</v>
          </cell>
          <cell r="N97" t="str">
            <v>課税</v>
          </cell>
        </row>
        <row r="98">
          <cell r="F98" t="str">
            <v>0009002</v>
          </cell>
          <cell r="G98" t="str">
            <v>料金調整</v>
          </cell>
          <cell r="H98" t="str">
            <v>ＤＩＯＮ料金調整</v>
          </cell>
          <cell r="I98">
            <v>8</v>
          </cell>
          <cell r="N98" t="str">
            <v>課税</v>
          </cell>
        </row>
        <row r="99">
          <cell r="F99" t="str">
            <v>0009003</v>
          </cell>
          <cell r="G99" t="str">
            <v>料金調整</v>
          </cell>
          <cell r="H99" t="str">
            <v>ＤＩＯＮ料金調整</v>
          </cell>
          <cell r="I99">
            <v>8</v>
          </cell>
          <cell r="N99" t="str">
            <v>課税</v>
          </cell>
        </row>
        <row r="100">
          <cell r="F100" t="str">
            <v>0009004</v>
          </cell>
          <cell r="G100" t="str">
            <v>料金調整</v>
          </cell>
          <cell r="H100" t="str">
            <v>ＤＩＯＮ料金調整</v>
          </cell>
          <cell r="I100">
            <v>8</v>
          </cell>
          <cell r="N100" t="str">
            <v>課税</v>
          </cell>
        </row>
        <row r="101">
          <cell r="F101" t="str">
            <v>0009005</v>
          </cell>
          <cell r="G101" t="str">
            <v>料金調整</v>
          </cell>
          <cell r="H101" t="str">
            <v>調整金</v>
          </cell>
          <cell r="I101">
            <v>3</v>
          </cell>
          <cell r="N101" t="str">
            <v>課税</v>
          </cell>
        </row>
        <row r="102">
          <cell r="F102" t="str">
            <v>0009006</v>
          </cell>
          <cell r="G102" t="str">
            <v>料金調整</v>
          </cell>
          <cell r="H102" t="str">
            <v>調整金</v>
          </cell>
          <cell r="I102">
            <v>3</v>
          </cell>
          <cell r="N102" t="str">
            <v>課税</v>
          </cell>
        </row>
        <row r="103">
          <cell r="F103" t="str">
            <v>0009007</v>
          </cell>
          <cell r="G103" t="str">
            <v>料金調整</v>
          </cell>
          <cell r="H103" t="str">
            <v>課税調整金</v>
          </cell>
          <cell r="I103">
            <v>5</v>
          </cell>
          <cell r="N103" t="str">
            <v>課税</v>
          </cell>
        </row>
        <row r="104">
          <cell r="F104" t="str">
            <v>0009008</v>
          </cell>
          <cell r="G104" t="str">
            <v>料金調整</v>
          </cell>
          <cell r="H104" t="str">
            <v>ＤＩＯＮ料金調整</v>
          </cell>
          <cell r="I104">
            <v>8</v>
          </cell>
          <cell r="N104" t="str">
            <v>課税</v>
          </cell>
        </row>
        <row r="105">
          <cell r="F105" t="str">
            <v>0009009</v>
          </cell>
          <cell r="G105" t="str">
            <v>料金調整</v>
          </cell>
          <cell r="H105" t="str">
            <v>サーバーレンタル料金調整</v>
          </cell>
          <cell r="I105">
            <v>12</v>
          </cell>
          <cell r="N105" t="str">
            <v>課税</v>
          </cell>
        </row>
        <row r="106">
          <cell r="F106" t="str">
            <v>0009010</v>
          </cell>
          <cell r="G106" t="str">
            <v>料金調整</v>
          </cell>
          <cell r="H106" t="str">
            <v>料金調整額</v>
          </cell>
          <cell r="I106">
            <v>5</v>
          </cell>
          <cell r="N106" t="str">
            <v>課税</v>
          </cell>
        </row>
        <row r="107">
          <cell r="F107" t="str">
            <v>0009011</v>
          </cell>
          <cell r="G107" t="str">
            <v>料金調整</v>
          </cell>
          <cell r="H107" t="str">
            <v>料金調整額</v>
          </cell>
          <cell r="I107">
            <v>5</v>
          </cell>
          <cell r="N107" t="str">
            <v>課税</v>
          </cell>
        </row>
        <row r="108">
          <cell r="F108" t="str">
            <v>0009012</v>
          </cell>
          <cell r="G108" t="str">
            <v>料金調整</v>
          </cell>
          <cell r="H108" t="str">
            <v>料金調整額</v>
          </cell>
          <cell r="I108">
            <v>5</v>
          </cell>
          <cell r="N108" t="str">
            <v>課税</v>
          </cell>
        </row>
        <row r="109">
          <cell r="F109" t="str">
            <v>0009013</v>
          </cell>
          <cell r="G109" t="str">
            <v>料金調整</v>
          </cell>
          <cell r="H109" t="str">
            <v>ＤＩＯＮ料金調整</v>
          </cell>
          <cell r="I109">
            <v>8</v>
          </cell>
          <cell r="N109" t="str">
            <v>課税</v>
          </cell>
        </row>
        <row r="110">
          <cell r="F110" t="str">
            <v>0009014</v>
          </cell>
          <cell r="G110" t="str">
            <v>料金調整</v>
          </cell>
          <cell r="H110" t="str">
            <v>料金調整</v>
          </cell>
          <cell r="I110">
            <v>4</v>
          </cell>
          <cell r="N110" t="str">
            <v>課税</v>
          </cell>
        </row>
        <row r="111">
          <cell r="F111" t="str">
            <v>0009015</v>
          </cell>
          <cell r="G111" t="str">
            <v>料金調整</v>
          </cell>
          <cell r="H111" t="str">
            <v>コンテンツコース料金調整</v>
          </cell>
          <cell r="I111">
            <v>12</v>
          </cell>
          <cell r="N111" t="str">
            <v>課税</v>
          </cell>
        </row>
        <row r="112">
          <cell r="F112" t="str">
            <v>0009016</v>
          </cell>
          <cell r="G112" t="str">
            <v>料金調整</v>
          </cell>
          <cell r="H112" t="str">
            <v>ＩＰ電話料金調整</v>
          </cell>
          <cell r="I112">
            <v>8</v>
          </cell>
          <cell r="N112" t="str">
            <v>課税</v>
          </cell>
        </row>
        <row r="113">
          <cell r="F113" t="str">
            <v>0104001</v>
          </cell>
          <cell r="G113" t="str">
            <v>通信料</v>
          </cell>
          <cell r="H113" t="str">
            <v>ＤＩＯＮ月額利用料</v>
          </cell>
          <cell r="I113">
            <v>9</v>
          </cell>
          <cell r="J113" t="str">
            <v>DABINCI利用量</v>
          </cell>
          <cell r="K113" t="str">
            <v>4</v>
          </cell>
          <cell r="L113" t="str">
            <v>対象</v>
          </cell>
          <cell r="M113" t="str">
            <v>対象</v>
          </cell>
          <cell r="N113" t="str">
            <v>課税</v>
          </cell>
        </row>
        <row r="114">
          <cell r="F114" t="str">
            <v>0104003</v>
          </cell>
          <cell r="G114" t="str">
            <v>通信料</v>
          </cell>
          <cell r="H114" t="str">
            <v>月額利用料（Ｎｅｗｅｂ）</v>
          </cell>
          <cell r="I114">
            <v>12</v>
          </cell>
          <cell r="J114" t="str">
            <v>DABINCI利用量</v>
          </cell>
          <cell r="N114" t="str">
            <v>課税</v>
          </cell>
        </row>
        <row r="115">
          <cell r="F115" t="str">
            <v>0104202</v>
          </cell>
          <cell r="G115" t="str">
            <v>レンタル料</v>
          </cell>
          <cell r="H115" t="str">
            <v>ＡＤＳＬモデム（ＵＳＢ）</v>
          </cell>
          <cell r="I115">
            <v>12</v>
          </cell>
          <cell r="N115" t="str">
            <v>課税</v>
          </cell>
        </row>
        <row r="116">
          <cell r="F116" t="str">
            <v>0104302</v>
          </cell>
          <cell r="G116" t="str">
            <v>レンタル料</v>
          </cell>
          <cell r="H116" t="str">
            <v>ＡＤＳＬモデム（１０Ｂａｓｅ－Ｔ）</v>
          </cell>
          <cell r="I116">
            <v>17</v>
          </cell>
          <cell r="N116" t="str">
            <v>課税</v>
          </cell>
        </row>
        <row r="117">
          <cell r="F117" t="str">
            <v>0104402</v>
          </cell>
          <cell r="G117" t="str">
            <v>レンタル料</v>
          </cell>
          <cell r="H117" t="str">
            <v>ＡＤＳＬモデム（ＵＳＢ）</v>
          </cell>
          <cell r="I117">
            <v>12</v>
          </cell>
          <cell r="N117" t="str">
            <v>課税</v>
          </cell>
        </row>
        <row r="118">
          <cell r="F118" t="str">
            <v>0104502</v>
          </cell>
          <cell r="G118" t="str">
            <v>レンタル料</v>
          </cell>
          <cell r="H118" t="str">
            <v>ＡＤＳＬモデム（１０Ｂａｓｅ－Ｔ）</v>
          </cell>
          <cell r="I118">
            <v>17</v>
          </cell>
          <cell r="N118" t="str">
            <v>課税</v>
          </cell>
        </row>
        <row r="119">
          <cell r="F119" t="str">
            <v>0104802</v>
          </cell>
          <cell r="G119" t="str">
            <v>レンタル料</v>
          </cell>
          <cell r="H119" t="str">
            <v>ＩＰ電話用宅内機器レンタル料</v>
          </cell>
          <cell r="I119">
            <v>14</v>
          </cell>
          <cell r="N119" t="str">
            <v>課税</v>
          </cell>
        </row>
        <row r="120">
          <cell r="F120" t="str">
            <v>0105001</v>
          </cell>
          <cell r="G120" t="str">
            <v>通信料</v>
          </cell>
          <cell r="H120" t="str">
            <v>ＤＩＯＮ利用料（従量分）</v>
          </cell>
          <cell r="I120">
            <v>12</v>
          </cell>
          <cell r="J120" t="str">
            <v>DABINCI利用量</v>
          </cell>
          <cell r="K120" t="str">
            <v>5</v>
          </cell>
          <cell r="L120" t="str">
            <v>対象</v>
          </cell>
          <cell r="M120" t="str">
            <v>対象</v>
          </cell>
          <cell r="N120" t="str">
            <v>課税</v>
          </cell>
        </row>
        <row r="121">
          <cell r="F121" t="str">
            <v>0105003</v>
          </cell>
          <cell r="G121" t="str">
            <v>通信料</v>
          </cell>
          <cell r="H121" t="str">
            <v>接続料（Ｎｅｗｅｂ）</v>
          </cell>
          <cell r="I121">
            <v>10</v>
          </cell>
          <cell r="J121" t="str">
            <v>DABINCI利用量</v>
          </cell>
          <cell r="N121" t="str">
            <v>課税</v>
          </cell>
        </row>
        <row r="122">
          <cell r="F122" t="str">
            <v>0105004</v>
          </cell>
          <cell r="G122" t="str">
            <v>通信料</v>
          </cell>
          <cell r="H122" t="str">
            <v>接続料（モバイルＧＢ）</v>
          </cell>
          <cell r="I122">
            <v>11</v>
          </cell>
          <cell r="J122" t="str">
            <v>DABINCI利用量</v>
          </cell>
          <cell r="N122" t="str">
            <v>課税</v>
          </cell>
        </row>
        <row r="123">
          <cell r="F123" t="str">
            <v>0115100</v>
          </cell>
          <cell r="G123" t="str">
            <v>利用料</v>
          </cell>
          <cell r="H123" t="str">
            <v>海外ローミング（ＫＤＤＩＧ）１０円／分</v>
          </cell>
          <cell r="I123">
            <v>19</v>
          </cell>
          <cell r="J123" t="str">
            <v>DABINCI利用量</v>
          </cell>
          <cell r="N123" t="str">
            <v>非課税</v>
          </cell>
        </row>
        <row r="124">
          <cell r="F124" t="str">
            <v>0115200</v>
          </cell>
          <cell r="G124" t="str">
            <v>利用料</v>
          </cell>
          <cell r="H124" t="str">
            <v>海外ローミング（ＧＲＩＣ）２０円／分</v>
          </cell>
          <cell r="I124">
            <v>18</v>
          </cell>
          <cell r="J124" t="str">
            <v>DABINCI利用量</v>
          </cell>
          <cell r="N124" t="str">
            <v>非課税</v>
          </cell>
        </row>
        <row r="125">
          <cell r="F125" t="str">
            <v>0115300</v>
          </cell>
          <cell r="G125" t="str">
            <v>利用料</v>
          </cell>
          <cell r="H125" t="str">
            <v>海外ローミング（ＩＰＡＳＳ）３０円／分</v>
          </cell>
          <cell r="I125">
            <v>19</v>
          </cell>
          <cell r="J125" t="str">
            <v>DABINCI利用量</v>
          </cell>
          <cell r="N125" t="str">
            <v>非課税</v>
          </cell>
        </row>
        <row r="126">
          <cell r="F126" t="str">
            <v>0130000</v>
          </cell>
          <cell r="G126" t="str">
            <v>登録料</v>
          </cell>
          <cell r="H126" t="str">
            <v>パケットサービス</v>
          </cell>
          <cell r="I126">
            <v>8</v>
          </cell>
          <cell r="N126" t="str">
            <v>課税</v>
          </cell>
        </row>
        <row r="127">
          <cell r="F127" t="str">
            <v>0134000</v>
          </cell>
          <cell r="G127" t="str">
            <v>利用料</v>
          </cell>
          <cell r="H127" t="str">
            <v>パケットサービス月額利用料</v>
          </cell>
          <cell r="I127">
            <v>13</v>
          </cell>
          <cell r="N127" t="str">
            <v>課税</v>
          </cell>
        </row>
        <row r="128">
          <cell r="F128" t="str">
            <v>0136102</v>
          </cell>
          <cell r="G128" t="str">
            <v>割引額</v>
          </cell>
          <cell r="H128" t="str">
            <v>ＡｉｒＨ”　ＡＤＳＬセット割引</v>
          </cell>
          <cell r="I128">
            <v>15</v>
          </cell>
          <cell r="N128" t="str">
            <v>課税</v>
          </cell>
        </row>
        <row r="129">
          <cell r="F129" t="str">
            <v>0145400</v>
          </cell>
          <cell r="G129" t="str">
            <v>利用料</v>
          </cell>
          <cell r="H129" t="str">
            <v>モバイルアクセス（５円／分）</v>
          </cell>
          <cell r="I129">
            <v>14</v>
          </cell>
          <cell r="J129" t="str">
            <v>DABINCI利用量</v>
          </cell>
          <cell r="N129" t="str">
            <v>課税</v>
          </cell>
        </row>
        <row r="130">
          <cell r="F130" t="str">
            <v>0301000</v>
          </cell>
          <cell r="G130" t="str">
            <v>変更料</v>
          </cell>
          <cell r="H130" t="str">
            <v>基本メールアカウント</v>
          </cell>
          <cell r="I130">
            <v>10</v>
          </cell>
          <cell r="N130" t="str">
            <v>課税</v>
          </cell>
        </row>
        <row r="131">
          <cell r="F131" t="str">
            <v>0305000</v>
          </cell>
          <cell r="G131" t="str">
            <v>利用料</v>
          </cell>
          <cell r="H131" t="str">
            <v>メール蓄積容量追加</v>
          </cell>
          <cell r="I131">
            <v>9</v>
          </cell>
          <cell r="N131" t="str">
            <v>課税</v>
          </cell>
        </row>
        <row r="132">
          <cell r="F132" t="str">
            <v>0331000</v>
          </cell>
          <cell r="G132" t="str">
            <v>変更料</v>
          </cell>
          <cell r="H132" t="str">
            <v>追加メールアカウント</v>
          </cell>
          <cell r="I132">
            <v>10</v>
          </cell>
          <cell r="N132" t="str">
            <v>課税</v>
          </cell>
        </row>
        <row r="133">
          <cell r="F133" t="str">
            <v>0334000</v>
          </cell>
          <cell r="G133" t="str">
            <v>利用料</v>
          </cell>
          <cell r="H133" t="str">
            <v>メールアドレス追加</v>
          </cell>
          <cell r="I133">
            <v>9</v>
          </cell>
          <cell r="N133" t="str">
            <v>課税</v>
          </cell>
        </row>
        <row r="134">
          <cell r="F134" t="str">
            <v>0335000</v>
          </cell>
          <cell r="G134" t="str">
            <v>利用料</v>
          </cell>
          <cell r="H134" t="str">
            <v>追加メールアドレス蓄積容量追加</v>
          </cell>
          <cell r="I134">
            <v>15</v>
          </cell>
          <cell r="N134" t="str">
            <v>課税</v>
          </cell>
        </row>
        <row r="135">
          <cell r="F135" t="str">
            <v>0340000</v>
          </cell>
          <cell r="G135" t="str">
            <v>登録料</v>
          </cell>
          <cell r="H135" t="str">
            <v>お好み転送サービス</v>
          </cell>
          <cell r="I135">
            <v>9</v>
          </cell>
          <cell r="N135" t="str">
            <v>課税</v>
          </cell>
        </row>
        <row r="136">
          <cell r="F136" t="str">
            <v>0344000</v>
          </cell>
          <cell r="G136" t="str">
            <v>利用料</v>
          </cell>
          <cell r="H136" t="str">
            <v>お好み転送サービス月額利用料</v>
          </cell>
          <cell r="I136">
            <v>14</v>
          </cell>
          <cell r="N136" t="str">
            <v>課税</v>
          </cell>
        </row>
        <row r="137">
          <cell r="F137" t="str">
            <v>0350000</v>
          </cell>
          <cell r="G137" t="str">
            <v>登録料</v>
          </cell>
          <cell r="H137" t="str">
            <v>お好み着信サービス</v>
          </cell>
          <cell r="I137">
            <v>9</v>
          </cell>
          <cell r="N137" t="str">
            <v>課税</v>
          </cell>
        </row>
        <row r="138">
          <cell r="F138" t="str">
            <v>0354000</v>
          </cell>
          <cell r="G138" t="str">
            <v>利用料</v>
          </cell>
          <cell r="H138" t="str">
            <v>お好み着信サービス月額利用料</v>
          </cell>
          <cell r="I138">
            <v>14</v>
          </cell>
          <cell r="N138" t="str">
            <v>課税</v>
          </cell>
        </row>
        <row r="139">
          <cell r="F139" t="str">
            <v>0605000</v>
          </cell>
          <cell r="G139" t="str">
            <v>利用料</v>
          </cell>
          <cell r="H139" t="str">
            <v>ホームページ公開代理容量追加</v>
          </cell>
          <cell r="I139">
            <v>14</v>
          </cell>
          <cell r="N139" t="str">
            <v>課税</v>
          </cell>
        </row>
        <row r="140">
          <cell r="F140" t="str">
            <v>0634000</v>
          </cell>
          <cell r="G140" t="str">
            <v>利用料</v>
          </cell>
          <cell r="H140" t="str">
            <v>ホームページ公開代理ＵＲＬ追加</v>
          </cell>
          <cell r="I140">
            <v>15</v>
          </cell>
          <cell r="N140" t="str">
            <v>課税</v>
          </cell>
        </row>
        <row r="141">
          <cell r="F141" t="str">
            <v>0634009</v>
          </cell>
          <cell r="G141" t="str">
            <v>利用料</v>
          </cell>
          <cell r="H141" t="str">
            <v>サーバーレンタル月額利用料</v>
          </cell>
          <cell r="I141">
            <v>13</v>
          </cell>
          <cell r="J141" t="str">
            <v>DABINCI利用量</v>
          </cell>
          <cell r="N141" t="str">
            <v>課税</v>
          </cell>
        </row>
        <row r="142">
          <cell r="F142" t="str">
            <v>0635000</v>
          </cell>
          <cell r="G142" t="str">
            <v>利用料</v>
          </cell>
          <cell r="H142" t="str">
            <v>追加ホームページ公開代理ＵＲＬ容量追加</v>
          </cell>
          <cell r="I142">
            <v>19</v>
          </cell>
          <cell r="N142" t="str">
            <v>課税</v>
          </cell>
        </row>
        <row r="143">
          <cell r="F143" t="str">
            <v>0635009</v>
          </cell>
          <cell r="G143" t="str">
            <v>利用料</v>
          </cell>
          <cell r="H143" t="str">
            <v>サーバーレンタル容量追加</v>
          </cell>
          <cell r="I143">
            <v>12</v>
          </cell>
          <cell r="J143" t="str">
            <v>DABINCI利用量</v>
          </cell>
          <cell r="N143" t="str">
            <v>課税</v>
          </cell>
        </row>
        <row r="144">
          <cell r="F144" t="str">
            <v>0904007</v>
          </cell>
          <cell r="G144" t="str">
            <v>利用料</v>
          </cell>
          <cell r="H144" t="str">
            <v>ＶＡ基本料金</v>
          </cell>
          <cell r="I144">
            <v>6</v>
          </cell>
          <cell r="J144" t="str">
            <v>DABINCI利用量</v>
          </cell>
          <cell r="N144" t="str">
            <v>課税</v>
          </cell>
        </row>
        <row r="145">
          <cell r="F145" t="str">
            <v>0905007</v>
          </cell>
          <cell r="G145" t="str">
            <v>利用料</v>
          </cell>
          <cell r="H145" t="str">
            <v>ＶＡ超過料金</v>
          </cell>
          <cell r="I145">
            <v>6</v>
          </cell>
          <cell r="J145" t="str">
            <v>DABINCI利用量</v>
          </cell>
          <cell r="N145" t="str">
            <v>課税</v>
          </cell>
        </row>
        <row r="146">
          <cell r="F146" t="str">
            <v>0934007</v>
          </cell>
          <cell r="G146" t="str">
            <v>利用料</v>
          </cell>
          <cell r="H146" t="str">
            <v>明細サービス料</v>
          </cell>
          <cell r="I146">
            <v>7</v>
          </cell>
          <cell r="N146" t="str">
            <v>課税</v>
          </cell>
        </row>
        <row r="147">
          <cell r="F147" t="str">
            <v>0944007</v>
          </cell>
          <cell r="G147" t="str">
            <v>利用料</v>
          </cell>
          <cell r="H147" t="str">
            <v>明細サービス料</v>
          </cell>
          <cell r="I147">
            <v>7</v>
          </cell>
          <cell r="N147" t="str">
            <v>課税</v>
          </cell>
        </row>
        <row r="148">
          <cell r="F148" t="str">
            <v>0954007</v>
          </cell>
          <cell r="G148" t="str">
            <v>利用料</v>
          </cell>
          <cell r="H148" t="str">
            <v>明細サービス料</v>
          </cell>
          <cell r="I148">
            <v>7</v>
          </cell>
          <cell r="N148" t="str">
            <v>課税</v>
          </cell>
        </row>
        <row r="149">
          <cell r="F149" t="str">
            <v>1005005</v>
          </cell>
          <cell r="G149" t="str">
            <v>通信料</v>
          </cell>
          <cell r="H149" t="str">
            <v>メールインワンＦＡＸ通信料（課税）</v>
          </cell>
          <cell r="I149">
            <v>17</v>
          </cell>
          <cell r="N149" t="str">
            <v>課税</v>
          </cell>
        </row>
        <row r="150">
          <cell r="F150" t="str">
            <v>1005006</v>
          </cell>
          <cell r="G150" t="str">
            <v>通信料</v>
          </cell>
          <cell r="H150" t="str">
            <v>メールインワンＦＡＸ通信料（課税）</v>
          </cell>
          <cell r="I150">
            <v>17</v>
          </cell>
          <cell r="N150" t="str">
            <v>課税</v>
          </cell>
        </row>
        <row r="151">
          <cell r="F151" t="str">
            <v>1005105</v>
          </cell>
          <cell r="G151" t="str">
            <v>通信料</v>
          </cell>
          <cell r="H151" t="str">
            <v>メールインワンＦＡＸ通信料（非課税）</v>
          </cell>
          <cell r="I151">
            <v>18</v>
          </cell>
          <cell r="N151" t="str">
            <v>非課税</v>
          </cell>
        </row>
        <row r="152">
          <cell r="F152" t="str">
            <v>1005106</v>
          </cell>
          <cell r="G152" t="str">
            <v>通信料</v>
          </cell>
          <cell r="H152" t="str">
            <v>メールインワンＦＡＸ通信料（非課税）</v>
          </cell>
          <cell r="I152">
            <v>18</v>
          </cell>
          <cell r="N152" t="str">
            <v>非課税</v>
          </cell>
        </row>
        <row r="153">
          <cell r="F153" t="str">
            <v>1034005</v>
          </cell>
          <cell r="G153" t="str">
            <v>通信料</v>
          </cell>
          <cell r="H153" t="str">
            <v>明細月額利用料</v>
          </cell>
          <cell r="I153">
            <v>7</v>
          </cell>
          <cell r="N153" t="str">
            <v>課税</v>
          </cell>
        </row>
        <row r="154">
          <cell r="F154" t="str">
            <v>1034006</v>
          </cell>
          <cell r="G154" t="str">
            <v>通信料</v>
          </cell>
          <cell r="H154" t="str">
            <v>明細月額利用料</v>
          </cell>
          <cell r="I154">
            <v>7</v>
          </cell>
          <cell r="N154" t="str">
            <v>課税</v>
          </cell>
        </row>
        <row r="155">
          <cell r="F155" t="str">
            <v>1104000</v>
          </cell>
          <cell r="G155" t="str">
            <v>利用料</v>
          </cell>
          <cell r="H155" t="str">
            <v>メーリングリスト月額利用料</v>
          </cell>
          <cell r="I155">
            <v>13</v>
          </cell>
          <cell r="N155" t="str">
            <v>課税</v>
          </cell>
        </row>
        <row r="156">
          <cell r="F156" t="str">
            <v>1200000</v>
          </cell>
          <cell r="G156" t="str">
            <v>手数料</v>
          </cell>
          <cell r="H156" t="str">
            <v>ドメイン名申請手数料</v>
          </cell>
          <cell r="I156">
            <v>10</v>
          </cell>
          <cell r="N156" t="str">
            <v>課税</v>
          </cell>
        </row>
        <row r="157">
          <cell r="F157" t="str">
            <v>1204000</v>
          </cell>
          <cell r="G157" t="str">
            <v>管理料</v>
          </cell>
          <cell r="H157" t="str">
            <v>ドメイン名維持管理料</v>
          </cell>
          <cell r="I157">
            <v>10</v>
          </cell>
          <cell r="N157" t="str">
            <v>課税</v>
          </cell>
        </row>
        <row r="158">
          <cell r="F158" t="str">
            <v>1230008</v>
          </cell>
          <cell r="G158" t="str">
            <v>登録料</v>
          </cell>
          <cell r="H158" t="str">
            <v>メール独自ドメイン</v>
          </cell>
          <cell r="I158">
            <v>9</v>
          </cell>
          <cell r="N158" t="str">
            <v>課税</v>
          </cell>
        </row>
        <row r="159">
          <cell r="F159" t="str">
            <v>1234008</v>
          </cell>
          <cell r="G159" t="str">
            <v>利用料</v>
          </cell>
          <cell r="H159" t="str">
            <v>メール独自ドメイン</v>
          </cell>
          <cell r="I159">
            <v>9</v>
          </cell>
          <cell r="N159" t="str">
            <v>課税</v>
          </cell>
        </row>
        <row r="160">
          <cell r="F160" t="str">
            <v>1240008</v>
          </cell>
          <cell r="G160" t="str">
            <v>登録料</v>
          </cell>
          <cell r="H160" t="str">
            <v>メーリングリスト独自ドメイン</v>
          </cell>
          <cell r="I160">
            <v>14</v>
          </cell>
          <cell r="N160" t="str">
            <v>課税</v>
          </cell>
        </row>
        <row r="161">
          <cell r="F161" t="str">
            <v>1244008</v>
          </cell>
          <cell r="G161" t="str">
            <v>利用料</v>
          </cell>
          <cell r="H161" t="str">
            <v>メーリングリスト独自ドメイン</v>
          </cell>
          <cell r="I161">
            <v>14</v>
          </cell>
          <cell r="N161" t="str">
            <v>課税</v>
          </cell>
        </row>
        <row r="162">
          <cell r="F162" t="str">
            <v>1250008</v>
          </cell>
          <cell r="G162" t="str">
            <v>登録料</v>
          </cell>
          <cell r="H162" t="str">
            <v>ホームページ独自ドメイン</v>
          </cell>
          <cell r="I162">
            <v>12</v>
          </cell>
          <cell r="N162" t="str">
            <v>課税</v>
          </cell>
        </row>
        <row r="163">
          <cell r="F163" t="str">
            <v>1254008</v>
          </cell>
          <cell r="G163" t="str">
            <v>利用料</v>
          </cell>
          <cell r="H163" t="str">
            <v>ホームページ独自ドメイン</v>
          </cell>
          <cell r="I163">
            <v>12</v>
          </cell>
          <cell r="N163" t="str">
            <v>課税</v>
          </cell>
        </row>
        <row r="164">
          <cell r="F164" t="str">
            <v>1330009</v>
          </cell>
          <cell r="G164" t="str">
            <v>登録料</v>
          </cell>
          <cell r="H164" t="str">
            <v>アクセスログ提供サービス</v>
          </cell>
          <cell r="I164">
            <v>12</v>
          </cell>
          <cell r="N164" t="str">
            <v>課税</v>
          </cell>
        </row>
        <row r="165">
          <cell r="F165" t="str">
            <v>1334009</v>
          </cell>
          <cell r="G165" t="str">
            <v>利用料</v>
          </cell>
          <cell r="H165" t="str">
            <v>アクセスログ提供サービス月額利用料</v>
          </cell>
          <cell r="I165">
            <v>17</v>
          </cell>
          <cell r="N165" t="str">
            <v>課税</v>
          </cell>
        </row>
        <row r="166">
          <cell r="F166" t="str">
            <v>1340009</v>
          </cell>
          <cell r="G166" t="str">
            <v>登録料</v>
          </cell>
          <cell r="H166" t="str">
            <v>アクセスログ解析サービス</v>
          </cell>
          <cell r="I166">
            <v>12</v>
          </cell>
          <cell r="N166" t="str">
            <v>課税</v>
          </cell>
        </row>
        <row r="167">
          <cell r="F167" t="str">
            <v>1344009</v>
          </cell>
          <cell r="G167" t="str">
            <v>利用料</v>
          </cell>
          <cell r="H167" t="str">
            <v>アクセスログ解析サービス月額利用料</v>
          </cell>
          <cell r="I167">
            <v>17</v>
          </cell>
          <cell r="N167" t="str">
            <v>課税</v>
          </cell>
        </row>
        <row r="168">
          <cell r="F168" t="str">
            <v>1634012</v>
          </cell>
          <cell r="G168" t="str">
            <v>利用料</v>
          </cell>
          <cell r="H168" t="str">
            <v>第１種クレジット決済月額基本料</v>
          </cell>
          <cell r="I168">
            <v>15</v>
          </cell>
          <cell r="N168" t="str">
            <v>課税</v>
          </cell>
        </row>
        <row r="169">
          <cell r="F169" t="str">
            <v>1636212</v>
          </cell>
          <cell r="G169" t="str">
            <v>割引額</v>
          </cell>
          <cell r="H169" t="str">
            <v>（ＥＣ割引パック）</v>
          </cell>
          <cell r="I169">
            <v>9</v>
          </cell>
          <cell r="N169" t="str">
            <v>課税</v>
          </cell>
        </row>
        <row r="170">
          <cell r="F170" t="str">
            <v>1644012</v>
          </cell>
          <cell r="G170" t="str">
            <v>利用料</v>
          </cell>
          <cell r="H170" t="str">
            <v>コンビニ決済月額基本料</v>
          </cell>
          <cell r="I170">
            <v>11</v>
          </cell>
          <cell r="N170" t="str">
            <v>課税</v>
          </cell>
        </row>
        <row r="171">
          <cell r="F171" t="str">
            <v>1646212</v>
          </cell>
          <cell r="G171" t="str">
            <v>割引額</v>
          </cell>
          <cell r="H171" t="str">
            <v>（ＥＣ割引パック）</v>
          </cell>
          <cell r="I171">
            <v>9</v>
          </cell>
          <cell r="N171" t="str">
            <v>課税</v>
          </cell>
        </row>
        <row r="172">
          <cell r="F172" t="str">
            <v>1654012</v>
          </cell>
          <cell r="G172" t="str">
            <v>利用料</v>
          </cell>
          <cell r="H172" t="str">
            <v>プリペイド決済月額基本料</v>
          </cell>
          <cell r="I172">
            <v>12</v>
          </cell>
          <cell r="N172" t="str">
            <v>課税</v>
          </cell>
        </row>
        <row r="173">
          <cell r="F173" t="str">
            <v>1656212</v>
          </cell>
          <cell r="G173" t="str">
            <v>割引額</v>
          </cell>
          <cell r="H173" t="str">
            <v>（ＥＣ割引パック）</v>
          </cell>
          <cell r="I173">
            <v>9</v>
          </cell>
          <cell r="N173" t="str">
            <v>課税</v>
          </cell>
        </row>
        <row r="174">
          <cell r="F174" t="str">
            <v>1664012</v>
          </cell>
          <cell r="G174" t="str">
            <v>利用料</v>
          </cell>
          <cell r="H174" t="str">
            <v>代引決済月額基本料</v>
          </cell>
          <cell r="I174">
            <v>9</v>
          </cell>
          <cell r="N174" t="str">
            <v>課税</v>
          </cell>
        </row>
        <row r="175">
          <cell r="F175" t="str">
            <v>1665012</v>
          </cell>
          <cell r="G175" t="str">
            <v>その他</v>
          </cell>
          <cell r="H175" t="str">
            <v>代引／物流連携運送料金等</v>
          </cell>
          <cell r="I175">
            <v>12</v>
          </cell>
          <cell r="N175" t="str">
            <v>課税</v>
          </cell>
        </row>
        <row r="176">
          <cell r="F176" t="str">
            <v>1666212</v>
          </cell>
          <cell r="G176" t="str">
            <v>割引額</v>
          </cell>
          <cell r="H176" t="str">
            <v>代引決済割引</v>
          </cell>
          <cell r="I176">
            <v>6</v>
          </cell>
          <cell r="N176" t="str">
            <v>課税</v>
          </cell>
        </row>
        <row r="177">
          <cell r="F177" t="str">
            <v>1674012</v>
          </cell>
          <cell r="G177" t="str">
            <v>利用料</v>
          </cell>
          <cell r="H177" t="str">
            <v>ＤＩＯＮ回収代行月額基本料</v>
          </cell>
          <cell r="I177">
            <v>13</v>
          </cell>
          <cell r="N177" t="str">
            <v>課税</v>
          </cell>
        </row>
        <row r="178">
          <cell r="F178" t="str">
            <v>1684012</v>
          </cell>
          <cell r="G178" t="str">
            <v>利用料</v>
          </cell>
          <cell r="H178" t="str">
            <v>第２種クレジット決済月額基本料</v>
          </cell>
          <cell r="I178">
            <v>15</v>
          </cell>
          <cell r="N178" t="str">
            <v>課税</v>
          </cell>
        </row>
        <row r="179">
          <cell r="F179" t="str">
            <v>1685012</v>
          </cell>
          <cell r="G179" t="str">
            <v>利用料</v>
          </cell>
          <cell r="H179" t="str">
            <v>第２種クレジット決済従量料金</v>
          </cell>
          <cell r="I179">
            <v>14</v>
          </cell>
          <cell r="N179" t="str">
            <v>課税</v>
          </cell>
        </row>
        <row r="180">
          <cell r="F180" t="str">
            <v>1686212</v>
          </cell>
          <cell r="G180" t="str">
            <v>割引額</v>
          </cell>
          <cell r="H180" t="str">
            <v>（ＥＣ割引パック）</v>
          </cell>
          <cell r="I180">
            <v>9</v>
          </cell>
          <cell r="N180" t="str">
            <v>課税</v>
          </cell>
        </row>
        <row r="181">
          <cell r="F181" t="str">
            <v>1694012</v>
          </cell>
          <cell r="G181" t="str">
            <v>利用料</v>
          </cell>
          <cell r="H181" t="str">
            <v>物流連携月額基本料</v>
          </cell>
          <cell r="I181">
            <v>9</v>
          </cell>
          <cell r="N181" t="str">
            <v>課税</v>
          </cell>
        </row>
        <row r="182">
          <cell r="F182" t="str">
            <v>1695012</v>
          </cell>
          <cell r="G182" t="str">
            <v>その他</v>
          </cell>
          <cell r="H182" t="str">
            <v>代引／物流連携運送料金等</v>
          </cell>
          <cell r="I182">
            <v>12</v>
          </cell>
          <cell r="N182" t="str">
            <v>課税</v>
          </cell>
        </row>
        <row r="183">
          <cell r="F183" t="str">
            <v>1734000</v>
          </cell>
          <cell r="G183" t="str">
            <v>利用料</v>
          </cell>
          <cell r="H183" t="str">
            <v>ビデオチャット月額利用料</v>
          </cell>
          <cell r="I183">
            <v>12</v>
          </cell>
          <cell r="N183" t="str">
            <v>課税</v>
          </cell>
        </row>
        <row r="184">
          <cell r="F184" t="str">
            <v>1734015</v>
          </cell>
          <cell r="G184" t="str">
            <v>利用料</v>
          </cell>
          <cell r="H184" t="str">
            <v>ビデオチャットサービス月額利用料</v>
          </cell>
          <cell r="I184">
            <v>16</v>
          </cell>
          <cell r="N184" t="str">
            <v>課税</v>
          </cell>
        </row>
        <row r="185">
          <cell r="F185" t="str">
            <v>1735000</v>
          </cell>
          <cell r="G185" t="str">
            <v>利用料</v>
          </cell>
          <cell r="H185" t="str">
            <v>ビデオチャット日額利用料</v>
          </cell>
          <cell r="I185">
            <v>12</v>
          </cell>
          <cell r="J185" t="str">
            <v>DABINCI利用量</v>
          </cell>
          <cell r="N185" t="str">
            <v>課税</v>
          </cell>
        </row>
        <row r="186">
          <cell r="F186" t="str">
            <v>1735015</v>
          </cell>
          <cell r="G186" t="str">
            <v>利用料</v>
          </cell>
          <cell r="H186" t="str">
            <v>ビデオチャットサービス日額利用料</v>
          </cell>
          <cell r="I186">
            <v>16</v>
          </cell>
          <cell r="J186" t="str">
            <v>DABINCI利用量</v>
          </cell>
          <cell r="N186" t="str">
            <v>課税</v>
          </cell>
        </row>
        <row r="187">
          <cell r="F187" t="str">
            <v>1904816</v>
          </cell>
          <cell r="G187" t="str">
            <v>機能使用料</v>
          </cell>
          <cell r="H187" t="str">
            <v>ＩＰ電話サービス機能使用料</v>
          </cell>
          <cell r="I187">
            <v>13</v>
          </cell>
          <cell r="N187" t="str">
            <v>課税</v>
          </cell>
        </row>
        <row r="188">
          <cell r="F188" t="str">
            <v>1904916</v>
          </cell>
          <cell r="G188" t="str">
            <v>レンタル料</v>
          </cell>
          <cell r="H188" t="str">
            <v>ＩＰ電話アダプターレンタル料</v>
          </cell>
          <cell r="I188">
            <v>14</v>
          </cell>
          <cell r="N188" t="str">
            <v>課税</v>
          </cell>
        </row>
        <row r="189">
          <cell r="F189" t="str">
            <v>1905016</v>
          </cell>
          <cell r="G189" t="str">
            <v>通信料</v>
          </cell>
          <cell r="H189" t="str">
            <v>ＩＰ電話サービス国内通話料（課税）</v>
          </cell>
          <cell r="I189">
            <v>17</v>
          </cell>
          <cell r="J189" t="str">
            <v>DABINCI利用量</v>
          </cell>
          <cell r="N189" t="str">
            <v>課税</v>
          </cell>
        </row>
        <row r="190">
          <cell r="F190" t="str">
            <v>1905116</v>
          </cell>
          <cell r="G190" t="str">
            <v>通信料</v>
          </cell>
          <cell r="H190" t="str">
            <v>ＩＰ電話サービス国際通話料（非課税）</v>
          </cell>
          <cell r="I190">
            <v>18</v>
          </cell>
          <cell r="J190" t="str">
            <v>DABINCI利用量</v>
          </cell>
          <cell r="N190" t="str">
            <v>非課税</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改訂履歴"/>
      <sheetName val="1202案件対応一覧"/>
      <sheetName val="付加サービスパックの画面制御について"/>
      <sheetName val="3M案件名"/>
    </sheetNames>
    <sheetDataSet>
      <sheetData sheetId="0"/>
      <sheetData sheetId="1"/>
      <sheetData sheetId="2"/>
      <sheetData sheetId="3"/>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会社ﾏｽﾀ"/>
    </sheetNames>
    <sheetDataSet>
      <sheetData sheetId="0">
        <row r="8">
          <cell r="C8" t="str">
            <v>ITEM名</v>
          </cell>
          <cell r="D8" t="str">
            <v>TYPE</v>
          </cell>
          <cell r="E8" t="str">
            <v>桁</v>
          </cell>
          <cell r="F8" t="str">
            <v>KEY</v>
          </cell>
          <cell r="G8" t="str">
            <v xml:space="preserve"> NULL</v>
          </cell>
          <cell r="H8" t="str">
            <v>Index</v>
          </cell>
          <cell r="I8" t="str">
            <v>初期値</v>
          </cell>
          <cell r="J8" t="str">
            <v>CHECK</v>
          </cell>
        </row>
        <row r="9">
          <cell r="N9">
            <v>73</v>
          </cell>
        </row>
        <row r="12">
          <cell r="N12">
            <v>10</v>
          </cell>
        </row>
        <row r="13">
          <cell r="N13">
            <v>90</v>
          </cell>
        </row>
        <row r="14">
          <cell r="N14">
            <v>12</v>
          </cell>
        </row>
        <row r="15">
          <cell r="N15">
            <v>4</v>
          </cell>
        </row>
        <row r="19">
          <cell r="N19">
            <v>21</v>
          </cell>
        </row>
        <row r="21">
          <cell r="N21">
            <v>5</v>
          </cell>
        </row>
        <row r="22">
          <cell r="N22">
            <v>6</v>
          </cell>
        </row>
        <row r="23">
          <cell r="N23">
            <v>2</v>
          </cell>
        </row>
      </sheetData>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ﾃｰﾌﾞﾙ~1"/>
    </sheetNames>
    <definedNames>
      <definedName name="CreateSQL"/>
    </definedNames>
    <sheetDataSet>
      <sheetData sheetId="0"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ランク登録画面"/>
      <sheetName val="業績ポイント登録画面（営業担当者）"/>
      <sheetName val="業績ポイント登録画面（主任検査員)"/>
      <sheetName val="業績ポイント登録画面（部門）"/>
      <sheetName val="Sheet3"/>
      <sheetName val="業績ポイント登録画面（営業担当者）_絵"/>
      <sheetName val="業績ポイント登録画面（主任検査員）_絵"/>
      <sheetName val="業績ポイント登録画面（部門）_絵"/>
    </sheetNames>
    <sheetDataSet>
      <sheetData sheetId="0"/>
      <sheetData sheetId="1"/>
      <sheetData sheetId="2"/>
      <sheetData sheetId="3"/>
      <sheetData sheetId="4"/>
      <sheetData sheetId="5"/>
      <sheetData sheetId="6"/>
      <sheetData sheetId="7"/>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ランク登録画面"/>
      <sheetName val="質問"/>
      <sheetName val="data"/>
    </sheetNames>
    <sheetDataSet>
      <sheetData sheetId="0" refreshError="1"/>
      <sheetData sheetId="1" refreshError="1"/>
      <sheetData sheetId="2" refreshError="1"/>
      <sheetData sheetId="3"/>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振込伝票 (交通費)"/>
      <sheetName val="Sheet1"/>
    </sheetNames>
    <sheetDataSet>
      <sheetData sheetId="0" refreshError="1"/>
      <sheetData sheetId="1">
        <row r="4">
          <cell r="F4" t="str">
            <v>直接</v>
          </cell>
        </row>
        <row r="5">
          <cell r="F5" t="str">
            <v>間接</v>
          </cell>
        </row>
        <row r="6">
          <cell r="F6" t="str">
            <v>販売</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kddi.com/smc/fmconline/nwarea/schema/search_area_request" TargetMode="External"/><Relationship Id="rId1" Type="http://schemas.openxmlformats.org/officeDocument/2006/relationships/hyperlink" Target="http://kddi.com/smc/fmconline/nwarea/schema/search_area_respons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3:K28"/>
  <sheetViews>
    <sheetView zoomScale="90" zoomScaleNormal="90" workbookViewId="0">
      <selection activeCell="F21" sqref="F21"/>
    </sheetView>
  </sheetViews>
  <sheetFormatPr defaultRowHeight="12.75"/>
  <sheetData>
    <row r="3" spans="2:11">
      <c r="B3" t="s">
        <v>57</v>
      </c>
    </row>
    <row r="4" spans="2:11">
      <c r="B4" s="33" t="s">
        <v>32</v>
      </c>
    </row>
    <row r="6" spans="2:11">
      <c r="B6" s="42"/>
      <c r="C6" s="29"/>
      <c r="D6" s="29"/>
      <c r="E6" s="29"/>
      <c r="F6" s="29"/>
      <c r="G6" s="29"/>
      <c r="H6" s="29"/>
      <c r="I6" s="29"/>
      <c r="J6" s="29"/>
      <c r="K6" s="29"/>
    </row>
    <row r="7" spans="2:11">
      <c r="B7" s="29"/>
      <c r="C7" s="29"/>
      <c r="D7" s="29"/>
      <c r="E7" s="29"/>
      <c r="F7" s="29"/>
      <c r="G7" s="29"/>
      <c r="H7" s="29"/>
      <c r="I7" s="29"/>
      <c r="J7" s="29"/>
      <c r="K7" s="29"/>
    </row>
    <row r="8" spans="2:11">
      <c r="B8" s="43"/>
      <c r="C8" s="31"/>
      <c r="D8" s="31"/>
      <c r="E8" s="31"/>
      <c r="F8" s="31"/>
      <c r="G8" s="31"/>
      <c r="H8" s="31"/>
      <c r="I8" s="31"/>
      <c r="J8" s="31"/>
      <c r="K8" s="31"/>
    </row>
    <row r="9" spans="2:11">
      <c r="B9" s="31"/>
      <c r="C9" s="31"/>
      <c r="D9" s="31"/>
      <c r="E9" s="31"/>
      <c r="F9" s="31"/>
      <c r="G9" s="31"/>
      <c r="H9" s="31" t="s">
        <v>30</v>
      </c>
      <c r="I9" s="31"/>
      <c r="J9" s="31"/>
      <c r="K9" s="31"/>
    </row>
    <row r="10" spans="2:11">
      <c r="B10" s="30"/>
      <c r="C10" s="30"/>
      <c r="D10" s="30"/>
      <c r="E10" s="30"/>
      <c r="F10" s="30"/>
      <c r="G10" s="30"/>
      <c r="H10" s="30"/>
      <c r="I10" s="30"/>
      <c r="J10" s="30"/>
      <c r="K10" s="30"/>
    </row>
    <row r="11" spans="2:11">
      <c r="B11" s="30"/>
      <c r="C11" s="30"/>
      <c r="D11" s="30"/>
      <c r="E11" s="30"/>
      <c r="F11" s="30"/>
      <c r="G11" s="30"/>
      <c r="H11" s="30"/>
      <c r="I11" s="30"/>
      <c r="J11" s="30"/>
      <c r="K11" s="30"/>
    </row>
    <row r="12" spans="2:11">
      <c r="B12" s="30"/>
      <c r="C12" s="32" t="s">
        <v>37</v>
      </c>
      <c r="D12" s="30"/>
      <c r="E12" s="30"/>
      <c r="F12" s="30"/>
      <c r="G12" s="30"/>
      <c r="H12" s="30"/>
      <c r="I12" s="30"/>
      <c r="J12" s="30"/>
      <c r="K12" s="30"/>
    </row>
    <row r="13" spans="2:11">
      <c r="B13" s="30"/>
      <c r="C13" s="30"/>
      <c r="D13" s="30"/>
      <c r="E13" s="30"/>
      <c r="F13" s="30"/>
      <c r="G13" s="30"/>
      <c r="H13" s="30"/>
      <c r="I13" s="30"/>
      <c r="J13" s="30"/>
      <c r="K13" s="30"/>
    </row>
    <row r="14" spans="2:11">
      <c r="B14" s="30"/>
      <c r="C14" s="30"/>
      <c r="D14" s="30"/>
      <c r="E14" s="30"/>
      <c r="F14" s="30"/>
      <c r="G14" s="30"/>
      <c r="H14" s="30"/>
      <c r="I14" s="30"/>
      <c r="J14" s="30"/>
      <c r="K14" s="30"/>
    </row>
    <row r="15" spans="2:11">
      <c r="B15" s="30"/>
      <c r="C15" s="30"/>
      <c r="D15" s="30"/>
      <c r="E15" s="30"/>
      <c r="F15" s="30"/>
      <c r="G15" s="30"/>
      <c r="H15" s="30"/>
      <c r="I15" s="30"/>
      <c r="J15" s="30"/>
      <c r="K15" s="30"/>
    </row>
    <row r="22" spans="2:3">
      <c r="B22" t="s">
        <v>35</v>
      </c>
    </row>
    <row r="23" spans="2:3">
      <c r="C23" t="s">
        <v>36</v>
      </c>
    </row>
    <row r="24" spans="2:3">
      <c r="B24" s="24"/>
    </row>
    <row r="25" spans="2:3">
      <c r="B25" t="s">
        <v>62</v>
      </c>
    </row>
    <row r="26" spans="2:3">
      <c r="C26" t="s">
        <v>39</v>
      </c>
    </row>
    <row r="27" spans="2:3">
      <c r="C27" t="s">
        <v>59</v>
      </c>
    </row>
    <row r="28" spans="2:3">
      <c r="C28" t="s">
        <v>60</v>
      </c>
    </row>
  </sheetData>
  <phoneticPr fontId="3"/>
  <pageMargins left="0.7" right="0.7" top="0.75" bottom="0.75" header="0.3" footer="0.3"/>
  <pageSetup paperSize="9" orientation="portrait" r:id="rId1"/>
  <headerFooter>
    <oddHeader xml:space="preserve">&amp;R&amp;"ＭＳ Ｐゴシック"&amp;11 &amp;"ＭＳ Ｐゴシック"&amp;9 【社外秘B】&amp;"ＭＳ Ｐゴシック,標準"&amp;11 
</oddHeader>
    <oddFooter xml:space="preserve">&amp;C&amp;"ＭＳ Ｐゴシック"&amp;11 &amp;"ＭＳ Ｐゴシック"&amp;9 KDDI情報システム開発PJ関係各社　情報システム開発関係者のみ&amp;"ＭＳ Ｐゴシック,標準"&amp;11 
</oddFooter>
  </headerFooter>
  <drawing r:id="rId2"/>
  <legacyDrawing r:id="rId3"/>
  <controls>
    <mc:AlternateContent xmlns:mc="http://schemas.openxmlformats.org/markup-compatibility/2006">
      <mc:Choice Requires="x14">
        <control shapeId="2486" r:id="rId4" name="CommandButton8">
          <controlPr autoLine="0" r:id="rId5">
            <anchor moveWithCells="1">
              <from>
                <xdr:col>2</xdr:col>
                <xdr:colOff>414338</xdr:colOff>
                <xdr:row>18</xdr:row>
                <xdr:rowOff>9525</xdr:rowOff>
              </from>
              <to>
                <xdr:col>4</xdr:col>
                <xdr:colOff>366713</xdr:colOff>
                <xdr:row>20</xdr:row>
                <xdr:rowOff>57150</xdr:rowOff>
              </to>
            </anchor>
          </controlPr>
        </control>
      </mc:Choice>
      <mc:Fallback>
        <control shapeId="2486" r:id="rId4" name="CommandButton8"/>
      </mc:Fallback>
    </mc:AlternateContent>
    <mc:AlternateContent xmlns:mc="http://schemas.openxmlformats.org/markup-compatibility/2006">
      <mc:Choice Requires="x14">
        <control shapeId="2485" r:id="rId6" name="CommandButton7">
          <controlPr autoLine="0" r:id="rId7">
            <anchor moveWithCells="1">
              <from>
                <xdr:col>6</xdr:col>
                <xdr:colOff>504825</xdr:colOff>
                <xdr:row>17</xdr:row>
                <xdr:rowOff>109538</xdr:rowOff>
              </from>
              <to>
                <xdr:col>8</xdr:col>
                <xdr:colOff>314325</xdr:colOff>
                <xdr:row>19</xdr:row>
                <xdr:rowOff>90488</xdr:rowOff>
              </to>
            </anchor>
          </controlPr>
        </control>
      </mc:Choice>
      <mc:Fallback>
        <control shapeId="2485" r:id="rId6" name="CommandButton7"/>
      </mc:Fallback>
    </mc:AlternateContent>
    <mc:AlternateContent xmlns:mc="http://schemas.openxmlformats.org/markup-compatibility/2006">
      <mc:Choice Requires="x14">
        <control shapeId="2484" r:id="rId8" name="CommandButton6">
          <controlPr autoLine="0" r:id="rId9">
            <anchor moveWithCells="1">
              <from>
                <xdr:col>6</xdr:col>
                <xdr:colOff>514350</xdr:colOff>
                <xdr:row>15</xdr:row>
                <xdr:rowOff>80963</xdr:rowOff>
              </from>
              <to>
                <xdr:col>8</xdr:col>
                <xdr:colOff>257175</xdr:colOff>
                <xdr:row>17</xdr:row>
                <xdr:rowOff>61913</xdr:rowOff>
              </to>
            </anchor>
          </controlPr>
        </control>
      </mc:Choice>
      <mc:Fallback>
        <control shapeId="2484" r:id="rId8" name="CommandButton6"/>
      </mc:Fallback>
    </mc:AlternateContent>
    <mc:AlternateContent xmlns:mc="http://schemas.openxmlformats.org/markup-compatibility/2006">
      <mc:Choice Requires="x14">
        <control shapeId="2069" r:id="rId10" name="CommandButton5">
          <controlPr autoLine="0" r:id="rId11">
            <anchor moveWithCells="1">
              <from>
                <xdr:col>8</xdr:col>
                <xdr:colOff>466725</xdr:colOff>
                <xdr:row>15</xdr:row>
                <xdr:rowOff>71438</xdr:rowOff>
              </from>
              <to>
                <xdr:col>11</xdr:col>
                <xdr:colOff>38100</xdr:colOff>
                <xdr:row>17</xdr:row>
                <xdr:rowOff>52388</xdr:rowOff>
              </to>
            </anchor>
          </controlPr>
        </control>
      </mc:Choice>
      <mc:Fallback>
        <control shapeId="2069" r:id="rId10" name="CommandButton5"/>
      </mc:Fallback>
    </mc:AlternateContent>
    <mc:AlternateContent xmlns:mc="http://schemas.openxmlformats.org/markup-compatibility/2006">
      <mc:Choice Requires="x14">
        <control shapeId="2068" r:id="rId12" name="CommandButton3">
          <controlPr autoLine="0" r:id="rId13">
            <anchor moveWithCells="1">
              <from>
                <xdr:col>8</xdr:col>
                <xdr:colOff>476250</xdr:colOff>
                <xdr:row>17</xdr:row>
                <xdr:rowOff>133350</xdr:rowOff>
              </from>
              <to>
                <xdr:col>11</xdr:col>
                <xdr:colOff>142875</xdr:colOff>
                <xdr:row>19</xdr:row>
                <xdr:rowOff>114300</xdr:rowOff>
              </to>
            </anchor>
          </controlPr>
        </control>
      </mc:Choice>
      <mc:Fallback>
        <control shapeId="2068" r:id="rId12" name="CommandButton3"/>
      </mc:Fallback>
    </mc:AlternateContent>
    <mc:AlternateContent xmlns:mc="http://schemas.openxmlformats.org/markup-compatibility/2006">
      <mc:Choice Requires="x14">
        <control shapeId="2067" r:id="rId14" name="CommandButton4">
          <controlPr autoLine="0" r:id="rId15">
            <anchor moveWithCells="1">
              <from>
                <xdr:col>4</xdr:col>
                <xdr:colOff>90488</xdr:colOff>
                <xdr:row>15</xdr:row>
                <xdr:rowOff>71438</xdr:rowOff>
              </from>
              <to>
                <xdr:col>5</xdr:col>
                <xdr:colOff>347663</xdr:colOff>
                <xdr:row>17</xdr:row>
                <xdr:rowOff>90488</xdr:rowOff>
              </to>
            </anchor>
          </controlPr>
        </control>
      </mc:Choice>
      <mc:Fallback>
        <control shapeId="2067" r:id="rId14" name="CommandButton4"/>
      </mc:Fallback>
    </mc:AlternateContent>
    <mc:AlternateContent xmlns:mc="http://schemas.openxmlformats.org/markup-compatibility/2006">
      <mc:Choice Requires="x14">
        <control shapeId="2065" r:id="rId16" name="caseCol">
          <controlPr autoLine="0" r:id="rId17">
            <anchor moveWithCells="1">
              <from>
                <xdr:col>10</xdr:col>
                <xdr:colOff>61913</xdr:colOff>
                <xdr:row>5</xdr:row>
                <xdr:rowOff>80963</xdr:rowOff>
              </from>
              <to>
                <xdr:col>10</xdr:col>
                <xdr:colOff>623888</xdr:colOff>
                <xdr:row>6</xdr:row>
                <xdr:rowOff>147638</xdr:rowOff>
              </to>
            </anchor>
          </controlPr>
        </control>
      </mc:Choice>
      <mc:Fallback>
        <control shapeId="2065" r:id="rId16" name="caseCol"/>
      </mc:Fallback>
    </mc:AlternateContent>
    <mc:AlternateContent xmlns:mc="http://schemas.openxmlformats.org/markup-compatibility/2006">
      <mc:Choice Requires="x14">
        <control shapeId="2064" r:id="rId18" name="Label7">
          <controlPr defaultSize="0" autoLine="0" r:id="rId19">
            <anchor moveWithCells="1">
              <from>
                <xdr:col>8</xdr:col>
                <xdr:colOff>442913</xdr:colOff>
                <xdr:row>5</xdr:row>
                <xdr:rowOff>109538</xdr:rowOff>
              </from>
              <to>
                <xdr:col>10</xdr:col>
                <xdr:colOff>80963</xdr:colOff>
                <xdr:row>6</xdr:row>
                <xdr:rowOff>109538</xdr:rowOff>
              </to>
            </anchor>
          </controlPr>
        </control>
      </mc:Choice>
      <mc:Fallback>
        <control shapeId="2064" r:id="rId18" name="Label7"/>
      </mc:Fallback>
    </mc:AlternateContent>
    <mc:AlternateContent xmlns:mc="http://schemas.openxmlformats.org/markup-compatibility/2006">
      <mc:Choice Requires="x14">
        <control shapeId="2063" r:id="rId20" name="IFile">
          <controlPr defaultSize="0" autoLine="0" r:id="rId21">
            <anchor moveWithCells="1">
              <from>
                <xdr:col>2</xdr:col>
                <xdr:colOff>504825</xdr:colOff>
                <xdr:row>9</xdr:row>
                <xdr:rowOff>42863</xdr:rowOff>
              </from>
              <to>
                <xdr:col>9</xdr:col>
                <xdr:colOff>352425</xdr:colOff>
                <xdr:row>10</xdr:row>
                <xdr:rowOff>100013</xdr:rowOff>
              </to>
            </anchor>
          </controlPr>
        </control>
      </mc:Choice>
      <mc:Fallback>
        <control shapeId="2063" r:id="rId20" name="IFile"/>
      </mc:Fallback>
    </mc:AlternateContent>
    <mc:AlternateContent xmlns:mc="http://schemas.openxmlformats.org/markup-compatibility/2006">
      <mc:Choice Requires="x14">
        <control shapeId="2062" r:id="rId22" name="Label6">
          <controlPr defaultSize="0" autoLine="0" r:id="rId23">
            <anchor moveWithCells="1">
              <from>
                <xdr:col>1</xdr:col>
                <xdr:colOff>9525</xdr:colOff>
                <xdr:row>9</xdr:row>
                <xdr:rowOff>52388</xdr:rowOff>
              </from>
              <to>
                <xdr:col>2</xdr:col>
                <xdr:colOff>542925</xdr:colOff>
                <xdr:row>10</xdr:row>
                <xdr:rowOff>90488</xdr:rowOff>
              </to>
            </anchor>
          </controlPr>
        </control>
      </mc:Choice>
      <mc:Fallback>
        <control shapeId="2062" r:id="rId22" name="Label6"/>
      </mc:Fallback>
    </mc:AlternateContent>
    <mc:AlternateContent xmlns:mc="http://schemas.openxmlformats.org/markup-compatibility/2006">
      <mc:Choice Requires="x14">
        <control shapeId="2059" r:id="rId24" name="CaseNo">
          <controlPr defaultSize="0" autoLine="0" r:id="rId25">
            <anchor moveWithCells="1">
              <from>
                <xdr:col>4</xdr:col>
                <xdr:colOff>495300</xdr:colOff>
                <xdr:row>5</xdr:row>
                <xdr:rowOff>100013</xdr:rowOff>
              </from>
              <to>
                <xdr:col>5</xdr:col>
                <xdr:colOff>514350</xdr:colOff>
                <xdr:row>7</xdr:row>
                <xdr:rowOff>4763</xdr:rowOff>
              </to>
            </anchor>
          </controlPr>
        </control>
      </mc:Choice>
      <mc:Fallback>
        <control shapeId="2059" r:id="rId24" name="CaseNo"/>
      </mc:Fallback>
    </mc:AlternateContent>
    <mc:AlternateContent xmlns:mc="http://schemas.openxmlformats.org/markup-compatibility/2006">
      <mc:Choice Requires="x14">
        <control shapeId="2058" r:id="rId26" name="Label4">
          <controlPr defaultSize="0" autoLine="0" r:id="rId27">
            <anchor moveWithCells="1">
              <from>
                <xdr:col>3</xdr:col>
                <xdr:colOff>638175</xdr:colOff>
                <xdr:row>5</xdr:row>
                <xdr:rowOff>119063</xdr:rowOff>
              </from>
              <to>
                <xdr:col>4</xdr:col>
                <xdr:colOff>542925</xdr:colOff>
                <xdr:row>6</xdr:row>
                <xdr:rowOff>157163</xdr:rowOff>
              </to>
            </anchor>
          </controlPr>
        </control>
      </mc:Choice>
      <mc:Fallback>
        <control shapeId="2058" r:id="rId26" name="Label4"/>
      </mc:Fallback>
    </mc:AlternateContent>
    <mc:AlternateContent xmlns:mc="http://schemas.openxmlformats.org/markup-compatibility/2006">
      <mc:Choice Requires="x14">
        <control shapeId="2056" r:id="rId28" name="OStream">
          <controlPr defaultSize="0" autoLine="0" r:id="rId29">
            <anchor moveWithCells="1">
              <from>
                <xdr:col>2</xdr:col>
                <xdr:colOff>447675</xdr:colOff>
                <xdr:row>12</xdr:row>
                <xdr:rowOff>100013</xdr:rowOff>
              </from>
              <to>
                <xdr:col>11</xdr:col>
                <xdr:colOff>238125</xdr:colOff>
                <xdr:row>14</xdr:row>
                <xdr:rowOff>14288</xdr:rowOff>
              </to>
            </anchor>
          </controlPr>
        </control>
      </mc:Choice>
      <mc:Fallback>
        <control shapeId="2056" r:id="rId28" name="OStream"/>
      </mc:Fallback>
    </mc:AlternateContent>
    <mc:AlternateContent xmlns:mc="http://schemas.openxmlformats.org/markup-compatibility/2006">
      <mc:Choice Requires="x14">
        <control shapeId="2055" r:id="rId30" name="Label3">
          <controlPr defaultSize="0" autoLine="0" r:id="rId31">
            <anchor moveWithCells="1">
              <from>
                <xdr:col>1</xdr:col>
                <xdr:colOff>9525</xdr:colOff>
                <xdr:row>12</xdr:row>
                <xdr:rowOff>100013</xdr:rowOff>
              </from>
              <to>
                <xdr:col>2</xdr:col>
                <xdr:colOff>514350</xdr:colOff>
                <xdr:row>13</xdr:row>
                <xdr:rowOff>128588</xdr:rowOff>
              </to>
            </anchor>
          </controlPr>
        </control>
      </mc:Choice>
      <mc:Fallback>
        <control shapeId="2055" r:id="rId30" name="Label3"/>
      </mc:Fallback>
    </mc:AlternateContent>
    <mc:AlternateContent xmlns:mc="http://schemas.openxmlformats.org/markup-compatibility/2006">
      <mc:Choice Requires="x14">
        <control shapeId="2054" r:id="rId32" name="CommandButton2">
          <controlPr autoLine="0" r:id="rId33">
            <anchor moveWithCells="1">
              <from>
                <xdr:col>2</xdr:col>
                <xdr:colOff>423863</xdr:colOff>
                <xdr:row>15</xdr:row>
                <xdr:rowOff>61913</xdr:rowOff>
              </from>
              <to>
                <xdr:col>4</xdr:col>
                <xdr:colOff>61913</xdr:colOff>
                <xdr:row>17</xdr:row>
                <xdr:rowOff>109538</xdr:rowOff>
              </to>
            </anchor>
          </controlPr>
        </control>
      </mc:Choice>
      <mc:Fallback>
        <control shapeId="2054" r:id="rId32" name="CommandButton2"/>
      </mc:Fallback>
    </mc:AlternateContent>
    <mc:AlternateContent xmlns:mc="http://schemas.openxmlformats.org/markup-compatibility/2006">
      <mc:Choice Requires="x14">
        <control shapeId="2053" r:id="rId34" name="Label2">
          <controlPr defaultSize="0" autoLine="0" r:id="rId35">
            <anchor moveWithCells="1">
              <from>
                <xdr:col>1</xdr:col>
                <xdr:colOff>9525</xdr:colOff>
                <xdr:row>7</xdr:row>
                <xdr:rowOff>123825</xdr:rowOff>
              </from>
              <to>
                <xdr:col>2</xdr:col>
                <xdr:colOff>514350</xdr:colOff>
                <xdr:row>8</xdr:row>
                <xdr:rowOff>123825</xdr:rowOff>
              </to>
            </anchor>
          </controlPr>
        </control>
      </mc:Choice>
      <mc:Fallback>
        <control shapeId="2053" r:id="rId34" name="Label2"/>
      </mc:Fallback>
    </mc:AlternateContent>
    <mc:AlternateContent xmlns:mc="http://schemas.openxmlformats.org/markup-compatibility/2006">
      <mc:Choice Requires="x14">
        <control shapeId="2052" r:id="rId36" name="Label1">
          <controlPr defaultSize="0" autoLine="0" r:id="rId37">
            <anchor moveWithCells="1">
              <from>
                <xdr:col>1</xdr:col>
                <xdr:colOff>0</xdr:colOff>
                <xdr:row>5</xdr:row>
                <xdr:rowOff>133350</xdr:rowOff>
              </from>
              <to>
                <xdr:col>2</xdr:col>
                <xdr:colOff>285750</xdr:colOff>
                <xdr:row>6</xdr:row>
                <xdr:rowOff>123825</xdr:rowOff>
              </to>
            </anchor>
          </controlPr>
        </control>
      </mc:Choice>
      <mc:Fallback>
        <control shapeId="2052" r:id="rId36" name="Label1"/>
      </mc:Fallback>
    </mc:AlternateContent>
    <mc:AlternateContent xmlns:mc="http://schemas.openxmlformats.org/markup-compatibility/2006">
      <mc:Choice Requires="x14">
        <control shapeId="2051" r:id="rId38" name="OPath">
          <controlPr defaultSize="0" autoLine="0" r:id="rId39">
            <anchor moveWithCells="1">
              <from>
                <xdr:col>2</xdr:col>
                <xdr:colOff>504825</xdr:colOff>
                <xdr:row>7</xdr:row>
                <xdr:rowOff>90488</xdr:rowOff>
              </from>
              <to>
                <xdr:col>7</xdr:col>
                <xdr:colOff>142875</xdr:colOff>
                <xdr:row>9</xdr:row>
                <xdr:rowOff>4763</xdr:rowOff>
              </to>
            </anchor>
          </controlPr>
        </control>
      </mc:Choice>
      <mc:Fallback>
        <control shapeId="2051" r:id="rId38" name="OPath"/>
      </mc:Fallback>
    </mc:AlternateContent>
    <mc:AlternateContent xmlns:mc="http://schemas.openxmlformats.org/markup-compatibility/2006">
      <mc:Choice Requires="x14">
        <control shapeId="2050" r:id="rId40" name="ISheet">
          <controlPr defaultSize="0" autoLine="0" r:id="rId41">
            <anchor moveWithCells="1">
              <from>
                <xdr:col>2</xdr:col>
                <xdr:colOff>280988</xdr:colOff>
                <xdr:row>5</xdr:row>
                <xdr:rowOff>100013</xdr:rowOff>
              </from>
              <to>
                <xdr:col>3</xdr:col>
                <xdr:colOff>604838</xdr:colOff>
                <xdr:row>6</xdr:row>
                <xdr:rowOff>157163</xdr:rowOff>
              </to>
            </anchor>
          </controlPr>
        </control>
      </mc:Choice>
      <mc:Fallback>
        <control shapeId="2050" r:id="rId40" name="ISheet"/>
      </mc:Fallback>
    </mc:AlternateContent>
    <mc:AlternateContent xmlns:mc="http://schemas.openxmlformats.org/markup-compatibility/2006">
      <mc:Choice Requires="x14">
        <control shapeId="2049" r:id="rId42" name="CommandButton1">
          <controlPr autoLine="0" r:id="rId43">
            <anchor moveWithCells="1">
              <from>
                <xdr:col>1</xdr:col>
                <xdr:colOff>0</xdr:colOff>
                <xdr:row>15</xdr:row>
                <xdr:rowOff>61913</xdr:rowOff>
              </from>
              <to>
                <xdr:col>2</xdr:col>
                <xdr:colOff>342900</xdr:colOff>
                <xdr:row>17</xdr:row>
                <xdr:rowOff>119063</xdr:rowOff>
              </to>
            </anchor>
          </controlPr>
        </control>
      </mc:Choice>
      <mc:Fallback>
        <control shapeId="2049" r:id="rId4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K16"/>
  <sheetViews>
    <sheetView tabSelected="1" zoomScale="70" zoomScaleNormal="70" workbookViewId="0">
      <pane ySplit="3" topLeftCell="A7" activePane="bottomLeft" state="frozen"/>
      <selection pane="bottomLeft" activeCell="B15" sqref="B15"/>
    </sheetView>
  </sheetViews>
  <sheetFormatPr defaultColWidth="9" defaultRowHeight="12"/>
  <cols>
    <col min="1" max="1" width="4.3984375" style="439" customWidth="1"/>
    <col min="2" max="2" width="7.59765625" style="439" bestFit="1" customWidth="1"/>
    <col min="3" max="3" width="13" style="442" customWidth="1"/>
    <col min="4" max="4" width="17.46484375" style="442" customWidth="1"/>
    <col min="5" max="5" width="11.73046875" style="442" customWidth="1"/>
    <col min="6" max="6" width="23.265625" style="439" customWidth="1"/>
    <col min="7" max="7" width="15.1328125" style="439" customWidth="1"/>
    <col min="8" max="8" width="50" style="439" customWidth="1"/>
    <col min="9" max="9" width="78.265625" style="439" customWidth="1"/>
    <col min="10" max="10" width="9.86328125" style="439" customWidth="1"/>
    <col min="11" max="16384" width="9" style="439"/>
  </cols>
  <sheetData>
    <row r="2" spans="2:11" ht="19.5" customHeight="1">
      <c r="B2" s="529" t="s">
        <v>508</v>
      </c>
      <c r="C2" s="531" t="s">
        <v>509</v>
      </c>
      <c r="D2" s="531"/>
      <c r="E2" s="532"/>
      <c r="F2" s="525" t="s">
        <v>487</v>
      </c>
      <c r="G2" s="527" t="s">
        <v>524</v>
      </c>
      <c r="H2" s="525" t="s">
        <v>507</v>
      </c>
      <c r="I2" s="533" t="s">
        <v>510</v>
      </c>
      <c r="J2" s="523"/>
    </row>
    <row r="3" spans="2:11" ht="32.25" customHeight="1">
      <c r="B3" s="530"/>
      <c r="C3" s="443" t="s">
        <v>491</v>
      </c>
      <c r="D3" s="443" t="s">
        <v>81</v>
      </c>
      <c r="E3" s="443" t="s">
        <v>351</v>
      </c>
      <c r="F3" s="526"/>
      <c r="G3" s="528"/>
      <c r="H3" s="526"/>
      <c r="I3" s="534"/>
      <c r="J3" s="524"/>
    </row>
    <row r="4" spans="2:11" ht="43.5" customHeight="1">
      <c r="B4" s="468" t="s">
        <v>394</v>
      </c>
      <c r="C4" s="447" t="s">
        <v>3</v>
      </c>
      <c r="D4" s="447" t="s">
        <v>489</v>
      </c>
      <c r="E4" s="447" t="s">
        <v>488</v>
      </c>
      <c r="F4" s="186" t="s">
        <v>490</v>
      </c>
      <c r="G4" s="448" t="s">
        <v>517</v>
      </c>
      <c r="H4" s="448" t="s">
        <v>519</v>
      </c>
      <c r="I4" s="448" t="s">
        <v>520</v>
      </c>
      <c r="J4" s="447" t="s">
        <v>511</v>
      </c>
    </row>
    <row r="5" spans="2:11" ht="71.25" customHeight="1">
      <c r="B5" s="469" t="s">
        <v>358</v>
      </c>
      <c r="C5" s="449" t="s">
        <v>212</v>
      </c>
      <c r="D5" s="449" t="s">
        <v>498</v>
      </c>
      <c r="E5" s="449" t="s">
        <v>497</v>
      </c>
      <c r="F5" s="450" t="s">
        <v>499</v>
      </c>
      <c r="G5" s="450" t="s">
        <v>502</v>
      </c>
      <c r="H5" s="450" t="s">
        <v>529</v>
      </c>
      <c r="I5" s="450" t="s">
        <v>531</v>
      </c>
      <c r="J5" s="451" t="s">
        <v>511</v>
      </c>
    </row>
    <row r="6" spans="2:11" ht="90" customHeight="1">
      <c r="B6" s="470" t="s">
        <v>359</v>
      </c>
      <c r="C6" s="452" t="s">
        <v>213</v>
      </c>
      <c r="D6" s="452" t="s">
        <v>489</v>
      </c>
      <c r="E6" s="452" t="s">
        <v>488</v>
      </c>
      <c r="F6" s="453" t="s">
        <v>490</v>
      </c>
      <c r="G6" s="453" t="s">
        <v>518</v>
      </c>
      <c r="H6" s="453" t="s">
        <v>530</v>
      </c>
      <c r="I6" s="453" t="s">
        <v>587</v>
      </c>
      <c r="J6" s="454" t="s">
        <v>511</v>
      </c>
    </row>
    <row r="7" spans="2:11" s="441" customFormat="1" ht="60.75" customHeight="1">
      <c r="B7" s="471" t="s">
        <v>395</v>
      </c>
      <c r="C7" s="447" t="s">
        <v>3</v>
      </c>
      <c r="D7" s="455" t="s">
        <v>82</v>
      </c>
      <c r="E7" s="455" t="s">
        <v>497</v>
      </c>
      <c r="F7" s="448" t="s">
        <v>505</v>
      </c>
      <c r="G7" s="456" t="s">
        <v>525</v>
      </c>
      <c r="H7" s="448" t="s">
        <v>526</v>
      </c>
      <c r="I7" s="448" t="s">
        <v>584</v>
      </c>
      <c r="J7" s="455" t="s">
        <v>511</v>
      </c>
      <c r="K7" s="440"/>
    </row>
    <row r="8" spans="2:11" s="441" customFormat="1" ht="45" customHeight="1">
      <c r="B8" s="472" t="s">
        <v>360</v>
      </c>
      <c r="C8" s="449" t="s">
        <v>212</v>
      </c>
      <c r="D8" s="457" t="s">
        <v>82</v>
      </c>
      <c r="E8" s="457" t="s">
        <v>488</v>
      </c>
      <c r="F8" s="458" t="s">
        <v>506</v>
      </c>
      <c r="G8" s="458" t="s">
        <v>472</v>
      </c>
      <c r="H8" s="458" t="s">
        <v>514</v>
      </c>
      <c r="I8" s="450" t="s">
        <v>515</v>
      </c>
      <c r="J8" s="457" t="s">
        <v>511</v>
      </c>
      <c r="K8" s="440"/>
    </row>
    <row r="9" spans="2:11" s="441" customFormat="1" ht="56.25" customHeight="1">
      <c r="B9" s="473" t="s">
        <v>396</v>
      </c>
      <c r="C9" s="452" t="s">
        <v>213</v>
      </c>
      <c r="D9" s="459" t="s">
        <v>82</v>
      </c>
      <c r="E9" s="459" t="s">
        <v>512</v>
      </c>
      <c r="F9" s="453" t="s">
        <v>505</v>
      </c>
      <c r="G9" s="460" t="s">
        <v>472</v>
      </c>
      <c r="H9" s="460" t="s">
        <v>514</v>
      </c>
      <c r="I9" s="453" t="s">
        <v>516</v>
      </c>
      <c r="J9" s="459" t="s">
        <v>511</v>
      </c>
      <c r="K9" s="440"/>
    </row>
    <row r="10" spans="2:11" s="441" customFormat="1" ht="45" customHeight="1">
      <c r="B10" s="471" t="s">
        <v>457</v>
      </c>
      <c r="C10" s="447" t="s">
        <v>3</v>
      </c>
      <c r="D10" s="455" t="s">
        <v>82</v>
      </c>
      <c r="E10" s="455" t="s">
        <v>488</v>
      </c>
      <c r="F10" s="448" t="s">
        <v>506</v>
      </c>
      <c r="G10" s="456" t="s">
        <v>245</v>
      </c>
      <c r="H10" s="456" t="s">
        <v>536</v>
      </c>
      <c r="I10" s="448" t="s">
        <v>537</v>
      </c>
      <c r="J10" s="455" t="s">
        <v>538</v>
      </c>
      <c r="K10" s="440"/>
    </row>
    <row r="11" spans="2:11" s="441" customFormat="1" ht="56.25" customHeight="1">
      <c r="B11" s="474" t="s">
        <v>458</v>
      </c>
      <c r="C11" s="461" t="s">
        <v>213</v>
      </c>
      <c r="D11" s="462" t="s">
        <v>498</v>
      </c>
      <c r="E11" s="462" t="s">
        <v>497</v>
      </c>
      <c r="F11" s="463" t="s">
        <v>499</v>
      </c>
      <c r="G11" s="464" t="s">
        <v>245</v>
      </c>
      <c r="H11" s="464" t="s">
        <v>535</v>
      </c>
      <c r="I11" s="463" t="s">
        <v>545</v>
      </c>
      <c r="J11" s="462" t="s">
        <v>538</v>
      </c>
      <c r="K11" s="440"/>
    </row>
    <row r="12" spans="2:11" ht="71.25" customHeight="1">
      <c r="B12" s="473" t="s">
        <v>547</v>
      </c>
      <c r="C12" s="454" t="s">
        <v>3</v>
      </c>
      <c r="D12" s="459" t="s">
        <v>489</v>
      </c>
      <c r="E12" s="459" t="s">
        <v>534</v>
      </c>
      <c r="F12" s="453" t="s">
        <v>506</v>
      </c>
      <c r="G12" s="460" t="s">
        <v>245</v>
      </c>
      <c r="H12" s="453" t="s">
        <v>544</v>
      </c>
      <c r="I12" s="453" t="s">
        <v>546</v>
      </c>
      <c r="J12" s="459" t="s">
        <v>538</v>
      </c>
    </row>
    <row r="13" spans="2:11" ht="112.5" customHeight="1">
      <c r="B13" s="475" t="s">
        <v>540</v>
      </c>
      <c r="C13" s="449" t="s">
        <v>212</v>
      </c>
      <c r="D13" s="465" t="s">
        <v>498</v>
      </c>
      <c r="E13" s="465" t="s">
        <v>497</v>
      </c>
      <c r="F13" s="466" t="s">
        <v>499</v>
      </c>
      <c r="G13" s="467" t="s">
        <v>517</v>
      </c>
      <c r="H13" s="466" t="s">
        <v>759</v>
      </c>
      <c r="I13" s="466" t="s">
        <v>758</v>
      </c>
      <c r="J13" s="465" t="s">
        <v>513</v>
      </c>
    </row>
    <row r="14" spans="2:11" ht="56.25" customHeight="1">
      <c r="B14" s="472" t="s">
        <v>541</v>
      </c>
      <c r="C14" s="449" t="s">
        <v>213</v>
      </c>
      <c r="D14" s="457" t="s">
        <v>489</v>
      </c>
      <c r="E14" s="457" t="s">
        <v>534</v>
      </c>
      <c r="F14" s="450" t="s">
        <v>506</v>
      </c>
      <c r="G14" s="458" t="s">
        <v>82</v>
      </c>
      <c r="H14" s="458" t="s">
        <v>585</v>
      </c>
      <c r="I14" s="450" t="s">
        <v>539</v>
      </c>
      <c r="J14" s="457" t="s">
        <v>513</v>
      </c>
    </row>
    <row r="15" spans="2:11" ht="84.75" customHeight="1">
      <c r="B15" s="474" t="s">
        <v>542</v>
      </c>
      <c r="C15" s="476" t="s">
        <v>3</v>
      </c>
      <c r="D15" s="462" t="s">
        <v>543</v>
      </c>
      <c r="E15" s="462" t="s">
        <v>497</v>
      </c>
      <c r="F15" s="463" t="s">
        <v>245</v>
      </c>
      <c r="G15" s="464" t="s">
        <v>245</v>
      </c>
      <c r="H15" s="464" t="s">
        <v>245</v>
      </c>
      <c r="I15" s="463" t="s">
        <v>588</v>
      </c>
      <c r="J15" s="462" t="s">
        <v>513</v>
      </c>
    </row>
    <row r="16" spans="2:11" ht="84.75" customHeight="1">
      <c r="B16" s="473" t="s">
        <v>586</v>
      </c>
      <c r="C16" s="454" t="s">
        <v>212</v>
      </c>
      <c r="D16" s="459" t="s">
        <v>498</v>
      </c>
      <c r="E16" s="459" t="s">
        <v>497</v>
      </c>
      <c r="F16" s="453" t="s">
        <v>245</v>
      </c>
      <c r="G16" s="460" t="s">
        <v>245</v>
      </c>
      <c r="H16" s="460" t="s">
        <v>245</v>
      </c>
      <c r="I16" s="453" t="s">
        <v>589</v>
      </c>
      <c r="J16" s="459" t="s">
        <v>513</v>
      </c>
    </row>
  </sheetData>
  <mergeCells count="7">
    <mergeCell ref="J2:J3"/>
    <mergeCell ref="F2:F3"/>
    <mergeCell ref="G2:G3"/>
    <mergeCell ref="B2:B3"/>
    <mergeCell ref="C2:E2"/>
    <mergeCell ref="H2:H3"/>
    <mergeCell ref="I2:I3"/>
  </mergeCells>
  <phoneticPr fontId="3"/>
  <pageMargins left="0.7" right="0.7" top="0.75" bottom="0.75" header="0.3" footer="0.3"/>
  <pageSetup paperSize="9" orientation="landscape"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V176"/>
  <sheetViews>
    <sheetView showGridLines="0" view="pageBreakPreview" zoomScale="85" zoomScaleNormal="80" zoomScaleSheetLayoutView="85" workbookViewId="0">
      <pane xSplit="34" ySplit="8" topLeftCell="AI9" activePane="bottomRight" state="frozen"/>
      <selection pane="topRight" activeCell="AI1" sqref="AI1"/>
      <selection pane="bottomLeft" activeCell="A8" sqref="A8"/>
      <selection pane="bottomRight" activeCell="AB153" sqref="AB153"/>
    </sheetView>
  </sheetViews>
  <sheetFormatPr defaultColWidth="3" defaultRowHeight="15" customHeight="1"/>
  <cols>
    <col min="1" max="24" width="2.73046875" style="45" customWidth="1"/>
    <col min="25" max="25" width="2.86328125" style="45" customWidth="1"/>
    <col min="26" max="33" width="2.73046875" style="45" customWidth="1"/>
    <col min="34" max="34" width="4.59765625" style="179" customWidth="1"/>
    <col min="35" max="48" width="6.1328125" style="45" customWidth="1"/>
    <col min="49" max="16384" width="3" style="45"/>
  </cols>
  <sheetData>
    <row r="1" spans="1:48" ht="15" customHeight="1" thickBot="1"/>
    <row r="2" spans="1:48" ht="12" customHeight="1">
      <c r="A2" s="308" t="s">
        <v>63</v>
      </c>
      <c r="B2" s="309"/>
      <c r="C2" s="309"/>
      <c r="D2" s="309"/>
      <c r="E2" s="310"/>
      <c r="F2" s="311" t="s">
        <v>406</v>
      </c>
      <c r="G2" s="312"/>
      <c r="H2" s="312"/>
      <c r="I2" s="312"/>
      <c r="J2" s="312"/>
      <c r="K2" s="312"/>
      <c r="L2" s="312"/>
      <c r="M2" s="312"/>
      <c r="N2" s="312"/>
      <c r="O2" s="312"/>
      <c r="P2" s="312"/>
      <c r="Q2" s="312"/>
      <c r="R2" s="312"/>
      <c r="S2" s="312"/>
      <c r="T2" s="313"/>
      <c r="U2" s="541" t="s">
        <v>64</v>
      </c>
      <c r="V2" s="542"/>
      <c r="W2" s="543"/>
      <c r="X2" s="543"/>
      <c r="Y2" s="543"/>
      <c r="Z2" s="543"/>
      <c r="AA2" s="543"/>
      <c r="AB2" s="543"/>
      <c r="AC2" s="543"/>
      <c r="AD2" s="543"/>
      <c r="AE2" s="543"/>
      <c r="AF2" s="543"/>
      <c r="AG2" s="544"/>
      <c r="AH2" s="314" t="s">
        <v>65</v>
      </c>
      <c r="AI2" s="296" t="s">
        <v>410</v>
      </c>
      <c r="AJ2" s="195"/>
      <c r="AK2" s="195"/>
      <c r="AL2" s="195"/>
      <c r="AM2" s="195"/>
      <c r="AN2" s="195"/>
      <c r="AO2" s="195"/>
      <c r="AP2" s="195"/>
      <c r="AQ2" s="195"/>
      <c r="AR2" s="195"/>
      <c r="AS2" s="195"/>
      <c r="AT2" s="195"/>
      <c r="AU2" s="195"/>
      <c r="AV2" s="306"/>
    </row>
    <row r="3" spans="1:48" ht="13.5" customHeight="1">
      <c r="A3" s="315" t="s">
        <v>66</v>
      </c>
      <c r="B3" s="316"/>
      <c r="C3" s="316"/>
      <c r="D3" s="316"/>
      <c r="E3" s="317"/>
      <c r="F3" s="316" t="s">
        <v>407</v>
      </c>
      <c r="G3" s="318"/>
      <c r="H3" s="318"/>
      <c r="I3" s="318"/>
      <c r="J3" s="318"/>
      <c r="K3" s="318"/>
      <c r="L3" s="318"/>
      <c r="M3" s="318"/>
      <c r="N3" s="318"/>
      <c r="O3" s="318"/>
      <c r="P3" s="318"/>
      <c r="Q3" s="318"/>
      <c r="R3" s="318"/>
      <c r="S3" s="318"/>
      <c r="T3" s="319"/>
      <c r="U3" s="545"/>
      <c r="V3" s="546"/>
      <c r="W3" s="546"/>
      <c r="X3" s="546"/>
      <c r="Y3" s="546"/>
      <c r="Z3" s="546"/>
      <c r="AA3" s="546"/>
      <c r="AB3" s="546"/>
      <c r="AC3" s="546"/>
      <c r="AD3" s="546"/>
      <c r="AE3" s="546"/>
      <c r="AF3" s="546"/>
      <c r="AG3" s="547"/>
      <c r="AH3" s="320" t="s">
        <v>67</v>
      </c>
      <c r="AI3" s="297" t="s">
        <v>247</v>
      </c>
      <c r="AJ3" s="46"/>
      <c r="AK3" s="46"/>
      <c r="AL3" s="46"/>
      <c r="AM3" s="46"/>
      <c r="AN3" s="46"/>
      <c r="AO3" s="46"/>
      <c r="AP3" s="46"/>
      <c r="AQ3" s="46"/>
      <c r="AR3" s="46"/>
      <c r="AS3" s="46"/>
      <c r="AT3" s="46"/>
      <c r="AU3" s="46"/>
      <c r="AV3" s="152"/>
    </row>
    <row r="4" spans="1:48" ht="13.5" customHeight="1">
      <c r="A4" s="315" t="s">
        <v>68</v>
      </c>
      <c r="B4" s="316"/>
      <c r="C4" s="316"/>
      <c r="D4" s="316"/>
      <c r="E4" s="317"/>
      <c r="F4" s="316" t="s">
        <v>408</v>
      </c>
      <c r="G4" s="318"/>
      <c r="H4" s="318"/>
      <c r="I4" s="318"/>
      <c r="J4" s="318"/>
      <c r="K4" s="318"/>
      <c r="L4" s="318"/>
      <c r="M4" s="318"/>
      <c r="N4" s="318"/>
      <c r="O4" s="318"/>
      <c r="P4" s="318"/>
      <c r="Q4" s="318"/>
      <c r="R4" s="318"/>
      <c r="S4" s="318"/>
      <c r="T4" s="319"/>
      <c r="U4" s="548"/>
      <c r="V4" s="549"/>
      <c r="W4" s="549"/>
      <c r="X4" s="549"/>
      <c r="Y4" s="549"/>
      <c r="Z4" s="549"/>
      <c r="AA4" s="549"/>
      <c r="AB4" s="549"/>
      <c r="AC4" s="549"/>
      <c r="AD4" s="549"/>
      <c r="AE4" s="549"/>
      <c r="AF4" s="549"/>
      <c r="AG4" s="550"/>
      <c r="AH4" s="320" t="s">
        <v>69</v>
      </c>
      <c r="AI4" s="297" t="s">
        <v>230</v>
      </c>
      <c r="AJ4" s="46"/>
      <c r="AK4" s="46"/>
      <c r="AL4" s="46"/>
      <c r="AM4" s="46"/>
      <c r="AN4" s="46"/>
      <c r="AO4" s="46"/>
      <c r="AP4" s="46"/>
      <c r="AQ4" s="46"/>
      <c r="AR4" s="46"/>
      <c r="AS4" s="46"/>
      <c r="AT4" s="46"/>
      <c r="AU4" s="46"/>
      <c r="AV4" s="152"/>
    </row>
    <row r="5" spans="1:48" ht="21" customHeight="1" thickBot="1">
      <c r="A5" s="321" t="s">
        <v>70</v>
      </c>
      <c r="B5" s="322"/>
      <c r="C5" s="322"/>
      <c r="D5" s="322"/>
      <c r="E5" s="323"/>
      <c r="F5" s="551" t="s">
        <v>409</v>
      </c>
      <c r="G5" s="552"/>
      <c r="H5" s="552"/>
      <c r="I5" s="553"/>
      <c r="J5" s="553"/>
      <c r="K5" s="553"/>
      <c r="L5" s="553"/>
      <c r="M5" s="553"/>
      <c r="N5" s="553"/>
      <c r="O5" s="553"/>
      <c r="P5" s="553"/>
      <c r="Q5" s="553"/>
      <c r="R5" s="553"/>
      <c r="S5" s="553"/>
      <c r="T5" s="554"/>
      <c r="U5" s="555" t="s">
        <v>71</v>
      </c>
      <c r="V5" s="556"/>
      <c r="W5" s="557"/>
      <c r="X5" s="557"/>
      <c r="Y5" s="557"/>
      <c r="Z5" s="557"/>
      <c r="AA5" s="557"/>
      <c r="AB5" s="557"/>
      <c r="AC5" s="557"/>
      <c r="AD5" s="557"/>
      <c r="AE5" s="557"/>
      <c r="AF5" s="557"/>
      <c r="AG5" s="557"/>
      <c r="AH5" s="557"/>
      <c r="AI5" s="558"/>
      <c r="AJ5" s="559"/>
      <c r="AK5" s="559"/>
      <c r="AL5" s="559"/>
      <c r="AM5" s="559"/>
      <c r="AN5" s="559"/>
      <c r="AO5" s="559"/>
      <c r="AP5" s="559"/>
      <c r="AQ5" s="559"/>
      <c r="AR5" s="559"/>
      <c r="AS5" s="559"/>
      <c r="AT5" s="559"/>
      <c r="AU5" s="559"/>
      <c r="AV5" s="560"/>
    </row>
    <row r="6" spans="1:48" ht="95.25" customHeight="1">
      <c r="A6" s="565" t="s">
        <v>252</v>
      </c>
      <c r="B6" s="542"/>
      <c r="C6" s="542"/>
      <c r="D6" s="542"/>
      <c r="E6" s="542"/>
      <c r="F6" s="542"/>
      <c r="G6" s="542"/>
      <c r="H6" s="542"/>
      <c r="I6" s="542"/>
      <c r="J6" s="542"/>
      <c r="K6" s="542"/>
      <c r="L6" s="542"/>
      <c r="M6" s="542"/>
      <c r="N6" s="542"/>
      <c r="O6" s="542"/>
      <c r="P6" s="542"/>
      <c r="Q6" s="542"/>
      <c r="R6" s="542"/>
      <c r="S6" s="542"/>
      <c r="T6" s="566"/>
      <c r="U6" s="541" t="s">
        <v>253</v>
      </c>
      <c r="V6" s="542"/>
      <c r="W6" s="542"/>
      <c r="X6" s="542"/>
      <c r="Y6" s="542"/>
      <c r="Z6" s="542"/>
      <c r="AA6" s="542"/>
      <c r="AB6" s="542"/>
      <c r="AC6" s="542"/>
      <c r="AD6" s="542"/>
      <c r="AE6" s="542"/>
      <c r="AF6" s="542"/>
      <c r="AG6" s="542"/>
      <c r="AH6" s="566"/>
      <c r="AI6" s="387" t="s">
        <v>571</v>
      </c>
      <c r="AJ6" s="388" t="s">
        <v>572</v>
      </c>
      <c r="AK6" s="389" t="s">
        <v>571</v>
      </c>
      <c r="AL6" s="388" t="s">
        <v>573</v>
      </c>
      <c r="AM6" s="380" t="s">
        <v>574</v>
      </c>
      <c r="AN6" s="388" t="s">
        <v>575</v>
      </c>
      <c r="AO6" s="380" t="s">
        <v>580</v>
      </c>
      <c r="AP6" s="380" t="s">
        <v>579</v>
      </c>
      <c r="AQ6" s="380" t="s">
        <v>581</v>
      </c>
      <c r="AR6" s="380" t="s">
        <v>576</v>
      </c>
      <c r="AS6" s="380" t="s">
        <v>577</v>
      </c>
      <c r="AT6" s="380" t="s">
        <v>578</v>
      </c>
      <c r="AU6" s="380" t="s">
        <v>590</v>
      </c>
      <c r="AV6" s="324"/>
    </row>
    <row r="7" spans="1:48" ht="45" customHeight="1">
      <c r="A7" s="567"/>
      <c r="B7" s="568"/>
      <c r="C7" s="568"/>
      <c r="D7" s="568"/>
      <c r="E7" s="568"/>
      <c r="F7" s="568"/>
      <c r="G7" s="568"/>
      <c r="H7" s="568"/>
      <c r="I7" s="568"/>
      <c r="J7" s="568"/>
      <c r="K7" s="568"/>
      <c r="L7" s="568"/>
      <c r="M7" s="568"/>
      <c r="N7" s="568"/>
      <c r="O7" s="568"/>
      <c r="P7" s="568"/>
      <c r="Q7" s="568"/>
      <c r="R7" s="568"/>
      <c r="S7" s="568"/>
      <c r="T7" s="569"/>
      <c r="U7" s="575"/>
      <c r="V7" s="568"/>
      <c r="W7" s="568"/>
      <c r="X7" s="568"/>
      <c r="Y7" s="568"/>
      <c r="Z7" s="568"/>
      <c r="AA7" s="568"/>
      <c r="AB7" s="568"/>
      <c r="AC7" s="568"/>
      <c r="AD7" s="568"/>
      <c r="AE7" s="568"/>
      <c r="AF7" s="568"/>
      <c r="AG7" s="568"/>
      <c r="AH7" s="569"/>
      <c r="AI7" s="390" t="s">
        <v>411</v>
      </c>
      <c r="AJ7" s="393" t="s">
        <v>358</v>
      </c>
      <c r="AK7" s="393" t="s">
        <v>359</v>
      </c>
      <c r="AL7" s="393" t="s">
        <v>412</v>
      </c>
      <c r="AM7" s="393" t="s">
        <v>413</v>
      </c>
      <c r="AN7" s="393" t="s">
        <v>414</v>
      </c>
      <c r="AO7" s="393" t="s">
        <v>457</v>
      </c>
      <c r="AP7" s="393" t="s">
        <v>458</v>
      </c>
      <c r="AQ7" s="393" t="s">
        <v>459</v>
      </c>
      <c r="AR7" s="393" t="s">
        <v>460</v>
      </c>
      <c r="AS7" s="393" t="s">
        <v>461</v>
      </c>
      <c r="AT7" s="393" t="s">
        <v>542</v>
      </c>
      <c r="AU7" s="393" t="s">
        <v>586</v>
      </c>
      <c r="AV7" s="325"/>
    </row>
    <row r="8" spans="1:48" ht="19.5" customHeight="1" thickBot="1">
      <c r="A8" s="570"/>
      <c r="B8" s="571"/>
      <c r="C8" s="571"/>
      <c r="D8" s="571"/>
      <c r="E8" s="571"/>
      <c r="F8" s="571"/>
      <c r="G8" s="571"/>
      <c r="H8" s="571"/>
      <c r="I8" s="571"/>
      <c r="J8" s="571"/>
      <c r="K8" s="571"/>
      <c r="L8" s="571"/>
      <c r="M8" s="571"/>
      <c r="N8" s="571"/>
      <c r="O8" s="571"/>
      <c r="P8" s="571"/>
      <c r="Q8" s="571"/>
      <c r="R8" s="571"/>
      <c r="S8" s="571"/>
      <c r="T8" s="572"/>
      <c r="U8" s="576"/>
      <c r="V8" s="571"/>
      <c r="W8" s="571"/>
      <c r="X8" s="571"/>
      <c r="Y8" s="571"/>
      <c r="Z8" s="571"/>
      <c r="AA8" s="571"/>
      <c r="AB8" s="571"/>
      <c r="AC8" s="571"/>
      <c r="AD8" s="571"/>
      <c r="AE8" s="571"/>
      <c r="AF8" s="571"/>
      <c r="AG8" s="571"/>
      <c r="AH8" s="572"/>
      <c r="AI8" s="390" t="s">
        <v>511</v>
      </c>
      <c r="AJ8" s="393" t="s">
        <v>511</v>
      </c>
      <c r="AK8" s="393" t="s">
        <v>511</v>
      </c>
      <c r="AL8" s="393" t="s">
        <v>511</v>
      </c>
      <c r="AM8" s="393" t="s">
        <v>511</v>
      </c>
      <c r="AN8" s="393" t="s">
        <v>511</v>
      </c>
      <c r="AO8" s="393" t="s">
        <v>538</v>
      </c>
      <c r="AP8" s="393" t="s">
        <v>538</v>
      </c>
      <c r="AQ8" s="393" t="s">
        <v>538</v>
      </c>
      <c r="AR8" s="393" t="s">
        <v>513</v>
      </c>
      <c r="AS8" s="393" t="s">
        <v>513</v>
      </c>
      <c r="AT8" s="393" t="s">
        <v>513</v>
      </c>
      <c r="AU8" s="393" t="s">
        <v>513</v>
      </c>
      <c r="AV8" s="325"/>
    </row>
    <row r="9" spans="1:48" s="153" customFormat="1" ht="15" customHeight="1" thickTop="1">
      <c r="A9" s="276" t="s">
        <v>210</v>
      </c>
      <c r="B9" s="209"/>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209"/>
      <c r="AG9" s="209"/>
      <c r="AH9" s="211"/>
      <c r="AI9" s="298"/>
      <c r="AJ9" s="128"/>
      <c r="AK9" s="128"/>
      <c r="AL9" s="128"/>
      <c r="AM9" s="128"/>
      <c r="AN9" s="128"/>
      <c r="AO9" s="128"/>
      <c r="AP9" s="128"/>
      <c r="AQ9" s="128"/>
      <c r="AR9" s="128"/>
      <c r="AS9" s="128"/>
      <c r="AT9" s="128"/>
      <c r="AU9" s="128"/>
      <c r="AV9" s="326"/>
    </row>
    <row r="10" spans="1:48" s="153" customFormat="1" ht="15" customHeight="1">
      <c r="A10" s="148"/>
      <c r="B10" s="49" t="s">
        <v>72</v>
      </c>
      <c r="C10" s="48"/>
      <c r="D10" s="48"/>
      <c r="E10" s="48"/>
      <c r="F10" s="48"/>
      <c r="G10" s="48"/>
      <c r="H10" s="48"/>
      <c r="I10" s="48"/>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180"/>
      <c r="AI10" s="299"/>
      <c r="AJ10" s="257"/>
      <c r="AK10" s="257"/>
      <c r="AL10" s="257"/>
      <c r="AM10" s="257"/>
      <c r="AN10" s="257"/>
      <c r="AO10" s="257"/>
      <c r="AP10" s="257"/>
      <c r="AQ10" s="257"/>
      <c r="AR10" s="257"/>
      <c r="AS10" s="257"/>
      <c r="AT10" s="257"/>
      <c r="AU10" s="257"/>
      <c r="AV10" s="375"/>
    </row>
    <row r="11" spans="1:48" s="153" customFormat="1" ht="15" customHeight="1">
      <c r="A11" s="148"/>
      <c r="B11" s="176"/>
      <c r="C11" s="48" t="s">
        <v>74</v>
      </c>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180"/>
      <c r="AI11" s="258" t="s">
        <v>254</v>
      </c>
      <c r="AJ11" s="258" t="s">
        <v>254</v>
      </c>
      <c r="AK11" s="258"/>
      <c r="AL11" s="258" t="s">
        <v>254</v>
      </c>
      <c r="AM11" s="258" t="s">
        <v>254</v>
      </c>
      <c r="AN11" s="258"/>
      <c r="AO11" s="258" t="s">
        <v>254</v>
      </c>
      <c r="AP11" s="258"/>
      <c r="AQ11" s="258" t="s">
        <v>254</v>
      </c>
      <c r="AR11" s="258" t="s">
        <v>254</v>
      </c>
      <c r="AS11" s="258"/>
      <c r="AT11" s="258" t="s">
        <v>254</v>
      </c>
      <c r="AU11" s="258" t="s">
        <v>254</v>
      </c>
      <c r="AV11" s="376"/>
    </row>
    <row r="12" spans="1:48" s="153" customFormat="1" ht="15" customHeight="1">
      <c r="A12" s="148"/>
      <c r="B12" s="177"/>
      <c r="C12" s="48" t="s">
        <v>73</v>
      </c>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180"/>
      <c r="AI12" s="300"/>
      <c r="AJ12" s="258"/>
      <c r="AK12" s="258" t="s">
        <v>254</v>
      </c>
      <c r="AL12" s="258"/>
      <c r="AM12" s="258"/>
      <c r="AN12" s="258" t="s">
        <v>254</v>
      </c>
      <c r="AO12" s="258"/>
      <c r="AP12" s="258" t="s">
        <v>254</v>
      </c>
      <c r="AQ12" s="258"/>
      <c r="AR12" s="258"/>
      <c r="AS12" s="258" t="s">
        <v>254</v>
      </c>
      <c r="AT12" s="258"/>
      <c r="AU12" s="258"/>
      <c r="AV12" s="376"/>
    </row>
    <row r="13" spans="1:48" s="153" customFormat="1" ht="15" customHeight="1">
      <c r="A13" s="148"/>
      <c r="B13" s="197" t="s">
        <v>211</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180"/>
      <c r="AI13" s="300"/>
      <c r="AJ13" s="258"/>
      <c r="AK13" s="258"/>
      <c r="AL13" s="258"/>
      <c r="AM13" s="258"/>
      <c r="AN13" s="258"/>
      <c r="AO13" s="258"/>
      <c r="AP13" s="258"/>
      <c r="AQ13" s="258"/>
      <c r="AR13" s="258"/>
      <c r="AS13" s="258"/>
      <c r="AT13" s="258"/>
      <c r="AU13" s="258"/>
      <c r="AV13" s="376"/>
    </row>
    <row r="14" spans="1:48" s="153" customFormat="1" ht="15" customHeight="1">
      <c r="A14" s="148"/>
      <c r="B14" s="197"/>
      <c r="C14" s="49" t="s">
        <v>75</v>
      </c>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180"/>
      <c r="AI14" s="300"/>
      <c r="AJ14" s="258"/>
      <c r="AK14" s="258"/>
      <c r="AL14" s="258"/>
      <c r="AM14" s="258"/>
      <c r="AN14" s="258"/>
      <c r="AO14" s="258"/>
      <c r="AP14" s="258"/>
      <c r="AQ14" s="258"/>
      <c r="AR14" s="258"/>
      <c r="AS14" s="258"/>
      <c r="AT14" s="258"/>
      <c r="AU14" s="258"/>
      <c r="AV14" s="376"/>
    </row>
    <row r="15" spans="1:48" s="153" customFormat="1" ht="15" customHeight="1">
      <c r="A15" s="148"/>
      <c r="B15" s="197"/>
      <c r="C15" s="176"/>
      <c r="D15" s="48" t="s">
        <v>76</v>
      </c>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180"/>
      <c r="AI15" s="300"/>
      <c r="AJ15" s="258"/>
      <c r="AK15" s="258"/>
      <c r="AL15" s="258"/>
      <c r="AM15" s="258"/>
      <c r="AN15" s="258"/>
      <c r="AO15" s="258"/>
      <c r="AP15" s="258"/>
      <c r="AQ15" s="258"/>
      <c r="AR15" s="258"/>
      <c r="AS15" s="258"/>
      <c r="AT15" s="258"/>
      <c r="AU15" s="258"/>
      <c r="AV15" s="376"/>
    </row>
    <row r="16" spans="1:48" s="153" customFormat="1" ht="15" customHeight="1">
      <c r="A16" s="148"/>
      <c r="B16" s="197"/>
      <c r="C16" s="176"/>
      <c r="D16" s="176"/>
      <c r="E16" s="48" t="s">
        <v>77</v>
      </c>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180"/>
      <c r="AI16" s="300" t="s">
        <v>254</v>
      </c>
      <c r="AJ16" s="258" t="s">
        <v>254</v>
      </c>
      <c r="AK16" s="258" t="s">
        <v>254</v>
      </c>
      <c r="AL16" s="258" t="s">
        <v>254</v>
      </c>
      <c r="AM16" s="258" t="s">
        <v>254</v>
      </c>
      <c r="AN16" s="258" t="s">
        <v>254</v>
      </c>
      <c r="AO16" s="258" t="s">
        <v>254</v>
      </c>
      <c r="AP16" s="258" t="s">
        <v>254</v>
      </c>
      <c r="AQ16" s="258" t="s">
        <v>254</v>
      </c>
      <c r="AR16" s="258" t="s">
        <v>254</v>
      </c>
      <c r="AS16" s="258" t="s">
        <v>254</v>
      </c>
      <c r="AT16" s="258" t="s">
        <v>254</v>
      </c>
      <c r="AU16" s="258" t="s">
        <v>254</v>
      </c>
      <c r="AV16" s="376"/>
    </row>
    <row r="17" spans="1:48" s="153" customFormat="1" ht="15" customHeight="1">
      <c r="A17" s="148"/>
      <c r="B17" s="197"/>
      <c r="C17" s="176"/>
      <c r="D17" s="176"/>
      <c r="E17" s="48" t="s">
        <v>53</v>
      </c>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180"/>
      <c r="AI17" s="300"/>
      <c r="AJ17" s="258"/>
      <c r="AK17" s="258"/>
      <c r="AL17" s="258"/>
      <c r="AM17" s="258"/>
      <c r="AN17" s="258"/>
      <c r="AO17" s="258"/>
      <c r="AP17" s="258"/>
      <c r="AQ17" s="258"/>
      <c r="AR17" s="258"/>
      <c r="AS17" s="258"/>
      <c r="AT17" s="258"/>
      <c r="AU17" s="258"/>
      <c r="AV17" s="376"/>
    </row>
    <row r="18" spans="1:48" s="153" customFormat="1" ht="15" customHeight="1">
      <c r="A18" s="148"/>
      <c r="B18" s="197"/>
      <c r="C18" s="176"/>
      <c r="D18" s="198"/>
      <c r="E18" s="176"/>
      <c r="F18" s="48" t="s">
        <v>3</v>
      </c>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180"/>
      <c r="AI18" s="300" t="s">
        <v>254</v>
      </c>
      <c r="AJ18" s="258"/>
      <c r="AK18" s="258"/>
      <c r="AL18" s="258" t="s">
        <v>254</v>
      </c>
      <c r="AM18" s="258"/>
      <c r="AN18" s="258"/>
      <c r="AO18" s="258" t="s">
        <v>254</v>
      </c>
      <c r="AP18" s="258"/>
      <c r="AQ18" s="258" t="s">
        <v>254</v>
      </c>
      <c r="AR18" s="258"/>
      <c r="AS18" s="258"/>
      <c r="AT18" s="258" t="s">
        <v>254</v>
      </c>
      <c r="AU18" s="258"/>
      <c r="AV18" s="376"/>
    </row>
    <row r="19" spans="1:48" s="153" customFormat="1" ht="15" customHeight="1">
      <c r="A19" s="148"/>
      <c r="B19" s="197"/>
      <c r="C19" s="176"/>
      <c r="D19" s="198"/>
      <c r="E19" s="176"/>
      <c r="F19" s="48" t="s">
        <v>212</v>
      </c>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180"/>
      <c r="AI19" s="300"/>
      <c r="AJ19" s="258" t="s">
        <v>254</v>
      </c>
      <c r="AK19" s="258"/>
      <c r="AL19" s="258"/>
      <c r="AM19" s="258" t="s">
        <v>254</v>
      </c>
      <c r="AN19" s="258"/>
      <c r="AO19" s="258"/>
      <c r="AP19" s="258"/>
      <c r="AQ19" s="258"/>
      <c r="AR19" s="258" t="s">
        <v>254</v>
      </c>
      <c r="AS19" s="258"/>
      <c r="AT19" s="258"/>
      <c r="AU19" s="258" t="s">
        <v>254</v>
      </c>
      <c r="AV19" s="376"/>
    </row>
    <row r="20" spans="1:48" s="153" customFormat="1" ht="15" customHeight="1">
      <c r="A20" s="148"/>
      <c r="B20" s="197"/>
      <c r="C20" s="176"/>
      <c r="D20" s="198"/>
      <c r="E20" s="176"/>
      <c r="F20" s="48" t="s">
        <v>213</v>
      </c>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180"/>
      <c r="AI20" s="300"/>
      <c r="AJ20" s="258"/>
      <c r="AK20" s="258" t="s">
        <v>254</v>
      </c>
      <c r="AL20" s="258"/>
      <c r="AM20" s="258"/>
      <c r="AN20" s="258" t="s">
        <v>254</v>
      </c>
      <c r="AO20" s="258"/>
      <c r="AP20" s="258" t="s">
        <v>254</v>
      </c>
      <c r="AQ20" s="258"/>
      <c r="AR20" s="258"/>
      <c r="AS20" s="258" t="s">
        <v>254</v>
      </c>
      <c r="AT20" s="258"/>
      <c r="AU20" s="258"/>
      <c r="AV20" s="376"/>
    </row>
    <row r="21" spans="1:48" s="153" customFormat="1" ht="15" customHeight="1">
      <c r="A21" s="148"/>
      <c r="B21" s="197"/>
      <c r="C21" s="49" t="s">
        <v>78</v>
      </c>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180"/>
      <c r="AI21" s="300"/>
      <c r="AJ21" s="258"/>
      <c r="AK21" s="258"/>
      <c r="AL21" s="258"/>
      <c r="AM21" s="258"/>
      <c r="AN21" s="258"/>
      <c r="AO21" s="258"/>
      <c r="AP21" s="258"/>
      <c r="AQ21" s="258"/>
      <c r="AR21" s="258"/>
      <c r="AS21" s="258"/>
      <c r="AT21" s="258"/>
      <c r="AU21" s="258"/>
      <c r="AV21" s="376"/>
    </row>
    <row r="22" spans="1:48" s="153" customFormat="1" ht="15" customHeight="1">
      <c r="A22" s="148"/>
      <c r="B22" s="197"/>
      <c r="C22" s="197"/>
      <c r="D22" s="49" t="s">
        <v>79</v>
      </c>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180"/>
      <c r="AI22" s="300"/>
      <c r="AJ22" s="258"/>
      <c r="AK22" s="258"/>
      <c r="AL22" s="258"/>
      <c r="AM22" s="258"/>
      <c r="AN22" s="258"/>
      <c r="AO22" s="258"/>
      <c r="AP22" s="258"/>
      <c r="AQ22" s="258"/>
      <c r="AR22" s="258"/>
      <c r="AS22" s="258"/>
      <c r="AT22" s="258"/>
      <c r="AU22" s="258"/>
      <c r="AV22" s="376"/>
    </row>
    <row r="23" spans="1:48" s="153" customFormat="1" ht="15" customHeight="1">
      <c r="A23" s="148"/>
      <c r="B23" s="197"/>
      <c r="C23" s="197"/>
      <c r="D23" s="176"/>
      <c r="E23" s="48" t="s">
        <v>80</v>
      </c>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180"/>
      <c r="AI23" s="258" t="s">
        <v>254</v>
      </c>
      <c r="AJ23" s="258"/>
      <c r="AK23" s="258" t="s">
        <v>254</v>
      </c>
      <c r="AL23" s="258"/>
      <c r="AM23" s="258" t="s">
        <v>254</v>
      </c>
      <c r="AN23" s="258"/>
      <c r="AO23" s="258" t="s">
        <v>254</v>
      </c>
      <c r="AP23" s="258"/>
      <c r="AQ23" s="258" t="s">
        <v>254</v>
      </c>
      <c r="AR23" s="258"/>
      <c r="AS23" s="258" t="s">
        <v>254</v>
      </c>
      <c r="AT23" s="258"/>
      <c r="AU23" s="258"/>
      <c r="AV23" s="376"/>
    </row>
    <row r="24" spans="1:48" s="153" customFormat="1" ht="15" customHeight="1">
      <c r="A24" s="148"/>
      <c r="B24" s="197"/>
      <c r="C24" s="197"/>
      <c r="D24" s="177"/>
      <c r="E24" s="48" t="s">
        <v>214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180"/>
      <c r="AI24" s="258"/>
      <c r="AJ24" s="258" t="s">
        <v>254</v>
      </c>
      <c r="AK24" s="258"/>
      <c r="AL24" s="258" t="s">
        <v>254</v>
      </c>
      <c r="AM24" s="258"/>
      <c r="AN24" s="258" t="s">
        <v>254</v>
      </c>
      <c r="AO24" s="258"/>
      <c r="AP24" s="258" t="s">
        <v>254</v>
      </c>
      <c r="AQ24" s="258"/>
      <c r="AR24" s="258" t="s">
        <v>254</v>
      </c>
      <c r="AS24" s="258"/>
      <c r="AT24" s="258" t="s">
        <v>254</v>
      </c>
      <c r="AU24" s="258" t="s">
        <v>254</v>
      </c>
      <c r="AV24" s="376"/>
    </row>
    <row r="25" spans="1:48" s="153" customFormat="1" ht="15" customHeight="1">
      <c r="A25" s="148"/>
      <c r="B25" s="197"/>
      <c r="C25" s="197"/>
      <c r="D25" s="49" t="s">
        <v>81</v>
      </c>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180"/>
      <c r="AI25" s="258"/>
      <c r="AJ25" s="258"/>
      <c r="AK25" s="258"/>
      <c r="AL25" s="258"/>
      <c r="AM25" s="258"/>
      <c r="AN25" s="258"/>
      <c r="AO25" s="258"/>
      <c r="AP25" s="258"/>
      <c r="AQ25" s="258"/>
      <c r="AR25" s="258"/>
      <c r="AS25" s="258"/>
      <c r="AT25" s="258"/>
      <c r="AU25" s="258"/>
      <c r="AV25" s="376"/>
    </row>
    <row r="26" spans="1:48" s="153" customFormat="1" ht="15" customHeight="1">
      <c r="A26" s="148"/>
      <c r="B26" s="197"/>
      <c r="C26" s="197"/>
      <c r="D26" s="197"/>
      <c r="E26" s="150" t="s">
        <v>455</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180"/>
      <c r="AI26" s="258" t="s">
        <v>254</v>
      </c>
      <c r="AJ26" s="258"/>
      <c r="AK26" s="258" t="s">
        <v>254</v>
      </c>
      <c r="AL26" s="258"/>
      <c r="AM26" s="258"/>
      <c r="AN26" s="258"/>
      <c r="AO26" s="258"/>
      <c r="AP26" s="258"/>
      <c r="AQ26" s="258" t="s">
        <v>254</v>
      </c>
      <c r="AR26" s="258"/>
      <c r="AS26" s="258" t="s">
        <v>254</v>
      </c>
      <c r="AT26" s="258"/>
      <c r="AU26" s="258"/>
      <c r="AV26" s="376"/>
    </row>
    <row r="27" spans="1:48" s="153" customFormat="1" ht="15" customHeight="1">
      <c r="A27" s="148"/>
      <c r="B27" s="197"/>
      <c r="C27" s="197"/>
      <c r="D27" s="176"/>
      <c r="E27" s="48" t="s">
        <v>456</v>
      </c>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180"/>
      <c r="AI27" s="258"/>
      <c r="AJ27" s="258" t="s">
        <v>254</v>
      </c>
      <c r="AK27" s="258"/>
      <c r="AL27" s="258"/>
      <c r="AM27" s="258"/>
      <c r="AN27" s="258"/>
      <c r="AO27" s="258"/>
      <c r="AP27" s="258" t="s">
        <v>254</v>
      </c>
      <c r="AQ27" s="258"/>
      <c r="AR27" s="258" t="s">
        <v>254</v>
      </c>
      <c r="AS27" s="258"/>
      <c r="AT27" s="258"/>
      <c r="AU27" s="258" t="s">
        <v>254</v>
      </c>
      <c r="AV27" s="376"/>
    </row>
    <row r="28" spans="1:48" s="153" customFormat="1" ht="15" customHeight="1">
      <c r="A28" s="148"/>
      <c r="B28" s="197"/>
      <c r="C28" s="197"/>
      <c r="D28" s="197"/>
      <c r="E28" s="150" t="s">
        <v>82</v>
      </c>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180"/>
      <c r="AI28" s="258"/>
      <c r="AJ28" s="259"/>
      <c r="AK28" s="259"/>
      <c r="AL28" s="258" t="s">
        <v>254</v>
      </c>
      <c r="AM28" s="258" t="s">
        <v>254</v>
      </c>
      <c r="AN28" s="258" t="s">
        <v>254</v>
      </c>
      <c r="AO28" s="258" t="s">
        <v>254</v>
      </c>
      <c r="AP28" s="258"/>
      <c r="AQ28" s="258"/>
      <c r="AR28" s="258"/>
      <c r="AS28" s="258"/>
      <c r="AT28" s="258"/>
      <c r="AU28" s="258"/>
      <c r="AV28" s="376"/>
    </row>
    <row r="29" spans="1:48" s="153" customFormat="1" ht="15" customHeight="1">
      <c r="A29" s="148"/>
      <c r="B29" s="197"/>
      <c r="C29" s="197"/>
      <c r="D29" s="197"/>
      <c r="E29" s="150" t="s">
        <v>543</v>
      </c>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180"/>
      <c r="AI29" s="258"/>
      <c r="AJ29" s="259"/>
      <c r="AK29" s="259"/>
      <c r="AL29" s="258"/>
      <c r="AM29" s="258"/>
      <c r="AN29" s="258"/>
      <c r="AO29" s="258"/>
      <c r="AP29" s="258"/>
      <c r="AQ29" s="258"/>
      <c r="AR29" s="258"/>
      <c r="AS29" s="258"/>
      <c r="AT29" s="258" t="s">
        <v>254</v>
      </c>
      <c r="AU29" s="258"/>
      <c r="AV29" s="376"/>
    </row>
    <row r="30" spans="1:48" s="153" customFormat="1" ht="15" customHeight="1">
      <c r="A30" s="148"/>
      <c r="B30" s="197"/>
      <c r="C30" s="176"/>
      <c r="D30" s="49" t="s">
        <v>83</v>
      </c>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180"/>
      <c r="AI30" s="258"/>
      <c r="AJ30" s="259"/>
      <c r="AK30" s="259"/>
      <c r="AL30" s="258"/>
      <c r="AM30" s="258"/>
      <c r="AN30" s="258"/>
      <c r="AO30" s="258"/>
      <c r="AP30" s="258"/>
      <c r="AQ30" s="258"/>
      <c r="AR30" s="258"/>
      <c r="AS30" s="258"/>
      <c r="AT30" s="258"/>
      <c r="AU30" s="258"/>
      <c r="AV30" s="376"/>
    </row>
    <row r="31" spans="1:48" s="153" customFormat="1" ht="15" customHeight="1">
      <c r="A31" s="148"/>
      <c r="B31" s="197"/>
      <c r="C31" s="176"/>
      <c r="D31" s="197"/>
      <c r="E31" s="150" t="s">
        <v>472</v>
      </c>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180"/>
      <c r="AI31" s="258"/>
      <c r="AJ31" s="259" t="s">
        <v>254</v>
      </c>
      <c r="AK31" s="259"/>
      <c r="AL31" s="259" t="s">
        <v>254</v>
      </c>
      <c r="AM31" s="258"/>
      <c r="AN31" s="259" t="s">
        <v>254</v>
      </c>
      <c r="AO31" s="258"/>
      <c r="AP31" s="258" t="s">
        <v>254</v>
      </c>
      <c r="AQ31" s="258"/>
      <c r="AR31" s="258" t="s">
        <v>254</v>
      </c>
      <c r="AS31" s="258"/>
      <c r="AT31" s="258" t="s">
        <v>254</v>
      </c>
      <c r="AU31" s="258"/>
      <c r="AV31" s="376"/>
    </row>
    <row r="32" spans="1:48" s="153" customFormat="1" ht="15" customHeight="1">
      <c r="A32" s="148"/>
      <c r="B32" s="197"/>
      <c r="C32" s="176"/>
      <c r="D32" s="176"/>
      <c r="E32" s="49" t="s">
        <v>82</v>
      </c>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180"/>
      <c r="AI32" s="436" t="s">
        <v>254</v>
      </c>
      <c r="AJ32" s="438"/>
      <c r="AK32" s="259" t="s">
        <v>254</v>
      </c>
      <c r="AL32" s="436"/>
      <c r="AM32" s="259" t="s">
        <v>254</v>
      </c>
      <c r="AN32" s="436"/>
      <c r="AO32" s="258" t="s">
        <v>254</v>
      </c>
      <c r="AP32" s="436"/>
      <c r="AQ32" s="436" t="s">
        <v>254</v>
      </c>
      <c r="AR32" s="436"/>
      <c r="AS32" s="436" t="s">
        <v>254</v>
      </c>
      <c r="AT32" s="436"/>
      <c r="AU32" s="436" t="s">
        <v>254</v>
      </c>
      <c r="AV32" s="348"/>
    </row>
    <row r="33" spans="1:48" s="153" customFormat="1" ht="15" customHeight="1">
      <c r="A33" s="148"/>
      <c r="B33" s="49" t="s">
        <v>84</v>
      </c>
      <c r="C33" s="151"/>
      <c r="D33" s="48"/>
      <c r="E33" s="48"/>
      <c r="F33" s="48"/>
      <c r="G33" s="48"/>
      <c r="H33" s="48"/>
      <c r="I33" s="48"/>
      <c r="J33" s="48"/>
      <c r="K33" s="48"/>
      <c r="L33" s="151"/>
      <c r="M33" s="151"/>
      <c r="N33" s="151"/>
      <c r="O33" s="151"/>
      <c r="P33" s="151"/>
      <c r="Q33" s="151"/>
      <c r="R33" s="151"/>
      <c r="S33" s="151"/>
      <c r="T33" s="151"/>
      <c r="U33" s="151"/>
      <c r="V33" s="151"/>
      <c r="W33" s="151"/>
      <c r="X33" s="151"/>
      <c r="Y33" s="151"/>
      <c r="Z33" s="151"/>
      <c r="AA33" s="151"/>
      <c r="AB33" s="151"/>
      <c r="AC33" s="151"/>
      <c r="AD33" s="151"/>
      <c r="AE33" s="151"/>
      <c r="AF33" s="151"/>
      <c r="AG33" s="151"/>
      <c r="AH33" s="213"/>
      <c r="AI33" s="299"/>
      <c r="AJ33" s="257"/>
      <c r="AK33" s="437"/>
      <c r="AL33" s="437"/>
      <c r="AM33" s="437"/>
      <c r="AN33" s="437"/>
      <c r="AO33" s="437"/>
      <c r="AP33" s="437"/>
      <c r="AQ33" s="437"/>
      <c r="AR33" s="437"/>
      <c r="AS33" s="437"/>
      <c r="AT33" s="437"/>
      <c r="AU33" s="437"/>
      <c r="AV33" s="375"/>
    </row>
    <row r="34" spans="1:48" s="153" customFormat="1" ht="15" customHeight="1">
      <c r="A34" s="148"/>
      <c r="B34" s="176"/>
      <c r="C34" s="153" t="s">
        <v>85</v>
      </c>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213"/>
      <c r="AI34" s="301"/>
      <c r="AJ34" s="47"/>
      <c r="AK34" s="260"/>
      <c r="AL34" s="260"/>
      <c r="AM34" s="260"/>
      <c r="AN34" s="260"/>
      <c r="AO34" s="260"/>
      <c r="AP34" s="260"/>
      <c r="AQ34" s="260"/>
      <c r="AR34" s="260"/>
      <c r="AS34" s="260"/>
      <c r="AT34" s="260"/>
      <c r="AU34" s="260"/>
      <c r="AV34" s="263"/>
    </row>
    <row r="35" spans="1:48" s="153" customFormat="1" ht="15" customHeight="1">
      <c r="A35" s="148"/>
      <c r="B35" s="199"/>
      <c r="C35" s="176"/>
      <c r="D35" s="200" t="s">
        <v>86</v>
      </c>
      <c r="E35" s="201"/>
      <c r="F35" s="149"/>
      <c r="G35" s="149"/>
      <c r="H35" s="149"/>
      <c r="I35" s="149"/>
      <c r="J35" s="149"/>
      <c r="K35" s="149"/>
      <c r="L35" s="149"/>
      <c r="M35" s="149"/>
      <c r="N35" s="149"/>
      <c r="O35" s="149"/>
      <c r="P35" s="149"/>
      <c r="Q35" s="149"/>
      <c r="R35" s="149"/>
      <c r="S35" s="149"/>
      <c r="T35" s="149"/>
      <c r="U35" s="149"/>
      <c r="V35" s="149"/>
      <c r="W35" s="149"/>
      <c r="X35" s="149"/>
      <c r="Y35" s="149"/>
      <c r="Z35" s="149"/>
      <c r="AA35" s="149"/>
      <c r="AB35" s="149"/>
      <c r="AC35" s="149"/>
      <c r="AD35" s="149"/>
      <c r="AE35" s="149"/>
      <c r="AF35" s="149"/>
      <c r="AG35" s="149"/>
      <c r="AH35" s="213"/>
      <c r="AI35" s="301"/>
      <c r="AJ35" s="47"/>
      <c r="AK35" s="260"/>
      <c r="AL35" s="260"/>
      <c r="AM35" s="260"/>
      <c r="AN35" s="260"/>
      <c r="AO35" s="260"/>
      <c r="AP35" s="260"/>
      <c r="AQ35" s="260"/>
      <c r="AR35" s="260"/>
      <c r="AS35" s="260"/>
      <c r="AT35" s="260"/>
      <c r="AU35" s="260"/>
      <c r="AV35" s="263"/>
    </row>
    <row r="36" spans="1:48" s="153" customFormat="1" ht="15" customHeight="1">
      <c r="A36" s="148"/>
      <c r="B36" s="199"/>
      <c r="C36" s="176"/>
      <c r="D36" s="200"/>
      <c r="E36" s="201" t="s">
        <v>87</v>
      </c>
      <c r="F36" s="149"/>
      <c r="G36" s="149"/>
      <c r="H36" s="149"/>
      <c r="I36" s="149"/>
      <c r="J36" s="149"/>
      <c r="K36" s="149"/>
      <c r="L36" s="149"/>
      <c r="M36" s="149"/>
      <c r="N36" s="149"/>
      <c r="O36" s="149"/>
      <c r="P36" s="149"/>
      <c r="Q36" s="149"/>
      <c r="R36" s="149"/>
      <c r="S36" s="149"/>
      <c r="T36" s="149"/>
      <c r="U36" s="149"/>
      <c r="V36" s="149"/>
      <c r="W36" s="149"/>
      <c r="X36" s="149"/>
      <c r="Y36" s="149"/>
      <c r="Z36" s="149"/>
      <c r="AA36" s="149"/>
      <c r="AB36" s="149"/>
      <c r="AC36" s="149"/>
      <c r="AD36" s="149"/>
      <c r="AE36" s="149"/>
      <c r="AF36" s="149"/>
      <c r="AG36" s="149"/>
      <c r="AH36" s="213"/>
      <c r="AI36" s="300" t="s">
        <v>254</v>
      </c>
      <c r="AJ36" s="258"/>
      <c r="AK36" s="258" t="s">
        <v>254</v>
      </c>
      <c r="AL36" s="258"/>
      <c r="AM36" s="258" t="s">
        <v>254</v>
      </c>
      <c r="AN36" s="258"/>
      <c r="AO36" s="258" t="s">
        <v>254</v>
      </c>
      <c r="AP36" s="258"/>
      <c r="AQ36" s="258"/>
      <c r="AR36" s="258"/>
      <c r="AS36" s="258" t="s">
        <v>254</v>
      </c>
      <c r="AT36" s="258"/>
      <c r="AU36" s="258"/>
      <c r="AV36" s="263"/>
    </row>
    <row r="37" spans="1:48" s="153" customFormat="1" ht="15" customHeight="1">
      <c r="A37" s="148"/>
      <c r="B37" s="199"/>
      <c r="C37" s="176"/>
      <c r="D37" s="200"/>
      <c r="E37" s="201" t="s">
        <v>500</v>
      </c>
      <c r="F37" s="149"/>
      <c r="G37" s="149"/>
      <c r="H37" s="149"/>
      <c r="I37" s="149"/>
      <c r="J37" s="149"/>
      <c r="K37" s="149"/>
      <c r="L37" s="149"/>
      <c r="M37" s="149"/>
      <c r="N37" s="149"/>
      <c r="O37" s="149"/>
      <c r="P37" s="149"/>
      <c r="Q37" s="149"/>
      <c r="R37" s="149"/>
      <c r="S37" s="149"/>
      <c r="T37" s="149"/>
      <c r="U37" s="149"/>
      <c r="V37" s="149"/>
      <c r="W37" s="149"/>
      <c r="X37" s="149"/>
      <c r="Y37" s="149"/>
      <c r="Z37" s="149"/>
      <c r="AA37" s="149"/>
      <c r="AB37" s="149"/>
      <c r="AC37" s="149"/>
      <c r="AD37" s="149"/>
      <c r="AE37" s="149"/>
      <c r="AF37" s="149"/>
      <c r="AG37" s="149"/>
      <c r="AH37" s="213"/>
      <c r="AI37" s="300"/>
      <c r="AJ37" s="258"/>
      <c r="AK37" s="258"/>
      <c r="AL37" s="258"/>
      <c r="AM37" s="258"/>
      <c r="AN37" s="258"/>
      <c r="AO37" s="258"/>
      <c r="AP37" s="258"/>
      <c r="AQ37" s="258" t="s">
        <v>254</v>
      </c>
      <c r="AR37" s="258"/>
      <c r="AS37" s="258"/>
      <c r="AT37" s="258"/>
      <c r="AU37" s="258"/>
      <c r="AV37" s="263"/>
    </row>
    <row r="38" spans="1:48" s="153" customFormat="1" ht="15" customHeight="1">
      <c r="A38" s="148"/>
      <c r="B38" s="199"/>
      <c r="C38" s="176"/>
      <c r="D38" s="422" t="s">
        <v>552</v>
      </c>
      <c r="E38" s="201"/>
      <c r="F38" s="149"/>
      <c r="G38" s="149"/>
      <c r="H38" s="149"/>
      <c r="I38" s="149"/>
      <c r="J38" s="149"/>
      <c r="K38" s="149"/>
      <c r="L38" s="149"/>
      <c r="M38" s="149"/>
      <c r="N38" s="149"/>
      <c r="O38" s="149"/>
      <c r="P38" s="149"/>
      <c r="Q38" s="149"/>
      <c r="R38" s="149"/>
      <c r="S38" s="149"/>
      <c r="T38" s="149"/>
      <c r="U38" s="149"/>
      <c r="V38" s="149"/>
      <c r="W38" s="149"/>
      <c r="X38" s="149"/>
      <c r="Y38" s="149"/>
      <c r="Z38" s="149"/>
      <c r="AA38" s="149"/>
      <c r="AB38" s="149"/>
      <c r="AC38" s="149"/>
      <c r="AD38" s="149"/>
      <c r="AE38" s="149"/>
      <c r="AF38" s="149"/>
      <c r="AG38" s="149"/>
      <c r="AH38" s="213"/>
      <c r="AI38" s="301"/>
      <c r="AJ38" s="47"/>
      <c r="AK38" s="260"/>
      <c r="AL38" s="260"/>
      <c r="AM38" s="260"/>
      <c r="AN38" s="260"/>
      <c r="AO38" s="260"/>
      <c r="AP38" s="260"/>
      <c r="AQ38" s="260"/>
      <c r="AR38" s="260"/>
      <c r="AS38" s="260"/>
      <c r="AT38" s="260"/>
      <c r="AU38" s="260"/>
      <c r="AV38" s="263"/>
    </row>
    <row r="39" spans="1:48" s="153" customFormat="1" ht="15" customHeight="1">
      <c r="A39" s="148"/>
      <c r="B39" s="199"/>
      <c r="C39" s="176"/>
      <c r="D39" s="200"/>
      <c r="E39" s="201" t="s">
        <v>522</v>
      </c>
      <c r="F39" s="149"/>
      <c r="G39" s="149"/>
      <c r="H39" s="149"/>
      <c r="I39" s="149"/>
      <c r="J39" s="149"/>
      <c r="K39" s="149"/>
      <c r="L39" s="149"/>
      <c r="M39" s="149"/>
      <c r="N39" s="149"/>
      <c r="O39" s="149"/>
      <c r="P39" s="149"/>
      <c r="Q39" s="149"/>
      <c r="R39" s="149"/>
      <c r="S39" s="149"/>
      <c r="T39" s="149"/>
      <c r="U39" s="149"/>
      <c r="V39" s="149"/>
      <c r="W39" s="149"/>
      <c r="X39" s="149"/>
      <c r="Y39" s="149"/>
      <c r="Z39" s="149"/>
      <c r="AA39" s="149"/>
      <c r="AB39" s="149"/>
      <c r="AC39" s="149"/>
      <c r="AD39" s="149"/>
      <c r="AE39" s="149"/>
      <c r="AF39" s="149"/>
      <c r="AG39" s="149"/>
      <c r="AH39" s="213"/>
      <c r="AI39" s="300"/>
      <c r="AJ39" s="258"/>
      <c r="AK39" s="258"/>
      <c r="AL39" s="258"/>
      <c r="AM39" s="258"/>
      <c r="AN39" s="258"/>
      <c r="AO39" s="258"/>
      <c r="AP39" s="258"/>
      <c r="AQ39" s="258" t="s">
        <v>254</v>
      </c>
      <c r="AR39" s="258"/>
      <c r="AS39" s="258"/>
      <c r="AT39" s="258"/>
      <c r="AU39" s="258"/>
      <c r="AV39" s="263"/>
    </row>
    <row r="40" spans="1:48" s="153" customFormat="1" ht="15" customHeight="1">
      <c r="A40" s="148"/>
      <c r="B40" s="256"/>
      <c r="C40" s="176"/>
      <c r="D40" s="203" t="s">
        <v>307</v>
      </c>
      <c r="E40" s="149"/>
      <c r="F40" s="178"/>
      <c r="H40" s="178"/>
      <c r="I40" s="178"/>
      <c r="J40" s="178"/>
      <c r="K40" s="178"/>
      <c r="L40" s="178"/>
      <c r="M40" s="178"/>
      <c r="N40" s="178"/>
      <c r="O40" s="178"/>
      <c r="P40" s="178"/>
      <c r="Q40" s="178"/>
      <c r="R40" s="178"/>
      <c r="S40" s="178"/>
      <c r="T40" s="178"/>
      <c r="U40" s="178"/>
      <c r="V40" s="178"/>
      <c r="W40" s="178"/>
      <c r="X40" s="178"/>
      <c r="Y40" s="178"/>
      <c r="Z40" s="178"/>
      <c r="AA40" s="178"/>
      <c r="AB40" s="178"/>
      <c r="AC40" s="178"/>
      <c r="AD40" s="178"/>
      <c r="AE40" s="178"/>
      <c r="AF40" s="178"/>
      <c r="AG40" s="178"/>
      <c r="AH40" s="180"/>
      <c r="AI40" s="300"/>
      <c r="AJ40" s="258"/>
      <c r="AK40" s="258"/>
      <c r="AL40" s="258"/>
      <c r="AM40" s="258"/>
      <c r="AN40" s="258"/>
      <c r="AO40" s="258"/>
      <c r="AP40" s="258"/>
      <c r="AQ40" s="258"/>
      <c r="AR40" s="258"/>
      <c r="AS40" s="258"/>
      <c r="AT40" s="258"/>
      <c r="AU40" s="258"/>
      <c r="AV40" s="263"/>
    </row>
    <row r="41" spans="1:48" s="153" customFormat="1" ht="15" customHeight="1">
      <c r="A41" s="148"/>
      <c r="B41" s="256"/>
      <c r="C41" s="176"/>
      <c r="D41" s="200"/>
      <c r="E41" s="201" t="s">
        <v>553</v>
      </c>
      <c r="F41" s="149"/>
      <c r="G41" s="151"/>
      <c r="H41" s="149"/>
      <c r="I41" s="149"/>
      <c r="J41" s="149"/>
      <c r="K41" s="178"/>
      <c r="L41" s="178"/>
      <c r="M41" s="178"/>
      <c r="N41" s="178"/>
      <c r="O41" s="178"/>
      <c r="P41" s="178"/>
      <c r="Q41" s="178"/>
      <c r="R41" s="178"/>
      <c r="S41" s="178"/>
      <c r="T41" s="178"/>
      <c r="U41" s="178"/>
      <c r="V41" s="178"/>
      <c r="W41" s="178"/>
      <c r="X41" s="178"/>
      <c r="Y41" s="178"/>
      <c r="Z41" s="178"/>
      <c r="AA41" s="178"/>
      <c r="AB41" s="178"/>
      <c r="AC41" s="178"/>
      <c r="AD41" s="178"/>
      <c r="AE41" s="178"/>
      <c r="AF41" s="178"/>
      <c r="AG41" s="178"/>
      <c r="AH41" s="180"/>
      <c r="AI41" s="300" t="s">
        <v>254</v>
      </c>
      <c r="AJ41" s="258"/>
      <c r="AK41" s="258" t="s">
        <v>254</v>
      </c>
      <c r="AL41" s="258"/>
      <c r="AM41" s="258" t="s">
        <v>254</v>
      </c>
      <c r="AN41" s="258"/>
      <c r="AO41" s="258"/>
      <c r="AP41" s="258"/>
      <c r="AQ41" s="258"/>
      <c r="AR41" s="258"/>
      <c r="AS41" s="258" t="s">
        <v>254</v>
      </c>
      <c r="AT41" s="258"/>
      <c r="AU41" s="258"/>
      <c r="AV41" s="263"/>
    </row>
    <row r="42" spans="1:48" s="153" customFormat="1" ht="15" customHeight="1">
      <c r="A42" s="148"/>
      <c r="B42" s="256"/>
      <c r="C42" s="176"/>
      <c r="D42" s="203" t="s">
        <v>183</v>
      </c>
      <c r="E42" s="149"/>
      <c r="F42" s="149"/>
      <c r="G42" s="149"/>
      <c r="H42" s="178"/>
      <c r="I42" s="178"/>
      <c r="J42" s="178"/>
      <c r="K42" s="178"/>
      <c r="L42" s="178"/>
      <c r="M42" s="178"/>
      <c r="N42" s="178"/>
      <c r="O42" s="178"/>
      <c r="P42" s="178"/>
      <c r="Q42" s="178"/>
      <c r="R42" s="178"/>
      <c r="S42" s="178"/>
      <c r="T42" s="178"/>
      <c r="U42" s="178"/>
      <c r="V42" s="178"/>
      <c r="W42" s="178"/>
      <c r="X42" s="178"/>
      <c r="Y42" s="178"/>
      <c r="Z42" s="178"/>
      <c r="AA42" s="178"/>
      <c r="AB42" s="178"/>
      <c r="AC42" s="178"/>
      <c r="AD42" s="178"/>
      <c r="AE42" s="178"/>
      <c r="AF42" s="178"/>
      <c r="AG42" s="178"/>
      <c r="AH42" s="180"/>
      <c r="AI42" s="300"/>
      <c r="AJ42" s="258"/>
      <c r="AK42" s="258"/>
      <c r="AL42" s="258"/>
      <c r="AM42" s="258"/>
      <c r="AN42" s="258"/>
      <c r="AO42" s="258"/>
      <c r="AP42" s="258"/>
      <c r="AQ42" s="258"/>
      <c r="AR42" s="258"/>
      <c r="AS42" s="258"/>
      <c r="AT42" s="258"/>
      <c r="AU42" s="258"/>
      <c r="AV42" s="263"/>
    </row>
    <row r="43" spans="1:48" s="153" customFormat="1" ht="15" customHeight="1">
      <c r="A43" s="148"/>
      <c r="B43" s="256"/>
      <c r="C43" s="176"/>
      <c r="D43" s="200"/>
      <c r="E43" s="201" t="s">
        <v>658</v>
      </c>
      <c r="F43" s="149"/>
      <c r="G43" s="149"/>
      <c r="H43" s="178"/>
      <c r="I43" s="178"/>
      <c r="J43" s="178"/>
      <c r="K43" s="178"/>
      <c r="L43" s="178"/>
      <c r="M43" s="178"/>
      <c r="N43" s="178"/>
      <c r="O43" s="178"/>
      <c r="P43" s="178"/>
      <c r="Q43" s="178"/>
      <c r="R43" s="178"/>
      <c r="S43" s="178"/>
      <c r="T43" s="178"/>
      <c r="U43" s="178"/>
      <c r="V43" s="178"/>
      <c r="W43" s="178"/>
      <c r="X43" s="178"/>
      <c r="Y43" s="178"/>
      <c r="Z43" s="178"/>
      <c r="AA43" s="178"/>
      <c r="AB43" s="178"/>
      <c r="AC43" s="178"/>
      <c r="AD43" s="178"/>
      <c r="AE43" s="178"/>
      <c r="AF43" s="178"/>
      <c r="AG43" s="178"/>
      <c r="AH43" s="180"/>
      <c r="AI43" s="300" t="s">
        <v>254</v>
      </c>
      <c r="AJ43" s="258"/>
      <c r="AK43" s="258"/>
      <c r="AL43" s="258"/>
      <c r="AM43" s="258" t="s">
        <v>254</v>
      </c>
      <c r="AN43" s="258"/>
      <c r="AO43" s="258"/>
      <c r="AP43" s="258"/>
      <c r="AQ43" s="258"/>
      <c r="AR43" s="258"/>
      <c r="AS43" s="258" t="s">
        <v>254</v>
      </c>
      <c r="AT43" s="258"/>
      <c r="AU43" s="258"/>
      <c r="AV43" s="263"/>
    </row>
    <row r="44" spans="1:48" s="153" customFormat="1" ht="15" customHeight="1">
      <c r="A44" s="148"/>
      <c r="B44" s="256"/>
      <c r="C44" s="176"/>
      <c r="D44" s="200"/>
      <c r="E44" s="150" t="s">
        <v>463</v>
      </c>
      <c r="F44" s="149"/>
      <c r="G44" s="149"/>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80"/>
      <c r="AI44" s="300"/>
      <c r="AJ44" s="258"/>
      <c r="AK44" s="258" t="s">
        <v>254</v>
      </c>
      <c r="AL44" s="258"/>
      <c r="AM44" s="258"/>
      <c r="AN44" s="258"/>
      <c r="AO44" s="258"/>
      <c r="AP44" s="258"/>
      <c r="AQ44" s="258"/>
      <c r="AR44" s="258"/>
      <c r="AS44" s="258"/>
      <c r="AT44" s="258"/>
      <c r="AU44" s="258"/>
      <c r="AV44" s="263"/>
    </row>
    <row r="45" spans="1:48" s="153" customFormat="1" ht="15" customHeight="1">
      <c r="A45" s="148"/>
      <c r="B45" s="256"/>
      <c r="C45" s="176"/>
      <c r="D45" s="203" t="s">
        <v>186</v>
      </c>
      <c r="E45" s="48"/>
      <c r="F45" s="149"/>
      <c r="G45" s="149"/>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80"/>
      <c r="AI45" s="300"/>
      <c r="AJ45" s="258"/>
      <c r="AK45" s="258"/>
      <c r="AL45" s="258"/>
      <c r="AM45" s="258"/>
      <c r="AN45" s="258"/>
      <c r="AO45" s="258"/>
      <c r="AP45" s="258"/>
      <c r="AQ45" s="258"/>
      <c r="AR45" s="258"/>
      <c r="AS45" s="258"/>
      <c r="AT45" s="258"/>
      <c r="AU45" s="258"/>
      <c r="AV45" s="263"/>
    </row>
    <row r="46" spans="1:48" s="153" customFormat="1" ht="15" customHeight="1">
      <c r="A46" s="148"/>
      <c r="B46" s="256"/>
      <c r="C46" s="176"/>
      <c r="D46" s="204"/>
      <c r="E46" s="201" t="s">
        <v>657</v>
      </c>
      <c r="F46" s="149"/>
      <c r="G46" s="149"/>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80"/>
      <c r="AI46" s="300" t="s">
        <v>254</v>
      </c>
      <c r="AJ46" s="258"/>
      <c r="AK46" s="258"/>
      <c r="AL46" s="258"/>
      <c r="AM46" s="258" t="s">
        <v>254</v>
      </c>
      <c r="AN46" s="258"/>
      <c r="AO46" s="258"/>
      <c r="AP46" s="258"/>
      <c r="AQ46" s="258"/>
      <c r="AR46" s="258"/>
      <c r="AS46" s="258" t="s">
        <v>254</v>
      </c>
      <c r="AT46" s="258"/>
      <c r="AU46" s="258"/>
      <c r="AV46" s="263"/>
    </row>
    <row r="47" spans="1:48" s="153" customFormat="1" ht="15" customHeight="1">
      <c r="A47" s="148"/>
      <c r="B47" s="256"/>
      <c r="C47" s="176"/>
      <c r="D47" s="420"/>
      <c r="E47" s="150" t="s">
        <v>463</v>
      </c>
      <c r="F47" s="149"/>
      <c r="G47" s="149"/>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80"/>
      <c r="AI47" s="300"/>
      <c r="AJ47" s="258"/>
      <c r="AK47" s="258" t="s">
        <v>254</v>
      </c>
      <c r="AL47" s="258"/>
      <c r="AM47" s="258"/>
      <c r="AN47" s="258"/>
      <c r="AO47" s="258"/>
      <c r="AP47" s="258"/>
      <c r="AQ47" s="258"/>
      <c r="AR47" s="258"/>
      <c r="AS47" s="258"/>
      <c r="AT47" s="258"/>
      <c r="AU47" s="258"/>
      <c r="AV47" s="263"/>
    </row>
    <row r="48" spans="1:48" s="153" customFormat="1" ht="15" customHeight="1">
      <c r="A48" s="148"/>
      <c r="B48" s="256"/>
      <c r="C48" s="176"/>
      <c r="D48" s="203" t="s">
        <v>494</v>
      </c>
      <c r="E48" s="200"/>
      <c r="F48" s="149"/>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80"/>
      <c r="AI48" s="300"/>
      <c r="AJ48" s="258"/>
      <c r="AK48" s="258"/>
      <c r="AL48" s="258"/>
      <c r="AM48" s="258"/>
      <c r="AN48" s="258"/>
      <c r="AO48" s="258"/>
      <c r="AP48" s="258"/>
      <c r="AQ48" s="258"/>
      <c r="AR48" s="258"/>
      <c r="AS48" s="258"/>
      <c r="AT48" s="258"/>
      <c r="AU48" s="258"/>
      <c r="AV48" s="263"/>
    </row>
    <row r="49" spans="1:48" s="153" customFormat="1" ht="15" customHeight="1">
      <c r="A49" s="148"/>
      <c r="B49" s="256"/>
      <c r="C49" s="176"/>
      <c r="D49" s="200"/>
      <c r="E49" s="421" t="s">
        <v>495</v>
      </c>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80"/>
      <c r="AI49" s="300" t="s">
        <v>254</v>
      </c>
      <c r="AJ49" s="258"/>
      <c r="AK49" s="258"/>
      <c r="AL49" s="258"/>
      <c r="AM49" s="258" t="s">
        <v>254</v>
      </c>
      <c r="AN49" s="258"/>
      <c r="AO49" s="258"/>
      <c r="AP49" s="258"/>
      <c r="AQ49" s="258"/>
      <c r="AR49" s="258"/>
      <c r="AS49" s="258" t="s">
        <v>254</v>
      </c>
      <c r="AT49" s="258"/>
      <c r="AU49" s="258"/>
      <c r="AV49" s="263"/>
    </row>
    <row r="50" spans="1:48" s="153" customFormat="1" ht="15" customHeight="1">
      <c r="A50" s="148"/>
      <c r="B50" s="256"/>
      <c r="C50" s="176"/>
      <c r="E50" s="435" t="s">
        <v>496</v>
      </c>
      <c r="F50" s="149"/>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80"/>
      <c r="AI50" s="300"/>
      <c r="AJ50" s="258"/>
      <c r="AK50" s="258" t="s">
        <v>254</v>
      </c>
      <c r="AL50" s="258"/>
      <c r="AM50" s="258"/>
      <c r="AN50" s="258"/>
      <c r="AO50" s="258"/>
      <c r="AP50" s="258"/>
      <c r="AQ50" s="258"/>
      <c r="AR50" s="258"/>
      <c r="AS50" s="258"/>
      <c r="AT50" s="258"/>
      <c r="AU50" s="258"/>
      <c r="AV50" s="263"/>
    </row>
    <row r="51" spans="1:48" s="153" customFormat="1" ht="15" customHeight="1">
      <c r="A51" s="148"/>
      <c r="B51" s="256"/>
      <c r="C51" s="176"/>
      <c r="D51" s="203" t="s">
        <v>464</v>
      </c>
      <c r="E51" s="200"/>
      <c r="F51" s="149"/>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80"/>
      <c r="AI51" s="300"/>
      <c r="AJ51" s="258"/>
      <c r="AK51" s="258"/>
      <c r="AL51" s="258"/>
      <c r="AM51" s="258"/>
      <c r="AN51" s="258"/>
      <c r="AO51" s="258"/>
      <c r="AP51" s="258"/>
      <c r="AQ51" s="258"/>
      <c r="AR51" s="258"/>
      <c r="AS51" s="258"/>
      <c r="AT51" s="258"/>
      <c r="AU51" s="258"/>
      <c r="AV51" s="263"/>
    </row>
    <row r="52" spans="1:48" s="153" customFormat="1" ht="15" customHeight="1">
      <c r="A52" s="148"/>
      <c r="B52" s="256"/>
      <c r="C52" s="176"/>
      <c r="D52" s="200"/>
      <c r="E52" s="49" t="s">
        <v>501</v>
      </c>
      <c r="F52" s="151"/>
      <c r="G52" s="151"/>
      <c r="H52" s="151"/>
      <c r="I52" s="151"/>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80"/>
      <c r="AI52" s="300" t="s">
        <v>254</v>
      </c>
      <c r="AJ52" s="258"/>
      <c r="AK52" s="258"/>
      <c r="AL52" s="258"/>
      <c r="AM52" s="258"/>
      <c r="AN52" s="258"/>
      <c r="AO52" s="258"/>
      <c r="AP52" s="258"/>
      <c r="AQ52" s="258"/>
      <c r="AR52" s="258"/>
      <c r="AS52" s="258"/>
      <c r="AT52" s="258"/>
      <c r="AU52" s="258"/>
      <c r="AV52" s="263"/>
    </row>
    <row r="53" spans="1:48" s="153" customFormat="1" ht="15" customHeight="1">
      <c r="A53" s="148"/>
      <c r="B53" s="256"/>
      <c r="C53" s="176"/>
      <c r="E53" s="49" t="s">
        <v>502</v>
      </c>
      <c r="F53" s="151"/>
      <c r="G53" s="151"/>
      <c r="H53" s="151"/>
      <c r="I53" s="151"/>
      <c r="J53" s="178"/>
      <c r="K53" s="178"/>
      <c r="L53" s="178"/>
      <c r="M53" s="178"/>
      <c r="N53" s="178"/>
      <c r="O53" s="178"/>
      <c r="P53" s="178"/>
      <c r="Q53" s="178"/>
      <c r="R53" s="178"/>
      <c r="S53" s="178"/>
      <c r="T53" s="178"/>
      <c r="U53" s="178"/>
      <c r="V53" s="178"/>
      <c r="W53" s="178"/>
      <c r="X53" s="178"/>
      <c r="Y53" s="178"/>
      <c r="Z53" s="178"/>
      <c r="AA53" s="178"/>
      <c r="AB53" s="178"/>
      <c r="AC53" s="178"/>
      <c r="AD53" s="178"/>
      <c r="AE53" s="178"/>
      <c r="AF53" s="178"/>
      <c r="AG53" s="178"/>
      <c r="AH53" s="180"/>
      <c r="AI53" s="300"/>
      <c r="AJ53" s="258"/>
      <c r="AK53" s="258"/>
      <c r="AL53" s="258"/>
      <c r="AM53" s="258"/>
      <c r="AN53" s="258"/>
      <c r="AO53" s="258"/>
      <c r="AP53" s="258"/>
      <c r="AQ53" s="258"/>
      <c r="AR53" s="258"/>
      <c r="AS53" s="258"/>
      <c r="AT53" s="258"/>
      <c r="AU53" s="258"/>
      <c r="AV53" s="263"/>
    </row>
    <row r="54" spans="1:48" s="153" customFormat="1" ht="15" customHeight="1">
      <c r="A54" s="148"/>
      <c r="B54" s="256"/>
      <c r="C54" s="176"/>
      <c r="E54" s="49" t="s">
        <v>503</v>
      </c>
      <c r="F54" s="151"/>
      <c r="G54" s="151"/>
      <c r="H54" s="151"/>
      <c r="I54" s="151"/>
      <c r="J54" s="178"/>
      <c r="K54" s="178"/>
      <c r="L54" s="178"/>
      <c r="M54" s="178"/>
      <c r="N54" s="178"/>
      <c r="O54" s="178"/>
      <c r="P54" s="178"/>
      <c r="Q54" s="178"/>
      <c r="R54" s="178"/>
      <c r="S54" s="178"/>
      <c r="T54" s="178"/>
      <c r="U54" s="178"/>
      <c r="V54" s="178"/>
      <c r="W54" s="178"/>
      <c r="X54" s="178"/>
      <c r="Y54" s="178"/>
      <c r="Z54" s="178"/>
      <c r="AA54" s="178"/>
      <c r="AB54" s="178"/>
      <c r="AC54" s="178"/>
      <c r="AD54" s="178"/>
      <c r="AE54" s="178"/>
      <c r="AF54" s="178"/>
      <c r="AG54" s="178"/>
      <c r="AH54" s="180"/>
      <c r="AI54" s="300"/>
      <c r="AJ54" s="258"/>
      <c r="AK54" s="258" t="s">
        <v>254</v>
      </c>
      <c r="AL54" s="258"/>
      <c r="AM54" s="258"/>
      <c r="AN54" s="258"/>
      <c r="AO54" s="258"/>
      <c r="AP54" s="258"/>
      <c r="AQ54" s="258"/>
      <c r="AR54" s="258"/>
      <c r="AS54" s="258"/>
      <c r="AT54" s="258"/>
      <c r="AU54" s="258"/>
      <c r="AV54" s="263"/>
    </row>
    <row r="55" spans="1:48" s="153" customFormat="1" ht="15" customHeight="1">
      <c r="A55" s="148"/>
      <c r="B55" s="256"/>
      <c r="C55" s="176"/>
      <c r="E55" s="49" t="s">
        <v>504</v>
      </c>
      <c r="F55" s="151"/>
      <c r="G55" s="151"/>
      <c r="H55" s="151"/>
      <c r="I55" s="151"/>
      <c r="J55" s="178"/>
      <c r="K55" s="178"/>
      <c r="L55" s="178"/>
      <c r="M55" s="178"/>
      <c r="N55" s="178"/>
      <c r="O55" s="178"/>
      <c r="P55" s="178"/>
      <c r="Q55" s="178"/>
      <c r="R55" s="178"/>
      <c r="S55" s="178"/>
      <c r="T55" s="178"/>
      <c r="U55" s="178"/>
      <c r="V55" s="178"/>
      <c r="W55" s="178"/>
      <c r="X55" s="178"/>
      <c r="Y55" s="178"/>
      <c r="Z55" s="178"/>
      <c r="AA55" s="178"/>
      <c r="AB55" s="178"/>
      <c r="AC55" s="178"/>
      <c r="AD55" s="178"/>
      <c r="AE55" s="178"/>
      <c r="AF55" s="178"/>
      <c r="AG55" s="178"/>
      <c r="AH55" s="180"/>
      <c r="AI55" s="300"/>
      <c r="AJ55" s="258"/>
      <c r="AK55" s="258"/>
      <c r="AL55" s="258"/>
      <c r="AM55" s="258"/>
      <c r="AN55" s="258"/>
      <c r="AO55" s="258"/>
      <c r="AP55" s="258"/>
      <c r="AQ55" s="258"/>
      <c r="AR55" s="258"/>
      <c r="AS55" s="258"/>
      <c r="AT55" s="258"/>
      <c r="AU55" s="258"/>
      <c r="AV55" s="263"/>
    </row>
    <row r="56" spans="1:48" s="153" customFormat="1" ht="15" customHeight="1">
      <c r="A56" s="148"/>
      <c r="B56" s="256"/>
      <c r="C56" s="176"/>
      <c r="E56" s="49" t="s">
        <v>472</v>
      </c>
      <c r="F56" s="151"/>
      <c r="G56" s="151"/>
      <c r="H56" s="151"/>
      <c r="I56" s="151"/>
      <c r="J56" s="178"/>
      <c r="K56" s="178"/>
      <c r="L56" s="178"/>
      <c r="M56" s="178"/>
      <c r="N56" s="178"/>
      <c r="O56" s="178"/>
      <c r="P56" s="178"/>
      <c r="Q56" s="178"/>
      <c r="R56" s="178"/>
      <c r="S56" s="178"/>
      <c r="T56" s="178"/>
      <c r="U56" s="178"/>
      <c r="V56" s="178"/>
      <c r="W56" s="178"/>
      <c r="X56" s="178"/>
      <c r="Y56" s="178"/>
      <c r="Z56" s="178"/>
      <c r="AA56" s="178"/>
      <c r="AB56" s="178"/>
      <c r="AC56" s="178"/>
      <c r="AD56" s="178"/>
      <c r="AE56" s="178"/>
      <c r="AF56" s="178"/>
      <c r="AG56" s="178"/>
      <c r="AH56" s="180"/>
      <c r="AI56" s="300"/>
      <c r="AJ56" s="258"/>
      <c r="AK56" s="258"/>
      <c r="AL56" s="258"/>
      <c r="AM56" s="258" t="s">
        <v>254</v>
      </c>
      <c r="AN56" s="258"/>
      <c r="AO56" s="258"/>
      <c r="AP56" s="258"/>
      <c r="AQ56" s="258"/>
      <c r="AR56" s="258"/>
      <c r="AS56" s="258"/>
      <c r="AT56" s="258"/>
      <c r="AU56" s="258"/>
      <c r="AV56" s="263"/>
    </row>
    <row r="57" spans="1:48" s="153" customFormat="1" ht="15" customHeight="1">
      <c r="A57" s="148"/>
      <c r="B57" s="256"/>
      <c r="C57" s="176"/>
      <c r="E57" s="150" t="s">
        <v>463</v>
      </c>
      <c r="F57" s="151"/>
      <c r="G57" s="151"/>
      <c r="H57" s="151"/>
      <c r="I57" s="151"/>
      <c r="J57" s="178"/>
      <c r="K57" s="178"/>
      <c r="L57" s="178"/>
      <c r="M57" s="178"/>
      <c r="N57" s="178"/>
      <c r="O57" s="178"/>
      <c r="P57" s="178"/>
      <c r="Q57" s="178"/>
      <c r="R57" s="178"/>
      <c r="S57" s="178"/>
      <c r="T57" s="178"/>
      <c r="U57" s="178"/>
      <c r="V57" s="178"/>
      <c r="W57" s="178"/>
      <c r="X57" s="178"/>
      <c r="Y57" s="178"/>
      <c r="Z57" s="178"/>
      <c r="AA57" s="178"/>
      <c r="AB57" s="178"/>
      <c r="AC57" s="178"/>
      <c r="AD57" s="178"/>
      <c r="AE57" s="178"/>
      <c r="AF57" s="178"/>
      <c r="AG57" s="178"/>
      <c r="AH57" s="180"/>
      <c r="AI57" s="300"/>
      <c r="AJ57" s="258"/>
      <c r="AK57" s="258"/>
      <c r="AL57" s="258"/>
      <c r="AM57" s="258"/>
      <c r="AN57" s="258"/>
      <c r="AO57" s="258"/>
      <c r="AP57" s="258"/>
      <c r="AQ57" s="258"/>
      <c r="AR57" s="258"/>
      <c r="AS57" s="258" t="s">
        <v>254</v>
      </c>
      <c r="AT57" s="258"/>
      <c r="AU57" s="258"/>
      <c r="AV57" s="263"/>
    </row>
    <row r="58" spans="1:48" s="153" customFormat="1" ht="15" customHeight="1">
      <c r="A58" s="148"/>
      <c r="B58" s="256"/>
      <c r="C58" s="176"/>
      <c r="D58" s="203" t="s">
        <v>485</v>
      </c>
      <c r="E58" s="200"/>
      <c r="F58" s="149"/>
      <c r="G58" s="178"/>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c r="AH58" s="180"/>
      <c r="AI58" s="300"/>
      <c r="AJ58" s="258"/>
      <c r="AK58" s="258"/>
      <c r="AL58" s="258"/>
      <c r="AM58" s="258"/>
      <c r="AN58" s="258"/>
      <c r="AO58" s="258"/>
      <c r="AP58" s="258"/>
      <c r="AQ58" s="258"/>
      <c r="AR58" s="258"/>
      <c r="AS58" s="258"/>
      <c r="AT58" s="258"/>
      <c r="AU58" s="258"/>
      <c r="AV58" s="263"/>
    </row>
    <row r="59" spans="1:48" s="153" customFormat="1" ht="15" customHeight="1">
      <c r="A59" s="148"/>
      <c r="B59" s="256"/>
      <c r="C59" s="176"/>
      <c r="D59" s="200"/>
      <c r="E59" s="421" t="s">
        <v>495</v>
      </c>
      <c r="F59" s="149"/>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80"/>
      <c r="AI59" s="300" t="s">
        <v>254</v>
      </c>
      <c r="AJ59" s="258"/>
      <c r="AK59" s="258"/>
      <c r="AL59" s="258"/>
      <c r="AM59" s="258" t="s">
        <v>254</v>
      </c>
      <c r="AN59" s="258"/>
      <c r="AO59" s="258"/>
      <c r="AP59" s="258"/>
      <c r="AQ59" s="258"/>
      <c r="AR59" s="258"/>
      <c r="AS59" s="258" t="s">
        <v>254</v>
      </c>
      <c r="AT59" s="258"/>
      <c r="AU59" s="258"/>
      <c r="AV59" s="263"/>
    </row>
    <row r="60" spans="1:48" s="153" customFormat="1" ht="15" customHeight="1">
      <c r="A60" s="148"/>
      <c r="B60" s="256"/>
      <c r="C60" s="176"/>
      <c r="E60" s="150" t="s">
        <v>463</v>
      </c>
      <c r="F60" s="149"/>
      <c r="G60" s="149"/>
      <c r="H60" s="149"/>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80"/>
      <c r="AI60" s="300"/>
      <c r="AJ60" s="258"/>
      <c r="AK60" s="258" t="s">
        <v>254</v>
      </c>
      <c r="AL60" s="258"/>
      <c r="AM60" s="258"/>
      <c r="AN60" s="258"/>
      <c r="AO60" s="258"/>
      <c r="AP60" s="258"/>
      <c r="AQ60" s="258"/>
      <c r="AR60" s="258"/>
      <c r="AS60" s="258"/>
      <c r="AT60" s="258"/>
      <c r="AU60" s="258"/>
      <c r="AV60" s="263"/>
    </row>
    <row r="61" spans="1:48" s="153" customFormat="1" ht="15" customHeight="1">
      <c r="A61" s="148"/>
      <c r="B61" s="256"/>
      <c r="C61" s="176"/>
      <c r="D61" s="203" t="s">
        <v>492</v>
      </c>
      <c r="E61" s="200"/>
      <c r="F61" s="149"/>
      <c r="G61" s="178"/>
      <c r="H61" s="178"/>
      <c r="I61" s="178"/>
      <c r="J61" s="178"/>
      <c r="K61" s="178"/>
      <c r="L61" s="178"/>
      <c r="M61" s="178"/>
      <c r="N61" s="178"/>
      <c r="O61" s="178"/>
      <c r="P61" s="178"/>
      <c r="Q61" s="178"/>
      <c r="R61" s="178"/>
      <c r="S61" s="178"/>
      <c r="T61" s="178"/>
      <c r="U61" s="178"/>
      <c r="V61" s="178"/>
      <c r="W61" s="178"/>
      <c r="X61" s="178"/>
      <c r="Y61" s="178"/>
      <c r="Z61" s="178"/>
      <c r="AA61" s="178"/>
      <c r="AB61" s="178"/>
      <c r="AC61" s="178"/>
      <c r="AD61" s="178"/>
      <c r="AE61" s="178"/>
      <c r="AF61" s="178"/>
      <c r="AG61" s="178"/>
      <c r="AH61" s="180"/>
      <c r="AI61" s="300"/>
      <c r="AJ61" s="258"/>
      <c r="AK61" s="258"/>
      <c r="AL61" s="258"/>
      <c r="AM61" s="258"/>
      <c r="AN61" s="258"/>
      <c r="AO61" s="258"/>
      <c r="AP61" s="258"/>
      <c r="AQ61" s="258"/>
      <c r="AR61" s="258"/>
      <c r="AS61" s="258"/>
      <c r="AT61" s="258"/>
      <c r="AU61" s="258"/>
      <c r="AV61" s="263"/>
    </row>
    <row r="62" spans="1:48" s="153" customFormat="1" ht="15" customHeight="1">
      <c r="A62" s="148"/>
      <c r="B62" s="256"/>
      <c r="C62" s="176"/>
      <c r="D62" s="200"/>
      <c r="E62" s="150" t="s">
        <v>493</v>
      </c>
      <c r="F62" s="149"/>
      <c r="G62" s="149"/>
      <c r="H62" s="149"/>
      <c r="I62" s="149"/>
      <c r="J62" s="149"/>
      <c r="K62" s="178"/>
      <c r="L62" s="178"/>
      <c r="M62" s="178"/>
      <c r="N62" s="178"/>
      <c r="O62" s="178"/>
      <c r="P62" s="178"/>
      <c r="Q62" s="178"/>
      <c r="R62" s="178"/>
      <c r="S62" s="178"/>
      <c r="T62" s="178"/>
      <c r="U62" s="178"/>
      <c r="V62" s="178"/>
      <c r="W62" s="178"/>
      <c r="X62" s="178"/>
      <c r="Y62" s="178"/>
      <c r="Z62" s="178"/>
      <c r="AA62" s="178"/>
      <c r="AB62" s="178"/>
      <c r="AC62" s="178"/>
      <c r="AD62" s="178"/>
      <c r="AE62" s="178"/>
      <c r="AF62" s="178"/>
      <c r="AG62" s="178"/>
      <c r="AH62" s="180"/>
      <c r="AI62" s="300"/>
      <c r="AJ62" s="258"/>
      <c r="AK62" s="258"/>
      <c r="AL62" s="258"/>
      <c r="AM62" s="495" t="s">
        <v>254</v>
      </c>
      <c r="AN62" s="258"/>
      <c r="AO62" s="258"/>
      <c r="AP62" s="258"/>
      <c r="AQ62" s="258"/>
      <c r="AR62" s="258"/>
      <c r="AS62" s="258"/>
      <c r="AT62" s="258"/>
      <c r="AU62" s="258"/>
      <c r="AV62" s="263"/>
    </row>
    <row r="63" spans="1:48" s="153" customFormat="1" ht="15.75" customHeight="1">
      <c r="A63" s="148"/>
      <c r="B63" s="256"/>
      <c r="C63" s="176"/>
      <c r="D63" s="48" t="s">
        <v>548</v>
      </c>
      <c r="E63" s="151"/>
      <c r="F63" s="151"/>
      <c r="G63" s="178"/>
      <c r="H63" s="178"/>
      <c r="I63" s="178"/>
      <c r="J63" s="178"/>
      <c r="K63" s="178"/>
      <c r="L63" s="178"/>
      <c r="M63" s="178"/>
      <c r="N63" s="178"/>
      <c r="O63" s="178"/>
      <c r="P63" s="178"/>
      <c r="Q63" s="178"/>
      <c r="R63" s="178"/>
      <c r="S63" s="178"/>
      <c r="T63" s="178"/>
      <c r="U63" s="178"/>
      <c r="V63" s="178"/>
      <c r="W63" s="178"/>
      <c r="X63" s="178"/>
      <c r="Y63" s="178"/>
      <c r="Z63" s="178"/>
      <c r="AA63" s="178"/>
      <c r="AB63" s="178"/>
      <c r="AC63" s="178"/>
      <c r="AD63" s="178"/>
      <c r="AE63" s="178"/>
      <c r="AF63" s="178"/>
      <c r="AG63" s="178"/>
      <c r="AH63" s="180"/>
      <c r="AI63" s="301"/>
      <c r="AJ63" s="47"/>
      <c r="AK63" s="47"/>
      <c r="AL63" s="258"/>
      <c r="AM63" s="258"/>
      <c r="AN63" s="258"/>
      <c r="AO63" s="258" t="s">
        <v>254</v>
      </c>
      <c r="AP63" s="47"/>
      <c r="AQ63" s="258"/>
      <c r="AR63" s="47"/>
      <c r="AS63" s="258"/>
      <c r="AT63" s="258"/>
      <c r="AU63" s="258"/>
      <c r="AV63" s="263"/>
    </row>
    <row r="64" spans="1:48" s="153" customFormat="1" ht="15.75" customHeight="1">
      <c r="A64" s="148"/>
      <c r="B64" s="256"/>
      <c r="C64" s="176"/>
      <c r="D64" s="48" t="s">
        <v>527</v>
      </c>
      <c r="E64" s="151"/>
      <c r="F64" s="151"/>
      <c r="G64" s="178"/>
      <c r="H64" s="178"/>
      <c r="I64" s="178"/>
      <c r="J64" s="178"/>
      <c r="K64" s="178"/>
      <c r="L64" s="178"/>
      <c r="M64" s="178"/>
      <c r="N64" s="178"/>
      <c r="O64" s="178"/>
      <c r="P64" s="178"/>
      <c r="Q64" s="178"/>
      <c r="R64" s="178"/>
      <c r="S64" s="178"/>
      <c r="T64" s="178"/>
      <c r="U64" s="178"/>
      <c r="V64" s="178"/>
      <c r="W64" s="178"/>
      <c r="X64" s="178"/>
      <c r="Y64" s="178"/>
      <c r="Z64" s="178"/>
      <c r="AA64" s="178"/>
      <c r="AB64" s="178"/>
      <c r="AC64" s="178"/>
      <c r="AD64" s="178"/>
      <c r="AE64" s="178"/>
      <c r="AF64" s="178"/>
      <c r="AG64" s="178"/>
      <c r="AH64" s="180"/>
      <c r="AI64" s="301"/>
      <c r="AJ64" s="47"/>
      <c r="AK64" s="47"/>
      <c r="AL64" s="258" t="s">
        <v>254</v>
      </c>
      <c r="AM64" s="258"/>
      <c r="AN64" s="258" t="s">
        <v>254</v>
      </c>
      <c r="AO64" s="258"/>
      <c r="AP64" s="47"/>
      <c r="AQ64" s="258"/>
      <c r="AR64" s="47"/>
      <c r="AS64" s="258"/>
      <c r="AT64" s="258"/>
      <c r="AU64" s="258"/>
      <c r="AV64" s="263"/>
    </row>
    <row r="65" spans="1:48" s="153" customFormat="1" ht="15.75" customHeight="1">
      <c r="A65" s="148"/>
      <c r="B65" s="256"/>
      <c r="C65" s="176"/>
      <c r="D65" s="48" t="s">
        <v>393</v>
      </c>
      <c r="E65" s="151"/>
      <c r="F65" s="151"/>
      <c r="G65" s="178"/>
      <c r="H65" s="178"/>
      <c r="I65" s="178"/>
      <c r="J65" s="178"/>
      <c r="K65" s="178"/>
      <c r="L65" s="178"/>
      <c r="M65" s="178"/>
      <c r="N65" s="178"/>
      <c r="O65" s="178"/>
      <c r="P65" s="178"/>
      <c r="Q65" s="178"/>
      <c r="R65" s="178"/>
      <c r="S65" s="178"/>
      <c r="T65" s="178"/>
      <c r="U65" s="178"/>
      <c r="V65" s="178"/>
      <c r="W65" s="178"/>
      <c r="X65" s="178"/>
      <c r="Y65" s="178"/>
      <c r="Z65" s="178"/>
      <c r="AA65" s="178"/>
      <c r="AB65" s="178"/>
      <c r="AC65" s="178"/>
      <c r="AD65" s="178"/>
      <c r="AE65" s="178"/>
      <c r="AF65" s="178"/>
      <c r="AG65" s="178"/>
      <c r="AH65" s="180"/>
      <c r="AI65" s="301"/>
      <c r="AJ65" s="47"/>
      <c r="AK65" s="47"/>
      <c r="AL65" s="258"/>
      <c r="AM65" s="258" t="s">
        <v>254</v>
      </c>
      <c r="AN65" s="258"/>
      <c r="AO65" s="258"/>
      <c r="AP65" s="47"/>
      <c r="AQ65" s="258"/>
      <c r="AR65" s="47"/>
      <c r="AS65" s="258"/>
      <c r="AT65" s="258"/>
      <c r="AU65" s="258"/>
      <c r="AV65" s="263"/>
    </row>
    <row r="66" spans="1:48" s="153" customFormat="1" ht="15" customHeight="1">
      <c r="A66" s="148"/>
      <c r="B66" s="176"/>
      <c r="C66" s="49" t="s">
        <v>88</v>
      </c>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213"/>
      <c r="AI66" s="301"/>
      <c r="AJ66" s="47"/>
      <c r="AK66" s="260"/>
      <c r="AL66" s="260"/>
      <c r="AM66" s="260"/>
      <c r="AN66" s="260"/>
      <c r="AO66" s="260"/>
      <c r="AP66" s="260"/>
      <c r="AQ66" s="260"/>
      <c r="AR66" s="260"/>
      <c r="AS66" s="260"/>
      <c r="AT66" s="260"/>
      <c r="AU66" s="260"/>
      <c r="AV66" s="263"/>
    </row>
    <row r="67" spans="1:48" s="153" customFormat="1" ht="15" customHeight="1">
      <c r="A67" s="148"/>
      <c r="B67" s="199"/>
      <c r="C67" s="176"/>
      <c r="D67" s="200" t="s">
        <v>86</v>
      </c>
      <c r="E67" s="201"/>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213"/>
      <c r="AI67" s="301"/>
      <c r="AJ67" s="47"/>
      <c r="AK67" s="260"/>
      <c r="AL67" s="260"/>
      <c r="AM67" s="260"/>
      <c r="AN67" s="260"/>
      <c r="AO67" s="260"/>
      <c r="AP67" s="260"/>
      <c r="AQ67" s="260"/>
      <c r="AR67" s="260"/>
      <c r="AS67" s="260"/>
      <c r="AT67" s="260"/>
      <c r="AU67" s="260"/>
      <c r="AV67" s="263"/>
    </row>
    <row r="68" spans="1:48" s="153" customFormat="1" ht="15" customHeight="1">
      <c r="A68" s="148"/>
      <c r="B68" s="199"/>
      <c r="C68" s="176"/>
      <c r="D68" s="200"/>
      <c r="E68" s="201" t="s">
        <v>87</v>
      </c>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213"/>
      <c r="AI68" s="300"/>
      <c r="AJ68" s="258" t="s">
        <v>254</v>
      </c>
      <c r="AK68" s="258"/>
      <c r="AL68" s="258" t="s">
        <v>254</v>
      </c>
      <c r="AM68" s="258"/>
      <c r="AN68" s="258" t="s">
        <v>254</v>
      </c>
      <c r="AO68" s="258"/>
      <c r="AP68" s="258" t="s">
        <v>254</v>
      </c>
      <c r="AQ68" s="258"/>
      <c r="AR68" s="258" t="s">
        <v>254</v>
      </c>
      <c r="AS68" s="258"/>
      <c r="AT68" s="258"/>
      <c r="AU68" s="258"/>
      <c r="AV68" s="263"/>
    </row>
    <row r="69" spans="1:48" s="153" customFormat="1" ht="15" customHeight="1">
      <c r="A69" s="148"/>
      <c r="B69" s="199"/>
      <c r="C69" s="176"/>
      <c r="D69" s="200"/>
      <c r="E69" s="201" t="s">
        <v>500</v>
      </c>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c r="AD69" s="149"/>
      <c r="AE69" s="149"/>
      <c r="AF69" s="149"/>
      <c r="AG69" s="149"/>
      <c r="AH69" s="213"/>
      <c r="AI69" s="300"/>
      <c r="AJ69" s="258"/>
      <c r="AK69" s="258"/>
      <c r="AL69" s="258"/>
      <c r="AM69" s="258"/>
      <c r="AN69" s="258"/>
      <c r="AO69" s="258"/>
      <c r="AP69" s="258"/>
      <c r="AQ69" s="258"/>
      <c r="AR69" s="258"/>
      <c r="AS69" s="258"/>
      <c r="AT69" s="258"/>
      <c r="AU69" s="258"/>
      <c r="AV69" s="263"/>
    </row>
    <row r="70" spans="1:48" s="153" customFormat="1" ht="15" customHeight="1">
      <c r="A70" s="148"/>
      <c r="B70" s="256"/>
      <c r="C70" s="176"/>
      <c r="D70" s="203" t="s">
        <v>307</v>
      </c>
      <c r="E70" s="149"/>
      <c r="F70" s="178"/>
      <c r="H70" s="178"/>
      <c r="I70" s="178"/>
      <c r="J70" s="178"/>
      <c r="K70" s="178"/>
      <c r="L70" s="178"/>
      <c r="M70" s="178"/>
      <c r="N70" s="178"/>
      <c r="O70" s="178"/>
      <c r="P70" s="178"/>
      <c r="Q70" s="178"/>
      <c r="R70" s="178"/>
      <c r="S70" s="178"/>
      <c r="T70" s="178"/>
      <c r="U70" s="178"/>
      <c r="V70" s="178"/>
      <c r="W70" s="178"/>
      <c r="X70" s="178"/>
      <c r="Y70" s="178"/>
      <c r="Z70" s="178"/>
      <c r="AA70" s="178"/>
      <c r="AB70" s="178"/>
      <c r="AC70" s="178"/>
      <c r="AD70" s="178"/>
      <c r="AE70" s="178"/>
      <c r="AF70" s="178"/>
      <c r="AG70" s="178"/>
      <c r="AH70" s="180"/>
      <c r="AI70" s="300"/>
      <c r="AJ70" s="258"/>
      <c r="AK70" s="258"/>
      <c r="AL70" s="258"/>
      <c r="AM70" s="258"/>
      <c r="AN70" s="258"/>
      <c r="AO70" s="258"/>
      <c r="AP70" s="258"/>
      <c r="AQ70" s="258"/>
      <c r="AR70" s="258"/>
      <c r="AS70" s="258"/>
      <c r="AT70" s="258"/>
      <c r="AU70" s="258"/>
      <c r="AV70" s="263"/>
    </row>
    <row r="71" spans="1:48" s="153" customFormat="1" ht="15" customHeight="1">
      <c r="A71" s="148"/>
      <c r="B71" s="256"/>
      <c r="C71" s="176"/>
      <c r="D71" s="200"/>
      <c r="E71" s="201" t="s">
        <v>554</v>
      </c>
      <c r="F71" s="149"/>
      <c r="G71" s="151"/>
      <c r="H71" s="149"/>
      <c r="I71" s="149"/>
      <c r="J71" s="149"/>
      <c r="K71" s="178"/>
      <c r="L71" s="178"/>
      <c r="M71" s="178"/>
      <c r="N71" s="178"/>
      <c r="O71" s="178"/>
      <c r="P71" s="178"/>
      <c r="Q71" s="178"/>
      <c r="R71" s="178"/>
      <c r="S71" s="178"/>
      <c r="T71" s="178"/>
      <c r="U71" s="178"/>
      <c r="V71" s="178"/>
      <c r="W71" s="178"/>
      <c r="X71" s="178"/>
      <c r="Y71" s="178"/>
      <c r="Z71" s="178"/>
      <c r="AA71" s="178"/>
      <c r="AB71" s="178"/>
      <c r="AC71" s="178"/>
      <c r="AD71" s="178"/>
      <c r="AE71" s="178"/>
      <c r="AF71" s="178"/>
      <c r="AG71" s="178"/>
      <c r="AH71" s="180"/>
      <c r="AI71" s="300"/>
      <c r="AJ71" s="258" t="s">
        <v>254</v>
      </c>
      <c r="AK71" s="258"/>
      <c r="AL71" s="258" t="s">
        <v>254</v>
      </c>
      <c r="AM71" s="258"/>
      <c r="AN71" s="258" t="s">
        <v>254</v>
      </c>
      <c r="AO71" s="258"/>
      <c r="AP71" s="258"/>
      <c r="AQ71" s="258"/>
      <c r="AR71" s="258" t="s">
        <v>254</v>
      </c>
      <c r="AS71" s="258"/>
      <c r="AT71" s="258"/>
      <c r="AU71" s="258"/>
      <c r="AV71" s="263"/>
    </row>
    <row r="72" spans="1:48" s="153" customFormat="1" ht="15" customHeight="1">
      <c r="A72" s="148"/>
      <c r="B72" s="256"/>
      <c r="C72" s="176"/>
      <c r="D72" s="203" t="s">
        <v>183</v>
      </c>
      <c r="E72" s="149"/>
      <c r="F72" s="149"/>
      <c r="G72" s="149"/>
      <c r="H72" s="178"/>
      <c r="I72" s="178"/>
      <c r="J72" s="178"/>
      <c r="K72" s="178"/>
      <c r="L72" s="178"/>
      <c r="M72" s="178"/>
      <c r="N72" s="178"/>
      <c r="O72" s="178"/>
      <c r="P72" s="178"/>
      <c r="Q72" s="178"/>
      <c r="R72" s="178"/>
      <c r="S72" s="178"/>
      <c r="T72" s="178"/>
      <c r="U72" s="178"/>
      <c r="V72" s="178"/>
      <c r="W72" s="178"/>
      <c r="X72" s="178"/>
      <c r="Y72" s="178"/>
      <c r="Z72" s="178"/>
      <c r="AA72" s="178"/>
      <c r="AB72" s="178"/>
      <c r="AC72" s="178"/>
      <c r="AD72" s="178"/>
      <c r="AE72" s="178"/>
      <c r="AF72" s="178"/>
      <c r="AG72" s="178"/>
      <c r="AH72" s="180"/>
      <c r="AI72" s="300"/>
      <c r="AJ72" s="258"/>
      <c r="AK72" s="258"/>
      <c r="AL72" s="258"/>
      <c r="AM72" s="258"/>
      <c r="AN72" s="258"/>
      <c r="AO72" s="258"/>
      <c r="AP72" s="258"/>
      <c r="AQ72" s="258"/>
      <c r="AR72" s="258"/>
      <c r="AS72" s="258"/>
      <c r="AT72" s="258"/>
      <c r="AU72" s="258"/>
      <c r="AV72" s="263"/>
    </row>
    <row r="73" spans="1:48" s="153" customFormat="1" ht="15" customHeight="1">
      <c r="A73" s="148"/>
      <c r="B73" s="256"/>
      <c r="C73" s="176"/>
      <c r="D73" s="200"/>
      <c r="E73" s="201" t="s">
        <v>462</v>
      </c>
      <c r="F73" s="149"/>
      <c r="G73" s="149"/>
      <c r="H73" s="178"/>
      <c r="I73" s="178"/>
      <c r="J73" s="178"/>
      <c r="K73" s="178"/>
      <c r="L73" s="178"/>
      <c r="M73" s="178"/>
      <c r="N73" s="178"/>
      <c r="O73" s="178"/>
      <c r="P73" s="178"/>
      <c r="Q73" s="178"/>
      <c r="R73" s="178"/>
      <c r="S73" s="178"/>
      <c r="T73" s="178"/>
      <c r="U73" s="178"/>
      <c r="V73" s="178"/>
      <c r="W73" s="178"/>
      <c r="X73" s="178"/>
      <c r="Y73" s="178"/>
      <c r="Z73" s="178"/>
      <c r="AA73" s="178"/>
      <c r="AB73" s="178"/>
      <c r="AC73" s="178"/>
      <c r="AD73" s="178"/>
      <c r="AE73" s="178"/>
      <c r="AF73" s="178"/>
      <c r="AG73" s="178"/>
      <c r="AH73" s="180"/>
      <c r="AI73" s="300"/>
      <c r="AJ73" s="258" t="s">
        <v>254</v>
      </c>
      <c r="AK73" s="258"/>
      <c r="AL73" s="258" t="s">
        <v>254</v>
      </c>
      <c r="AM73" s="258"/>
      <c r="AN73" s="258" t="s">
        <v>254</v>
      </c>
      <c r="AO73" s="258"/>
      <c r="AP73" s="258"/>
      <c r="AQ73" s="258"/>
      <c r="AR73" s="258"/>
      <c r="AS73" s="258"/>
      <c r="AT73" s="258"/>
      <c r="AU73" s="258"/>
      <c r="AV73" s="263"/>
    </row>
    <row r="74" spans="1:48" s="153" customFormat="1" ht="15" customHeight="1">
      <c r="A74" s="148"/>
      <c r="B74" s="256"/>
      <c r="C74" s="176"/>
      <c r="D74" s="200"/>
      <c r="E74" s="150" t="s">
        <v>463</v>
      </c>
      <c r="F74" s="149"/>
      <c r="G74" s="149"/>
      <c r="H74" s="178"/>
      <c r="I74" s="178"/>
      <c r="J74" s="178"/>
      <c r="K74" s="178"/>
      <c r="L74" s="178"/>
      <c r="M74" s="178"/>
      <c r="N74" s="178"/>
      <c r="O74" s="178"/>
      <c r="P74" s="178"/>
      <c r="Q74" s="178"/>
      <c r="R74" s="178"/>
      <c r="S74" s="178"/>
      <c r="T74" s="178"/>
      <c r="U74" s="178"/>
      <c r="V74" s="178"/>
      <c r="W74" s="178"/>
      <c r="X74" s="178"/>
      <c r="Y74" s="178"/>
      <c r="Z74" s="178"/>
      <c r="AA74" s="178"/>
      <c r="AB74" s="178"/>
      <c r="AC74" s="178"/>
      <c r="AD74" s="178"/>
      <c r="AE74" s="178"/>
      <c r="AF74" s="178"/>
      <c r="AG74" s="178"/>
      <c r="AH74" s="180"/>
      <c r="AI74" s="300"/>
      <c r="AJ74" s="258"/>
      <c r="AK74" s="258"/>
      <c r="AL74" s="258"/>
      <c r="AM74" s="258"/>
      <c r="AN74" s="258"/>
      <c r="AO74" s="258"/>
      <c r="AP74" s="258"/>
      <c r="AQ74" s="258"/>
      <c r="AR74" s="258" t="s">
        <v>254</v>
      </c>
      <c r="AS74" s="258"/>
      <c r="AT74" s="258"/>
      <c r="AU74" s="258"/>
      <c r="AV74" s="263"/>
    </row>
    <row r="75" spans="1:48" s="153" customFormat="1" ht="15" customHeight="1">
      <c r="A75" s="148"/>
      <c r="B75" s="256"/>
      <c r="C75" s="176"/>
      <c r="D75" s="203" t="s">
        <v>186</v>
      </c>
      <c r="E75" s="48"/>
      <c r="F75" s="149"/>
      <c r="G75" s="149"/>
      <c r="H75" s="178"/>
      <c r="I75" s="178"/>
      <c r="J75" s="178"/>
      <c r="K75" s="178"/>
      <c r="L75" s="178"/>
      <c r="M75" s="178"/>
      <c r="N75" s="178"/>
      <c r="O75" s="178"/>
      <c r="P75" s="178"/>
      <c r="Q75" s="178"/>
      <c r="R75" s="178"/>
      <c r="S75" s="178"/>
      <c r="T75" s="178"/>
      <c r="U75" s="178"/>
      <c r="V75" s="178"/>
      <c r="W75" s="178"/>
      <c r="X75" s="178"/>
      <c r="Y75" s="178"/>
      <c r="Z75" s="178"/>
      <c r="AA75" s="178"/>
      <c r="AB75" s="178"/>
      <c r="AC75" s="178"/>
      <c r="AD75" s="178"/>
      <c r="AE75" s="178"/>
      <c r="AF75" s="178"/>
      <c r="AG75" s="178"/>
      <c r="AH75" s="180"/>
      <c r="AI75" s="300"/>
      <c r="AJ75" s="258"/>
      <c r="AK75" s="258"/>
      <c r="AL75" s="258"/>
      <c r="AM75" s="258"/>
      <c r="AN75" s="258"/>
      <c r="AO75" s="258"/>
      <c r="AP75" s="258"/>
      <c r="AQ75" s="258"/>
      <c r="AR75" s="258"/>
      <c r="AS75" s="258"/>
      <c r="AT75" s="258"/>
      <c r="AU75" s="258"/>
      <c r="AV75" s="263"/>
    </row>
    <row r="76" spans="1:48" s="153" customFormat="1" ht="15" customHeight="1">
      <c r="A76" s="148"/>
      <c r="B76" s="256"/>
      <c r="C76" s="176"/>
      <c r="D76" s="204"/>
      <c r="E76" s="201" t="s">
        <v>462</v>
      </c>
      <c r="F76" s="149"/>
      <c r="G76" s="149"/>
      <c r="H76" s="178"/>
      <c r="I76" s="178"/>
      <c r="J76" s="178"/>
      <c r="K76" s="178"/>
      <c r="L76" s="178"/>
      <c r="M76" s="178"/>
      <c r="N76" s="178"/>
      <c r="O76" s="178"/>
      <c r="P76" s="178"/>
      <c r="Q76" s="178"/>
      <c r="R76" s="178"/>
      <c r="S76" s="178"/>
      <c r="T76" s="178"/>
      <c r="U76" s="178"/>
      <c r="V76" s="178"/>
      <c r="W76" s="178"/>
      <c r="X76" s="178"/>
      <c r="Y76" s="178"/>
      <c r="Z76" s="178"/>
      <c r="AA76" s="178"/>
      <c r="AB76" s="178"/>
      <c r="AC76" s="178"/>
      <c r="AD76" s="178"/>
      <c r="AE76" s="178"/>
      <c r="AF76" s="178"/>
      <c r="AG76" s="178"/>
      <c r="AH76" s="180"/>
      <c r="AI76" s="300"/>
      <c r="AJ76" s="258" t="s">
        <v>254</v>
      </c>
      <c r="AK76" s="258"/>
      <c r="AL76" s="258" t="s">
        <v>254</v>
      </c>
      <c r="AM76" s="258"/>
      <c r="AN76" s="258" t="s">
        <v>254</v>
      </c>
      <c r="AO76" s="258"/>
      <c r="AP76" s="258"/>
      <c r="AQ76" s="258"/>
      <c r="AR76" s="258"/>
      <c r="AS76" s="258"/>
      <c r="AT76" s="258"/>
      <c r="AU76" s="258"/>
      <c r="AV76" s="263"/>
    </row>
    <row r="77" spans="1:48" s="153" customFormat="1" ht="15" customHeight="1">
      <c r="A77" s="148"/>
      <c r="B77" s="256"/>
      <c r="C77" s="176"/>
      <c r="D77" s="420"/>
      <c r="E77" s="150" t="s">
        <v>463</v>
      </c>
      <c r="F77" s="149"/>
      <c r="G77" s="149"/>
      <c r="H77" s="178"/>
      <c r="I77" s="178"/>
      <c r="J77" s="178"/>
      <c r="K77" s="178"/>
      <c r="L77" s="178"/>
      <c r="M77" s="178"/>
      <c r="N77" s="178"/>
      <c r="O77" s="178"/>
      <c r="P77" s="178"/>
      <c r="Q77" s="178"/>
      <c r="R77" s="178"/>
      <c r="S77" s="178"/>
      <c r="T77" s="178"/>
      <c r="U77" s="178"/>
      <c r="V77" s="178"/>
      <c r="W77" s="178"/>
      <c r="X77" s="178"/>
      <c r="Y77" s="178"/>
      <c r="Z77" s="178"/>
      <c r="AA77" s="178"/>
      <c r="AB77" s="178"/>
      <c r="AC77" s="178"/>
      <c r="AD77" s="178"/>
      <c r="AE77" s="178"/>
      <c r="AF77" s="178"/>
      <c r="AG77" s="178"/>
      <c r="AH77" s="180"/>
      <c r="AI77" s="300"/>
      <c r="AJ77" s="258"/>
      <c r="AK77" s="258"/>
      <c r="AL77" s="258"/>
      <c r="AM77" s="258"/>
      <c r="AN77" s="258"/>
      <c r="AO77" s="258"/>
      <c r="AP77" s="258"/>
      <c r="AQ77" s="258"/>
      <c r="AR77" s="258" t="s">
        <v>254</v>
      </c>
      <c r="AS77" s="258"/>
      <c r="AT77" s="258"/>
      <c r="AU77" s="258"/>
      <c r="AV77" s="263"/>
    </row>
    <row r="78" spans="1:48" s="153" customFormat="1" ht="15" customHeight="1">
      <c r="A78" s="148"/>
      <c r="B78" s="256"/>
      <c r="C78" s="176"/>
      <c r="D78" s="203" t="s">
        <v>494</v>
      </c>
      <c r="E78" s="200"/>
      <c r="F78" s="149"/>
      <c r="G78" s="178"/>
      <c r="H78" s="178"/>
      <c r="I78" s="178"/>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80"/>
      <c r="AI78" s="300"/>
      <c r="AJ78" s="258"/>
      <c r="AK78" s="258"/>
      <c r="AL78" s="258"/>
      <c r="AM78" s="258"/>
      <c r="AN78" s="258"/>
      <c r="AO78" s="258"/>
      <c r="AP78" s="258"/>
      <c r="AQ78" s="258"/>
      <c r="AR78" s="258"/>
      <c r="AS78" s="258"/>
      <c r="AT78" s="258"/>
      <c r="AU78" s="258"/>
      <c r="AV78" s="263"/>
    </row>
    <row r="79" spans="1:48" s="153" customFormat="1" ht="15" customHeight="1">
      <c r="A79" s="148"/>
      <c r="B79" s="256"/>
      <c r="C79" s="176"/>
      <c r="D79" s="200"/>
      <c r="E79" s="421" t="s">
        <v>495</v>
      </c>
      <c r="F79" s="178"/>
      <c r="G79" s="178"/>
      <c r="H79" s="178"/>
      <c r="I79" s="178"/>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80"/>
      <c r="AI79" s="300"/>
      <c r="AJ79" s="258"/>
      <c r="AK79" s="258"/>
      <c r="AL79" s="258" t="s">
        <v>254</v>
      </c>
      <c r="AM79" s="258"/>
      <c r="AN79" s="258" t="s">
        <v>254</v>
      </c>
      <c r="AO79" s="258"/>
      <c r="AP79" s="258"/>
      <c r="AQ79" s="258"/>
      <c r="AR79" s="258" t="s">
        <v>254</v>
      </c>
      <c r="AS79" s="258"/>
      <c r="AT79" s="258"/>
      <c r="AU79" s="258"/>
      <c r="AV79" s="263"/>
    </row>
    <row r="80" spans="1:48" s="153" customFormat="1" ht="15" customHeight="1">
      <c r="A80" s="148"/>
      <c r="B80" s="256"/>
      <c r="C80" s="176"/>
      <c r="E80" s="435" t="s">
        <v>496</v>
      </c>
      <c r="F80" s="149"/>
      <c r="G80" s="178"/>
      <c r="H80" s="178"/>
      <c r="I80" s="178"/>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80"/>
      <c r="AI80" s="300"/>
      <c r="AJ80" s="258" t="s">
        <v>254</v>
      </c>
      <c r="AK80" s="258"/>
      <c r="AL80" s="258"/>
      <c r="AM80" s="258"/>
      <c r="AN80" s="258"/>
      <c r="AO80" s="258"/>
      <c r="AP80" s="258"/>
      <c r="AQ80" s="258"/>
      <c r="AR80" s="258"/>
      <c r="AS80" s="258"/>
      <c r="AT80" s="258"/>
      <c r="AU80" s="258"/>
      <c r="AV80" s="263"/>
    </row>
    <row r="81" spans="1:48" s="153" customFormat="1" ht="15" customHeight="1">
      <c r="A81" s="148"/>
      <c r="B81" s="256"/>
      <c r="C81" s="176"/>
      <c r="D81" s="203" t="s">
        <v>464</v>
      </c>
      <c r="E81" s="200"/>
      <c r="F81" s="149"/>
      <c r="G81" s="178"/>
      <c r="H81" s="178"/>
      <c r="I81" s="178"/>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80"/>
      <c r="AI81" s="300"/>
      <c r="AJ81" s="258"/>
      <c r="AK81" s="258"/>
      <c r="AL81" s="258"/>
      <c r="AM81" s="258"/>
      <c r="AN81" s="258"/>
      <c r="AO81" s="258"/>
      <c r="AP81" s="258"/>
      <c r="AQ81" s="258"/>
      <c r="AR81" s="258"/>
      <c r="AS81" s="258"/>
      <c r="AT81" s="258"/>
      <c r="AU81" s="258"/>
      <c r="AV81" s="263"/>
    </row>
    <row r="82" spans="1:48" s="153" customFormat="1" ht="15" customHeight="1">
      <c r="A82" s="148"/>
      <c r="B82" s="256"/>
      <c r="C82" s="176"/>
      <c r="D82" s="200"/>
      <c r="E82" s="49" t="s">
        <v>501</v>
      </c>
      <c r="F82" s="151"/>
      <c r="G82" s="151"/>
      <c r="H82" s="151"/>
      <c r="I82" s="178"/>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80"/>
      <c r="AI82" s="300"/>
      <c r="AJ82" s="258"/>
      <c r="AK82" s="258"/>
      <c r="AL82" s="258"/>
      <c r="AM82" s="258"/>
      <c r="AN82" s="258"/>
      <c r="AO82" s="258"/>
      <c r="AP82" s="258"/>
      <c r="AQ82" s="258"/>
      <c r="AR82" s="258" t="s">
        <v>254</v>
      </c>
      <c r="AS82" s="258"/>
      <c r="AT82" s="258"/>
      <c r="AU82" s="258"/>
      <c r="AV82" s="263"/>
    </row>
    <row r="83" spans="1:48" s="153" customFormat="1" ht="15" customHeight="1">
      <c r="A83" s="148"/>
      <c r="B83" s="256"/>
      <c r="C83" s="176"/>
      <c r="E83" s="49" t="s">
        <v>502</v>
      </c>
      <c r="F83" s="151"/>
      <c r="G83" s="151"/>
      <c r="H83" s="151"/>
      <c r="I83" s="178"/>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80"/>
      <c r="AI83" s="300"/>
      <c r="AJ83" s="258" t="s">
        <v>254</v>
      </c>
      <c r="AK83" s="258"/>
      <c r="AL83" s="258"/>
      <c r="AM83" s="258"/>
      <c r="AN83" s="258"/>
      <c r="AO83" s="258"/>
      <c r="AP83" s="258"/>
      <c r="AQ83" s="258"/>
      <c r="AR83" s="258"/>
      <c r="AS83" s="258"/>
      <c r="AT83" s="258"/>
      <c r="AU83" s="258"/>
      <c r="AV83" s="263"/>
    </row>
    <row r="84" spans="1:48" s="153" customFormat="1" ht="15" customHeight="1">
      <c r="A84" s="148"/>
      <c r="B84" s="256"/>
      <c r="C84" s="176"/>
      <c r="D84" s="204"/>
      <c r="E84" s="49" t="s">
        <v>503</v>
      </c>
      <c r="F84" s="151"/>
      <c r="G84" s="151"/>
      <c r="H84" s="151"/>
      <c r="I84" s="178"/>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80"/>
      <c r="AI84" s="300"/>
      <c r="AJ84" s="258"/>
      <c r="AK84" s="258"/>
      <c r="AL84" s="258"/>
      <c r="AM84" s="258"/>
      <c r="AN84" s="258"/>
      <c r="AO84" s="258"/>
      <c r="AP84" s="258"/>
      <c r="AQ84" s="258"/>
      <c r="AR84" s="258"/>
      <c r="AS84" s="258"/>
      <c r="AT84" s="258"/>
      <c r="AU84" s="258"/>
      <c r="AV84" s="263"/>
    </row>
    <row r="85" spans="1:48" s="153" customFormat="1" ht="15" customHeight="1">
      <c r="A85" s="148"/>
      <c r="B85" s="256"/>
      <c r="C85" s="176"/>
      <c r="D85" s="204"/>
      <c r="E85" s="49" t="s">
        <v>504</v>
      </c>
      <c r="F85" s="151"/>
      <c r="G85" s="151"/>
      <c r="H85" s="151"/>
      <c r="I85" s="178"/>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80"/>
      <c r="AI85" s="300"/>
      <c r="AJ85" s="258"/>
      <c r="AK85" s="258"/>
      <c r="AL85" s="258" t="s">
        <v>254</v>
      </c>
      <c r="AM85" s="258"/>
      <c r="AN85" s="258"/>
      <c r="AO85" s="258"/>
      <c r="AP85" s="258"/>
      <c r="AQ85" s="258"/>
      <c r="AR85" s="258"/>
      <c r="AS85" s="258"/>
      <c r="AT85" s="258"/>
      <c r="AU85" s="258"/>
      <c r="AV85" s="263"/>
    </row>
    <row r="86" spans="1:48" s="153" customFormat="1" ht="15" customHeight="1">
      <c r="A86" s="148"/>
      <c r="B86" s="256"/>
      <c r="C86" s="176"/>
      <c r="D86" s="204"/>
      <c r="E86" s="49" t="s">
        <v>472</v>
      </c>
      <c r="F86" s="151"/>
      <c r="G86" s="151"/>
      <c r="H86" s="151"/>
      <c r="I86" s="178"/>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80"/>
      <c r="AI86" s="300"/>
      <c r="AJ86" s="258"/>
      <c r="AK86" s="258"/>
      <c r="AL86" s="258"/>
      <c r="AM86" s="258"/>
      <c r="AN86" s="258" t="s">
        <v>254</v>
      </c>
      <c r="AO86" s="258"/>
      <c r="AP86" s="258"/>
      <c r="AQ86" s="258"/>
      <c r="AR86" s="258"/>
      <c r="AS86" s="258"/>
      <c r="AT86" s="258"/>
      <c r="AU86" s="258"/>
      <c r="AV86" s="263"/>
    </row>
    <row r="87" spans="1:48" s="153" customFormat="1" ht="15" customHeight="1">
      <c r="A87" s="148"/>
      <c r="B87" s="256"/>
      <c r="C87" s="176"/>
      <c r="D87" s="202"/>
      <c r="E87" s="150" t="s">
        <v>463</v>
      </c>
      <c r="F87" s="151"/>
      <c r="G87" s="151"/>
      <c r="H87" s="151"/>
      <c r="I87" s="178"/>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80"/>
      <c r="AI87" s="300"/>
      <c r="AJ87" s="258"/>
      <c r="AK87" s="258"/>
      <c r="AL87" s="258"/>
      <c r="AM87" s="258"/>
      <c r="AN87" s="258"/>
      <c r="AO87" s="258"/>
      <c r="AP87" s="258"/>
      <c r="AQ87" s="258"/>
      <c r="AR87" s="258"/>
      <c r="AS87" s="258"/>
      <c r="AT87" s="258"/>
      <c r="AU87" s="258"/>
      <c r="AV87" s="263"/>
    </row>
    <row r="88" spans="1:48" s="153" customFormat="1" ht="15" customHeight="1">
      <c r="A88" s="148"/>
      <c r="B88" s="256"/>
      <c r="C88" s="176"/>
      <c r="D88" s="203" t="s">
        <v>485</v>
      </c>
      <c r="E88" s="200"/>
      <c r="F88" s="149"/>
      <c r="G88" s="178"/>
      <c r="H88" s="178"/>
      <c r="I88" s="178"/>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80"/>
      <c r="AI88" s="300"/>
      <c r="AJ88" s="258"/>
      <c r="AK88" s="258"/>
      <c r="AL88" s="258"/>
      <c r="AM88" s="258"/>
      <c r="AN88" s="258"/>
      <c r="AO88" s="258"/>
      <c r="AP88" s="258"/>
      <c r="AQ88" s="258"/>
      <c r="AR88" s="258"/>
      <c r="AS88" s="258"/>
      <c r="AT88" s="258"/>
      <c r="AU88" s="258"/>
      <c r="AV88" s="263"/>
    </row>
    <row r="89" spans="1:48" s="153" customFormat="1" ht="15" customHeight="1">
      <c r="A89" s="148"/>
      <c r="B89" s="256"/>
      <c r="C89" s="176"/>
      <c r="D89" s="200"/>
      <c r="E89" s="421" t="s">
        <v>495</v>
      </c>
      <c r="F89" s="149"/>
      <c r="G89" s="178"/>
      <c r="H89" s="178"/>
      <c r="I89" s="178"/>
      <c r="J89" s="178"/>
      <c r="K89" s="178"/>
      <c r="L89" s="178"/>
      <c r="M89" s="178"/>
      <c r="N89" s="178"/>
      <c r="O89" s="178"/>
      <c r="P89" s="178"/>
      <c r="Q89" s="178"/>
      <c r="R89" s="178"/>
      <c r="S89" s="178"/>
      <c r="T89" s="178"/>
      <c r="U89" s="178"/>
      <c r="V89" s="178"/>
      <c r="W89" s="178"/>
      <c r="X89" s="178"/>
      <c r="Y89" s="178"/>
      <c r="Z89" s="178"/>
      <c r="AA89" s="178"/>
      <c r="AB89" s="178"/>
      <c r="AC89" s="178"/>
      <c r="AD89" s="178"/>
      <c r="AE89" s="178"/>
      <c r="AF89" s="178"/>
      <c r="AG89" s="178"/>
      <c r="AH89" s="180"/>
      <c r="AI89" s="300"/>
      <c r="AJ89" s="258"/>
      <c r="AK89" s="258"/>
      <c r="AL89" s="258" t="s">
        <v>254</v>
      </c>
      <c r="AM89" s="258"/>
      <c r="AN89" s="258" t="s">
        <v>254</v>
      </c>
      <c r="AO89" s="258"/>
      <c r="AP89" s="258"/>
      <c r="AQ89" s="258"/>
      <c r="AR89" s="258" t="s">
        <v>254</v>
      </c>
      <c r="AS89" s="258"/>
      <c r="AT89" s="258"/>
      <c r="AU89" s="258"/>
      <c r="AV89" s="263"/>
    </row>
    <row r="90" spans="1:48" s="153" customFormat="1" ht="15" customHeight="1">
      <c r="A90" s="148"/>
      <c r="B90" s="256"/>
      <c r="C90" s="176"/>
      <c r="E90" s="150" t="s">
        <v>463</v>
      </c>
      <c r="F90" s="149"/>
      <c r="G90" s="149"/>
      <c r="H90" s="149"/>
      <c r="I90" s="178"/>
      <c r="J90" s="178"/>
      <c r="K90" s="178"/>
      <c r="L90" s="178"/>
      <c r="M90" s="178"/>
      <c r="N90" s="178"/>
      <c r="O90" s="178"/>
      <c r="P90" s="178"/>
      <c r="Q90" s="178"/>
      <c r="R90" s="178"/>
      <c r="S90" s="178"/>
      <c r="T90" s="178"/>
      <c r="U90" s="178"/>
      <c r="V90" s="178"/>
      <c r="W90" s="178"/>
      <c r="X90" s="178"/>
      <c r="Y90" s="178"/>
      <c r="Z90" s="178"/>
      <c r="AA90" s="178"/>
      <c r="AB90" s="178"/>
      <c r="AC90" s="178"/>
      <c r="AD90" s="178"/>
      <c r="AE90" s="178"/>
      <c r="AF90" s="178"/>
      <c r="AG90" s="178"/>
      <c r="AH90" s="180"/>
      <c r="AI90" s="300"/>
      <c r="AJ90" s="258" t="s">
        <v>254</v>
      </c>
      <c r="AK90" s="258"/>
      <c r="AL90" s="258"/>
      <c r="AM90" s="258"/>
      <c r="AN90" s="258"/>
      <c r="AO90" s="258"/>
      <c r="AP90" s="258"/>
      <c r="AQ90" s="258"/>
      <c r="AR90" s="258"/>
      <c r="AS90" s="258"/>
      <c r="AT90" s="258"/>
      <c r="AU90" s="258"/>
      <c r="AV90" s="263"/>
    </row>
    <row r="91" spans="1:48" s="153" customFormat="1" ht="15" customHeight="1">
      <c r="A91" s="148"/>
      <c r="B91" s="256"/>
      <c r="C91" s="176"/>
      <c r="D91" s="203" t="s">
        <v>492</v>
      </c>
      <c r="E91" s="200"/>
      <c r="F91" s="149"/>
      <c r="G91" s="178"/>
      <c r="H91" s="178"/>
      <c r="I91" s="178"/>
      <c r="J91" s="178"/>
      <c r="K91" s="178"/>
      <c r="L91" s="178"/>
      <c r="M91" s="178"/>
      <c r="N91" s="178"/>
      <c r="O91" s="178"/>
      <c r="P91" s="178"/>
      <c r="Q91" s="178"/>
      <c r="R91" s="178"/>
      <c r="S91" s="178"/>
      <c r="T91" s="178"/>
      <c r="U91" s="178"/>
      <c r="V91" s="178"/>
      <c r="W91" s="178"/>
      <c r="X91" s="178"/>
      <c r="Y91" s="178"/>
      <c r="Z91" s="178"/>
      <c r="AA91" s="178"/>
      <c r="AB91" s="178"/>
      <c r="AC91" s="178"/>
      <c r="AD91" s="178"/>
      <c r="AE91" s="178"/>
      <c r="AF91" s="178"/>
      <c r="AG91" s="178"/>
      <c r="AH91" s="180"/>
      <c r="AI91" s="300"/>
      <c r="AJ91" s="258"/>
      <c r="AK91" s="258"/>
      <c r="AL91" s="258"/>
      <c r="AM91" s="258"/>
      <c r="AN91" s="258"/>
      <c r="AO91" s="258"/>
      <c r="AP91" s="258"/>
      <c r="AQ91" s="258"/>
      <c r="AR91" s="258"/>
      <c r="AS91" s="258"/>
      <c r="AT91" s="258"/>
      <c r="AU91" s="258"/>
      <c r="AV91" s="263"/>
    </row>
    <row r="92" spans="1:48" s="153" customFormat="1" ht="15" customHeight="1">
      <c r="A92" s="148"/>
      <c r="B92" s="256"/>
      <c r="C92" s="176"/>
      <c r="D92" s="200"/>
      <c r="E92" s="150" t="s">
        <v>493</v>
      </c>
      <c r="F92" s="149"/>
      <c r="G92" s="149"/>
      <c r="H92" s="149"/>
      <c r="I92" s="149"/>
      <c r="J92" s="149"/>
      <c r="K92" s="178"/>
      <c r="L92" s="178"/>
      <c r="M92" s="178"/>
      <c r="N92" s="178"/>
      <c r="O92" s="178"/>
      <c r="P92" s="178"/>
      <c r="Q92" s="178"/>
      <c r="R92" s="178"/>
      <c r="S92" s="178"/>
      <c r="T92" s="178"/>
      <c r="U92" s="178"/>
      <c r="V92" s="178"/>
      <c r="W92" s="178"/>
      <c r="X92" s="178"/>
      <c r="Y92" s="178"/>
      <c r="Z92" s="178"/>
      <c r="AA92" s="178"/>
      <c r="AB92" s="178"/>
      <c r="AC92" s="178"/>
      <c r="AD92" s="178"/>
      <c r="AE92" s="178"/>
      <c r="AF92" s="178"/>
      <c r="AG92" s="178"/>
      <c r="AH92" s="180"/>
      <c r="AI92" s="300"/>
      <c r="AJ92" s="258" t="s">
        <v>254</v>
      </c>
      <c r="AK92" s="258"/>
      <c r="AL92" s="258"/>
      <c r="AM92" s="258"/>
      <c r="AN92" s="258"/>
      <c r="AO92" s="258"/>
      <c r="AP92" s="258"/>
      <c r="AQ92" s="258"/>
      <c r="AR92" s="258"/>
      <c r="AS92" s="258"/>
      <c r="AT92" s="258"/>
      <c r="AU92" s="258"/>
      <c r="AV92" s="263"/>
    </row>
    <row r="93" spans="1:48" s="153" customFormat="1" ht="15.75" customHeight="1">
      <c r="A93" s="148"/>
      <c r="B93" s="256"/>
      <c r="C93" s="176"/>
      <c r="D93" s="48" t="s">
        <v>550</v>
      </c>
      <c r="E93" s="151"/>
      <c r="F93" s="151"/>
      <c r="G93" s="178"/>
      <c r="H93" s="178"/>
      <c r="I93" s="178"/>
      <c r="J93" s="178"/>
      <c r="K93" s="178"/>
      <c r="L93" s="178"/>
      <c r="M93" s="178"/>
      <c r="N93" s="178"/>
      <c r="O93" s="178"/>
      <c r="P93" s="178"/>
      <c r="Q93" s="178"/>
      <c r="R93" s="178"/>
      <c r="S93" s="178"/>
      <c r="T93" s="178"/>
      <c r="U93" s="178"/>
      <c r="V93" s="178"/>
      <c r="W93" s="178"/>
      <c r="X93" s="178"/>
      <c r="Y93" s="178"/>
      <c r="Z93" s="178"/>
      <c r="AA93" s="178"/>
      <c r="AB93" s="178"/>
      <c r="AC93" s="178"/>
      <c r="AD93" s="178"/>
      <c r="AE93" s="178"/>
      <c r="AF93" s="178"/>
      <c r="AG93" s="178"/>
      <c r="AH93" s="180"/>
      <c r="AI93" s="301"/>
      <c r="AJ93" s="47"/>
      <c r="AK93" s="47"/>
      <c r="AL93" s="258"/>
      <c r="AM93" s="258"/>
      <c r="AN93" s="258"/>
      <c r="AO93" s="258"/>
      <c r="AP93" s="47" t="s">
        <v>254</v>
      </c>
      <c r="AQ93" s="258"/>
      <c r="AR93" s="47"/>
      <c r="AS93" s="258"/>
      <c r="AT93" s="258"/>
      <c r="AU93" s="258"/>
      <c r="AV93" s="263"/>
    </row>
    <row r="94" spans="1:48" s="153" customFormat="1" ht="15.75" customHeight="1">
      <c r="A94" s="148"/>
      <c r="B94" s="256"/>
      <c r="C94" s="176"/>
      <c r="D94" s="48" t="s">
        <v>393</v>
      </c>
      <c r="E94" s="151"/>
      <c r="F94" s="151"/>
      <c r="G94" s="178"/>
      <c r="H94" s="178"/>
      <c r="I94" s="178"/>
      <c r="J94" s="178"/>
      <c r="K94" s="178"/>
      <c r="L94" s="178"/>
      <c r="M94" s="178"/>
      <c r="N94" s="178"/>
      <c r="O94" s="178"/>
      <c r="P94" s="178"/>
      <c r="Q94" s="178"/>
      <c r="R94" s="178"/>
      <c r="S94" s="178"/>
      <c r="T94" s="178"/>
      <c r="U94" s="178"/>
      <c r="V94" s="178"/>
      <c r="W94" s="178"/>
      <c r="X94" s="178"/>
      <c r="Y94" s="178"/>
      <c r="Z94" s="178"/>
      <c r="AA94" s="178"/>
      <c r="AB94" s="178"/>
      <c r="AC94" s="178"/>
      <c r="AD94" s="178"/>
      <c r="AE94" s="178"/>
      <c r="AF94" s="178"/>
      <c r="AG94" s="178"/>
      <c r="AH94" s="180"/>
      <c r="AI94" s="301"/>
      <c r="AJ94" s="47"/>
      <c r="AK94" s="47"/>
      <c r="AL94" s="258" t="s">
        <v>254</v>
      </c>
      <c r="AM94" s="258"/>
      <c r="AN94" s="258" t="s">
        <v>254</v>
      </c>
      <c r="AO94" s="258"/>
      <c r="AP94" s="47"/>
      <c r="AQ94" s="258"/>
      <c r="AR94" s="47"/>
      <c r="AS94" s="258"/>
      <c r="AT94" s="258"/>
      <c r="AU94" s="258"/>
      <c r="AV94" s="263"/>
    </row>
    <row r="95" spans="1:48" s="153" customFormat="1" ht="15" customHeight="1">
      <c r="A95" s="148"/>
      <c r="B95" s="150"/>
      <c r="C95" s="151"/>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213"/>
      <c r="AI95" s="301"/>
      <c r="AJ95" s="47"/>
      <c r="AK95" s="260"/>
      <c r="AL95" s="260"/>
      <c r="AM95" s="260"/>
      <c r="AN95" s="260"/>
      <c r="AO95" s="260"/>
      <c r="AP95" s="260"/>
      <c r="AQ95" s="260"/>
      <c r="AR95" s="260"/>
      <c r="AS95" s="260"/>
      <c r="AT95" s="260"/>
      <c r="AU95" s="260"/>
      <c r="AV95" s="263"/>
    </row>
    <row r="96" spans="1:48" s="153" customFormat="1" ht="7.5" customHeight="1" thickBot="1">
      <c r="A96" s="148"/>
      <c r="B96" s="205"/>
      <c r="C96" s="206"/>
      <c r="D96" s="207"/>
      <c r="E96" s="207"/>
      <c r="F96" s="207"/>
      <c r="G96" s="207"/>
      <c r="H96" s="207"/>
      <c r="I96" s="207"/>
      <c r="J96" s="207"/>
      <c r="K96" s="207"/>
      <c r="L96" s="207"/>
      <c r="M96" s="207"/>
      <c r="N96" s="207"/>
      <c r="O96" s="207"/>
      <c r="P96" s="207"/>
      <c r="Q96" s="207"/>
      <c r="R96" s="207"/>
      <c r="S96" s="207"/>
      <c r="T96" s="207"/>
      <c r="U96" s="207"/>
      <c r="V96" s="207"/>
      <c r="W96" s="207"/>
      <c r="X96" s="207"/>
      <c r="Y96" s="207"/>
      <c r="Z96" s="207"/>
      <c r="AA96" s="207"/>
      <c r="AB96" s="207"/>
      <c r="AC96" s="207"/>
      <c r="AD96" s="207"/>
      <c r="AE96" s="207"/>
      <c r="AF96" s="207"/>
      <c r="AG96" s="207"/>
      <c r="AH96" s="264"/>
      <c r="AI96" s="301"/>
      <c r="AJ96" s="47"/>
      <c r="AK96" s="47"/>
      <c r="AL96" s="47"/>
      <c r="AM96" s="47"/>
      <c r="AN96" s="47"/>
      <c r="AO96" s="47"/>
      <c r="AP96" s="47"/>
      <c r="AQ96" s="47"/>
      <c r="AR96" s="47"/>
      <c r="AS96" s="47"/>
      <c r="AT96" s="47"/>
      <c r="AU96" s="47"/>
      <c r="AV96" s="263"/>
    </row>
    <row r="97" spans="1:48" s="153" customFormat="1" ht="15" customHeight="1" thickTop="1">
      <c r="A97" s="208" t="s">
        <v>89</v>
      </c>
      <c r="B97" s="209"/>
      <c r="C97" s="209"/>
      <c r="D97" s="209"/>
      <c r="E97" s="209"/>
      <c r="F97" s="209"/>
      <c r="G97" s="209"/>
      <c r="H97" s="209"/>
      <c r="I97" s="209"/>
      <c r="J97" s="209"/>
      <c r="K97" s="210"/>
      <c r="L97" s="210"/>
      <c r="M97" s="210"/>
      <c r="N97" s="210"/>
      <c r="O97" s="210"/>
      <c r="P97" s="210"/>
      <c r="Q97" s="210"/>
      <c r="R97" s="210"/>
      <c r="S97" s="210"/>
      <c r="T97" s="210"/>
      <c r="U97" s="210"/>
      <c r="V97" s="210"/>
      <c r="W97" s="210"/>
      <c r="X97" s="210"/>
      <c r="Y97" s="210"/>
      <c r="Z97" s="210"/>
      <c r="AA97" s="210"/>
      <c r="AB97" s="210"/>
      <c r="AC97" s="210"/>
      <c r="AD97" s="210"/>
      <c r="AE97" s="210"/>
      <c r="AF97" s="210"/>
      <c r="AG97" s="210"/>
      <c r="AH97" s="211"/>
      <c r="AI97" s="302"/>
      <c r="AJ97" s="261"/>
      <c r="AK97" s="261"/>
      <c r="AL97" s="261"/>
      <c r="AM97" s="261"/>
      <c r="AN97" s="261"/>
      <c r="AO97" s="261"/>
      <c r="AP97" s="261"/>
      <c r="AQ97" s="261"/>
      <c r="AR97" s="261"/>
      <c r="AS97" s="261"/>
      <c r="AT97" s="261"/>
      <c r="AU97" s="261"/>
      <c r="AV97" s="377"/>
    </row>
    <row r="98" spans="1:48" s="153" customFormat="1" ht="30" customHeight="1">
      <c r="A98" s="212"/>
      <c r="B98" s="561" t="s">
        <v>90</v>
      </c>
      <c r="C98" s="562"/>
      <c r="D98" s="562"/>
      <c r="E98" s="562"/>
      <c r="F98" s="562"/>
      <c r="G98" s="562"/>
      <c r="H98" s="562"/>
      <c r="I98" s="562"/>
      <c r="J98" s="562"/>
      <c r="K98" s="562"/>
      <c r="L98" s="562"/>
      <c r="M98" s="562"/>
      <c r="N98" s="562"/>
      <c r="O98" s="562"/>
      <c r="P98" s="562"/>
      <c r="Q98" s="562"/>
      <c r="R98" s="562"/>
      <c r="S98" s="562"/>
      <c r="T98" s="562"/>
      <c r="U98" s="562"/>
      <c r="V98" s="562"/>
      <c r="W98" s="562"/>
      <c r="X98" s="562"/>
      <c r="Y98" s="562"/>
      <c r="Z98" s="562"/>
      <c r="AA98" s="562"/>
      <c r="AB98" s="562"/>
      <c r="AC98" s="562"/>
      <c r="AD98" s="562"/>
      <c r="AE98" s="562"/>
      <c r="AF98" s="562"/>
      <c r="AG98" s="562"/>
      <c r="AH98" s="562"/>
      <c r="AI98" s="303"/>
      <c r="AJ98" s="262"/>
      <c r="AK98" s="262"/>
      <c r="AL98" s="262"/>
      <c r="AM98" s="262"/>
      <c r="AN98" s="262"/>
      <c r="AO98" s="262"/>
      <c r="AP98" s="262"/>
      <c r="AQ98" s="262"/>
      <c r="AR98" s="262"/>
      <c r="AS98" s="262"/>
      <c r="AT98" s="262"/>
      <c r="AU98" s="262"/>
      <c r="AV98" s="378"/>
    </row>
    <row r="99" spans="1:48" s="153" customFormat="1" ht="15" customHeight="1">
      <c r="A99" s="148"/>
      <c r="B99" s="49" t="s">
        <v>91</v>
      </c>
      <c r="C99" s="48"/>
      <c r="D99" s="48"/>
      <c r="E99" s="48"/>
      <c r="F99" s="48"/>
      <c r="G99" s="48"/>
      <c r="H99" s="48"/>
      <c r="I99" s="48"/>
      <c r="J99" s="48"/>
      <c r="K99" s="48"/>
      <c r="L99" s="48"/>
      <c r="M99" s="48"/>
      <c r="N99" s="48"/>
      <c r="O99" s="48"/>
      <c r="P99" s="48"/>
      <c r="Q99" s="48"/>
      <c r="R99" s="48"/>
      <c r="S99" s="48"/>
      <c r="T99" s="48"/>
      <c r="U99" s="48"/>
      <c r="V99" s="48"/>
      <c r="W99" s="48"/>
      <c r="X99" s="48"/>
      <c r="Y99" s="48"/>
      <c r="Z99" s="48"/>
      <c r="AA99" s="48"/>
      <c r="AB99" s="48"/>
      <c r="AC99" s="48"/>
      <c r="AD99" s="48"/>
      <c r="AE99" s="48"/>
      <c r="AF99" s="48"/>
      <c r="AG99" s="48"/>
      <c r="AH99" s="180"/>
      <c r="AI99" s="299"/>
      <c r="AJ99" s="257"/>
      <c r="AK99" s="257"/>
      <c r="AL99" s="257"/>
      <c r="AM99" s="257"/>
      <c r="AN99" s="257"/>
      <c r="AO99" s="257"/>
      <c r="AP99" s="257"/>
      <c r="AQ99" s="257"/>
      <c r="AR99" s="257"/>
      <c r="AS99" s="257"/>
      <c r="AT99" s="257"/>
      <c r="AU99" s="257"/>
      <c r="AV99" s="375"/>
    </row>
    <row r="100" spans="1:48" s="153" customFormat="1" ht="15" customHeight="1">
      <c r="A100" s="148"/>
      <c r="B100" s="197"/>
      <c r="C100" s="422" t="s">
        <v>465</v>
      </c>
      <c r="D100" s="49"/>
      <c r="E100" s="48"/>
      <c r="F100" s="48"/>
      <c r="G100" s="48"/>
      <c r="H100" s="48"/>
      <c r="I100" s="48"/>
      <c r="J100" s="48"/>
      <c r="K100" s="48"/>
      <c r="L100" s="48"/>
      <c r="M100" s="151"/>
      <c r="N100" s="48"/>
      <c r="O100" s="151"/>
      <c r="P100" s="151"/>
      <c r="Q100" s="48"/>
      <c r="R100" s="48"/>
      <c r="S100" s="151"/>
      <c r="T100" s="151"/>
      <c r="U100" s="151"/>
      <c r="V100" s="151"/>
      <c r="W100" s="151"/>
      <c r="X100" s="151"/>
      <c r="Y100" s="151"/>
      <c r="Z100" s="151"/>
      <c r="AA100" s="151"/>
      <c r="AB100" s="151"/>
      <c r="AC100" s="151"/>
      <c r="AD100" s="151"/>
      <c r="AE100" s="151"/>
      <c r="AF100" s="151"/>
      <c r="AG100" s="213"/>
      <c r="AH100" s="379"/>
      <c r="AI100" s="301"/>
      <c r="AJ100" s="47"/>
      <c r="AK100" s="47"/>
      <c r="AL100" s="47"/>
      <c r="AM100" s="47"/>
      <c r="AN100" s="47"/>
      <c r="AO100" s="47"/>
      <c r="AP100" s="47"/>
      <c r="AQ100" s="47"/>
      <c r="AR100" s="47"/>
      <c r="AS100" s="47"/>
      <c r="AT100" s="47"/>
      <c r="AU100" s="47"/>
      <c r="AV100" s="263"/>
    </row>
    <row r="101" spans="1:48" s="153" customFormat="1" ht="15" customHeight="1">
      <c r="A101" s="148"/>
      <c r="B101" s="197"/>
      <c r="C101" s="420"/>
      <c r="D101" s="423" t="s">
        <v>559</v>
      </c>
      <c r="E101" s="48"/>
      <c r="F101" s="48"/>
      <c r="G101" s="48"/>
      <c r="H101" s="48"/>
      <c r="I101" s="48"/>
      <c r="J101" s="48"/>
      <c r="K101" s="48"/>
      <c r="L101" s="48"/>
      <c r="M101" s="48"/>
      <c r="N101" s="48"/>
      <c r="O101" s="48"/>
      <c r="P101" s="48"/>
      <c r="Q101" s="48"/>
      <c r="R101" s="48"/>
      <c r="S101" s="151"/>
      <c r="T101" s="151"/>
      <c r="U101" s="151"/>
      <c r="V101" s="151"/>
      <c r="W101" s="151"/>
      <c r="X101" s="151"/>
      <c r="Y101" s="151"/>
      <c r="Z101" s="151"/>
      <c r="AA101" s="151"/>
      <c r="AB101" s="151"/>
      <c r="AC101" s="151"/>
      <c r="AD101" s="151"/>
      <c r="AE101" s="151"/>
      <c r="AF101" s="151"/>
      <c r="AG101" s="213"/>
      <c r="AH101" s="386"/>
      <c r="AI101" s="47"/>
      <c r="AJ101" s="258"/>
      <c r="AK101" s="258" t="s">
        <v>254</v>
      </c>
      <c r="AL101" s="47"/>
      <c r="AM101" s="47"/>
      <c r="AN101" s="47" t="s">
        <v>254</v>
      </c>
      <c r="AO101" s="47"/>
      <c r="AP101" s="47"/>
      <c r="AQ101" s="47"/>
      <c r="AR101" s="47"/>
      <c r="AS101" s="47"/>
      <c r="AT101" s="47"/>
      <c r="AU101" s="47"/>
      <c r="AV101" s="263"/>
    </row>
    <row r="102" spans="1:48" s="153" customFormat="1" ht="15" customHeight="1">
      <c r="A102" s="148"/>
      <c r="B102" s="197"/>
      <c r="C102" s="199"/>
      <c r="D102" s="424" t="s">
        <v>560</v>
      </c>
      <c r="E102" s="48"/>
      <c r="F102" s="48"/>
      <c r="G102" s="48"/>
      <c r="H102" s="48"/>
      <c r="I102" s="48"/>
      <c r="J102" s="48"/>
      <c r="K102" s="48"/>
      <c r="L102" s="48"/>
      <c r="M102" s="48"/>
      <c r="N102" s="48"/>
      <c r="O102" s="48"/>
      <c r="P102" s="48"/>
      <c r="Q102" s="48"/>
      <c r="R102" s="48"/>
      <c r="S102" s="151"/>
      <c r="T102" s="151"/>
      <c r="U102" s="151"/>
      <c r="V102" s="151"/>
      <c r="W102" s="151"/>
      <c r="X102" s="151"/>
      <c r="Y102" s="151"/>
      <c r="Z102" s="151"/>
      <c r="AA102" s="151"/>
      <c r="AB102" s="151"/>
      <c r="AC102" s="151"/>
      <c r="AD102" s="151"/>
      <c r="AE102" s="151"/>
      <c r="AF102" s="151"/>
      <c r="AG102" s="213"/>
      <c r="AH102" s="386"/>
      <c r="AI102" s="47"/>
      <c r="AJ102" s="47"/>
      <c r="AK102" s="47"/>
      <c r="AL102" s="47"/>
      <c r="AM102" s="47"/>
      <c r="AN102" s="47"/>
      <c r="AO102" s="47"/>
      <c r="AP102" s="47" t="s">
        <v>254</v>
      </c>
      <c r="AQ102" s="47"/>
      <c r="AR102" s="47"/>
      <c r="AS102" s="47"/>
      <c r="AT102" s="47"/>
      <c r="AU102" s="47"/>
      <c r="AV102" s="263"/>
    </row>
    <row r="103" spans="1:48" s="153" customFormat="1" ht="15" customHeight="1">
      <c r="A103" s="148"/>
      <c r="B103" s="197"/>
      <c r="C103" s="199"/>
      <c r="D103" s="424" t="s">
        <v>570</v>
      </c>
      <c r="E103" s="48"/>
      <c r="F103" s="48"/>
      <c r="G103" s="48"/>
      <c r="H103" s="48"/>
      <c r="I103" s="48"/>
      <c r="J103" s="48"/>
      <c r="K103" s="48"/>
      <c r="L103" s="48"/>
      <c r="M103" s="48"/>
      <c r="N103" s="48"/>
      <c r="O103" s="48"/>
      <c r="P103" s="48"/>
      <c r="Q103" s="48"/>
      <c r="R103" s="48"/>
      <c r="S103" s="151"/>
      <c r="T103" s="151"/>
      <c r="U103" s="151"/>
      <c r="V103" s="151"/>
      <c r="W103" s="151"/>
      <c r="X103" s="151"/>
      <c r="Y103" s="151"/>
      <c r="Z103" s="151"/>
      <c r="AA103" s="151"/>
      <c r="AB103" s="151"/>
      <c r="AC103" s="151"/>
      <c r="AD103" s="151"/>
      <c r="AE103" s="151"/>
      <c r="AF103" s="151"/>
      <c r="AG103" s="213"/>
      <c r="AH103" s="386"/>
      <c r="AI103" s="47"/>
      <c r="AJ103" s="47"/>
      <c r="AK103" s="47"/>
      <c r="AL103" s="47"/>
      <c r="AM103" s="47"/>
      <c r="AN103" s="47"/>
      <c r="AO103" s="47"/>
      <c r="AP103" s="47"/>
      <c r="AQ103" s="47"/>
      <c r="AR103" s="47"/>
      <c r="AS103" s="47" t="s">
        <v>254</v>
      </c>
      <c r="AT103" s="47"/>
      <c r="AU103" s="47"/>
      <c r="AV103" s="263"/>
    </row>
    <row r="104" spans="1:48" s="153" customFormat="1" ht="15" customHeight="1">
      <c r="A104" s="148"/>
      <c r="B104" s="197"/>
      <c r="C104" s="49" t="s">
        <v>75</v>
      </c>
      <c r="D104" s="48"/>
      <c r="E104" s="48"/>
      <c r="F104" s="48"/>
      <c r="G104" s="151"/>
      <c r="H104" s="48"/>
      <c r="I104" s="48"/>
      <c r="J104" s="48"/>
      <c r="K104" s="48"/>
      <c r="L104" s="48"/>
      <c r="M104" s="48"/>
      <c r="N104" s="48"/>
      <c r="O104" s="48"/>
      <c r="P104" s="48"/>
      <c r="Q104" s="48"/>
      <c r="R104" s="48"/>
      <c r="S104" s="151"/>
      <c r="T104" s="151"/>
      <c r="U104" s="151"/>
      <c r="V104" s="151"/>
      <c r="W104" s="151"/>
      <c r="X104" s="151"/>
      <c r="Y104" s="151"/>
      <c r="Z104" s="151"/>
      <c r="AA104" s="151"/>
      <c r="AB104" s="151"/>
      <c r="AC104" s="151"/>
      <c r="AD104" s="151"/>
      <c r="AE104" s="151"/>
      <c r="AF104" s="151"/>
      <c r="AG104" s="213"/>
      <c r="AH104" s="386"/>
      <c r="AI104" s="47"/>
      <c r="AJ104" s="47"/>
      <c r="AK104" s="47"/>
      <c r="AL104" s="47"/>
      <c r="AM104" s="47"/>
      <c r="AN104" s="47"/>
      <c r="AO104" s="47"/>
      <c r="AP104" s="47"/>
      <c r="AQ104" s="47"/>
      <c r="AR104" s="47"/>
      <c r="AS104" s="47"/>
      <c r="AT104" s="47"/>
      <c r="AU104" s="47"/>
      <c r="AV104" s="263"/>
    </row>
    <row r="105" spans="1:48" s="153" customFormat="1" ht="15" customHeight="1">
      <c r="A105" s="148"/>
      <c r="B105" s="197"/>
      <c r="C105" s="176"/>
      <c r="D105" s="48" t="s">
        <v>55</v>
      </c>
      <c r="E105" s="48"/>
      <c r="F105" s="48"/>
      <c r="G105" s="151"/>
      <c r="H105" s="48"/>
      <c r="I105" s="48"/>
      <c r="J105" s="48"/>
      <c r="K105" s="48"/>
      <c r="L105" s="48"/>
      <c r="M105" s="48"/>
      <c r="N105" s="48"/>
      <c r="O105" s="48"/>
      <c r="P105" s="48"/>
      <c r="Q105" s="48"/>
      <c r="R105" s="48"/>
      <c r="S105" s="151"/>
      <c r="T105" s="151"/>
      <c r="U105" s="151"/>
      <c r="V105" s="151"/>
      <c r="W105" s="151"/>
      <c r="X105" s="151"/>
      <c r="Y105" s="151"/>
      <c r="Z105" s="151"/>
      <c r="AA105" s="151"/>
      <c r="AB105" s="151"/>
      <c r="AC105" s="151"/>
      <c r="AD105" s="151"/>
      <c r="AE105" s="151"/>
      <c r="AF105" s="151"/>
      <c r="AG105" s="213"/>
      <c r="AH105" s="379"/>
      <c r="AI105" s="301"/>
      <c r="AJ105" s="47"/>
      <c r="AK105" s="47"/>
      <c r="AL105" s="47"/>
      <c r="AM105" s="47"/>
      <c r="AN105" s="47"/>
      <c r="AO105" s="47"/>
      <c r="AP105" s="47"/>
      <c r="AQ105" s="47"/>
      <c r="AR105" s="47"/>
      <c r="AS105" s="47"/>
      <c r="AT105" s="47"/>
      <c r="AU105" s="47"/>
      <c r="AV105" s="263"/>
    </row>
    <row r="106" spans="1:48" s="153" customFormat="1" ht="15" customHeight="1">
      <c r="A106" s="148"/>
      <c r="B106" s="197"/>
      <c r="C106" s="176"/>
      <c r="D106" s="176"/>
      <c r="E106" s="48" t="s">
        <v>466</v>
      </c>
      <c r="F106" s="48"/>
      <c r="G106" s="151"/>
      <c r="H106" s="48"/>
      <c r="I106" s="48"/>
      <c r="J106" s="48"/>
      <c r="K106" s="48"/>
      <c r="L106" s="48"/>
      <c r="M106" s="48"/>
      <c r="N106" s="48"/>
      <c r="O106" s="48"/>
      <c r="P106" s="48"/>
      <c r="Q106" s="48"/>
      <c r="R106" s="48"/>
      <c r="S106" s="151"/>
      <c r="T106" s="151"/>
      <c r="U106" s="151"/>
      <c r="V106" s="151"/>
      <c r="W106" s="151"/>
      <c r="X106" s="151"/>
      <c r="Y106" s="151"/>
      <c r="Z106" s="151"/>
      <c r="AA106" s="151"/>
      <c r="AB106" s="151"/>
      <c r="AC106" s="151"/>
      <c r="AD106" s="151"/>
      <c r="AE106" s="151"/>
      <c r="AF106" s="151"/>
      <c r="AG106" s="213"/>
      <c r="AH106" s="386"/>
      <c r="AI106" s="47" t="s">
        <v>254</v>
      </c>
      <c r="AJ106" s="258" t="s">
        <v>254</v>
      </c>
      <c r="AK106" s="258" t="s">
        <v>254</v>
      </c>
      <c r="AL106" s="47" t="s">
        <v>254</v>
      </c>
      <c r="AM106" s="47" t="s">
        <v>254</v>
      </c>
      <c r="AN106" s="47" t="s">
        <v>254</v>
      </c>
      <c r="AO106" s="47" t="s">
        <v>254</v>
      </c>
      <c r="AP106" s="47" t="s">
        <v>254</v>
      </c>
      <c r="AQ106" s="47" t="s">
        <v>254</v>
      </c>
      <c r="AR106" s="47"/>
      <c r="AS106" s="47"/>
      <c r="AT106" s="47"/>
      <c r="AU106" s="47"/>
      <c r="AV106" s="263"/>
    </row>
    <row r="107" spans="1:48" s="153" customFormat="1" ht="15" customHeight="1">
      <c r="A107" s="148"/>
      <c r="B107" s="197"/>
      <c r="C107" s="176"/>
      <c r="D107" s="176"/>
      <c r="E107" s="48" t="s">
        <v>567</v>
      </c>
      <c r="F107" s="48"/>
      <c r="G107" s="151"/>
      <c r="H107" s="48"/>
      <c r="I107" s="48"/>
      <c r="J107" s="48"/>
      <c r="K107" s="48"/>
      <c r="L107" s="48"/>
      <c r="M107" s="48"/>
      <c r="N107" s="48"/>
      <c r="O107" s="48"/>
      <c r="P107" s="48"/>
      <c r="Q107" s="48"/>
      <c r="R107" s="48"/>
      <c r="S107" s="151"/>
      <c r="T107" s="151"/>
      <c r="U107" s="151"/>
      <c r="V107" s="151"/>
      <c r="W107" s="151"/>
      <c r="X107" s="151"/>
      <c r="Y107" s="151"/>
      <c r="Z107" s="151"/>
      <c r="AA107" s="151"/>
      <c r="AB107" s="151"/>
      <c r="AC107" s="151"/>
      <c r="AD107" s="151"/>
      <c r="AE107" s="151"/>
      <c r="AF107" s="151"/>
      <c r="AG107" s="213"/>
      <c r="AH107" s="386"/>
      <c r="AI107" s="47"/>
      <c r="AJ107" s="258"/>
      <c r="AK107" s="258"/>
      <c r="AL107" s="47"/>
      <c r="AM107" s="47"/>
      <c r="AN107" s="47"/>
      <c r="AO107" s="47"/>
      <c r="AP107" s="47"/>
      <c r="AQ107" s="47"/>
      <c r="AR107" s="47" t="s">
        <v>254</v>
      </c>
      <c r="AS107" s="47"/>
      <c r="AT107" s="47"/>
      <c r="AU107" s="47"/>
      <c r="AV107" s="263"/>
    </row>
    <row r="108" spans="1:48" s="153" customFormat="1" ht="15" customHeight="1">
      <c r="A108" s="148"/>
      <c r="B108" s="197"/>
      <c r="C108" s="176"/>
      <c r="D108" s="176"/>
      <c r="E108" s="48" t="s">
        <v>467</v>
      </c>
      <c r="F108" s="48"/>
      <c r="G108" s="151"/>
      <c r="H108" s="48"/>
      <c r="I108" s="48"/>
      <c r="J108" s="48"/>
      <c r="K108" s="48"/>
      <c r="L108" s="48"/>
      <c r="M108" s="48"/>
      <c r="N108" s="48"/>
      <c r="O108" s="48"/>
      <c r="P108" s="48"/>
      <c r="Q108" s="48"/>
      <c r="R108" s="48"/>
      <c r="S108" s="151"/>
      <c r="T108" s="151"/>
      <c r="U108" s="151"/>
      <c r="V108" s="151"/>
      <c r="W108" s="151"/>
      <c r="X108" s="151"/>
      <c r="Y108" s="151"/>
      <c r="Z108" s="151"/>
      <c r="AA108" s="151"/>
      <c r="AB108" s="151"/>
      <c r="AC108" s="151"/>
      <c r="AD108" s="151"/>
      <c r="AE108" s="151"/>
      <c r="AF108" s="151"/>
      <c r="AG108" s="213"/>
      <c r="AH108" s="386"/>
      <c r="AI108" s="47"/>
      <c r="AJ108" s="47"/>
      <c r="AK108" s="47"/>
      <c r="AL108" s="47"/>
      <c r="AM108" s="47"/>
      <c r="AN108" s="47"/>
      <c r="AO108" s="47"/>
      <c r="AP108" s="47"/>
      <c r="AQ108" s="47"/>
      <c r="AR108" s="47"/>
      <c r="AS108" s="47"/>
      <c r="AT108" s="47" t="s">
        <v>254</v>
      </c>
      <c r="AU108" s="47" t="s">
        <v>254</v>
      </c>
      <c r="AV108" s="263"/>
    </row>
    <row r="109" spans="1:48" s="153" customFormat="1" ht="15" customHeight="1">
      <c r="A109" s="148"/>
      <c r="B109" s="197"/>
      <c r="C109" s="176"/>
      <c r="D109" s="176"/>
      <c r="E109" s="48" t="s">
        <v>468</v>
      </c>
      <c r="F109" s="48"/>
      <c r="G109" s="151"/>
      <c r="H109" s="48"/>
      <c r="I109" s="48"/>
      <c r="J109" s="48"/>
      <c r="K109" s="48"/>
      <c r="L109" s="48"/>
      <c r="M109" s="48"/>
      <c r="N109" s="48"/>
      <c r="O109" s="48"/>
      <c r="P109" s="48"/>
      <c r="Q109" s="48"/>
      <c r="R109" s="48"/>
      <c r="S109" s="151"/>
      <c r="T109" s="151"/>
      <c r="U109" s="151"/>
      <c r="V109" s="151"/>
      <c r="W109" s="151"/>
      <c r="X109" s="151"/>
      <c r="Y109" s="151"/>
      <c r="Z109" s="151"/>
      <c r="AA109" s="151"/>
      <c r="AB109" s="151"/>
      <c r="AC109" s="151"/>
      <c r="AD109" s="151"/>
      <c r="AE109" s="151"/>
      <c r="AF109" s="151"/>
      <c r="AG109" s="213"/>
      <c r="AH109" s="386"/>
      <c r="AI109" s="47"/>
      <c r="AJ109" s="47"/>
      <c r="AK109" s="47"/>
      <c r="AL109" s="47"/>
      <c r="AM109" s="47"/>
      <c r="AN109" s="47"/>
      <c r="AO109" s="47"/>
      <c r="AP109" s="47"/>
      <c r="AQ109" s="47"/>
      <c r="AR109" s="47"/>
      <c r="AS109" s="47" t="s">
        <v>254</v>
      </c>
      <c r="AT109" s="47"/>
      <c r="AU109" s="47"/>
      <c r="AV109" s="263"/>
    </row>
    <row r="110" spans="1:48" s="153" customFormat="1" ht="15" customHeight="1">
      <c r="A110" s="148"/>
      <c r="B110" s="197"/>
      <c r="C110" s="176"/>
      <c r="D110" s="48" t="s">
        <v>469</v>
      </c>
      <c r="E110" s="48"/>
      <c r="F110" s="48"/>
      <c r="G110" s="151"/>
      <c r="H110" s="48"/>
      <c r="I110" s="48"/>
      <c r="J110" s="48"/>
      <c r="K110" s="48"/>
      <c r="L110" s="48"/>
      <c r="M110" s="48"/>
      <c r="N110" s="48"/>
      <c r="O110" s="48"/>
      <c r="P110" s="48"/>
      <c r="Q110" s="48"/>
      <c r="R110" s="48"/>
      <c r="S110" s="151"/>
      <c r="T110" s="151"/>
      <c r="U110" s="151"/>
      <c r="V110" s="151"/>
      <c r="W110" s="151"/>
      <c r="X110" s="151"/>
      <c r="Y110" s="151"/>
      <c r="Z110" s="151"/>
      <c r="AA110" s="151"/>
      <c r="AB110" s="151"/>
      <c r="AC110" s="151"/>
      <c r="AD110" s="151"/>
      <c r="AE110" s="151"/>
      <c r="AF110" s="151"/>
      <c r="AG110" s="213"/>
      <c r="AH110" s="386"/>
      <c r="AI110" s="47"/>
      <c r="AJ110" s="47"/>
      <c r="AK110" s="47"/>
      <c r="AL110" s="47"/>
      <c r="AM110" s="47"/>
      <c r="AN110" s="47"/>
      <c r="AO110" s="47"/>
      <c r="AP110" s="47"/>
      <c r="AQ110" s="47"/>
      <c r="AR110" s="47"/>
      <c r="AS110" s="47"/>
      <c r="AT110" s="47"/>
      <c r="AU110" s="47"/>
      <c r="AV110" s="263"/>
    </row>
    <row r="111" spans="1:48" s="153" customFormat="1" ht="15" customHeight="1">
      <c r="A111" s="148"/>
      <c r="B111" s="197"/>
      <c r="C111" s="176"/>
      <c r="D111" s="176"/>
      <c r="E111" s="425" t="s">
        <v>470</v>
      </c>
      <c r="F111" s="48"/>
      <c r="G111" s="151"/>
      <c r="H111" s="48"/>
      <c r="I111" s="48"/>
      <c r="J111" s="48"/>
      <c r="K111" s="48"/>
      <c r="L111" s="48"/>
      <c r="M111" s="48"/>
      <c r="N111" s="48"/>
      <c r="O111" s="48"/>
      <c r="P111" s="48"/>
      <c r="Q111" s="48"/>
      <c r="R111" s="48"/>
      <c r="S111" s="151"/>
      <c r="T111" s="151"/>
      <c r="U111" s="151"/>
      <c r="V111" s="151"/>
      <c r="W111" s="151"/>
      <c r="X111" s="151"/>
      <c r="Y111" s="151"/>
      <c r="Z111" s="151"/>
      <c r="AA111" s="151"/>
      <c r="AB111" s="151"/>
      <c r="AC111" s="151"/>
      <c r="AD111" s="151"/>
      <c r="AE111" s="151"/>
      <c r="AF111" s="151"/>
      <c r="AG111" s="213"/>
      <c r="AH111" s="379"/>
      <c r="AI111" s="301"/>
      <c r="AJ111" s="258"/>
      <c r="AK111" s="258" t="s">
        <v>254</v>
      </c>
      <c r="AL111" s="47"/>
      <c r="AM111" s="47"/>
      <c r="AN111" s="47" t="s">
        <v>254</v>
      </c>
      <c r="AO111" s="47"/>
      <c r="AP111" s="47"/>
      <c r="AQ111" s="47"/>
      <c r="AR111" s="47"/>
      <c r="AS111" s="47"/>
      <c r="AT111" s="47"/>
      <c r="AU111" s="47"/>
      <c r="AV111" s="263"/>
    </row>
    <row r="112" spans="1:48" s="153" customFormat="1" ht="15" customHeight="1">
      <c r="A112" s="148"/>
      <c r="B112" s="197"/>
      <c r="C112" s="176"/>
      <c r="D112" s="176"/>
      <c r="E112" s="425" t="s">
        <v>215</v>
      </c>
      <c r="F112" s="48"/>
      <c r="G112" s="151"/>
      <c r="H112" s="48"/>
      <c r="I112" s="48"/>
      <c r="J112" s="48"/>
      <c r="K112" s="48"/>
      <c r="L112" s="48"/>
      <c r="M112" s="48"/>
      <c r="N112" s="48"/>
      <c r="O112" s="48"/>
      <c r="P112" s="48"/>
      <c r="Q112" s="48"/>
      <c r="R112" s="48"/>
      <c r="S112" s="151"/>
      <c r="T112" s="151"/>
      <c r="U112" s="151"/>
      <c r="V112" s="151"/>
      <c r="W112" s="151"/>
      <c r="X112" s="151"/>
      <c r="Y112" s="151"/>
      <c r="Z112" s="151"/>
      <c r="AA112" s="151"/>
      <c r="AB112" s="151"/>
      <c r="AC112" s="151"/>
      <c r="AD112" s="151"/>
      <c r="AE112" s="151"/>
      <c r="AF112" s="151"/>
      <c r="AG112" s="213"/>
      <c r="AH112" s="379"/>
      <c r="AI112" s="260"/>
      <c r="AJ112" s="258"/>
      <c r="AK112" s="258"/>
      <c r="AL112" s="47"/>
      <c r="AM112" s="47"/>
      <c r="AN112" s="47"/>
      <c r="AO112" s="47"/>
      <c r="AP112" s="47" t="s">
        <v>254</v>
      </c>
      <c r="AQ112" s="47"/>
      <c r="AR112" s="47"/>
      <c r="AS112" s="47"/>
      <c r="AT112" s="47"/>
      <c r="AU112" s="47"/>
      <c r="AV112" s="263"/>
    </row>
    <row r="113" spans="1:48" s="153" customFormat="1" ht="15" customHeight="1">
      <c r="A113" s="148"/>
      <c r="B113" s="197"/>
      <c r="C113" s="176"/>
      <c r="D113" s="176"/>
      <c r="E113" s="423" t="s">
        <v>471</v>
      </c>
      <c r="F113" s="48"/>
      <c r="G113" s="151"/>
      <c r="H113" s="48"/>
      <c r="I113" s="48"/>
      <c r="J113" s="48"/>
      <c r="K113" s="48"/>
      <c r="L113" s="48"/>
      <c r="M113" s="48"/>
      <c r="N113" s="48"/>
      <c r="O113" s="48"/>
      <c r="P113" s="48"/>
      <c r="Q113" s="48"/>
      <c r="R113" s="48"/>
      <c r="S113" s="151"/>
      <c r="T113" s="151"/>
      <c r="U113" s="151"/>
      <c r="V113" s="151"/>
      <c r="W113" s="151"/>
      <c r="X113" s="151"/>
      <c r="Y113" s="151"/>
      <c r="Z113" s="151"/>
      <c r="AA113" s="151"/>
      <c r="AB113" s="151"/>
      <c r="AC113" s="151"/>
      <c r="AD113" s="151"/>
      <c r="AE113" s="151"/>
      <c r="AF113" s="151"/>
      <c r="AG113" s="213"/>
      <c r="AH113" s="386"/>
      <c r="AI113" s="47"/>
      <c r="AJ113" s="47"/>
      <c r="AK113" s="47"/>
      <c r="AL113" s="47"/>
      <c r="AM113" s="47"/>
      <c r="AN113" s="47"/>
      <c r="AO113" s="47"/>
      <c r="AP113" s="47"/>
      <c r="AQ113" s="47"/>
      <c r="AR113" s="47"/>
      <c r="AS113" s="47" t="s">
        <v>254</v>
      </c>
      <c r="AT113" s="47"/>
      <c r="AU113" s="47"/>
      <c r="AV113" s="263"/>
    </row>
    <row r="114" spans="1:48" s="153" customFormat="1" ht="15" customHeight="1">
      <c r="A114" s="148"/>
      <c r="B114" s="197"/>
      <c r="C114" s="49" t="s">
        <v>78</v>
      </c>
      <c r="D114" s="151"/>
      <c r="E114" s="48"/>
      <c r="F114" s="48"/>
      <c r="G114" s="151"/>
      <c r="H114" s="48"/>
      <c r="I114" s="48"/>
      <c r="J114" s="48"/>
      <c r="K114" s="48"/>
      <c r="L114" s="48"/>
      <c r="M114" s="48"/>
      <c r="N114" s="48"/>
      <c r="O114" s="48"/>
      <c r="P114" s="48"/>
      <c r="Q114" s="48"/>
      <c r="R114" s="48"/>
      <c r="S114" s="151"/>
      <c r="T114" s="151"/>
      <c r="U114" s="151"/>
      <c r="V114" s="151"/>
      <c r="W114" s="151"/>
      <c r="X114" s="151"/>
      <c r="Y114" s="151"/>
      <c r="Z114" s="151"/>
      <c r="AA114" s="151"/>
      <c r="AB114" s="151"/>
      <c r="AC114" s="151"/>
      <c r="AD114" s="151"/>
      <c r="AE114" s="151"/>
      <c r="AF114" s="151"/>
      <c r="AG114" s="213"/>
      <c r="AH114" s="386"/>
      <c r="AI114" s="47"/>
      <c r="AJ114" s="47"/>
      <c r="AK114" s="47"/>
      <c r="AL114" s="47"/>
      <c r="AM114" s="47"/>
      <c r="AN114" s="47"/>
      <c r="AO114" s="47"/>
      <c r="AP114" s="47"/>
      <c r="AQ114" s="47"/>
      <c r="AR114" s="47"/>
      <c r="AS114" s="47"/>
      <c r="AT114" s="47"/>
      <c r="AU114" s="47"/>
      <c r="AV114" s="263"/>
    </row>
    <row r="115" spans="1:48" s="153" customFormat="1" ht="15" customHeight="1">
      <c r="A115" s="148"/>
      <c r="B115" s="197"/>
      <c r="C115" s="197"/>
      <c r="D115" s="197" t="s">
        <v>473</v>
      </c>
      <c r="E115" s="48"/>
      <c r="F115" s="48"/>
      <c r="G115" s="151"/>
      <c r="H115" s="48"/>
      <c r="I115" s="48"/>
      <c r="J115" s="48"/>
      <c r="K115" s="48"/>
      <c r="L115" s="48"/>
      <c r="M115" s="48"/>
      <c r="N115" s="48"/>
      <c r="O115" s="48"/>
      <c r="P115" s="48"/>
      <c r="Q115" s="48"/>
      <c r="R115" s="48"/>
      <c r="S115" s="151"/>
      <c r="T115" s="151"/>
      <c r="U115" s="151"/>
      <c r="V115" s="151"/>
      <c r="W115" s="151"/>
      <c r="X115" s="151"/>
      <c r="Y115" s="151"/>
      <c r="Z115" s="151"/>
      <c r="AA115" s="151"/>
      <c r="AB115" s="151"/>
      <c r="AC115" s="151"/>
      <c r="AD115" s="151"/>
      <c r="AE115" s="151"/>
      <c r="AF115" s="151"/>
      <c r="AG115" s="213"/>
      <c r="AH115" s="379"/>
      <c r="AI115" s="301"/>
      <c r="AJ115" s="47"/>
      <c r="AK115" s="47"/>
      <c r="AL115" s="47"/>
      <c r="AM115" s="47"/>
      <c r="AN115" s="47"/>
      <c r="AO115" s="47"/>
      <c r="AP115" s="47"/>
      <c r="AQ115" s="47"/>
      <c r="AR115" s="47"/>
      <c r="AS115" s="47"/>
      <c r="AT115" s="47"/>
      <c r="AU115" s="47"/>
      <c r="AV115" s="263"/>
    </row>
    <row r="116" spans="1:48" s="153" customFormat="1" ht="15" customHeight="1">
      <c r="A116" s="148"/>
      <c r="B116" s="197"/>
      <c r="C116" s="197"/>
      <c r="D116" s="176"/>
      <c r="E116" s="444" t="s">
        <v>555</v>
      </c>
      <c r="F116" s="151"/>
      <c r="G116" s="151"/>
      <c r="H116" s="151"/>
      <c r="I116" s="151"/>
      <c r="J116" s="151"/>
      <c r="K116" s="48"/>
      <c r="L116" s="48"/>
      <c r="M116" s="48"/>
      <c r="N116" s="48"/>
      <c r="O116" s="48"/>
      <c r="P116" s="48"/>
      <c r="Q116" s="48"/>
      <c r="R116" s="48"/>
      <c r="S116" s="151"/>
      <c r="T116" s="151"/>
      <c r="U116" s="151"/>
      <c r="V116" s="151"/>
      <c r="W116" s="151"/>
      <c r="X116" s="151"/>
      <c r="Y116" s="151"/>
      <c r="Z116" s="151"/>
      <c r="AA116" s="151"/>
      <c r="AB116" s="151"/>
      <c r="AC116" s="151"/>
      <c r="AD116" s="151"/>
      <c r="AE116" s="151"/>
      <c r="AF116" s="151"/>
      <c r="AG116" s="213"/>
      <c r="AH116" s="386"/>
      <c r="AI116" s="258" t="s">
        <v>254</v>
      </c>
      <c r="AJ116" s="258" t="s">
        <v>254</v>
      </c>
      <c r="AK116" s="258" t="s">
        <v>254</v>
      </c>
      <c r="AL116" s="47" t="s">
        <v>254</v>
      </c>
      <c r="AM116" s="47" t="s">
        <v>254</v>
      </c>
      <c r="AN116" s="47" t="s">
        <v>254</v>
      </c>
      <c r="AO116" s="47" t="s">
        <v>254</v>
      </c>
      <c r="AP116" s="47"/>
      <c r="AQ116" s="47"/>
      <c r="AR116" s="493" t="s">
        <v>711</v>
      </c>
      <c r="AS116" s="47"/>
      <c r="AT116" s="47"/>
      <c r="AU116" s="47"/>
      <c r="AV116" s="263"/>
    </row>
    <row r="117" spans="1:48" s="153" customFormat="1" ht="15" customHeight="1">
      <c r="A117" s="148"/>
      <c r="B117" s="197"/>
      <c r="C117" s="197"/>
      <c r="D117" s="176"/>
      <c r="E117" s="444" t="s">
        <v>566</v>
      </c>
      <c r="F117" s="151"/>
      <c r="G117" s="151"/>
      <c r="H117" s="151"/>
      <c r="I117" s="151"/>
      <c r="J117" s="151"/>
      <c r="K117" s="151"/>
      <c r="L117" s="151"/>
      <c r="M117" s="48"/>
      <c r="N117" s="48"/>
      <c r="O117" s="48"/>
      <c r="P117" s="48"/>
      <c r="Q117" s="48"/>
      <c r="R117" s="48"/>
      <c r="S117" s="151"/>
      <c r="T117" s="151"/>
      <c r="U117" s="151"/>
      <c r="V117" s="151"/>
      <c r="W117" s="151"/>
      <c r="X117" s="151"/>
      <c r="Y117" s="151"/>
      <c r="Z117" s="151"/>
      <c r="AA117" s="151"/>
      <c r="AB117" s="151"/>
      <c r="AC117" s="151"/>
      <c r="AD117" s="151"/>
      <c r="AE117" s="151"/>
      <c r="AF117" s="151"/>
      <c r="AG117" s="213"/>
      <c r="AH117" s="386"/>
      <c r="AI117" s="258"/>
      <c r="AJ117" s="258"/>
      <c r="AK117" s="258"/>
      <c r="AL117" s="47"/>
      <c r="AM117" s="47"/>
      <c r="AN117" s="47"/>
      <c r="AO117" s="47"/>
      <c r="AP117" s="47"/>
      <c r="AQ117" s="47" t="s">
        <v>254</v>
      </c>
      <c r="AR117" s="47"/>
      <c r="AS117" s="47"/>
      <c r="AT117" s="47"/>
      <c r="AU117" s="47"/>
      <c r="AV117" s="263"/>
    </row>
    <row r="118" spans="1:48" s="153" customFormat="1" ht="15" customHeight="1">
      <c r="A118" s="148"/>
      <c r="B118" s="197"/>
      <c r="C118" s="197"/>
      <c r="D118" s="176"/>
      <c r="E118" s="444" t="s">
        <v>556</v>
      </c>
      <c r="F118" s="151"/>
      <c r="G118" s="151"/>
      <c r="H118" s="214"/>
      <c r="M118" s="48"/>
      <c r="N118" s="48"/>
      <c r="O118" s="48"/>
      <c r="P118" s="48"/>
      <c r="Q118" s="48"/>
      <c r="R118" s="48"/>
      <c r="S118" s="151"/>
      <c r="T118" s="151"/>
      <c r="U118" s="151"/>
      <c r="V118" s="151"/>
      <c r="W118" s="151"/>
      <c r="X118" s="151"/>
      <c r="Y118" s="151"/>
      <c r="Z118" s="151"/>
      <c r="AA118" s="151"/>
      <c r="AB118" s="151"/>
      <c r="AC118" s="151"/>
      <c r="AD118" s="151"/>
      <c r="AE118" s="151"/>
      <c r="AF118" s="151"/>
      <c r="AG118" s="213"/>
      <c r="AH118" s="386"/>
      <c r="AI118" s="258"/>
      <c r="AJ118" s="258"/>
      <c r="AK118" s="258"/>
      <c r="AL118" s="47"/>
      <c r="AM118" s="47"/>
      <c r="AN118" s="47"/>
      <c r="AO118" s="47"/>
      <c r="AP118" s="515" t="s">
        <v>254</v>
      </c>
      <c r="AQ118" s="47"/>
      <c r="AR118" s="47"/>
      <c r="AS118" s="47"/>
      <c r="AT118" s="47"/>
      <c r="AU118" s="47"/>
      <c r="AV118" s="263"/>
    </row>
    <row r="119" spans="1:48" s="153" customFormat="1" ht="15" customHeight="1">
      <c r="A119" s="148"/>
      <c r="B119" s="197"/>
      <c r="C119" s="197"/>
      <c r="D119" s="49" t="s">
        <v>521</v>
      </c>
      <c r="E119" s="255"/>
      <c r="F119" s="48"/>
      <c r="G119" s="48"/>
      <c r="H119" s="48"/>
      <c r="I119" s="48"/>
      <c r="J119" s="48"/>
      <c r="K119" s="48"/>
      <c r="L119" s="48"/>
      <c r="M119" s="48"/>
      <c r="N119" s="48"/>
      <c r="O119" s="48"/>
      <c r="P119" s="48"/>
      <c r="Q119" s="48"/>
      <c r="R119" s="48"/>
      <c r="S119" s="151"/>
      <c r="T119" s="151"/>
      <c r="U119" s="151"/>
      <c r="V119" s="151"/>
      <c r="W119" s="151"/>
      <c r="X119" s="151"/>
      <c r="Y119" s="151"/>
      <c r="Z119" s="151"/>
      <c r="AA119" s="151"/>
      <c r="AB119" s="151"/>
      <c r="AC119" s="151"/>
      <c r="AD119" s="151"/>
      <c r="AE119" s="151"/>
      <c r="AF119" s="151"/>
      <c r="AG119" s="213"/>
      <c r="AH119" s="379"/>
      <c r="AI119" s="301"/>
      <c r="AJ119" s="47"/>
      <c r="AK119" s="47"/>
      <c r="AL119" s="47"/>
      <c r="AM119" s="47"/>
      <c r="AN119" s="47"/>
      <c r="AO119" s="47"/>
      <c r="AP119" s="47"/>
      <c r="AQ119" s="47"/>
      <c r="AR119" s="47"/>
      <c r="AS119" s="47"/>
      <c r="AT119" s="47"/>
      <c r="AU119" s="47"/>
      <c r="AV119" s="263"/>
    </row>
    <row r="120" spans="1:48" s="153" customFormat="1" ht="15" customHeight="1">
      <c r="A120" s="148"/>
      <c r="B120" s="197"/>
      <c r="C120" s="197"/>
      <c r="D120" s="197"/>
      <c r="E120" s="201" t="s">
        <v>522</v>
      </c>
      <c r="F120" s="48"/>
      <c r="G120" s="48"/>
      <c r="H120" s="48"/>
      <c r="I120" s="48"/>
      <c r="J120" s="48"/>
      <c r="K120" s="48"/>
      <c r="L120" s="48"/>
      <c r="M120" s="48"/>
      <c r="N120" s="48"/>
      <c r="O120" s="48"/>
      <c r="P120" s="48"/>
      <c r="Q120" s="48"/>
      <c r="R120" s="48"/>
      <c r="S120" s="151"/>
      <c r="T120" s="151"/>
      <c r="U120" s="151"/>
      <c r="V120" s="151"/>
      <c r="W120" s="151"/>
      <c r="X120" s="151"/>
      <c r="Y120" s="151"/>
      <c r="Z120" s="151"/>
      <c r="AA120" s="151"/>
      <c r="AB120" s="151"/>
      <c r="AC120" s="151"/>
      <c r="AD120" s="151"/>
      <c r="AE120" s="151"/>
      <c r="AF120" s="151"/>
      <c r="AG120" s="213"/>
      <c r="AH120" s="386"/>
      <c r="AI120" s="258"/>
      <c r="AJ120" s="258"/>
      <c r="AK120" s="258"/>
      <c r="AL120" s="47"/>
      <c r="AM120" s="47"/>
      <c r="AN120" s="47"/>
      <c r="AO120" s="47"/>
      <c r="AP120" s="47"/>
      <c r="AQ120" s="47" t="s">
        <v>254</v>
      </c>
      <c r="AR120" s="47"/>
      <c r="AS120" s="47"/>
      <c r="AT120" s="47"/>
      <c r="AU120" s="47"/>
      <c r="AV120" s="263"/>
    </row>
    <row r="121" spans="1:48" s="153" customFormat="1" ht="15" customHeight="1">
      <c r="A121" s="148"/>
      <c r="B121" s="197"/>
      <c r="C121" s="197"/>
      <c r="D121" s="49" t="s">
        <v>528</v>
      </c>
      <c r="E121" s="255"/>
      <c r="F121" s="48"/>
      <c r="G121" s="48"/>
      <c r="H121" s="48"/>
      <c r="I121" s="48"/>
      <c r="J121" s="48"/>
      <c r="K121" s="48"/>
      <c r="L121" s="48"/>
      <c r="M121" s="48"/>
      <c r="N121" s="48"/>
      <c r="O121" s="48"/>
      <c r="P121" s="48"/>
      <c r="Q121" s="48"/>
      <c r="R121" s="48"/>
      <c r="S121" s="151"/>
      <c r="T121" s="151"/>
      <c r="U121" s="151"/>
      <c r="V121" s="151"/>
      <c r="W121" s="151"/>
      <c r="X121" s="151"/>
      <c r="Y121" s="151"/>
      <c r="Z121" s="151"/>
      <c r="AA121" s="151"/>
      <c r="AB121" s="151"/>
      <c r="AC121" s="151"/>
      <c r="AD121" s="151"/>
      <c r="AE121" s="151"/>
      <c r="AF121" s="151"/>
      <c r="AG121" s="213"/>
      <c r="AH121" s="379"/>
      <c r="AI121" s="301"/>
      <c r="AJ121" s="47"/>
      <c r="AK121" s="47"/>
      <c r="AL121" s="47"/>
      <c r="AM121" s="47"/>
      <c r="AN121" s="47"/>
      <c r="AO121" s="47"/>
      <c r="AP121" s="47"/>
      <c r="AQ121" s="47"/>
      <c r="AR121" s="47"/>
      <c r="AS121" s="47"/>
      <c r="AT121" s="47"/>
      <c r="AU121" s="47"/>
      <c r="AV121" s="263"/>
    </row>
    <row r="122" spans="1:48" s="153" customFormat="1" ht="15" customHeight="1">
      <c r="A122" s="148"/>
      <c r="B122" s="197"/>
      <c r="C122" s="197"/>
      <c r="D122" s="197"/>
      <c r="E122" s="201" t="s">
        <v>557</v>
      </c>
      <c r="F122" s="48"/>
      <c r="G122" s="48"/>
      <c r="H122" s="48"/>
      <c r="I122" s="48"/>
      <c r="J122" s="48"/>
      <c r="K122" s="48"/>
      <c r="L122" s="48"/>
      <c r="M122" s="48"/>
      <c r="N122" s="48"/>
      <c r="O122" s="48"/>
      <c r="P122" s="48"/>
      <c r="Q122" s="48"/>
      <c r="R122" s="48"/>
      <c r="S122" s="151"/>
      <c r="T122" s="151"/>
      <c r="U122" s="151"/>
      <c r="V122" s="151"/>
      <c r="W122" s="151"/>
      <c r="X122" s="151"/>
      <c r="Y122" s="151"/>
      <c r="Z122" s="151"/>
      <c r="AA122" s="151"/>
      <c r="AB122" s="151"/>
      <c r="AC122" s="151"/>
      <c r="AD122" s="151"/>
      <c r="AE122" s="151"/>
      <c r="AF122" s="151"/>
      <c r="AG122" s="213"/>
      <c r="AH122" s="379"/>
      <c r="AI122" s="301"/>
      <c r="AJ122" s="47"/>
      <c r="AK122" s="47"/>
      <c r="AL122" s="47"/>
      <c r="AM122" s="47"/>
      <c r="AN122" s="47"/>
      <c r="AO122" s="47"/>
      <c r="AP122" s="47"/>
      <c r="AQ122" s="47"/>
      <c r="AR122" s="47"/>
      <c r="AS122" s="47"/>
      <c r="AT122" s="47"/>
      <c r="AU122" s="47"/>
      <c r="AV122" s="263"/>
    </row>
    <row r="123" spans="1:48" s="153" customFormat="1" ht="15" customHeight="1">
      <c r="A123" s="148"/>
      <c r="B123" s="197"/>
      <c r="C123" s="197"/>
      <c r="D123" s="197"/>
      <c r="E123" s="201" t="s">
        <v>558</v>
      </c>
      <c r="F123" s="48"/>
      <c r="G123" s="48"/>
      <c r="H123" s="48"/>
      <c r="I123" s="48"/>
      <c r="J123" s="48"/>
      <c r="K123" s="48"/>
      <c r="L123" s="48"/>
      <c r="M123" s="48"/>
      <c r="N123" s="48"/>
      <c r="O123" s="48"/>
      <c r="P123" s="48"/>
      <c r="Q123" s="48"/>
      <c r="R123" s="48"/>
      <c r="S123" s="151"/>
      <c r="T123" s="151"/>
      <c r="U123" s="151"/>
      <c r="V123" s="151"/>
      <c r="W123" s="151"/>
      <c r="X123" s="151"/>
      <c r="Y123" s="151"/>
      <c r="Z123" s="151"/>
      <c r="AA123" s="151"/>
      <c r="AB123" s="151"/>
      <c r="AC123" s="151"/>
      <c r="AD123" s="151"/>
      <c r="AE123" s="151"/>
      <c r="AF123" s="151"/>
      <c r="AG123" s="213"/>
      <c r="AH123" s="379"/>
      <c r="AI123" s="301"/>
      <c r="AJ123" s="47"/>
      <c r="AK123" s="47"/>
      <c r="AL123" s="47"/>
      <c r="AM123" s="47"/>
      <c r="AN123" s="47" t="s">
        <v>254</v>
      </c>
      <c r="AO123" s="47"/>
      <c r="AP123" s="47"/>
      <c r="AQ123" s="47"/>
      <c r="AR123" s="47"/>
      <c r="AS123" s="47"/>
      <c r="AT123" s="47"/>
      <c r="AU123" s="47"/>
      <c r="AV123" s="263"/>
    </row>
    <row r="124" spans="1:48" s="153" customFormat="1" ht="15" customHeight="1">
      <c r="A124" s="148"/>
      <c r="B124" s="197"/>
      <c r="C124" s="197"/>
      <c r="D124" s="49" t="s">
        <v>474</v>
      </c>
      <c r="E124" s="48"/>
      <c r="F124" s="48"/>
      <c r="G124" s="48"/>
      <c r="H124" s="48"/>
      <c r="I124" s="48"/>
      <c r="J124" s="48"/>
      <c r="K124" s="48"/>
      <c r="L124" s="48"/>
      <c r="M124" s="48"/>
      <c r="N124" s="48"/>
      <c r="O124" s="48"/>
      <c r="P124" s="48"/>
      <c r="Q124" s="48"/>
      <c r="R124" s="48"/>
      <c r="S124" s="151"/>
      <c r="T124" s="151"/>
      <c r="U124" s="151"/>
      <c r="V124" s="151"/>
      <c r="W124" s="151"/>
      <c r="X124" s="151"/>
      <c r="Y124" s="151"/>
      <c r="Z124" s="151"/>
      <c r="AA124" s="151"/>
      <c r="AB124" s="151"/>
      <c r="AC124" s="151"/>
      <c r="AD124" s="151"/>
      <c r="AE124" s="151"/>
      <c r="AF124" s="151"/>
      <c r="AG124" s="213"/>
      <c r="AH124" s="386"/>
      <c r="AI124" s="47"/>
      <c r="AJ124" s="47"/>
      <c r="AK124" s="47"/>
      <c r="AL124" s="47"/>
      <c r="AM124" s="47"/>
      <c r="AN124" s="47"/>
      <c r="AO124" s="47"/>
      <c r="AP124" s="47"/>
      <c r="AQ124" s="47"/>
      <c r="AR124" s="47"/>
      <c r="AS124" s="47"/>
      <c r="AT124" s="47"/>
      <c r="AU124" s="47"/>
      <c r="AV124" s="263"/>
    </row>
    <row r="125" spans="1:48" s="153" customFormat="1" ht="15" customHeight="1">
      <c r="A125" s="148"/>
      <c r="B125" s="197"/>
      <c r="C125" s="197"/>
      <c r="D125" s="176"/>
      <c r="E125" s="48" t="s">
        <v>92</v>
      </c>
      <c r="F125" s="48"/>
      <c r="G125" s="48"/>
      <c r="H125" s="48"/>
      <c r="I125" s="48"/>
      <c r="J125" s="48"/>
      <c r="K125" s="48"/>
      <c r="L125" s="48"/>
      <c r="M125" s="48"/>
      <c r="N125" s="48"/>
      <c r="O125" s="48"/>
      <c r="P125" s="48"/>
      <c r="Q125" s="48"/>
      <c r="R125" s="48"/>
      <c r="S125" s="151"/>
      <c r="T125" s="151"/>
      <c r="U125" s="151"/>
      <c r="V125" s="151"/>
      <c r="W125" s="151"/>
      <c r="X125" s="151"/>
      <c r="Y125" s="151"/>
      <c r="Z125" s="151"/>
      <c r="AA125" s="151"/>
      <c r="AB125" s="151"/>
      <c r="AC125" s="151"/>
      <c r="AD125" s="151"/>
      <c r="AE125" s="151"/>
      <c r="AF125" s="151"/>
      <c r="AG125" s="213"/>
      <c r="AH125" s="386"/>
      <c r="AI125" s="47"/>
      <c r="AJ125" s="47"/>
      <c r="AK125" s="47"/>
      <c r="AL125" s="47"/>
      <c r="AM125" s="47"/>
      <c r="AN125" s="47"/>
      <c r="AO125" s="47"/>
      <c r="AP125" s="47"/>
      <c r="AQ125" s="47"/>
      <c r="AR125" s="47"/>
      <c r="AS125" s="47"/>
      <c r="AT125" s="47"/>
      <c r="AU125" s="47"/>
      <c r="AV125" s="263"/>
    </row>
    <row r="126" spans="1:48" s="153" customFormat="1" ht="15" customHeight="1">
      <c r="A126" s="148"/>
      <c r="B126" s="197"/>
      <c r="C126" s="197"/>
      <c r="D126" s="176"/>
      <c r="E126" s="177"/>
      <c r="F126" s="48" t="s">
        <v>475</v>
      </c>
      <c r="G126" s="48"/>
      <c r="H126" s="48"/>
      <c r="I126" s="48"/>
      <c r="J126" s="48"/>
      <c r="K126" s="48"/>
      <c r="L126" s="48"/>
      <c r="M126" s="48"/>
      <c r="N126" s="48"/>
      <c r="O126" s="48"/>
      <c r="P126" s="48"/>
      <c r="Q126" s="48"/>
      <c r="R126" s="48"/>
      <c r="S126" s="151"/>
      <c r="T126" s="151"/>
      <c r="U126" s="151"/>
      <c r="V126" s="151"/>
      <c r="W126" s="151"/>
      <c r="X126" s="151"/>
      <c r="Y126" s="151"/>
      <c r="Z126" s="151"/>
      <c r="AA126" s="151"/>
      <c r="AB126" s="151"/>
      <c r="AC126" s="151"/>
      <c r="AD126" s="151"/>
      <c r="AE126" s="151"/>
      <c r="AF126" s="151"/>
      <c r="AG126" s="213"/>
      <c r="AH126" s="379"/>
      <c r="AI126" s="258" t="s">
        <v>254</v>
      </c>
      <c r="AJ126" s="258" t="s">
        <v>254</v>
      </c>
      <c r="AK126" s="258" t="s">
        <v>254</v>
      </c>
      <c r="AL126" s="47" t="s">
        <v>254</v>
      </c>
      <c r="AM126" s="47" t="s">
        <v>254</v>
      </c>
      <c r="AN126" s="47" t="s">
        <v>254</v>
      </c>
      <c r="AO126" s="47"/>
      <c r="AP126" s="47"/>
      <c r="AQ126" s="47"/>
      <c r="AR126" s="493" t="s">
        <v>711</v>
      </c>
      <c r="AS126" s="47"/>
      <c r="AT126" s="47"/>
      <c r="AU126" s="47"/>
      <c r="AV126" s="263"/>
    </row>
    <row r="127" spans="1:48" s="153" customFormat="1" ht="15" customHeight="1">
      <c r="A127" s="148"/>
      <c r="B127" s="197"/>
      <c r="C127" s="197"/>
      <c r="D127" s="176"/>
      <c r="E127" s="48" t="s">
        <v>81</v>
      </c>
      <c r="F127" s="48"/>
      <c r="G127" s="48"/>
      <c r="H127" s="48"/>
      <c r="I127" s="48"/>
      <c r="J127" s="48"/>
      <c r="K127" s="48"/>
      <c r="L127" s="48"/>
      <c r="M127" s="48"/>
      <c r="N127" s="48"/>
      <c r="O127" s="48"/>
      <c r="P127" s="48"/>
      <c r="Q127" s="48"/>
      <c r="R127" s="48"/>
      <c r="S127" s="151"/>
      <c r="T127" s="151"/>
      <c r="U127" s="151"/>
      <c r="V127" s="151"/>
      <c r="W127" s="151"/>
      <c r="X127" s="151"/>
      <c r="Y127" s="151"/>
      <c r="Z127" s="151"/>
      <c r="AA127" s="151"/>
      <c r="AB127" s="151"/>
      <c r="AC127" s="151"/>
      <c r="AD127" s="151"/>
      <c r="AE127" s="151"/>
      <c r="AF127" s="151"/>
      <c r="AG127" s="213"/>
      <c r="AH127" s="386"/>
      <c r="AI127" s="47"/>
      <c r="AJ127" s="47"/>
      <c r="AK127" s="47"/>
      <c r="AL127" s="47"/>
      <c r="AM127" s="47"/>
      <c r="AN127" s="47"/>
      <c r="AO127" s="47"/>
      <c r="AP127" s="47"/>
      <c r="AQ127" s="47"/>
      <c r="AR127" s="47"/>
      <c r="AS127" s="47"/>
      <c r="AT127" s="47"/>
      <c r="AU127" s="47"/>
      <c r="AV127" s="263"/>
    </row>
    <row r="128" spans="1:48" s="153" customFormat="1" ht="15" customHeight="1">
      <c r="A128" s="148"/>
      <c r="B128" s="197"/>
      <c r="C128" s="197"/>
      <c r="D128" s="176"/>
      <c r="E128" s="176"/>
      <c r="F128" s="150" t="s">
        <v>455</v>
      </c>
      <c r="G128" s="48"/>
      <c r="H128" s="48"/>
      <c r="I128" s="48"/>
      <c r="J128" s="48"/>
      <c r="K128" s="48"/>
      <c r="L128" s="48"/>
      <c r="M128" s="48"/>
      <c r="N128" s="48"/>
      <c r="O128" s="48"/>
      <c r="P128" s="48"/>
      <c r="Q128" s="48"/>
      <c r="R128" s="48"/>
      <c r="S128" s="151"/>
      <c r="T128" s="151"/>
      <c r="U128" s="151"/>
      <c r="V128" s="151"/>
      <c r="W128" s="151"/>
      <c r="X128" s="151"/>
      <c r="Y128" s="151"/>
      <c r="Z128" s="151"/>
      <c r="AA128" s="151"/>
      <c r="AB128" s="151"/>
      <c r="AC128" s="151"/>
      <c r="AD128" s="151"/>
      <c r="AE128" s="151"/>
      <c r="AF128" s="151"/>
      <c r="AG128" s="213"/>
      <c r="AH128" s="386"/>
      <c r="AI128" s="258" t="s">
        <v>254</v>
      </c>
      <c r="AJ128" s="47"/>
      <c r="AK128" s="258" t="s">
        <v>254</v>
      </c>
      <c r="AL128" s="47"/>
      <c r="AM128" s="47" t="s">
        <v>254</v>
      </c>
      <c r="AN128" s="47"/>
      <c r="AO128" s="47"/>
      <c r="AP128" s="47"/>
      <c r="AQ128" s="47"/>
      <c r="AR128" s="47"/>
      <c r="AS128" s="47"/>
      <c r="AT128" s="47"/>
      <c r="AU128" s="47"/>
      <c r="AV128" s="263"/>
    </row>
    <row r="129" spans="1:48" s="153" customFormat="1" ht="15" customHeight="1">
      <c r="A129" s="148"/>
      <c r="B129" s="197"/>
      <c r="C129" s="197"/>
      <c r="D129" s="176"/>
      <c r="E129" s="176"/>
      <c r="F129" s="48" t="s">
        <v>456</v>
      </c>
      <c r="G129" s="48"/>
      <c r="H129" s="48"/>
      <c r="I129" s="48"/>
      <c r="J129" s="48"/>
      <c r="K129" s="48"/>
      <c r="L129" s="48"/>
      <c r="M129" s="48"/>
      <c r="N129" s="48"/>
      <c r="O129" s="48"/>
      <c r="P129" s="48"/>
      <c r="Q129" s="48"/>
      <c r="R129" s="48"/>
      <c r="S129" s="151"/>
      <c r="T129" s="151"/>
      <c r="U129" s="151"/>
      <c r="V129" s="151"/>
      <c r="W129" s="151"/>
      <c r="X129" s="151"/>
      <c r="Y129" s="151"/>
      <c r="Z129" s="151"/>
      <c r="AA129" s="151"/>
      <c r="AB129" s="151"/>
      <c r="AC129" s="151"/>
      <c r="AD129" s="151"/>
      <c r="AE129" s="151"/>
      <c r="AF129" s="151"/>
      <c r="AG129" s="213"/>
      <c r="AH129" s="386"/>
      <c r="AI129" s="47"/>
      <c r="AJ129" s="258" t="s">
        <v>254</v>
      </c>
      <c r="AK129" s="47"/>
      <c r="AL129" s="47" t="s">
        <v>254</v>
      </c>
      <c r="AM129" s="47"/>
      <c r="AN129" s="47" t="s">
        <v>254</v>
      </c>
      <c r="AO129" s="47"/>
      <c r="AP129" s="47"/>
      <c r="AQ129" s="47"/>
      <c r="AR129" s="493" t="s">
        <v>711</v>
      </c>
      <c r="AS129" s="47"/>
      <c r="AT129" s="47"/>
      <c r="AU129" s="47"/>
      <c r="AV129" s="263"/>
    </row>
    <row r="130" spans="1:48" s="153" customFormat="1" ht="15" customHeight="1">
      <c r="A130" s="148"/>
      <c r="B130" s="197"/>
      <c r="C130" s="197"/>
      <c r="D130" s="176"/>
      <c r="E130" s="49" t="s">
        <v>476</v>
      </c>
      <c r="F130" s="48"/>
      <c r="G130" s="48"/>
      <c r="H130" s="48"/>
      <c r="I130" s="48"/>
      <c r="J130" s="48"/>
      <c r="K130" s="48"/>
      <c r="L130" s="48"/>
      <c r="M130" s="48"/>
      <c r="N130" s="48"/>
      <c r="O130" s="48"/>
      <c r="P130" s="48"/>
      <c r="Q130" s="48"/>
      <c r="R130" s="48"/>
      <c r="S130" s="151"/>
      <c r="T130" s="151"/>
      <c r="U130" s="151"/>
      <c r="V130" s="151"/>
      <c r="W130" s="151"/>
      <c r="X130" s="151"/>
      <c r="Y130" s="151"/>
      <c r="Z130" s="151"/>
      <c r="AA130" s="151"/>
      <c r="AB130" s="151"/>
      <c r="AC130" s="151"/>
      <c r="AD130" s="151"/>
      <c r="AE130" s="151"/>
      <c r="AF130" s="151"/>
      <c r="AG130" s="213"/>
      <c r="AH130" s="379"/>
      <c r="AI130" s="301"/>
      <c r="AJ130" s="47"/>
      <c r="AK130" s="47"/>
      <c r="AL130" s="47"/>
      <c r="AM130" s="47"/>
      <c r="AN130" s="47"/>
      <c r="AO130" s="47"/>
      <c r="AP130" s="47"/>
      <c r="AQ130" s="47"/>
      <c r="AR130" s="47"/>
      <c r="AS130" s="47"/>
      <c r="AT130" s="47"/>
      <c r="AU130" s="47"/>
      <c r="AV130" s="263"/>
    </row>
    <row r="131" spans="1:48" s="153" customFormat="1" ht="15" customHeight="1">
      <c r="A131" s="148"/>
      <c r="B131" s="197"/>
      <c r="C131" s="197"/>
      <c r="D131" s="176"/>
      <c r="E131" s="197"/>
      <c r="F131" s="501" t="s">
        <v>675</v>
      </c>
      <c r="G131" s="498"/>
      <c r="H131" s="498"/>
      <c r="I131" s="490"/>
      <c r="J131" s="490"/>
      <c r="K131" s="48"/>
      <c r="L131" s="48"/>
      <c r="M131" s="48"/>
      <c r="N131" s="48"/>
      <c r="O131" s="48"/>
      <c r="P131" s="48"/>
      <c r="Q131" s="48"/>
      <c r="R131" s="48"/>
      <c r="S131" s="151"/>
      <c r="T131" s="151"/>
      <c r="U131" s="151"/>
      <c r="V131" s="151"/>
      <c r="W131" s="151"/>
      <c r="X131" s="151"/>
      <c r="Y131" s="151"/>
      <c r="Z131" s="151"/>
      <c r="AA131" s="151"/>
      <c r="AB131" s="151"/>
      <c r="AC131" s="151"/>
      <c r="AD131" s="151"/>
      <c r="AE131" s="151"/>
      <c r="AF131" s="151"/>
      <c r="AG131" s="213"/>
      <c r="AH131" s="379"/>
      <c r="AI131" s="258" t="s">
        <v>254</v>
      </c>
      <c r="AJ131" s="47"/>
      <c r="AK131" s="258" t="s">
        <v>254</v>
      </c>
      <c r="AL131" s="47"/>
      <c r="AM131" s="47" t="s">
        <v>254</v>
      </c>
      <c r="AN131" s="47"/>
      <c r="AO131" s="47"/>
      <c r="AP131" s="47"/>
      <c r="AQ131" s="47"/>
      <c r="AR131" s="47"/>
      <c r="AS131" s="47"/>
      <c r="AT131" s="47"/>
      <c r="AU131" s="47"/>
      <c r="AV131" s="263"/>
    </row>
    <row r="132" spans="1:48" s="153" customFormat="1" ht="15" customHeight="1">
      <c r="A132" s="148"/>
      <c r="B132" s="197"/>
      <c r="C132" s="197"/>
      <c r="D132" s="176"/>
      <c r="E132" s="177"/>
      <c r="F132" s="501" t="s">
        <v>676</v>
      </c>
      <c r="G132" s="498"/>
      <c r="H132" s="498"/>
      <c r="I132" s="490"/>
      <c r="J132" s="490"/>
      <c r="K132" s="48"/>
      <c r="L132" s="48"/>
      <c r="M132" s="48"/>
      <c r="N132" s="48"/>
      <c r="O132" s="48"/>
      <c r="P132" s="48"/>
      <c r="Q132" s="48"/>
      <c r="R132" s="48"/>
      <c r="S132" s="151"/>
      <c r="T132" s="151"/>
      <c r="U132" s="151"/>
      <c r="V132" s="151"/>
      <c r="W132" s="151"/>
      <c r="X132" s="151"/>
      <c r="Y132" s="151"/>
      <c r="Z132" s="151"/>
      <c r="AA132" s="151"/>
      <c r="AB132" s="151"/>
      <c r="AC132" s="151"/>
      <c r="AD132" s="151"/>
      <c r="AE132" s="151"/>
      <c r="AF132" s="151"/>
      <c r="AG132" s="213"/>
      <c r="AH132" s="386"/>
      <c r="AI132" s="47"/>
      <c r="AJ132" s="258" t="s">
        <v>254</v>
      </c>
      <c r="AK132" s="47"/>
      <c r="AL132" s="47" t="s">
        <v>254</v>
      </c>
      <c r="AM132" s="47"/>
      <c r="AN132" s="47" t="s">
        <v>254</v>
      </c>
      <c r="AO132" s="47"/>
      <c r="AP132" s="47"/>
      <c r="AQ132" s="47"/>
      <c r="AR132" s="493" t="s">
        <v>711</v>
      </c>
      <c r="AS132" s="47"/>
      <c r="AT132" s="47"/>
      <c r="AU132" s="47"/>
      <c r="AV132" s="263"/>
    </row>
    <row r="133" spans="1:48" s="153" customFormat="1" ht="15" customHeight="1">
      <c r="A133" s="148"/>
      <c r="B133" s="197"/>
      <c r="C133" s="197"/>
      <c r="D133" s="176"/>
      <c r="E133" s="48" t="s">
        <v>477</v>
      </c>
      <c r="F133" s="48"/>
      <c r="G133" s="48"/>
      <c r="H133" s="48"/>
      <c r="I133" s="48"/>
      <c r="J133" s="48"/>
      <c r="K133" s="48"/>
      <c r="L133" s="48"/>
      <c r="M133" s="48"/>
      <c r="N133" s="48"/>
      <c r="O133" s="48"/>
      <c r="P133" s="48"/>
      <c r="Q133" s="48"/>
      <c r="R133" s="48"/>
      <c r="S133" s="151"/>
      <c r="T133" s="151"/>
      <c r="U133" s="151"/>
      <c r="V133" s="151"/>
      <c r="W133" s="151"/>
      <c r="X133" s="151"/>
      <c r="Y133" s="151"/>
      <c r="Z133" s="151"/>
      <c r="AA133" s="151"/>
      <c r="AB133" s="151"/>
      <c r="AC133" s="151"/>
      <c r="AD133" s="151"/>
      <c r="AE133" s="151"/>
      <c r="AF133" s="151"/>
      <c r="AG133" s="213"/>
      <c r="AH133" s="386"/>
      <c r="AI133" s="258"/>
      <c r="AJ133" s="47"/>
      <c r="AK133" s="47"/>
      <c r="AL133" s="47"/>
      <c r="AM133" s="47"/>
      <c r="AN133" s="47"/>
      <c r="AO133" s="47"/>
      <c r="AP133" s="47"/>
      <c r="AQ133" s="47"/>
      <c r="AR133" s="47"/>
      <c r="AS133" s="47"/>
      <c r="AT133" s="47"/>
      <c r="AU133" s="47"/>
      <c r="AV133" s="263"/>
    </row>
    <row r="134" spans="1:48" s="153" customFormat="1" ht="15" customHeight="1">
      <c r="A134" s="148"/>
      <c r="B134" s="197"/>
      <c r="C134" s="197"/>
      <c r="D134" s="176"/>
      <c r="E134" s="176"/>
      <c r="F134" s="426" t="s">
        <v>561</v>
      </c>
      <c r="G134" s="427"/>
      <c r="H134" s="48"/>
      <c r="I134" s="48"/>
      <c r="J134" s="48"/>
      <c r="K134" s="48"/>
      <c r="L134" s="48"/>
      <c r="M134" s="48"/>
      <c r="N134" s="48"/>
      <c r="O134" s="48"/>
      <c r="P134" s="48"/>
      <c r="Q134" s="48"/>
      <c r="R134" s="48"/>
      <c r="S134" s="151"/>
      <c r="T134" s="151"/>
      <c r="U134" s="151"/>
      <c r="V134" s="151"/>
      <c r="W134" s="151"/>
      <c r="X134" s="151"/>
      <c r="Y134" s="151"/>
      <c r="Z134" s="151"/>
      <c r="AA134" s="151"/>
      <c r="AB134" s="151"/>
      <c r="AC134" s="151"/>
      <c r="AD134" s="151"/>
      <c r="AE134" s="151"/>
      <c r="AF134" s="151"/>
      <c r="AG134" s="213"/>
      <c r="AH134" s="379"/>
      <c r="AI134" s="301" t="s">
        <v>254</v>
      </c>
      <c r="AJ134" s="47"/>
      <c r="AK134" s="47"/>
      <c r="AL134" s="47"/>
      <c r="AM134" s="502"/>
      <c r="AN134" s="47"/>
      <c r="AO134" s="47"/>
      <c r="AP134" s="47"/>
      <c r="AQ134" s="47"/>
      <c r="AR134" s="47"/>
      <c r="AS134" s="47"/>
      <c r="AT134" s="47"/>
      <c r="AU134" s="47"/>
      <c r="AV134" s="263"/>
    </row>
    <row r="135" spans="1:48" s="153" customFormat="1" ht="15" customHeight="1">
      <c r="A135" s="148"/>
      <c r="B135" s="197"/>
      <c r="C135" s="197"/>
      <c r="D135" s="176"/>
      <c r="E135" s="176"/>
      <c r="F135" s="426" t="s">
        <v>562</v>
      </c>
      <c r="G135" s="427"/>
      <c r="H135" s="48"/>
      <c r="I135" s="48"/>
      <c r="J135" s="48"/>
      <c r="K135" s="48"/>
      <c r="L135" s="48"/>
      <c r="M135" s="48"/>
      <c r="N135" s="48"/>
      <c r="O135" s="48"/>
      <c r="P135" s="48"/>
      <c r="Q135" s="48"/>
      <c r="R135" s="48"/>
      <c r="S135" s="151"/>
      <c r="T135" s="151"/>
      <c r="U135" s="151"/>
      <c r="V135" s="151"/>
      <c r="W135" s="151"/>
      <c r="X135" s="151"/>
      <c r="Y135" s="151"/>
      <c r="Z135" s="151"/>
      <c r="AA135" s="151"/>
      <c r="AB135" s="151"/>
      <c r="AC135" s="151"/>
      <c r="AD135" s="151"/>
      <c r="AE135" s="151"/>
      <c r="AF135" s="151"/>
      <c r="AG135" s="213"/>
      <c r="AH135" s="386"/>
      <c r="AI135" s="47"/>
      <c r="AJ135" s="258" t="s">
        <v>254</v>
      </c>
      <c r="AK135" s="47"/>
      <c r="AL135" s="47"/>
      <c r="AM135" s="47"/>
      <c r="AN135" s="47"/>
      <c r="AO135" s="47"/>
      <c r="AP135" s="47"/>
      <c r="AQ135" s="47"/>
      <c r="AR135" s="47"/>
      <c r="AS135" s="47"/>
      <c r="AT135" s="47"/>
      <c r="AU135" s="47"/>
      <c r="AV135" s="263"/>
    </row>
    <row r="136" spans="1:48" s="153" customFormat="1" ht="15" customHeight="1">
      <c r="A136" s="148"/>
      <c r="B136" s="197"/>
      <c r="C136" s="197"/>
      <c r="D136" s="176"/>
      <c r="F136" s="428" t="s">
        <v>563</v>
      </c>
      <c r="G136" s="429"/>
      <c r="H136" s="48"/>
      <c r="I136" s="48"/>
      <c r="J136" s="48"/>
      <c r="K136" s="48"/>
      <c r="L136" s="48"/>
      <c r="M136" s="48"/>
      <c r="N136" s="48"/>
      <c r="O136" s="48"/>
      <c r="P136" s="48"/>
      <c r="Q136" s="48"/>
      <c r="R136" s="48"/>
      <c r="S136" s="151"/>
      <c r="T136" s="151"/>
      <c r="U136" s="151"/>
      <c r="V136" s="151"/>
      <c r="W136" s="151"/>
      <c r="X136" s="151"/>
      <c r="Y136" s="151"/>
      <c r="Z136" s="151"/>
      <c r="AA136" s="151"/>
      <c r="AB136" s="151"/>
      <c r="AC136" s="151"/>
      <c r="AD136" s="151"/>
      <c r="AE136" s="151"/>
      <c r="AF136" s="151"/>
      <c r="AG136" s="213"/>
      <c r="AH136" s="386"/>
      <c r="AI136" s="47"/>
      <c r="AJ136" s="47"/>
      <c r="AK136" s="258" t="s">
        <v>254</v>
      </c>
      <c r="AL136" s="47" t="s">
        <v>254</v>
      </c>
      <c r="AM136" s="494"/>
      <c r="AN136" s="47"/>
      <c r="AO136" s="47"/>
      <c r="AP136" s="47"/>
      <c r="AQ136" s="47"/>
      <c r="AR136" s="493" t="s">
        <v>254</v>
      </c>
      <c r="AS136" s="47"/>
      <c r="AT136" s="47"/>
      <c r="AU136" s="47"/>
      <c r="AV136" s="263"/>
    </row>
    <row r="137" spans="1:48" s="153" customFormat="1" ht="15" customHeight="1">
      <c r="A137" s="148"/>
      <c r="B137" s="197"/>
      <c r="C137" s="197"/>
      <c r="D137" s="176"/>
      <c r="F137" s="501" t="s">
        <v>721</v>
      </c>
      <c r="G137" s="497"/>
      <c r="H137" s="497"/>
      <c r="I137" s="497"/>
      <c r="J137" s="498"/>
      <c r="K137" s="498"/>
      <c r="L137" s="498"/>
      <c r="M137" s="498"/>
      <c r="N137" s="498"/>
      <c r="O137" s="498"/>
      <c r="P137" s="498"/>
      <c r="Q137" s="498"/>
      <c r="R137" s="498"/>
      <c r="S137" s="499"/>
      <c r="T137" s="499"/>
      <c r="U137" s="496"/>
      <c r="V137" s="496"/>
      <c r="W137" s="151"/>
      <c r="X137" s="151"/>
      <c r="Y137" s="151"/>
      <c r="Z137" s="151"/>
      <c r="AA137" s="151"/>
      <c r="AB137" s="151"/>
      <c r="AC137" s="151"/>
      <c r="AD137" s="151"/>
      <c r="AE137" s="151"/>
      <c r="AF137" s="151"/>
      <c r="AG137" s="213"/>
      <c r="AH137" s="386"/>
      <c r="AI137" s="47"/>
      <c r="AJ137" s="47"/>
      <c r="AK137" s="258"/>
      <c r="AL137" s="47"/>
      <c r="AM137" s="493" t="s">
        <v>711</v>
      </c>
      <c r="AN137" s="493" t="s">
        <v>711</v>
      </c>
      <c r="AO137" s="47"/>
      <c r="AP137" s="47"/>
      <c r="AQ137" s="47"/>
      <c r="AR137" s="47"/>
      <c r="AS137" s="47"/>
      <c r="AT137" s="47"/>
      <c r="AU137" s="47"/>
      <c r="AV137" s="263"/>
    </row>
    <row r="138" spans="1:48" s="153" customFormat="1" ht="15" customHeight="1">
      <c r="A138" s="148"/>
      <c r="B138" s="197"/>
      <c r="C138" s="197"/>
      <c r="D138" s="176"/>
      <c r="E138" s="428" t="s">
        <v>478</v>
      </c>
      <c r="F138" s="427"/>
      <c r="G138" s="427"/>
      <c r="H138" s="427"/>
      <c r="I138" s="427"/>
      <c r="J138" s="151"/>
      <c r="K138" s="48"/>
      <c r="L138" s="48"/>
      <c r="M138" s="48"/>
      <c r="N138" s="48"/>
      <c r="O138" s="48"/>
      <c r="P138" s="48"/>
      <c r="Q138" s="48"/>
      <c r="R138" s="48"/>
      <c r="S138" s="151"/>
      <c r="T138" s="151"/>
      <c r="U138" s="151"/>
      <c r="V138" s="151"/>
      <c r="W138" s="151"/>
      <c r="X138" s="151"/>
      <c r="Y138" s="151"/>
      <c r="Z138" s="151"/>
      <c r="AA138" s="151"/>
      <c r="AB138" s="151"/>
      <c r="AC138" s="151"/>
      <c r="AD138" s="151"/>
      <c r="AE138" s="151"/>
      <c r="AF138" s="151"/>
      <c r="AG138" s="213"/>
      <c r="AH138" s="379"/>
      <c r="AI138" s="301"/>
      <c r="AJ138" s="47"/>
      <c r="AK138" s="47"/>
      <c r="AL138" s="47"/>
      <c r="AM138" s="47"/>
      <c r="AN138" s="47"/>
      <c r="AO138" s="47"/>
      <c r="AP138" s="47"/>
      <c r="AQ138" s="47"/>
      <c r="AR138" s="47"/>
      <c r="AS138" s="47"/>
      <c r="AT138" s="47"/>
      <c r="AU138" s="47"/>
      <c r="AV138" s="263"/>
    </row>
    <row r="139" spans="1:48" s="153" customFormat="1" ht="15" customHeight="1">
      <c r="A139" s="148"/>
      <c r="B139" s="197"/>
      <c r="C139" s="197"/>
      <c r="D139" s="176"/>
      <c r="E139" s="430"/>
      <c r="F139" s="426" t="s">
        <v>1</v>
      </c>
      <c r="G139" s="427"/>
      <c r="H139" s="427"/>
      <c r="I139" s="427"/>
      <c r="J139" s="48"/>
      <c r="K139" s="48"/>
      <c r="L139" s="48"/>
      <c r="M139" s="48"/>
      <c r="N139" s="48"/>
      <c r="O139" s="48"/>
      <c r="P139" s="48"/>
      <c r="Q139" s="48"/>
      <c r="R139" s="48"/>
      <c r="S139" s="151"/>
      <c r="T139" s="151"/>
      <c r="U139" s="151"/>
      <c r="V139" s="151"/>
      <c r="W139" s="151"/>
      <c r="X139" s="151"/>
      <c r="Y139" s="151"/>
      <c r="Z139" s="151"/>
      <c r="AA139" s="151"/>
      <c r="AB139" s="151"/>
      <c r="AC139" s="151"/>
      <c r="AD139" s="151"/>
      <c r="AE139" s="151"/>
      <c r="AF139" s="151"/>
      <c r="AG139" s="213"/>
      <c r="AH139" s="386"/>
      <c r="AI139" s="258" t="s">
        <v>254</v>
      </c>
      <c r="AJ139" s="47"/>
      <c r="AK139" s="47"/>
      <c r="AL139" s="47"/>
      <c r="AM139" s="502"/>
      <c r="AN139" s="47"/>
      <c r="AO139" s="47"/>
      <c r="AP139" s="47"/>
      <c r="AQ139" s="47"/>
      <c r="AR139" s="493" t="s">
        <v>711</v>
      </c>
      <c r="AS139" s="47"/>
      <c r="AT139" s="47"/>
      <c r="AU139" s="47"/>
      <c r="AV139" s="263"/>
    </row>
    <row r="140" spans="1:48" s="153" customFormat="1" ht="15" customHeight="1">
      <c r="A140" s="148"/>
      <c r="B140" s="197"/>
      <c r="C140" s="197"/>
      <c r="D140" s="176"/>
      <c r="E140" s="430"/>
      <c r="F140" s="428" t="s">
        <v>479</v>
      </c>
      <c r="G140" s="429"/>
      <c r="H140" s="427"/>
      <c r="I140" s="427"/>
      <c r="J140" s="48"/>
      <c r="K140" s="48"/>
      <c r="L140" s="48"/>
      <c r="M140" s="48"/>
      <c r="N140" s="48"/>
      <c r="O140" s="48"/>
      <c r="P140" s="48"/>
      <c r="Q140" s="48"/>
      <c r="R140" s="48"/>
      <c r="S140" s="151"/>
      <c r="T140" s="151"/>
      <c r="U140" s="151"/>
      <c r="V140" s="151"/>
      <c r="W140" s="151"/>
      <c r="X140" s="151"/>
      <c r="Y140" s="151"/>
      <c r="Z140" s="151"/>
      <c r="AA140" s="151"/>
      <c r="AB140" s="151"/>
      <c r="AC140" s="151"/>
      <c r="AD140" s="151"/>
      <c r="AE140" s="151"/>
      <c r="AF140" s="151"/>
      <c r="AG140" s="213"/>
      <c r="AH140" s="386"/>
      <c r="AI140" s="47"/>
      <c r="AJ140" s="47"/>
      <c r="AK140" s="47"/>
      <c r="AL140" s="47"/>
      <c r="AM140" s="47"/>
      <c r="AN140" s="47"/>
      <c r="AO140" s="47"/>
      <c r="AP140" s="47"/>
      <c r="AQ140" s="47"/>
      <c r="AR140" s="47"/>
      <c r="AS140" s="47"/>
      <c r="AT140" s="47"/>
      <c r="AU140" s="47"/>
      <c r="AV140" s="263"/>
    </row>
    <row r="141" spans="1:48" s="153" customFormat="1" ht="15" customHeight="1">
      <c r="A141" s="148"/>
      <c r="B141" s="197"/>
      <c r="C141" s="197"/>
      <c r="D141" s="176"/>
      <c r="E141" s="430"/>
      <c r="F141" s="431"/>
      <c r="G141" s="426" t="s">
        <v>480</v>
      </c>
      <c r="H141" s="427"/>
      <c r="I141" s="427"/>
      <c r="J141" s="48"/>
      <c r="K141" s="48"/>
      <c r="L141" s="48"/>
      <c r="M141" s="48"/>
      <c r="N141" s="48"/>
      <c r="O141" s="48"/>
      <c r="P141" s="48"/>
      <c r="Q141" s="48"/>
      <c r="R141" s="48"/>
      <c r="S141" s="151"/>
      <c r="T141" s="151"/>
      <c r="U141" s="151"/>
      <c r="V141" s="151"/>
      <c r="W141" s="151"/>
      <c r="X141" s="151"/>
      <c r="Y141" s="151"/>
      <c r="Z141" s="151"/>
      <c r="AA141" s="151"/>
      <c r="AB141" s="151"/>
      <c r="AC141" s="151"/>
      <c r="AD141" s="151"/>
      <c r="AE141" s="151"/>
      <c r="AF141" s="151"/>
      <c r="AG141" s="213"/>
      <c r="AH141" s="379"/>
      <c r="AI141" s="301"/>
      <c r="AJ141" s="258" t="s">
        <v>254</v>
      </c>
      <c r="AK141" s="47"/>
      <c r="AL141" s="47"/>
      <c r="AM141" s="47"/>
      <c r="AN141" s="47"/>
      <c r="AO141" s="47"/>
      <c r="AP141" s="47"/>
      <c r="AQ141" s="47"/>
      <c r="AR141" s="47"/>
      <c r="AS141" s="47"/>
      <c r="AT141" s="47"/>
      <c r="AU141" s="47"/>
      <c r="AV141" s="263"/>
    </row>
    <row r="142" spans="1:48" s="153" customFormat="1" ht="15" customHeight="1">
      <c r="A142" s="148"/>
      <c r="B142" s="197"/>
      <c r="C142" s="197"/>
      <c r="D142" s="176"/>
      <c r="E142" s="430"/>
      <c r="F142" s="432" t="s">
        <v>481</v>
      </c>
      <c r="G142" s="427"/>
      <c r="H142" s="427"/>
      <c r="I142" s="427"/>
      <c r="J142" s="48"/>
      <c r="K142" s="48"/>
      <c r="L142" s="48"/>
      <c r="M142" s="48"/>
      <c r="N142" s="48"/>
      <c r="O142" s="48"/>
      <c r="P142" s="48"/>
      <c r="Q142" s="48"/>
      <c r="R142" s="48"/>
      <c r="S142" s="151"/>
      <c r="T142" s="151"/>
      <c r="U142" s="151"/>
      <c r="V142" s="151"/>
      <c r="W142" s="151"/>
      <c r="X142" s="151"/>
      <c r="Y142" s="151"/>
      <c r="Z142" s="151"/>
      <c r="AA142" s="151"/>
      <c r="AB142" s="151"/>
      <c r="AC142" s="151"/>
      <c r="AD142" s="151"/>
      <c r="AE142" s="151"/>
      <c r="AF142" s="151"/>
      <c r="AG142" s="213"/>
      <c r="AH142" s="386"/>
      <c r="AI142" s="47"/>
      <c r="AJ142" s="47"/>
      <c r="AK142" s="258" t="s">
        <v>254</v>
      </c>
      <c r="AL142" s="47" t="s">
        <v>254</v>
      </c>
      <c r="AM142" s="47"/>
      <c r="AN142" s="47"/>
      <c r="AO142" s="47"/>
      <c r="AP142" s="47"/>
      <c r="AQ142" s="47"/>
      <c r="AR142" s="47"/>
      <c r="AS142" s="47"/>
      <c r="AT142" s="47"/>
      <c r="AU142" s="47"/>
      <c r="AV142" s="263"/>
    </row>
    <row r="143" spans="1:48" s="153" customFormat="1" ht="15" customHeight="1">
      <c r="A143" s="148"/>
      <c r="B143" s="197"/>
      <c r="C143" s="197"/>
      <c r="D143" s="176"/>
      <c r="E143" s="500"/>
      <c r="F143" s="501" t="s">
        <v>721</v>
      </c>
      <c r="G143" s="497"/>
      <c r="H143" s="497"/>
      <c r="I143" s="497"/>
      <c r="J143" s="498"/>
      <c r="K143" s="498"/>
      <c r="L143" s="498"/>
      <c r="M143" s="498"/>
      <c r="N143" s="498"/>
      <c r="O143" s="498"/>
      <c r="P143" s="498"/>
      <c r="Q143" s="498"/>
      <c r="R143" s="498"/>
      <c r="S143" s="499"/>
      <c r="T143" s="499"/>
      <c r="U143" s="496"/>
      <c r="V143" s="496"/>
      <c r="W143" s="151"/>
      <c r="X143" s="151"/>
      <c r="Y143" s="151"/>
      <c r="Z143" s="151"/>
      <c r="AA143" s="151"/>
      <c r="AB143" s="151"/>
      <c r="AC143" s="151"/>
      <c r="AD143" s="151"/>
      <c r="AE143" s="151"/>
      <c r="AF143" s="151"/>
      <c r="AG143" s="213"/>
      <c r="AH143" s="386"/>
      <c r="AI143" s="47"/>
      <c r="AJ143" s="47"/>
      <c r="AK143" s="258"/>
      <c r="AL143" s="47"/>
      <c r="AM143" s="493" t="s">
        <v>711</v>
      </c>
      <c r="AN143" s="493" t="s">
        <v>711</v>
      </c>
      <c r="AO143" s="47"/>
      <c r="AP143" s="47"/>
      <c r="AQ143" s="47"/>
      <c r="AR143" s="47"/>
      <c r="AS143" s="47"/>
      <c r="AT143" s="47"/>
      <c r="AU143" s="47"/>
      <c r="AV143" s="263"/>
    </row>
    <row r="144" spans="1:48" s="153" customFormat="1" ht="15" customHeight="1">
      <c r="A144" s="148"/>
      <c r="B144" s="197"/>
      <c r="C144" s="197"/>
      <c r="D144" s="176"/>
      <c r="E144" s="48" t="s">
        <v>482</v>
      </c>
      <c r="F144" s="48"/>
      <c r="G144" s="48"/>
      <c r="H144" s="48"/>
      <c r="I144" s="48"/>
      <c r="J144" s="48"/>
      <c r="K144" s="48"/>
      <c r="L144" s="48"/>
      <c r="M144" s="48"/>
      <c r="N144" s="48"/>
      <c r="O144" s="48"/>
      <c r="P144" s="48"/>
      <c r="Q144" s="48"/>
      <c r="R144" s="48"/>
      <c r="S144" s="151"/>
      <c r="T144" s="151"/>
      <c r="U144" s="151"/>
      <c r="V144" s="151"/>
      <c r="W144" s="151"/>
      <c r="X144" s="151"/>
      <c r="Y144" s="151"/>
      <c r="Z144" s="151"/>
      <c r="AA144" s="151"/>
      <c r="AB144" s="151"/>
      <c r="AC144" s="151"/>
      <c r="AD144" s="151"/>
      <c r="AE144" s="151"/>
      <c r="AF144" s="151"/>
      <c r="AG144" s="213"/>
      <c r="AH144" s="386"/>
      <c r="AI144" s="47"/>
      <c r="AJ144" s="47"/>
      <c r="AK144" s="47"/>
      <c r="AL144" s="47"/>
      <c r="AM144" s="47"/>
      <c r="AN144" s="47"/>
      <c r="AO144" s="47"/>
      <c r="AP144" s="47"/>
      <c r="AQ144" s="47"/>
      <c r="AR144" s="47"/>
      <c r="AS144" s="47"/>
      <c r="AT144" s="47"/>
      <c r="AU144" s="47"/>
      <c r="AV144" s="263"/>
    </row>
    <row r="145" spans="1:48" s="153" customFormat="1" ht="15" customHeight="1">
      <c r="A145" s="148"/>
      <c r="B145" s="197"/>
      <c r="C145" s="197"/>
      <c r="D145" s="176"/>
      <c r="F145" s="150" t="s">
        <v>483</v>
      </c>
      <c r="G145" s="149"/>
      <c r="H145" s="48"/>
      <c r="I145" s="48"/>
      <c r="J145" s="48"/>
      <c r="K145" s="48"/>
      <c r="L145" s="48"/>
      <c r="M145" s="48"/>
      <c r="N145" s="48"/>
      <c r="O145" s="48"/>
      <c r="P145" s="48"/>
      <c r="Q145" s="48"/>
      <c r="R145" s="48"/>
      <c r="S145" s="151"/>
      <c r="T145" s="151"/>
      <c r="U145" s="151"/>
      <c r="V145" s="151"/>
      <c r="W145" s="151"/>
      <c r="X145" s="151"/>
      <c r="Y145" s="151"/>
      <c r="Z145" s="151"/>
      <c r="AA145" s="151"/>
      <c r="AB145" s="151"/>
      <c r="AC145" s="151"/>
      <c r="AD145" s="151"/>
      <c r="AE145" s="151"/>
      <c r="AF145" s="151"/>
      <c r="AG145" s="213"/>
      <c r="AH145" s="379"/>
      <c r="AI145" s="258" t="s">
        <v>254</v>
      </c>
      <c r="AJ145" s="494"/>
      <c r="AK145" s="47"/>
      <c r="AL145" s="47" t="s">
        <v>254</v>
      </c>
      <c r="AM145" s="47" t="s">
        <v>254</v>
      </c>
      <c r="AN145" s="47" t="s">
        <v>254</v>
      </c>
      <c r="AO145" s="47"/>
      <c r="AP145" s="47"/>
      <c r="AQ145" s="47"/>
      <c r="AR145" s="493" t="s">
        <v>711</v>
      </c>
      <c r="AS145" s="47"/>
      <c r="AT145" s="47"/>
      <c r="AU145" s="47"/>
      <c r="AV145" s="263"/>
    </row>
    <row r="146" spans="1:48" s="153" customFormat="1" ht="15" customHeight="1">
      <c r="A146" s="148"/>
      <c r="B146" s="197"/>
      <c r="C146" s="197"/>
      <c r="D146" s="176"/>
      <c r="F146" s="150" t="s">
        <v>484</v>
      </c>
      <c r="G146" s="178"/>
      <c r="H146" s="48"/>
      <c r="I146" s="48"/>
      <c r="J146" s="48"/>
      <c r="K146" s="48"/>
      <c r="L146" s="48"/>
      <c r="M146" s="48"/>
      <c r="N146" s="48"/>
      <c r="O146" s="48"/>
      <c r="P146" s="48"/>
      <c r="Q146" s="48"/>
      <c r="R146" s="48"/>
      <c r="S146" s="151"/>
      <c r="T146" s="151"/>
      <c r="U146" s="151"/>
      <c r="V146" s="151"/>
      <c r="W146" s="151"/>
      <c r="X146" s="151"/>
      <c r="Y146" s="151"/>
      <c r="Z146" s="151"/>
      <c r="AA146" s="151"/>
      <c r="AB146" s="151"/>
      <c r="AC146" s="151"/>
      <c r="AD146" s="151"/>
      <c r="AE146" s="151"/>
      <c r="AF146" s="151"/>
      <c r="AG146" s="213"/>
      <c r="AH146" s="386"/>
      <c r="AI146" s="47"/>
      <c r="AJ146" s="258" t="s">
        <v>254</v>
      </c>
      <c r="AK146" s="258" t="s">
        <v>254</v>
      </c>
      <c r="AL146" s="47"/>
      <c r="AM146" s="47"/>
      <c r="AN146" s="47"/>
      <c r="AO146" s="47"/>
      <c r="AP146" s="47"/>
      <c r="AQ146" s="47"/>
      <c r="AR146" s="47"/>
      <c r="AS146" s="47"/>
      <c r="AT146" s="47"/>
      <c r="AU146" s="47"/>
      <c r="AV146" s="263"/>
    </row>
    <row r="147" spans="1:48" s="153" customFormat="1" ht="15" customHeight="1">
      <c r="A147" s="148"/>
      <c r="B147" s="197"/>
      <c r="C147" s="433"/>
      <c r="D147" s="434"/>
      <c r="E147" s="49" t="s">
        <v>307</v>
      </c>
      <c r="F147" s="48"/>
      <c r="G147" s="178"/>
      <c r="H147" s="48"/>
      <c r="I147" s="48"/>
      <c r="J147" s="48"/>
      <c r="K147" s="48"/>
      <c r="L147" s="48"/>
      <c r="M147" s="48"/>
      <c r="N147" s="48"/>
      <c r="O147" s="48"/>
      <c r="P147" s="48"/>
      <c r="Q147" s="48"/>
      <c r="R147" s="48"/>
      <c r="S147" s="151"/>
      <c r="T147" s="151"/>
      <c r="U147" s="151"/>
      <c r="V147" s="151"/>
      <c r="W147" s="151"/>
      <c r="X147" s="151"/>
      <c r="Y147" s="151"/>
      <c r="Z147" s="151"/>
      <c r="AA147" s="151"/>
      <c r="AB147" s="151"/>
      <c r="AC147" s="151"/>
      <c r="AD147" s="151"/>
      <c r="AE147" s="151"/>
      <c r="AF147" s="151"/>
      <c r="AG147" s="213"/>
      <c r="AH147" s="386"/>
      <c r="AI147" s="47"/>
      <c r="AJ147" s="47"/>
      <c r="AK147" s="47"/>
      <c r="AL147" s="47"/>
      <c r="AM147" s="47"/>
      <c r="AN147" s="47"/>
      <c r="AO147" s="47"/>
      <c r="AP147" s="47"/>
      <c r="AQ147" s="47"/>
      <c r="AR147" s="47"/>
      <c r="AS147" s="47"/>
      <c r="AT147" s="47"/>
      <c r="AU147" s="47"/>
      <c r="AV147" s="263"/>
    </row>
    <row r="148" spans="1:48" s="153" customFormat="1" ht="15" customHeight="1">
      <c r="A148" s="148"/>
      <c r="B148" s="197"/>
      <c r="C148" s="433"/>
      <c r="D148" s="434"/>
      <c r="F148" s="150" t="s">
        <v>564</v>
      </c>
      <c r="G148" s="178"/>
      <c r="H148" s="48"/>
      <c r="I148" s="48"/>
      <c r="J148" s="48"/>
      <c r="K148" s="48"/>
      <c r="L148" s="48"/>
      <c r="M148" s="48"/>
      <c r="N148" s="48"/>
      <c r="O148" s="48"/>
      <c r="P148" s="48"/>
      <c r="Q148" s="48"/>
      <c r="R148" s="48"/>
      <c r="S148" s="151"/>
      <c r="T148" s="151"/>
      <c r="U148" s="151"/>
      <c r="V148" s="151"/>
      <c r="W148" s="151"/>
      <c r="X148" s="151"/>
      <c r="Y148" s="151"/>
      <c r="Z148" s="151"/>
      <c r="AA148" s="151"/>
      <c r="AB148" s="151"/>
      <c r="AC148" s="151"/>
      <c r="AD148" s="151"/>
      <c r="AE148" s="151"/>
      <c r="AF148" s="151"/>
      <c r="AG148" s="213"/>
      <c r="AH148" s="379"/>
      <c r="AI148" s="301" t="s">
        <v>254</v>
      </c>
      <c r="AJ148" s="47"/>
      <c r="AK148" s="47" t="s">
        <v>254</v>
      </c>
      <c r="AL148" s="47"/>
      <c r="AM148" s="47" t="s">
        <v>254</v>
      </c>
      <c r="AN148" s="47"/>
      <c r="AO148" s="47"/>
      <c r="AP148" s="47"/>
      <c r="AQ148" s="47"/>
      <c r="AR148" s="47"/>
      <c r="AS148" s="47"/>
      <c r="AT148" s="47"/>
      <c r="AU148" s="47"/>
      <c r="AV148" s="263"/>
    </row>
    <row r="149" spans="1:48" s="153" customFormat="1" ht="15" customHeight="1">
      <c r="A149" s="148"/>
      <c r="B149" s="197"/>
      <c r="C149" s="433"/>
      <c r="D149" s="434"/>
      <c r="F149" s="150" t="s">
        <v>565</v>
      </c>
      <c r="G149" s="178"/>
      <c r="H149" s="48"/>
      <c r="I149" s="48"/>
      <c r="J149" s="48"/>
      <c r="K149" s="48"/>
      <c r="L149" s="48"/>
      <c r="M149" s="48"/>
      <c r="N149" s="48"/>
      <c r="O149" s="48"/>
      <c r="P149" s="48"/>
      <c r="Q149" s="48"/>
      <c r="R149" s="48"/>
      <c r="S149" s="151"/>
      <c r="T149" s="151"/>
      <c r="U149" s="151"/>
      <c r="V149" s="151"/>
      <c r="W149" s="151"/>
      <c r="X149" s="151"/>
      <c r="Y149" s="151"/>
      <c r="Z149" s="151"/>
      <c r="AA149" s="151"/>
      <c r="AB149" s="151"/>
      <c r="AC149" s="151"/>
      <c r="AD149" s="151"/>
      <c r="AE149" s="151"/>
      <c r="AF149" s="151"/>
      <c r="AG149" s="213"/>
      <c r="AH149" s="379"/>
      <c r="AI149" s="301"/>
      <c r="AJ149" s="258" t="s">
        <v>254</v>
      </c>
      <c r="AK149" s="47"/>
      <c r="AL149" s="47" t="s">
        <v>254</v>
      </c>
      <c r="AM149" s="47"/>
      <c r="AN149" s="47" t="s">
        <v>254</v>
      </c>
      <c r="AO149" s="47"/>
      <c r="AP149" s="47"/>
      <c r="AQ149" s="47"/>
      <c r="AR149" s="493" t="s">
        <v>711</v>
      </c>
      <c r="AS149" s="47"/>
      <c r="AT149" s="47"/>
      <c r="AU149" s="47"/>
      <c r="AV149" s="263"/>
    </row>
    <row r="150" spans="1:48" s="153" customFormat="1" ht="15" customHeight="1">
      <c r="A150" s="148"/>
      <c r="B150" s="197"/>
      <c r="C150" s="197"/>
      <c r="D150" s="176"/>
      <c r="E150" s="48" t="s">
        <v>485</v>
      </c>
      <c r="F150" s="48"/>
      <c r="G150" s="48"/>
      <c r="H150" s="48"/>
      <c r="I150" s="48"/>
      <c r="J150" s="48"/>
      <c r="K150" s="48"/>
      <c r="L150" s="48"/>
      <c r="M150" s="48"/>
      <c r="N150" s="48"/>
      <c r="O150" s="48"/>
      <c r="P150" s="48"/>
      <c r="Q150" s="48"/>
      <c r="R150" s="48"/>
      <c r="S150" s="151"/>
      <c r="T150" s="151"/>
      <c r="U150" s="151"/>
      <c r="V150" s="151"/>
      <c r="W150" s="151"/>
      <c r="X150" s="151"/>
      <c r="Y150" s="151"/>
      <c r="Z150" s="151"/>
      <c r="AA150" s="151"/>
      <c r="AB150" s="151"/>
      <c r="AC150" s="151"/>
      <c r="AD150" s="151"/>
      <c r="AE150" s="151"/>
      <c r="AF150" s="151"/>
      <c r="AG150" s="213"/>
      <c r="AH150" s="386"/>
      <c r="AI150" s="47"/>
      <c r="AJ150" s="47"/>
      <c r="AK150" s="47"/>
      <c r="AL150" s="47"/>
      <c r="AM150" s="47"/>
      <c r="AN150" s="47"/>
      <c r="AO150" s="47"/>
      <c r="AP150" s="47"/>
      <c r="AQ150" s="47"/>
      <c r="AR150" s="47"/>
      <c r="AS150" s="47"/>
      <c r="AT150" s="47"/>
      <c r="AU150" s="47"/>
      <c r="AV150" s="263"/>
    </row>
    <row r="151" spans="1:48" s="153" customFormat="1" ht="15" customHeight="1">
      <c r="A151" s="148"/>
      <c r="B151" s="197"/>
      <c r="C151" s="197"/>
      <c r="D151" s="176"/>
      <c r="E151" s="176"/>
      <c r="F151" s="48" t="s">
        <v>486</v>
      </c>
      <c r="G151" s="149"/>
      <c r="H151" s="48"/>
      <c r="I151" s="48"/>
      <c r="J151" s="48"/>
      <c r="K151" s="48"/>
      <c r="L151" s="48"/>
      <c r="M151" s="48"/>
      <c r="N151" s="48"/>
      <c r="O151" s="48"/>
      <c r="P151" s="48"/>
      <c r="Q151" s="48"/>
      <c r="R151" s="48"/>
      <c r="S151" s="151"/>
      <c r="T151" s="151"/>
      <c r="U151" s="151"/>
      <c r="V151" s="151"/>
      <c r="W151" s="151"/>
      <c r="X151" s="151"/>
      <c r="Y151" s="151"/>
      <c r="Z151" s="151"/>
      <c r="AA151" s="151"/>
      <c r="AB151" s="151"/>
      <c r="AC151" s="151"/>
      <c r="AD151" s="151"/>
      <c r="AE151" s="151"/>
      <c r="AF151" s="151"/>
      <c r="AG151" s="213"/>
      <c r="AH151" s="386"/>
      <c r="AI151" s="258" t="s">
        <v>254</v>
      </c>
      <c r="AJ151" s="494"/>
      <c r="AK151" s="47"/>
      <c r="AL151" s="47" t="s">
        <v>254</v>
      </c>
      <c r="AM151" s="47" t="s">
        <v>254</v>
      </c>
      <c r="AN151" s="47" t="s">
        <v>254</v>
      </c>
      <c r="AO151" s="47"/>
      <c r="AP151" s="47"/>
      <c r="AQ151" s="47"/>
      <c r="AR151" s="493" t="s">
        <v>711</v>
      </c>
      <c r="AS151" s="47"/>
      <c r="AT151" s="47"/>
      <c r="AU151" s="47"/>
      <c r="AV151" s="263"/>
    </row>
    <row r="152" spans="1:48" s="153" customFormat="1" ht="15" customHeight="1">
      <c r="A152" s="148"/>
      <c r="B152" s="197"/>
      <c r="C152" s="197"/>
      <c r="D152" s="176"/>
      <c r="E152" s="176"/>
      <c r="F152" s="48" t="s">
        <v>532</v>
      </c>
      <c r="G152" s="178"/>
      <c r="H152" s="48"/>
      <c r="I152" s="48"/>
      <c r="J152" s="48"/>
      <c r="K152" s="48"/>
      <c r="L152" s="48"/>
      <c r="M152" s="48"/>
      <c r="N152" s="48"/>
      <c r="O152" s="48"/>
      <c r="P152" s="48"/>
      <c r="Q152" s="48"/>
      <c r="R152" s="48"/>
      <c r="S152" s="151"/>
      <c r="T152" s="151"/>
      <c r="U152" s="151"/>
      <c r="V152" s="151"/>
      <c r="W152" s="151"/>
      <c r="X152" s="151"/>
      <c r="Y152" s="151"/>
      <c r="Z152" s="151"/>
      <c r="AA152" s="151"/>
      <c r="AB152" s="151"/>
      <c r="AC152" s="151"/>
      <c r="AD152" s="151"/>
      <c r="AE152" s="151"/>
      <c r="AF152" s="151"/>
      <c r="AG152" s="213"/>
      <c r="AH152" s="379"/>
      <c r="AI152" s="301"/>
      <c r="AJ152" s="47"/>
      <c r="AK152" s="47" t="s">
        <v>254</v>
      </c>
      <c r="AL152" s="47"/>
      <c r="AM152" s="47"/>
      <c r="AN152" s="47"/>
      <c r="AO152" s="47"/>
      <c r="AP152" s="47"/>
      <c r="AQ152" s="47"/>
      <c r="AR152" s="47"/>
      <c r="AS152" s="47"/>
      <c r="AT152" s="47"/>
      <c r="AU152" s="47"/>
      <c r="AV152" s="263"/>
    </row>
    <row r="153" spans="1:48" s="153" customFormat="1" ht="15" customHeight="1">
      <c r="A153" s="148"/>
      <c r="B153" s="197"/>
      <c r="C153" s="197"/>
      <c r="D153" s="176"/>
      <c r="E153" s="176"/>
      <c r="F153" s="150" t="s">
        <v>533</v>
      </c>
      <c r="G153" s="178"/>
      <c r="H153" s="48"/>
      <c r="I153" s="48"/>
      <c r="J153" s="48"/>
      <c r="K153" s="48"/>
      <c r="L153" s="48"/>
      <c r="M153" s="48"/>
      <c r="N153" s="48"/>
      <c r="O153" s="48"/>
      <c r="P153" s="48"/>
      <c r="Q153" s="48"/>
      <c r="R153" s="48"/>
      <c r="S153" s="151"/>
      <c r="T153" s="151"/>
      <c r="U153" s="151"/>
      <c r="V153" s="151"/>
      <c r="W153" s="151"/>
      <c r="X153" s="151"/>
      <c r="Y153" s="151"/>
      <c r="Z153" s="151"/>
      <c r="AA153" s="151"/>
      <c r="AB153" s="151"/>
      <c r="AC153" s="151"/>
      <c r="AD153" s="151"/>
      <c r="AE153" s="151"/>
      <c r="AF153" s="151"/>
      <c r="AG153" s="213"/>
      <c r="AH153" s="386"/>
      <c r="AI153" s="47"/>
      <c r="AJ153" s="258" t="s">
        <v>254</v>
      </c>
      <c r="AK153" s="47"/>
      <c r="AL153" s="47"/>
      <c r="AM153" s="47"/>
      <c r="AN153" s="47"/>
      <c r="AO153" s="47"/>
      <c r="AP153" s="47"/>
      <c r="AQ153" s="47"/>
      <c r="AR153" s="47"/>
      <c r="AS153" s="47"/>
      <c r="AT153" s="47"/>
      <c r="AU153" s="47"/>
      <c r="AV153" s="263"/>
    </row>
    <row r="154" spans="1:48" s="153" customFormat="1" ht="15" customHeight="1">
      <c r="A154" s="148"/>
      <c r="B154" s="197"/>
      <c r="C154" s="176"/>
      <c r="D154" s="255" t="s">
        <v>523</v>
      </c>
      <c r="E154" s="48"/>
      <c r="F154" s="48"/>
      <c r="G154" s="48"/>
      <c r="H154" s="48"/>
      <c r="I154" s="48"/>
      <c r="J154" s="48"/>
      <c r="K154" s="48"/>
      <c r="L154" s="48"/>
      <c r="M154" s="48"/>
      <c r="N154" s="48"/>
      <c r="O154" s="48"/>
      <c r="P154" s="48"/>
      <c r="Q154" s="48"/>
      <c r="R154" s="48"/>
      <c r="S154" s="151"/>
      <c r="T154" s="151"/>
      <c r="U154" s="151"/>
      <c r="V154" s="151"/>
      <c r="W154" s="151"/>
      <c r="X154" s="151"/>
      <c r="Y154" s="151"/>
      <c r="Z154" s="151"/>
      <c r="AA154" s="151"/>
      <c r="AB154" s="151"/>
      <c r="AC154" s="151"/>
      <c r="AD154" s="151"/>
      <c r="AE154" s="151"/>
      <c r="AF154" s="151"/>
      <c r="AG154" s="213"/>
      <c r="AH154" s="386"/>
      <c r="AI154" s="47"/>
      <c r="AJ154" s="47"/>
      <c r="AK154" s="47"/>
      <c r="AL154" s="47" t="s">
        <v>254</v>
      </c>
      <c r="AM154" s="47" t="s">
        <v>712</v>
      </c>
      <c r="AN154" s="47" t="s">
        <v>254</v>
      </c>
      <c r="AO154" s="47" t="s">
        <v>254</v>
      </c>
      <c r="AP154" s="47"/>
      <c r="AQ154" s="47"/>
      <c r="AR154" s="47"/>
      <c r="AS154" s="47"/>
      <c r="AT154" s="47"/>
      <c r="AU154" s="47"/>
      <c r="AV154" s="263"/>
    </row>
    <row r="155" spans="1:48" s="153" customFormat="1" ht="15" customHeight="1">
      <c r="A155" s="148"/>
      <c r="B155" s="197"/>
      <c r="C155" s="176"/>
      <c r="D155" s="49" t="s">
        <v>549</v>
      </c>
      <c r="E155" s="48"/>
      <c r="F155" s="48"/>
      <c r="G155" s="178"/>
      <c r="H155" s="48"/>
      <c r="I155" s="48"/>
      <c r="J155" s="48"/>
      <c r="K155" s="48"/>
      <c r="L155" s="48"/>
      <c r="M155" s="48"/>
      <c r="N155" s="48"/>
      <c r="O155" s="48"/>
      <c r="P155" s="48"/>
      <c r="Q155" s="48"/>
      <c r="R155" s="48"/>
      <c r="S155" s="151"/>
      <c r="T155" s="151"/>
      <c r="U155" s="151"/>
      <c r="V155" s="151"/>
      <c r="W155" s="151"/>
      <c r="X155" s="151"/>
      <c r="Y155" s="151"/>
      <c r="Z155" s="151"/>
      <c r="AA155" s="151"/>
      <c r="AB155" s="151"/>
      <c r="AC155" s="151"/>
      <c r="AD155" s="151"/>
      <c r="AE155" s="151"/>
      <c r="AF155" s="151"/>
      <c r="AG155" s="213"/>
      <c r="AH155" s="386"/>
      <c r="AI155" s="47"/>
      <c r="AJ155" s="47"/>
      <c r="AK155" s="47"/>
      <c r="AL155" s="47"/>
      <c r="AM155" s="47"/>
      <c r="AN155" s="47"/>
      <c r="AO155" s="47"/>
      <c r="AP155" s="47"/>
      <c r="AQ155" s="47"/>
      <c r="AR155" s="47"/>
      <c r="AS155" s="47"/>
      <c r="AT155" s="47"/>
      <c r="AU155" s="47"/>
      <c r="AV155" s="263"/>
    </row>
    <row r="156" spans="1:48" s="153" customFormat="1" ht="15" customHeight="1">
      <c r="A156" s="148"/>
      <c r="B156" s="197"/>
      <c r="C156" s="176"/>
      <c r="D156" s="197"/>
      <c r="E156" s="150" t="s">
        <v>553</v>
      </c>
      <c r="F156" s="151"/>
      <c r="G156" s="151"/>
      <c r="H156" s="149"/>
      <c r="I156" s="149"/>
      <c r="J156" s="48"/>
      <c r="K156" s="48"/>
      <c r="L156" s="48"/>
      <c r="M156" s="48"/>
      <c r="N156" s="48"/>
      <c r="O156" s="48"/>
      <c r="P156" s="48"/>
      <c r="Q156" s="48"/>
      <c r="R156" s="48"/>
      <c r="S156" s="151"/>
      <c r="T156" s="151"/>
      <c r="U156" s="151"/>
      <c r="V156" s="151"/>
      <c r="W156" s="151"/>
      <c r="X156" s="151"/>
      <c r="Y156" s="151"/>
      <c r="Z156" s="151"/>
      <c r="AA156" s="151"/>
      <c r="AB156" s="151"/>
      <c r="AC156" s="151"/>
      <c r="AD156" s="151"/>
      <c r="AE156" s="151"/>
      <c r="AF156" s="151"/>
      <c r="AG156" s="213"/>
      <c r="AH156" s="386"/>
      <c r="AI156" s="47"/>
      <c r="AJ156" s="47"/>
      <c r="AK156" s="47"/>
      <c r="AL156" s="47"/>
      <c r="AM156" s="47"/>
      <c r="AN156" s="47"/>
      <c r="AO156" s="47" t="s">
        <v>254</v>
      </c>
      <c r="AP156" s="47"/>
      <c r="AQ156" s="47"/>
      <c r="AR156" s="47"/>
      <c r="AS156" s="47"/>
      <c r="AT156" s="47"/>
      <c r="AU156" s="47"/>
      <c r="AV156" s="263"/>
    </row>
    <row r="157" spans="1:48" s="153" customFormat="1" ht="15" customHeight="1">
      <c r="A157" s="148"/>
      <c r="B157" s="49" t="s">
        <v>415</v>
      </c>
      <c r="C157" s="151"/>
      <c r="D157" s="178"/>
      <c r="E157" s="178"/>
      <c r="F157" s="178"/>
      <c r="G157" s="178"/>
      <c r="H157" s="178"/>
      <c r="I157" s="178"/>
      <c r="J157" s="178"/>
      <c r="K157" s="178"/>
      <c r="L157" s="178"/>
      <c r="M157" s="178"/>
      <c r="N157" s="178"/>
      <c r="O157" s="178"/>
      <c r="P157" s="178"/>
      <c r="Q157" s="178"/>
      <c r="R157" s="178"/>
      <c r="S157" s="149"/>
      <c r="T157" s="149"/>
      <c r="U157" s="149"/>
      <c r="V157" s="149"/>
      <c r="W157" s="149"/>
      <c r="X157" s="149"/>
      <c r="Y157" s="149"/>
      <c r="Z157" s="149"/>
      <c r="AA157" s="149"/>
      <c r="AB157" s="149"/>
      <c r="AC157" s="149"/>
      <c r="AD157" s="149"/>
      <c r="AE157" s="149"/>
      <c r="AF157" s="149"/>
      <c r="AG157" s="149"/>
      <c r="AH157" s="386"/>
      <c r="AI157" s="301"/>
      <c r="AJ157" s="47"/>
      <c r="AK157" s="47"/>
      <c r="AL157" s="47"/>
      <c r="AM157" s="47"/>
      <c r="AN157" s="47"/>
      <c r="AO157" s="47"/>
      <c r="AP157" s="47"/>
      <c r="AQ157" s="47"/>
      <c r="AR157" s="47"/>
      <c r="AS157" s="47"/>
      <c r="AT157" s="47"/>
      <c r="AU157" s="47"/>
      <c r="AV157" s="263"/>
    </row>
    <row r="158" spans="1:48" s="153" customFormat="1" ht="15" customHeight="1">
      <c r="A158" s="148"/>
      <c r="B158" s="197"/>
      <c r="C158" s="49" t="s">
        <v>551</v>
      </c>
      <c r="D158" s="178"/>
      <c r="E158" s="178"/>
      <c r="F158" s="178"/>
      <c r="G158" s="178"/>
      <c r="H158" s="178"/>
      <c r="I158" s="178"/>
      <c r="J158" s="178"/>
      <c r="K158" s="178"/>
      <c r="L158" s="178"/>
      <c r="M158" s="178"/>
      <c r="N158" s="178"/>
      <c r="O158" s="178"/>
      <c r="P158" s="178"/>
      <c r="Q158" s="178"/>
      <c r="R158" s="178"/>
      <c r="S158" s="149"/>
      <c r="T158" s="149"/>
      <c r="U158" s="149"/>
      <c r="V158" s="149"/>
      <c r="W158" s="200"/>
      <c r="X158" s="200"/>
      <c r="Y158" s="200"/>
      <c r="Z158" s="200"/>
      <c r="AA158" s="200"/>
      <c r="AB158" s="200"/>
      <c r="AC158" s="200"/>
      <c r="AD158" s="200"/>
      <c r="AE158" s="200"/>
      <c r="AF158" s="200"/>
      <c r="AG158" s="200"/>
      <c r="AI158" s="301"/>
      <c r="AJ158" s="47"/>
      <c r="AK158" s="47"/>
      <c r="AL158" s="47"/>
      <c r="AM158" s="47"/>
      <c r="AN158" s="47"/>
      <c r="AO158" s="47"/>
      <c r="AP158" s="47"/>
      <c r="AQ158" s="47"/>
      <c r="AR158" s="47"/>
      <c r="AS158" s="47"/>
      <c r="AT158" s="47"/>
      <c r="AU158" s="47"/>
      <c r="AV158" s="263"/>
    </row>
    <row r="159" spans="1:48" s="153" customFormat="1" ht="15" customHeight="1">
      <c r="A159" s="148"/>
      <c r="B159" s="197"/>
      <c r="C159" s="176"/>
      <c r="D159" s="203" t="s">
        <v>568</v>
      </c>
      <c r="E159" s="178"/>
      <c r="F159" s="178"/>
      <c r="G159" s="178"/>
      <c r="H159" s="178"/>
      <c r="I159" s="178"/>
      <c r="J159" s="178"/>
      <c r="K159" s="178"/>
      <c r="L159" s="178"/>
      <c r="M159" s="178"/>
      <c r="N159" s="178"/>
      <c r="O159" s="178"/>
      <c r="P159" s="178"/>
      <c r="Q159" s="178"/>
      <c r="R159" s="178"/>
      <c r="S159" s="446" t="s">
        <v>582</v>
      </c>
      <c r="T159" s="149"/>
      <c r="U159" s="149"/>
      <c r="V159" s="149"/>
      <c r="W159" s="149"/>
      <c r="X159" s="149"/>
      <c r="Y159" s="149"/>
      <c r="Z159" s="149"/>
      <c r="AA159" s="149"/>
      <c r="AB159" s="149"/>
      <c r="AC159" s="149"/>
      <c r="AD159" s="149"/>
      <c r="AE159" s="149"/>
      <c r="AF159" s="149"/>
      <c r="AG159" s="149"/>
      <c r="AH159" s="386"/>
      <c r="AI159" s="301"/>
      <c r="AJ159" s="47"/>
      <c r="AK159" s="47"/>
      <c r="AL159" s="47"/>
      <c r="AM159" s="47"/>
      <c r="AN159" s="47"/>
      <c r="AO159" s="47"/>
      <c r="AP159" s="47"/>
      <c r="AQ159" s="47"/>
      <c r="AR159" s="47" t="s">
        <v>254</v>
      </c>
      <c r="AS159" s="47"/>
      <c r="AT159" s="47"/>
      <c r="AU159" s="47"/>
      <c r="AV159" s="263"/>
    </row>
    <row r="160" spans="1:48" s="153" customFormat="1" ht="15" customHeight="1">
      <c r="A160" s="148"/>
      <c r="B160" s="197"/>
      <c r="C160" s="197"/>
      <c r="D160" s="201" t="s">
        <v>762</v>
      </c>
      <c r="E160" s="178"/>
      <c r="F160" s="178"/>
      <c r="G160" s="178"/>
      <c r="H160" s="178"/>
      <c r="I160" s="178"/>
      <c r="J160" s="178"/>
      <c r="K160" s="178"/>
      <c r="L160" s="178"/>
      <c r="M160" s="178"/>
      <c r="N160" s="178"/>
      <c r="O160" s="178"/>
      <c r="P160" s="178"/>
      <c r="Q160" s="178"/>
      <c r="R160" s="178"/>
      <c r="S160" s="446" t="s">
        <v>583</v>
      </c>
      <c r="T160" s="149"/>
      <c r="U160" s="149"/>
      <c r="V160" s="149"/>
      <c r="W160" s="149"/>
      <c r="X160" s="149"/>
      <c r="Y160" s="149"/>
      <c r="Z160" s="149"/>
      <c r="AA160" s="149"/>
      <c r="AB160" s="149"/>
      <c r="AC160" s="149"/>
      <c r="AD160" s="149"/>
      <c r="AE160" s="149"/>
      <c r="AF160" s="149"/>
      <c r="AG160" s="149"/>
      <c r="AH160" s="386"/>
      <c r="AI160" s="301"/>
      <c r="AJ160" s="47"/>
      <c r="AK160" s="47"/>
      <c r="AL160" s="47"/>
      <c r="AM160" s="47"/>
      <c r="AN160" s="47"/>
      <c r="AO160" s="47"/>
      <c r="AP160" s="47"/>
      <c r="AQ160" s="47"/>
      <c r="AR160" s="47"/>
      <c r="AS160" s="47" t="s">
        <v>254</v>
      </c>
      <c r="AT160" s="47"/>
      <c r="AU160" s="47"/>
      <c r="AV160" s="263"/>
    </row>
    <row r="161" spans="1:48" s="153" customFormat="1" ht="15" customHeight="1">
      <c r="A161" s="148"/>
      <c r="B161" s="197"/>
      <c r="C161" s="177"/>
      <c r="D161" s="201" t="s">
        <v>569</v>
      </c>
      <c r="E161" s="178"/>
      <c r="F161" s="178"/>
      <c r="G161" s="178"/>
      <c r="H161" s="178"/>
      <c r="I161" s="178"/>
      <c r="J161" s="178"/>
      <c r="K161" s="178"/>
      <c r="L161" s="178"/>
      <c r="M161" s="178"/>
      <c r="N161" s="178"/>
      <c r="O161" s="178"/>
      <c r="P161" s="178"/>
      <c r="Q161" s="178"/>
      <c r="R161" s="178"/>
      <c r="S161" s="446" t="s">
        <v>591</v>
      </c>
      <c r="T161" s="149"/>
      <c r="U161" s="149"/>
      <c r="V161" s="149"/>
      <c r="W161" s="149"/>
      <c r="X161" s="149"/>
      <c r="Y161" s="149"/>
      <c r="Z161" s="149"/>
      <c r="AA161" s="149"/>
      <c r="AB161" s="149"/>
      <c r="AC161" s="149"/>
      <c r="AD161" s="149"/>
      <c r="AE161" s="149"/>
      <c r="AF161" s="149"/>
      <c r="AG161" s="149"/>
      <c r="AH161" s="386"/>
      <c r="AI161" s="301"/>
      <c r="AJ161" s="47"/>
      <c r="AK161" s="47"/>
      <c r="AL161" s="47"/>
      <c r="AM161" s="47"/>
      <c r="AN161" s="47"/>
      <c r="AO161" s="47"/>
      <c r="AP161" s="47"/>
      <c r="AQ161" s="47"/>
      <c r="AR161" s="47"/>
      <c r="AS161" s="47"/>
      <c r="AT161" s="47" t="s">
        <v>254</v>
      </c>
      <c r="AU161" s="47" t="s">
        <v>254</v>
      </c>
      <c r="AV161" s="263"/>
    </row>
    <row r="162" spans="1:48" s="153" customFormat="1" ht="15" customHeight="1">
      <c r="A162" s="148"/>
      <c r="B162" s="176"/>
      <c r="C162" s="49" t="s">
        <v>392</v>
      </c>
      <c r="D162" s="151"/>
      <c r="E162" s="48"/>
      <c r="F162" s="48"/>
      <c r="G162" s="48"/>
      <c r="H162" s="48"/>
      <c r="I162" s="48"/>
      <c r="J162" s="48"/>
      <c r="K162" s="48"/>
      <c r="L162" s="48"/>
      <c r="M162" s="48"/>
      <c r="N162" s="48"/>
      <c r="O162" s="48"/>
      <c r="P162" s="48"/>
      <c r="Q162" s="48"/>
      <c r="R162" s="48"/>
      <c r="S162" s="151"/>
      <c r="T162" s="151"/>
      <c r="U162" s="151"/>
      <c r="V162" s="151"/>
      <c r="AH162" s="385"/>
      <c r="AI162" s="301"/>
      <c r="AJ162" s="47"/>
      <c r="AK162" s="47"/>
      <c r="AL162" s="47"/>
      <c r="AM162" s="47"/>
      <c r="AN162" s="47"/>
      <c r="AO162" s="47"/>
      <c r="AP162" s="47"/>
      <c r="AQ162" s="47"/>
      <c r="AR162" s="47"/>
      <c r="AS162" s="47"/>
      <c r="AT162" s="47"/>
      <c r="AU162" s="47"/>
      <c r="AV162" s="263"/>
    </row>
    <row r="163" spans="1:48" s="153" customFormat="1" ht="15" customHeight="1">
      <c r="A163" s="148"/>
      <c r="B163" s="176"/>
      <c r="C163" s="176"/>
      <c r="D163" s="48" t="s">
        <v>366</v>
      </c>
      <c r="E163" s="151"/>
      <c r="F163" s="48"/>
      <c r="G163" s="48"/>
      <c r="H163" s="48"/>
      <c r="I163" s="48"/>
      <c r="J163" s="48"/>
      <c r="K163" s="48"/>
      <c r="L163" s="48"/>
      <c r="M163" s="48"/>
      <c r="N163" s="48"/>
      <c r="O163" s="48"/>
      <c r="P163" s="48"/>
      <c r="Q163" s="48"/>
      <c r="R163" s="48"/>
      <c r="S163" s="150" t="s">
        <v>397</v>
      </c>
      <c r="T163" s="151"/>
      <c r="U163" s="151"/>
      <c r="V163" s="151"/>
      <c r="W163" s="151"/>
      <c r="X163" s="151"/>
      <c r="Y163" s="151"/>
      <c r="Z163" s="151"/>
      <c r="AA163" s="151"/>
      <c r="AB163" s="151"/>
      <c r="AC163" s="151"/>
      <c r="AD163" s="151"/>
      <c r="AE163" s="151"/>
      <c r="AF163" s="151"/>
      <c r="AG163" s="151"/>
      <c r="AH163" s="379"/>
      <c r="AI163" s="301" t="s">
        <v>254</v>
      </c>
      <c r="AJ163" s="47"/>
      <c r="AK163" s="47" t="s">
        <v>254</v>
      </c>
      <c r="AL163" s="47" t="s">
        <v>254</v>
      </c>
      <c r="AM163" s="47" t="s">
        <v>254</v>
      </c>
      <c r="AN163" s="47" t="s">
        <v>254</v>
      </c>
      <c r="AO163" s="47" t="s">
        <v>254</v>
      </c>
      <c r="AP163" s="47"/>
      <c r="AQ163" s="47" t="s">
        <v>254</v>
      </c>
      <c r="AR163" s="47"/>
      <c r="AS163" s="47" t="s">
        <v>254</v>
      </c>
      <c r="AT163" s="47"/>
      <c r="AU163" s="47"/>
      <c r="AV163" s="263"/>
    </row>
    <row r="164" spans="1:48" s="153" customFormat="1" ht="15" customHeight="1">
      <c r="A164" s="148"/>
      <c r="B164" s="177"/>
      <c r="C164" s="177"/>
      <c r="D164" s="151" t="s">
        <v>365</v>
      </c>
      <c r="E164" s="151"/>
      <c r="F164" s="151"/>
      <c r="G164" s="151"/>
      <c r="H164" s="151"/>
      <c r="I164" s="151"/>
      <c r="J164" s="151"/>
      <c r="K164" s="151"/>
      <c r="L164" s="151"/>
      <c r="M164" s="151"/>
      <c r="N164" s="48"/>
      <c r="O164" s="48"/>
      <c r="P164" s="48"/>
      <c r="Q164" s="48"/>
      <c r="R164" s="48"/>
      <c r="S164" s="150" t="s">
        <v>398</v>
      </c>
      <c r="T164" s="151"/>
      <c r="U164" s="151"/>
      <c r="V164" s="151"/>
      <c r="AH164" s="385"/>
      <c r="AI164" s="301"/>
      <c r="AJ164" s="47" t="s">
        <v>254</v>
      </c>
      <c r="AK164" s="47"/>
      <c r="AL164" s="47" t="s">
        <v>254</v>
      </c>
      <c r="AM164" s="47"/>
      <c r="AN164" s="47" t="s">
        <v>254</v>
      </c>
      <c r="AO164" s="47"/>
      <c r="AP164" s="47" t="s">
        <v>254</v>
      </c>
      <c r="AQ164" s="47"/>
      <c r="AR164" s="47" t="s">
        <v>254</v>
      </c>
      <c r="AS164" s="47"/>
      <c r="AT164" s="47"/>
      <c r="AU164" s="47"/>
      <c r="AV164" s="263"/>
    </row>
    <row r="165" spans="1:48" s="153" customFormat="1" ht="8.25" customHeight="1">
      <c r="A165" s="148"/>
      <c r="B165" s="197"/>
      <c r="C165" s="215"/>
      <c r="N165" s="48"/>
      <c r="O165" s="48"/>
      <c r="P165" s="48"/>
      <c r="Q165" s="48"/>
      <c r="R165" s="48"/>
      <c r="S165" s="48"/>
      <c r="T165" s="48"/>
      <c r="U165" s="48"/>
      <c r="V165" s="48"/>
      <c r="W165" s="48"/>
      <c r="X165" s="48"/>
      <c r="Y165" s="48"/>
      <c r="Z165" s="48"/>
      <c r="AA165" s="48"/>
      <c r="AB165" s="48"/>
      <c r="AC165" s="48"/>
      <c r="AD165" s="48"/>
      <c r="AE165" s="48"/>
      <c r="AF165" s="48"/>
      <c r="AG165" s="48"/>
      <c r="AH165" s="180"/>
      <c r="AI165" s="301"/>
      <c r="AJ165" s="47"/>
      <c r="AK165" s="47"/>
      <c r="AL165" s="47"/>
      <c r="AM165" s="47"/>
      <c r="AN165" s="47"/>
      <c r="AO165" s="47"/>
      <c r="AP165" s="47"/>
      <c r="AQ165" s="47"/>
      <c r="AR165" s="47"/>
      <c r="AS165" s="47"/>
      <c r="AT165" s="47"/>
      <c r="AU165" s="47"/>
      <c r="AV165" s="263"/>
    </row>
    <row r="166" spans="1:48" s="153" customFormat="1" ht="8.25" customHeight="1" thickBot="1">
      <c r="A166" s="327"/>
      <c r="B166" s="328"/>
      <c r="C166" s="329"/>
      <c r="D166" s="328"/>
      <c r="E166" s="328"/>
      <c r="F166" s="328"/>
      <c r="G166" s="328"/>
      <c r="H166" s="328"/>
      <c r="I166" s="328"/>
      <c r="J166" s="328"/>
      <c r="K166" s="328"/>
      <c r="L166" s="328"/>
      <c r="M166" s="330"/>
      <c r="N166" s="330"/>
      <c r="O166" s="330"/>
      <c r="P166" s="330"/>
      <c r="Q166" s="330"/>
      <c r="R166" s="330"/>
      <c r="S166" s="330"/>
      <c r="T166" s="330"/>
      <c r="U166" s="330"/>
      <c r="V166" s="330"/>
      <c r="W166" s="330"/>
      <c r="X166" s="330"/>
      <c r="Y166" s="330"/>
      <c r="Z166" s="330"/>
      <c r="AA166" s="330"/>
      <c r="AB166" s="330"/>
      <c r="AC166" s="330"/>
      <c r="AD166" s="330"/>
      <c r="AE166" s="330"/>
      <c r="AF166" s="330"/>
      <c r="AG166" s="330"/>
      <c r="AH166" s="307"/>
      <c r="AI166" s="304"/>
      <c r="AJ166" s="305"/>
      <c r="AK166" s="305"/>
      <c r="AL166" s="196"/>
      <c r="AM166" s="196"/>
      <c r="AN166" s="196"/>
      <c r="AO166" s="196"/>
      <c r="AP166" s="196"/>
      <c r="AQ166" s="196"/>
      <c r="AR166" s="196"/>
      <c r="AS166" s="196"/>
      <c r="AT166" s="196"/>
      <c r="AU166" s="196"/>
      <c r="AV166" s="331"/>
    </row>
    <row r="167" spans="1:48" ht="15" customHeight="1" thickBot="1">
      <c r="A167" s="332"/>
      <c r="B167" s="333"/>
      <c r="C167" s="333"/>
      <c r="D167" s="333"/>
      <c r="E167" s="333"/>
      <c r="F167" s="333"/>
      <c r="G167" s="333"/>
      <c r="H167" s="333"/>
      <c r="I167" s="333"/>
      <c r="J167" s="333"/>
      <c r="K167" s="333"/>
      <c r="L167" s="333"/>
      <c r="M167" s="333"/>
      <c r="N167" s="333"/>
      <c r="O167" s="333"/>
      <c r="P167" s="333"/>
      <c r="Q167" s="333"/>
      <c r="R167" s="333"/>
      <c r="S167" s="333"/>
      <c r="T167" s="334"/>
      <c r="U167" s="333" t="s">
        <v>93</v>
      </c>
      <c r="V167" s="333"/>
      <c r="W167" s="333"/>
      <c r="X167" s="333"/>
      <c r="Y167" s="333"/>
      <c r="Z167" s="333"/>
      <c r="AA167" s="333"/>
      <c r="AB167" s="333"/>
      <c r="AC167" s="333"/>
      <c r="AD167" s="333"/>
      <c r="AE167" s="333"/>
      <c r="AF167" s="333"/>
      <c r="AG167" s="333"/>
      <c r="AH167" s="335"/>
      <c r="AI167" s="563">
        <v>1</v>
      </c>
      <c r="AJ167" s="537">
        <v>1</v>
      </c>
      <c r="AK167" s="537">
        <v>1</v>
      </c>
      <c r="AL167" s="537">
        <v>1</v>
      </c>
      <c r="AM167" s="537">
        <v>1</v>
      </c>
      <c r="AN167" s="537">
        <v>1</v>
      </c>
      <c r="AO167" s="537">
        <v>1</v>
      </c>
      <c r="AP167" s="537">
        <v>1</v>
      </c>
      <c r="AQ167" s="537">
        <v>1</v>
      </c>
      <c r="AR167" s="537">
        <v>1</v>
      </c>
      <c r="AS167" s="537">
        <v>1</v>
      </c>
      <c r="AT167" s="537">
        <v>1</v>
      </c>
      <c r="AU167" s="537">
        <v>1</v>
      </c>
      <c r="AV167" s="336"/>
    </row>
    <row r="168" spans="1:48" ht="15" customHeight="1">
      <c r="A168" s="337" t="s">
        <v>94</v>
      </c>
      <c r="B168" s="338"/>
      <c r="C168" s="338"/>
      <c r="D168" s="338"/>
      <c r="E168" s="338"/>
      <c r="F168" s="338"/>
      <c r="G168" s="338"/>
      <c r="H168" s="338"/>
      <c r="I168" s="338"/>
      <c r="J168" s="338"/>
      <c r="K168" s="338"/>
      <c r="L168" s="338"/>
      <c r="M168" s="338"/>
      <c r="N168" s="338"/>
      <c r="O168" s="338"/>
      <c r="P168" s="338"/>
      <c r="Q168" s="338"/>
      <c r="R168" s="338"/>
      <c r="S168" s="339"/>
      <c r="T168" s="340"/>
      <c r="U168" s="214"/>
      <c r="V168" s="214"/>
      <c r="W168" s="214"/>
      <c r="X168" s="214"/>
      <c r="Y168" s="214"/>
      <c r="Z168" s="214"/>
      <c r="AA168" s="214"/>
      <c r="AB168" s="214"/>
      <c r="AC168" s="214"/>
      <c r="AD168" s="214"/>
      <c r="AE168" s="214"/>
      <c r="AF168" s="214"/>
      <c r="AG168" s="214"/>
      <c r="AH168" s="341" t="s">
        <v>95</v>
      </c>
      <c r="AI168" s="564"/>
      <c r="AJ168" s="538"/>
      <c r="AK168" s="538"/>
      <c r="AL168" s="538"/>
      <c r="AM168" s="538"/>
      <c r="AN168" s="538"/>
      <c r="AO168" s="538"/>
      <c r="AP168" s="538"/>
      <c r="AQ168" s="538"/>
      <c r="AR168" s="538"/>
      <c r="AS168" s="538"/>
      <c r="AT168" s="538"/>
      <c r="AU168" s="538"/>
      <c r="AV168" s="342"/>
    </row>
    <row r="169" spans="1:48" ht="15" customHeight="1">
      <c r="A169" s="343">
        <v>1</v>
      </c>
      <c r="B169" s="344"/>
      <c r="C169" s="344"/>
      <c r="D169" s="344"/>
      <c r="E169" s="344"/>
      <c r="F169" s="344"/>
      <c r="G169" s="344"/>
      <c r="H169" s="344"/>
      <c r="I169" s="344"/>
      <c r="J169" s="344"/>
      <c r="K169" s="345"/>
      <c r="L169" s="345"/>
      <c r="M169" s="345"/>
      <c r="N169" s="345"/>
      <c r="O169" s="345"/>
      <c r="P169" s="345"/>
      <c r="Q169" s="345"/>
      <c r="R169" s="345"/>
      <c r="S169" s="346"/>
      <c r="T169" s="340"/>
      <c r="U169" s="153" t="s">
        <v>96</v>
      </c>
      <c r="V169" s="153"/>
      <c r="W169" s="153"/>
      <c r="X169" s="153"/>
      <c r="Y169" s="153"/>
      <c r="Z169" s="153"/>
      <c r="AA169" s="153"/>
      <c r="AB169" s="153"/>
      <c r="AC169" s="153"/>
      <c r="AD169" s="153"/>
      <c r="AE169" s="153"/>
      <c r="AF169" s="153"/>
      <c r="AG169" s="153"/>
      <c r="AH169" s="347" t="s">
        <v>97</v>
      </c>
      <c r="AI169" s="411">
        <v>1</v>
      </c>
      <c r="AJ169" s="384">
        <v>1</v>
      </c>
      <c r="AK169" s="384">
        <v>1</v>
      </c>
      <c r="AL169" s="384">
        <v>1</v>
      </c>
      <c r="AM169" s="384">
        <v>1</v>
      </c>
      <c r="AN169" s="384">
        <v>1</v>
      </c>
      <c r="AO169" s="384">
        <v>1</v>
      </c>
      <c r="AP169" s="384">
        <v>1</v>
      </c>
      <c r="AQ169" s="384">
        <v>1</v>
      </c>
      <c r="AR169" s="384">
        <v>1</v>
      </c>
      <c r="AS169" s="384">
        <v>1</v>
      </c>
      <c r="AT169" s="384">
        <v>1</v>
      </c>
      <c r="AU169" s="384">
        <v>1</v>
      </c>
      <c r="AV169" s="348"/>
    </row>
    <row r="170" spans="1:48" ht="15" customHeight="1">
      <c r="A170" s="349">
        <v>2</v>
      </c>
      <c r="B170" s="350"/>
      <c r="C170" s="351"/>
      <c r="D170" s="351"/>
      <c r="E170" s="351"/>
      <c r="F170" s="351"/>
      <c r="G170" s="351"/>
      <c r="H170" s="351"/>
      <c r="I170" s="351"/>
      <c r="J170" s="352"/>
      <c r="K170" s="353"/>
      <c r="L170" s="351"/>
      <c r="M170" s="353"/>
      <c r="N170" s="353"/>
      <c r="O170" s="353"/>
      <c r="P170" s="353"/>
      <c r="Q170" s="353"/>
      <c r="R170" s="353"/>
      <c r="S170" s="354"/>
      <c r="T170" s="355"/>
      <c r="U170" s="356"/>
      <c r="V170" s="356"/>
      <c r="W170" s="356"/>
      <c r="X170" s="356"/>
      <c r="Y170" s="356"/>
      <c r="Z170" s="356"/>
      <c r="AA170" s="356"/>
      <c r="AB170" s="356"/>
      <c r="AC170" s="356"/>
      <c r="AD170" s="356"/>
      <c r="AE170" s="356"/>
      <c r="AF170" s="356"/>
      <c r="AG170" s="356"/>
      <c r="AH170" s="341" t="s">
        <v>98</v>
      </c>
      <c r="AI170" s="412">
        <v>10</v>
      </c>
      <c r="AJ170" s="409">
        <v>10</v>
      </c>
      <c r="AK170" s="488">
        <v>10</v>
      </c>
      <c r="AL170" s="488">
        <v>10</v>
      </c>
      <c r="AM170" s="488">
        <v>10</v>
      </c>
      <c r="AN170" s="488">
        <v>10</v>
      </c>
      <c r="AO170" s="488">
        <v>10</v>
      </c>
      <c r="AP170" s="488">
        <v>10</v>
      </c>
      <c r="AQ170" s="413">
        <v>11</v>
      </c>
      <c r="AR170" s="489">
        <v>11</v>
      </c>
      <c r="AS170" s="413">
        <v>11</v>
      </c>
      <c r="AT170" s="445">
        <v>11</v>
      </c>
      <c r="AU170" s="520">
        <v>11</v>
      </c>
      <c r="AV170" s="357"/>
    </row>
    <row r="171" spans="1:48" ht="15" customHeight="1">
      <c r="A171" s="349">
        <v>3</v>
      </c>
      <c r="B171" s="350"/>
      <c r="C171" s="353"/>
      <c r="D171" s="353"/>
      <c r="E171" s="353"/>
      <c r="F171" s="353"/>
      <c r="G171" s="353"/>
      <c r="H171" s="353"/>
      <c r="I171" s="353"/>
      <c r="J171" s="352"/>
      <c r="K171" s="351"/>
      <c r="L171" s="358"/>
      <c r="M171" s="351"/>
      <c r="N171" s="351"/>
      <c r="O171" s="351"/>
      <c r="P171" s="351"/>
      <c r="Q171" s="351"/>
      <c r="R171" s="351"/>
      <c r="S171" s="359"/>
      <c r="T171" s="340"/>
      <c r="U171" s="153" t="s">
        <v>96</v>
      </c>
      <c r="V171" s="153"/>
      <c r="W171" s="153"/>
      <c r="X171" s="153"/>
      <c r="Y171" s="153"/>
      <c r="Z171" s="153"/>
      <c r="AA171" s="153"/>
      <c r="AB171" s="153"/>
      <c r="AC171" s="153"/>
      <c r="AD171" s="153"/>
      <c r="AE171" s="153"/>
      <c r="AF171" s="153"/>
      <c r="AG171" s="153"/>
      <c r="AH171" s="347" t="s">
        <v>97</v>
      </c>
      <c r="AI171" s="411"/>
      <c r="AJ171" s="384"/>
      <c r="AK171" s="384"/>
      <c r="AL171" s="384"/>
      <c r="AM171" s="384"/>
      <c r="AN171" s="384"/>
      <c r="AO171" s="384"/>
      <c r="AP171" s="384"/>
      <c r="AQ171" s="384"/>
      <c r="AR171" s="384"/>
      <c r="AS171" s="384"/>
      <c r="AT171" s="384"/>
      <c r="AU171" s="384"/>
      <c r="AV171" s="360"/>
    </row>
    <row r="172" spans="1:48" ht="15" customHeight="1">
      <c r="A172" s="349">
        <v>4</v>
      </c>
      <c r="B172" s="350"/>
      <c r="C172" s="351"/>
      <c r="D172" s="351"/>
      <c r="E172" s="351"/>
      <c r="F172" s="351"/>
      <c r="G172" s="351"/>
      <c r="H172" s="351"/>
      <c r="I172" s="351"/>
      <c r="J172" s="352"/>
      <c r="K172" s="353"/>
      <c r="L172" s="351"/>
      <c r="M172" s="353"/>
      <c r="N172" s="353"/>
      <c r="O172" s="353"/>
      <c r="P172" s="353"/>
      <c r="Q172" s="353"/>
      <c r="R172" s="353"/>
      <c r="S172" s="354"/>
      <c r="T172" s="355"/>
      <c r="U172" s="356"/>
      <c r="V172" s="356"/>
      <c r="W172" s="356"/>
      <c r="X172" s="356"/>
      <c r="Y172" s="356"/>
      <c r="Z172" s="356"/>
      <c r="AA172" s="356"/>
      <c r="AB172" s="356"/>
      <c r="AC172" s="356"/>
      <c r="AD172" s="356"/>
      <c r="AE172" s="356"/>
      <c r="AF172" s="356"/>
      <c r="AG172" s="356"/>
      <c r="AH172" s="341" t="s">
        <v>98</v>
      </c>
      <c r="AI172" s="412"/>
      <c r="AJ172" s="409"/>
      <c r="AK172" s="488"/>
      <c r="AL172" s="488"/>
      <c r="AM172" s="488"/>
      <c r="AN172" s="488"/>
      <c r="AO172" s="488"/>
      <c r="AP172" s="488"/>
      <c r="AQ172" s="413"/>
      <c r="AR172" s="489"/>
      <c r="AS172" s="413"/>
      <c r="AT172" s="445"/>
      <c r="AU172" s="520"/>
      <c r="AV172" s="361"/>
    </row>
    <row r="173" spans="1:48" ht="15" customHeight="1">
      <c r="A173" s="362">
        <v>5</v>
      </c>
      <c r="B173" s="350"/>
      <c r="C173" s="353"/>
      <c r="D173" s="353"/>
      <c r="E173" s="353"/>
      <c r="F173" s="353"/>
      <c r="G173" s="353"/>
      <c r="H173" s="353"/>
      <c r="I173" s="353"/>
      <c r="J173" s="352"/>
      <c r="K173" s="351"/>
      <c r="L173" s="358"/>
      <c r="M173" s="351"/>
      <c r="N173" s="351"/>
      <c r="O173" s="351"/>
      <c r="P173" s="351"/>
      <c r="Q173" s="351"/>
      <c r="R173" s="351"/>
      <c r="S173" s="359"/>
      <c r="T173" s="340"/>
      <c r="U173" s="153" t="s">
        <v>99</v>
      </c>
      <c r="V173" s="153"/>
      <c r="W173" s="153"/>
      <c r="X173" s="153"/>
      <c r="Y173" s="153"/>
      <c r="Z173" s="153"/>
      <c r="AA173" s="153"/>
      <c r="AB173" s="153"/>
      <c r="AC173" s="153"/>
      <c r="AD173" s="153"/>
      <c r="AE173" s="153"/>
      <c r="AF173" s="153"/>
      <c r="AG173" s="153"/>
      <c r="AH173" s="363" t="s">
        <v>226</v>
      </c>
      <c r="AI173" s="577" t="s">
        <v>713</v>
      </c>
      <c r="AJ173" s="539" t="s">
        <v>713</v>
      </c>
      <c r="AK173" s="539" t="s">
        <v>713</v>
      </c>
      <c r="AL173" s="539" t="s">
        <v>713</v>
      </c>
      <c r="AM173" s="539" t="s">
        <v>713</v>
      </c>
      <c r="AN173" s="539" t="s">
        <v>713</v>
      </c>
      <c r="AO173" s="539" t="s">
        <v>713</v>
      </c>
      <c r="AP173" s="539" t="s">
        <v>713</v>
      </c>
      <c r="AQ173" s="539" t="s">
        <v>713</v>
      </c>
      <c r="AR173" s="539" t="s">
        <v>713</v>
      </c>
      <c r="AS173" s="539" t="s">
        <v>763</v>
      </c>
      <c r="AT173" s="539" t="s">
        <v>763</v>
      </c>
      <c r="AU173" s="539" t="s">
        <v>763</v>
      </c>
      <c r="AV173" s="364"/>
    </row>
    <row r="174" spans="1:48" ht="15" customHeight="1">
      <c r="A174" s="349">
        <v>6</v>
      </c>
      <c r="B174" s="350"/>
      <c r="C174" s="351"/>
      <c r="D174" s="351"/>
      <c r="E174" s="351"/>
      <c r="F174" s="351"/>
      <c r="G174" s="351"/>
      <c r="H174" s="351"/>
      <c r="I174" s="351"/>
      <c r="J174" s="352"/>
      <c r="K174" s="351"/>
      <c r="L174" s="351"/>
      <c r="M174" s="351"/>
      <c r="N174" s="351"/>
      <c r="O174" s="351"/>
      <c r="P174" s="351"/>
      <c r="Q174" s="351"/>
      <c r="R174" s="351"/>
      <c r="S174" s="359"/>
      <c r="T174" s="340"/>
      <c r="U174" s="214"/>
      <c r="V174" s="214"/>
      <c r="W174" s="214"/>
      <c r="X174" s="214"/>
      <c r="Y174" s="214"/>
      <c r="Z174" s="214"/>
      <c r="AA174" s="214"/>
      <c r="AB174" s="214"/>
      <c r="AC174" s="214"/>
      <c r="AD174" s="214"/>
      <c r="AE174" s="214"/>
      <c r="AF174" s="214"/>
      <c r="AG174" s="214"/>
      <c r="AH174" s="365" t="s">
        <v>227</v>
      </c>
      <c r="AI174" s="578"/>
      <c r="AJ174" s="540"/>
      <c r="AK174" s="540"/>
      <c r="AL174" s="540"/>
      <c r="AM174" s="540"/>
      <c r="AN174" s="540"/>
      <c r="AO174" s="540"/>
      <c r="AP174" s="540"/>
      <c r="AQ174" s="540"/>
      <c r="AR174" s="540"/>
      <c r="AS174" s="540"/>
      <c r="AT174" s="540"/>
      <c r="AU174" s="540"/>
      <c r="AV174" s="366"/>
    </row>
    <row r="175" spans="1:48" ht="15" customHeight="1">
      <c r="A175" s="349">
        <v>7</v>
      </c>
      <c r="B175" s="350"/>
      <c r="C175" s="351"/>
      <c r="D175" s="351"/>
      <c r="E175" s="351"/>
      <c r="F175" s="351"/>
      <c r="G175" s="351"/>
      <c r="H175" s="351"/>
      <c r="I175" s="351"/>
      <c r="J175" s="352"/>
      <c r="K175" s="351"/>
      <c r="L175" s="351"/>
      <c r="M175" s="351"/>
      <c r="N175" s="351"/>
      <c r="O175" s="351"/>
      <c r="P175" s="351"/>
      <c r="Q175" s="351"/>
      <c r="R175" s="351"/>
      <c r="S175" s="359"/>
      <c r="T175" s="340"/>
      <c r="U175" s="153" t="s">
        <v>100</v>
      </c>
      <c r="V175" s="153"/>
      <c r="W175" s="153"/>
      <c r="X175" s="153"/>
      <c r="Y175" s="153"/>
      <c r="Z175" s="153"/>
      <c r="AA175" s="153"/>
      <c r="AB175" s="153"/>
      <c r="AC175" s="153"/>
      <c r="AD175" s="153"/>
      <c r="AE175" s="153"/>
      <c r="AF175" s="153"/>
      <c r="AG175" s="153"/>
      <c r="AH175" s="347"/>
      <c r="AI175" s="573" t="s">
        <v>714</v>
      </c>
      <c r="AJ175" s="535" t="s">
        <v>714</v>
      </c>
      <c r="AK175" s="535" t="s">
        <v>714</v>
      </c>
      <c r="AL175" s="535" t="s">
        <v>714</v>
      </c>
      <c r="AM175" s="535" t="s">
        <v>714</v>
      </c>
      <c r="AN175" s="535" t="s">
        <v>714</v>
      </c>
      <c r="AO175" s="535" t="s">
        <v>714</v>
      </c>
      <c r="AP175" s="535" t="s">
        <v>714</v>
      </c>
      <c r="AQ175" s="535" t="s">
        <v>714</v>
      </c>
      <c r="AR175" s="535" t="s">
        <v>714</v>
      </c>
      <c r="AS175" s="535" t="s">
        <v>714</v>
      </c>
      <c r="AT175" s="535" t="s">
        <v>714</v>
      </c>
      <c r="AU175" s="535" t="s">
        <v>714</v>
      </c>
      <c r="AV175" s="367"/>
    </row>
    <row r="176" spans="1:48" ht="15" customHeight="1" thickBot="1">
      <c r="A176" s="368">
        <v>8</v>
      </c>
      <c r="B176" s="369"/>
      <c r="C176" s="370"/>
      <c r="D176" s="370"/>
      <c r="E176" s="370"/>
      <c r="F176" s="370"/>
      <c r="G176" s="370"/>
      <c r="H176" s="370"/>
      <c r="I176" s="370"/>
      <c r="J176" s="370"/>
      <c r="K176" s="370"/>
      <c r="L176" s="370"/>
      <c r="M176" s="370"/>
      <c r="N176" s="370"/>
      <c r="O176" s="370"/>
      <c r="P176" s="370"/>
      <c r="Q176" s="370"/>
      <c r="R176" s="370"/>
      <c r="S176" s="371"/>
      <c r="T176" s="355"/>
      <c r="U176" s="372"/>
      <c r="V176" s="372"/>
      <c r="W176" s="372"/>
      <c r="X176" s="372"/>
      <c r="Y176" s="372"/>
      <c r="Z176" s="372"/>
      <c r="AA176" s="372"/>
      <c r="AB176" s="372"/>
      <c r="AC176" s="372"/>
      <c r="AD176" s="372"/>
      <c r="AE176" s="372"/>
      <c r="AF176" s="372"/>
      <c r="AG176" s="372"/>
      <c r="AH176" s="373"/>
      <c r="AI176" s="574"/>
      <c r="AJ176" s="536"/>
      <c r="AK176" s="536"/>
      <c r="AL176" s="536"/>
      <c r="AM176" s="536"/>
      <c r="AN176" s="536"/>
      <c r="AO176" s="536"/>
      <c r="AP176" s="536"/>
      <c r="AQ176" s="536"/>
      <c r="AR176" s="536"/>
      <c r="AS176" s="536"/>
      <c r="AT176" s="536"/>
      <c r="AU176" s="536"/>
      <c r="AV176" s="374"/>
    </row>
  </sheetData>
  <mergeCells count="46">
    <mergeCell ref="AP175:AP176"/>
    <mergeCell ref="AS167:AS168"/>
    <mergeCell ref="AS173:AS174"/>
    <mergeCell ref="AS175:AS176"/>
    <mergeCell ref="AU175:AU176"/>
    <mergeCell ref="AT167:AT168"/>
    <mergeCell ref="AT173:AT174"/>
    <mergeCell ref="AT175:AT176"/>
    <mergeCell ref="AI175:AI176"/>
    <mergeCell ref="U6:AH8"/>
    <mergeCell ref="AU173:AU174"/>
    <mergeCell ref="AK173:AK174"/>
    <mergeCell ref="AJ167:AJ168"/>
    <mergeCell ref="AK167:AK168"/>
    <mergeCell ref="AU167:AU168"/>
    <mergeCell ref="AJ175:AJ176"/>
    <mergeCell ref="AI173:AI174"/>
    <mergeCell ref="AK175:AK176"/>
    <mergeCell ref="AJ173:AJ174"/>
    <mergeCell ref="AR167:AR168"/>
    <mergeCell ref="AR173:AR174"/>
    <mergeCell ref="AR175:AR176"/>
    <mergeCell ref="AQ167:AQ168"/>
    <mergeCell ref="AN173:AN174"/>
    <mergeCell ref="AO173:AO174"/>
    <mergeCell ref="AL175:AL176"/>
    <mergeCell ref="AM175:AM176"/>
    <mergeCell ref="AN175:AN176"/>
    <mergeCell ref="U2:AG4"/>
    <mergeCell ref="F5:T5"/>
    <mergeCell ref="U5:AH5"/>
    <mergeCell ref="AI5:AV5"/>
    <mergeCell ref="B98:AH98"/>
    <mergeCell ref="AI167:AI168"/>
    <mergeCell ref="A6:T8"/>
    <mergeCell ref="AP167:AP168"/>
    <mergeCell ref="AO175:AO176"/>
    <mergeCell ref="AQ175:AQ176"/>
    <mergeCell ref="AL167:AL168"/>
    <mergeCell ref="AM167:AM168"/>
    <mergeCell ref="AN167:AN168"/>
    <mergeCell ref="AO167:AO168"/>
    <mergeCell ref="AL173:AL174"/>
    <mergeCell ref="AM173:AM174"/>
    <mergeCell ref="AQ173:AQ174"/>
    <mergeCell ref="AP173:AP174"/>
  </mergeCells>
  <phoneticPr fontId="3"/>
  <printOptions horizontalCentered="1" verticalCentered="1"/>
  <pageMargins left="0.19685039370078741" right="0.19685039370078741" top="0.27559055118110237" bottom="0.27559055118110237" header="0.15748031496062992" footer="0.15748031496062992"/>
  <pageSetup paperSize="8" scale="40" orientation="portrait" r:id="rId1"/>
  <headerFooter alignWithMargins="0">
    <oddHeader>&amp;L&amp;F&amp;C&amp;A&amp;R&amp;9  &amp;"ＭＳ Ｐゴシック"&amp;11 &amp;"ＭＳ Ｐゴシック"&amp;9 【社外秘B】&amp;"ＭＳ Ｐゴシック,標準"&amp;11 
&amp;11  
&amp;"ＭＳ Ｐゴシック,太字 斜体"HP</oddHeader>
    <oddFooter xml:space="preserve">&amp;C&amp;"ＭＳ Ｐゴシック,標準"&amp;11 &amp;P / &amp;N ページ_x000D_
&amp;"ＭＳ Ｐゴシック"&amp;11 &amp;"ＭＳ Ｐゴシック"&amp;9 KDDI情報システム開発PJ関係各社　情報システム開発関係者のみ&amp;"ＭＳ Ｐゴシック,標準"&amp;11 
</oddFooter>
  </headerFooter>
  <rowBreaks count="1" manualBreakCount="1">
    <brk id="96" max="48"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DC397"/>
  <sheetViews>
    <sheetView showGridLines="0" view="pageBreakPreview" zoomScale="70" zoomScaleNormal="100" zoomScaleSheetLayoutView="70" workbookViewId="0">
      <pane xSplit="29" ySplit="7" topLeftCell="CN8" activePane="bottomRight" state="frozen"/>
      <selection pane="topRight" activeCell="AD1" sqref="AD1"/>
      <selection pane="bottomLeft" activeCell="A8" sqref="A8"/>
      <selection pane="bottomRight" activeCell="H11" sqref="H11"/>
    </sheetView>
  </sheetViews>
  <sheetFormatPr defaultColWidth="21.86328125" defaultRowHeight="12.75"/>
  <cols>
    <col min="1" max="1" width="1.265625" style="20" customWidth="1"/>
    <col min="2" max="2" width="3.3984375" style="34" customWidth="1"/>
    <col min="3" max="3" width="1.73046875" style="34" customWidth="1"/>
    <col min="4" max="5" width="1.73046875" style="35" customWidth="1"/>
    <col min="6" max="7" width="1.73046875" style="20" customWidth="1"/>
    <col min="8" max="8" width="24.86328125" style="20" customWidth="1"/>
    <col min="9" max="9" width="3.59765625" style="20" customWidth="1"/>
    <col min="10" max="10" width="3.46484375" style="20" bestFit="1" customWidth="1"/>
    <col min="11" max="12" width="5" style="20" bestFit="1" customWidth="1"/>
    <col min="13" max="13" width="47.73046875" style="20" customWidth="1"/>
    <col min="14" max="14" width="6.73046875" style="20" customWidth="1"/>
    <col min="15" max="15" width="7.73046875" style="35" customWidth="1"/>
    <col min="16" max="16" width="3.86328125" style="35" customWidth="1"/>
    <col min="17" max="17" width="5.59765625" style="35" customWidth="1"/>
    <col min="18" max="18" width="5.265625" style="35" customWidth="1"/>
    <col min="19" max="20" width="5" style="35" customWidth="1"/>
    <col min="21" max="21" width="4.59765625" style="35" customWidth="1"/>
    <col min="22" max="22" width="10.73046875" style="35" customWidth="1"/>
    <col min="23" max="23" width="3.3984375" style="35" customWidth="1"/>
    <col min="24" max="24" width="17.3984375" style="35" customWidth="1"/>
    <col min="25" max="25" width="4.46484375" style="35" customWidth="1"/>
    <col min="26" max="26" width="5.59765625" style="20" customWidth="1"/>
    <col min="27" max="27" width="4.46484375" style="35" customWidth="1"/>
    <col min="28" max="28" width="4.59765625" style="20" customWidth="1"/>
    <col min="29" max="29" width="11.265625" style="20" customWidth="1"/>
    <col min="30" max="31" width="12.46484375" style="38" customWidth="1"/>
    <col min="32" max="32" width="12.46484375" style="229" hidden="1" customWidth="1"/>
    <col min="33" max="33" width="8.265625" style="229" hidden="1" customWidth="1"/>
    <col min="34" max="34" width="12.46484375" style="38" customWidth="1"/>
    <col min="35" max="35" width="8.1328125" style="38" customWidth="1"/>
    <col min="36" max="37" width="12.46484375" style="38" customWidth="1"/>
    <col min="38" max="38" width="12.46484375" style="229" hidden="1" customWidth="1"/>
    <col min="39" max="39" width="8.265625" style="229" hidden="1" customWidth="1"/>
    <col min="40" max="40" width="12.46484375" style="38" customWidth="1"/>
    <col min="41" max="41" width="8.1328125" style="38" customWidth="1"/>
    <col min="42" max="42" width="12.46484375" style="38" customWidth="1"/>
    <col min="43" max="43" width="12.46484375" style="503" customWidth="1"/>
    <col min="44" max="44" width="12.46484375" style="229" customWidth="1"/>
    <col min="45" max="45" width="8.265625" style="229" customWidth="1"/>
    <col min="46" max="46" width="12.46484375" style="38" hidden="1" customWidth="1"/>
    <col min="47" max="47" width="8.1328125" style="38" hidden="1" customWidth="1"/>
    <col min="48" max="49" width="12.46484375" style="38" customWidth="1"/>
    <col min="50" max="50" width="12.46484375" style="229" hidden="1" customWidth="1"/>
    <col min="51" max="51" width="8.265625" style="229" hidden="1" customWidth="1"/>
    <col min="52" max="52" width="12.46484375" style="38" customWidth="1"/>
    <col min="53" max="53" width="8.1328125" style="38" customWidth="1"/>
    <col min="54" max="55" width="12.46484375" style="38" customWidth="1"/>
    <col min="56" max="56" width="12.46484375" style="229" hidden="1" customWidth="1"/>
    <col min="57" max="57" width="8.265625" style="229" hidden="1" customWidth="1"/>
    <col min="58" max="58" width="12.46484375" style="38" customWidth="1"/>
    <col min="59" max="59" width="8.1328125" style="38" customWidth="1"/>
    <col min="60" max="60" width="12.46484375" style="38" customWidth="1"/>
    <col min="61" max="61" width="12.46484375" style="503" customWidth="1"/>
    <col min="62" max="62" width="12.46484375" style="229" customWidth="1"/>
    <col min="63" max="63" width="8.265625" style="229" customWidth="1"/>
    <col min="64" max="64" width="12.46484375" style="38" hidden="1" customWidth="1"/>
    <col min="65" max="65" width="8.1328125" style="38" hidden="1" customWidth="1"/>
    <col min="66" max="67" width="12.46484375" style="38" customWidth="1"/>
    <col min="68" max="68" width="12.46484375" style="229" hidden="1" customWidth="1"/>
    <col min="69" max="69" width="8.265625" style="229" hidden="1" customWidth="1"/>
    <col min="70" max="70" width="12.46484375" style="38" customWidth="1"/>
    <col min="71" max="71" width="8.1328125" style="38" customWidth="1"/>
    <col min="72" max="72" width="12.46484375" style="38" customWidth="1"/>
    <col min="73" max="73" width="12.46484375" style="503" customWidth="1"/>
    <col min="74" max="74" width="12.46484375" style="229" customWidth="1"/>
    <col min="75" max="75" width="8.265625" style="229" hidden="1" customWidth="1"/>
    <col min="76" max="76" width="12.46484375" style="38" hidden="1" customWidth="1"/>
    <col min="77" max="77" width="8.1328125" style="38" customWidth="1"/>
    <col min="78" max="79" width="12.46484375" style="38" customWidth="1"/>
    <col min="80" max="80" width="12.46484375" style="229" hidden="1" customWidth="1"/>
    <col min="81" max="81" width="8.265625" style="229" hidden="1" customWidth="1"/>
    <col min="82" max="82" width="12.46484375" style="38" customWidth="1"/>
    <col min="83" max="83" width="8.1328125" style="38" customWidth="1"/>
    <col min="84" max="85" width="12.46484375" style="38" customWidth="1"/>
    <col min="86" max="86" width="12.46484375" style="229" hidden="1" customWidth="1"/>
    <col min="87" max="87" width="8.265625" style="229" hidden="1" customWidth="1"/>
    <col min="88" max="88" width="12.46484375" style="38" customWidth="1"/>
    <col min="89" max="89" width="8.1328125" style="38" customWidth="1"/>
    <col min="90" max="91" width="12.46484375" style="38" customWidth="1"/>
    <col min="92" max="92" width="12.46484375" style="229" customWidth="1"/>
    <col min="93" max="93" width="8.265625" style="229" customWidth="1"/>
    <col min="94" max="94" width="12.46484375" style="38" hidden="1" customWidth="1"/>
    <col min="95" max="95" width="8.1328125" style="38" hidden="1" customWidth="1"/>
    <col min="96" max="97" width="12.46484375" style="38" customWidth="1"/>
    <col min="98" max="98" width="12.46484375" style="229" hidden="1" customWidth="1"/>
    <col min="99" max="99" width="8.265625" style="229" hidden="1" customWidth="1"/>
    <col min="100" max="100" width="12.46484375" style="38" customWidth="1"/>
    <col min="101" max="101" width="8.1328125" style="38" customWidth="1"/>
    <col min="102" max="103" width="12.46484375" style="38" customWidth="1"/>
    <col min="104" max="104" width="12.46484375" style="229" hidden="1" customWidth="1"/>
    <col min="105" max="105" width="8.265625" style="229" hidden="1" customWidth="1"/>
    <col min="106" max="106" width="12.46484375" style="38" customWidth="1"/>
    <col min="107" max="107" width="8.1328125" style="38" customWidth="1"/>
  </cols>
  <sheetData>
    <row r="1" spans="1:107" ht="13.15" thickBot="1">
      <c r="B1" s="50" t="s">
        <v>101</v>
      </c>
      <c r="C1" s="44"/>
      <c r="D1" s="44"/>
      <c r="E1" s="44"/>
      <c r="F1" s="44"/>
      <c r="G1" s="44"/>
      <c r="H1" s="44"/>
      <c r="I1" s="44"/>
      <c r="J1" s="44"/>
      <c r="K1" s="44"/>
      <c r="L1" s="44"/>
      <c r="M1" s="44"/>
      <c r="N1" s="44"/>
      <c r="O1" s="44"/>
      <c r="P1" s="44"/>
      <c r="Q1" s="44"/>
      <c r="R1" s="44"/>
      <c r="S1" s="44"/>
      <c r="T1" s="44"/>
      <c r="U1" s="44"/>
      <c r="V1" s="44"/>
      <c r="W1" s="44"/>
      <c r="X1" s="44"/>
      <c r="Y1" s="20"/>
      <c r="AA1" s="20"/>
    </row>
    <row r="2" spans="1:107" ht="13.15" thickBot="1">
      <c r="B2" s="603" t="s">
        <v>228</v>
      </c>
      <c r="C2" s="603"/>
      <c r="D2" s="603"/>
      <c r="E2" s="603"/>
      <c r="F2" s="604" t="s">
        <v>229</v>
      </c>
      <c r="G2" s="605"/>
      <c r="H2" s="606"/>
      <c r="I2" s="607" t="s">
        <v>11</v>
      </c>
      <c r="J2" s="607"/>
      <c r="K2" s="607"/>
      <c r="L2" s="608" t="s">
        <v>230</v>
      </c>
      <c r="M2" s="609"/>
      <c r="N2" s="609"/>
      <c r="O2" s="610"/>
      <c r="P2" s="611" t="s">
        <v>12</v>
      </c>
      <c r="Q2" s="612"/>
      <c r="R2" s="612"/>
      <c r="S2" s="613"/>
      <c r="T2" s="614" t="s">
        <v>231</v>
      </c>
      <c r="U2" s="615"/>
      <c r="V2" s="616"/>
      <c r="W2" s="18"/>
      <c r="X2" s="39"/>
      <c r="Y2" s="39"/>
      <c r="AA2" s="20"/>
    </row>
    <row r="3" spans="1:107" ht="13.15" thickBot="1">
      <c r="B3" s="581" t="s">
        <v>4</v>
      </c>
      <c r="C3" s="582"/>
      <c r="D3" s="582"/>
      <c r="E3" s="582"/>
      <c r="F3" s="582"/>
      <c r="G3" s="582"/>
      <c r="H3" s="582"/>
      <c r="I3" s="582"/>
      <c r="J3" s="582"/>
      <c r="K3" s="583"/>
      <c r="L3" s="579" t="s">
        <v>232</v>
      </c>
      <c r="M3" s="580"/>
      <c r="N3" s="580"/>
      <c r="O3" s="580"/>
      <c r="P3" s="580"/>
      <c r="Q3" s="580"/>
      <c r="R3" s="580"/>
      <c r="S3" s="580"/>
      <c r="T3" s="580"/>
      <c r="U3" s="580"/>
      <c r="V3" s="580"/>
      <c r="W3" s="18"/>
      <c r="X3" s="39"/>
      <c r="Y3" s="39"/>
      <c r="AA3" s="20"/>
    </row>
    <row r="4" spans="1:107" ht="13.15" thickBot="1">
      <c r="B4" s="581" t="s">
        <v>5</v>
      </c>
      <c r="C4" s="582"/>
      <c r="D4" s="582"/>
      <c r="E4" s="582"/>
      <c r="F4" s="582"/>
      <c r="G4" s="582"/>
      <c r="H4" s="582"/>
      <c r="I4" s="582"/>
      <c r="J4" s="582"/>
      <c r="K4" s="583"/>
      <c r="L4" s="579" t="s">
        <v>233</v>
      </c>
      <c r="M4" s="580"/>
      <c r="N4" s="580"/>
      <c r="O4" s="580"/>
      <c r="P4" s="580"/>
      <c r="Q4" s="580"/>
      <c r="R4" s="580"/>
      <c r="S4" s="580"/>
      <c r="T4" s="580"/>
      <c r="U4" s="580"/>
      <c r="V4" s="580"/>
      <c r="W4" s="40"/>
      <c r="X4" s="41"/>
      <c r="Y4" s="41"/>
      <c r="AA4" s="20"/>
    </row>
    <row r="5" spans="1:107" ht="13.15" thickBot="1">
      <c r="O5" s="20"/>
      <c r="P5" s="20"/>
      <c r="Q5" s="20"/>
      <c r="R5" s="20"/>
      <c r="S5" s="20"/>
      <c r="T5" s="20"/>
      <c r="U5" s="20"/>
      <c r="V5" s="20"/>
      <c r="W5" s="20"/>
      <c r="Z5" s="35"/>
      <c r="AD5" s="38" t="s">
        <v>606</v>
      </c>
      <c r="AJ5" s="38" t="s">
        <v>608</v>
      </c>
      <c r="AP5" s="38" t="s">
        <v>609</v>
      </c>
      <c r="AV5" s="38" t="s">
        <v>616</v>
      </c>
      <c r="BB5" s="38" t="s">
        <v>619</v>
      </c>
      <c r="BH5" s="38" t="s">
        <v>623</v>
      </c>
      <c r="BN5" s="38" t="s">
        <v>615</v>
      </c>
      <c r="BT5" s="38" t="s">
        <v>635</v>
      </c>
      <c r="BZ5" s="38" t="s">
        <v>606</v>
      </c>
      <c r="CF5" s="38" t="s">
        <v>608</v>
      </c>
      <c r="CL5" s="38" t="s">
        <v>609</v>
      </c>
      <c r="CR5" s="38" t="s">
        <v>607</v>
      </c>
      <c r="CX5" s="38" t="s">
        <v>608</v>
      </c>
    </row>
    <row r="6" spans="1:107">
      <c r="B6" s="584" t="s">
        <v>22</v>
      </c>
      <c r="C6" s="585"/>
      <c r="D6" s="585"/>
      <c r="E6" s="585"/>
      <c r="F6" s="585"/>
      <c r="G6" s="585"/>
      <c r="H6" s="585"/>
      <c r="I6" s="585"/>
      <c r="J6" s="585"/>
      <c r="K6" s="585"/>
      <c r="L6" s="585"/>
      <c r="M6" s="585"/>
      <c r="N6" s="585"/>
      <c r="O6" s="586"/>
      <c r="P6" s="587" t="s">
        <v>23</v>
      </c>
      <c r="Q6" s="588"/>
      <c r="R6" s="588"/>
      <c r="S6" s="588"/>
      <c r="T6" s="588"/>
      <c r="U6" s="588"/>
      <c r="V6" s="588"/>
      <c r="W6" s="617" t="s">
        <v>24</v>
      </c>
      <c r="X6" s="618"/>
      <c r="Y6" s="618"/>
      <c r="Z6" s="618"/>
      <c r="AA6" s="618"/>
      <c r="AB6" s="618"/>
      <c r="AC6" s="619"/>
      <c r="AD6" s="601"/>
      <c r="AE6" s="601"/>
      <c r="AF6" s="601"/>
      <c r="AG6" s="601"/>
      <c r="AH6" s="601"/>
      <c r="AI6" s="602"/>
      <c r="AJ6" s="601"/>
      <c r="AK6" s="601"/>
      <c r="AL6" s="601"/>
      <c r="AM6" s="601"/>
      <c r="AN6" s="601"/>
      <c r="AO6" s="602"/>
      <c r="AP6" s="601"/>
      <c r="AQ6" s="601"/>
      <c r="AR6" s="601"/>
      <c r="AS6" s="601"/>
      <c r="AT6" s="601"/>
      <c r="AU6" s="602"/>
      <c r="AV6" s="601"/>
      <c r="AW6" s="601"/>
      <c r="AX6" s="601"/>
      <c r="AY6" s="601"/>
      <c r="AZ6" s="601"/>
      <c r="BA6" s="602"/>
      <c r="BB6" s="601"/>
      <c r="BC6" s="601"/>
      <c r="BD6" s="601"/>
      <c r="BE6" s="601"/>
      <c r="BF6" s="601"/>
      <c r="BG6" s="602"/>
      <c r="BH6" s="601"/>
      <c r="BI6" s="601"/>
      <c r="BJ6" s="601"/>
      <c r="BK6" s="601"/>
      <c r="BL6" s="601"/>
      <c r="BM6" s="602"/>
      <c r="BN6" s="601"/>
      <c r="BO6" s="601"/>
      <c r="BP6" s="601"/>
      <c r="BQ6" s="601"/>
      <c r="BR6" s="601"/>
      <c r="BS6" s="602"/>
      <c r="BT6" s="601"/>
      <c r="BU6" s="601"/>
      <c r="BV6" s="601"/>
      <c r="BW6" s="601"/>
      <c r="BX6" s="601"/>
      <c r="BY6" s="602"/>
      <c r="BZ6" s="601"/>
      <c r="CA6" s="601"/>
      <c r="CB6" s="601"/>
      <c r="CC6" s="601"/>
      <c r="CD6" s="601"/>
      <c r="CE6" s="602"/>
      <c r="CF6" s="601"/>
      <c r="CG6" s="601"/>
      <c r="CH6" s="601"/>
      <c r="CI6" s="601"/>
      <c r="CJ6" s="601"/>
      <c r="CK6" s="602"/>
      <c r="CL6" s="601"/>
      <c r="CM6" s="601"/>
      <c r="CN6" s="601"/>
      <c r="CO6" s="601"/>
      <c r="CP6" s="601"/>
      <c r="CQ6" s="602"/>
      <c r="CR6" s="601"/>
      <c r="CS6" s="601"/>
      <c r="CT6" s="601"/>
      <c r="CU6" s="601"/>
      <c r="CV6" s="601"/>
      <c r="CW6" s="602"/>
      <c r="CX6" s="601"/>
      <c r="CY6" s="601"/>
      <c r="CZ6" s="601"/>
      <c r="DA6" s="601"/>
      <c r="DB6" s="601"/>
      <c r="DC6" s="602"/>
    </row>
    <row r="7" spans="1:107" ht="77.650000000000006" thickBot="1">
      <c r="B7" s="154" t="s">
        <v>13</v>
      </c>
      <c r="C7" s="592" t="s">
        <v>7</v>
      </c>
      <c r="D7" s="593"/>
      <c r="E7" s="593"/>
      <c r="F7" s="593"/>
      <c r="G7" s="593"/>
      <c r="H7" s="594"/>
      <c r="I7" s="155" t="s">
        <v>15</v>
      </c>
      <c r="J7" s="155" t="s">
        <v>16</v>
      </c>
      <c r="K7" s="156" t="s">
        <v>10</v>
      </c>
      <c r="L7" s="156" t="s">
        <v>25</v>
      </c>
      <c r="M7" s="157" t="s">
        <v>18</v>
      </c>
      <c r="N7" s="156" t="s">
        <v>234</v>
      </c>
      <c r="O7" s="156" t="s">
        <v>6</v>
      </c>
      <c r="P7" s="158" t="s">
        <v>26</v>
      </c>
      <c r="Q7" s="159" t="s">
        <v>235</v>
      </c>
      <c r="R7" s="160" t="s">
        <v>236</v>
      </c>
      <c r="S7" s="161" t="s">
        <v>27</v>
      </c>
      <c r="T7" s="161" t="s">
        <v>28</v>
      </c>
      <c r="U7" s="162" t="s">
        <v>237</v>
      </c>
      <c r="V7" s="163" t="s">
        <v>19</v>
      </c>
      <c r="W7" s="164" t="s">
        <v>14</v>
      </c>
      <c r="X7" s="165" t="s">
        <v>17</v>
      </c>
      <c r="Y7" s="166" t="s">
        <v>8</v>
      </c>
      <c r="Z7" s="166" t="s">
        <v>9</v>
      </c>
      <c r="AA7" s="165" t="s">
        <v>238</v>
      </c>
      <c r="AB7" s="167" t="s">
        <v>239</v>
      </c>
      <c r="AC7" s="168" t="s">
        <v>19</v>
      </c>
      <c r="AD7" s="225" t="s">
        <v>246</v>
      </c>
      <c r="AE7" s="226" t="s">
        <v>240</v>
      </c>
      <c r="AF7" s="268" t="s">
        <v>321</v>
      </c>
      <c r="AG7" s="227" t="s">
        <v>322</v>
      </c>
      <c r="AH7" s="266" t="s">
        <v>242</v>
      </c>
      <c r="AI7" s="267" t="s">
        <v>241</v>
      </c>
      <c r="AJ7" s="225" t="s">
        <v>597</v>
      </c>
      <c r="AK7" s="226" t="s">
        <v>598</v>
      </c>
      <c r="AL7" s="268" t="s">
        <v>321</v>
      </c>
      <c r="AM7" s="227" t="s">
        <v>322</v>
      </c>
      <c r="AN7" s="266" t="s">
        <v>242</v>
      </c>
      <c r="AO7" s="267" t="s">
        <v>241</v>
      </c>
      <c r="AP7" s="225" t="s">
        <v>601</v>
      </c>
      <c r="AQ7" s="504" t="s">
        <v>602</v>
      </c>
      <c r="AR7" s="268" t="s">
        <v>321</v>
      </c>
      <c r="AS7" s="227" t="s">
        <v>322</v>
      </c>
      <c r="AT7" s="266" t="s">
        <v>603</v>
      </c>
      <c r="AU7" s="267" t="s">
        <v>604</v>
      </c>
      <c r="AV7" s="225" t="s">
        <v>612</v>
      </c>
      <c r="AW7" s="226" t="s">
        <v>613</v>
      </c>
      <c r="AX7" s="268" t="s">
        <v>321</v>
      </c>
      <c r="AY7" s="227" t="s">
        <v>322</v>
      </c>
      <c r="AZ7" s="266" t="s">
        <v>242</v>
      </c>
      <c r="BA7" s="267" t="s">
        <v>241</v>
      </c>
      <c r="BB7" s="225" t="s">
        <v>620</v>
      </c>
      <c r="BC7" s="226" t="s">
        <v>621</v>
      </c>
      <c r="BD7" s="268" t="s">
        <v>321</v>
      </c>
      <c r="BE7" s="227" t="s">
        <v>322</v>
      </c>
      <c r="BF7" s="266" t="s">
        <v>242</v>
      </c>
      <c r="BG7" s="267" t="s">
        <v>241</v>
      </c>
      <c r="BH7" s="225" t="s">
        <v>628</v>
      </c>
      <c r="BI7" s="504" t="s">
        <v>629</v>
      </c>
      <c r="BJ7" s="268" t="s">
        <v>321</v>
      </c>
      <c r="BK7" s="227" t="s">
        <v>322</v>
      </c>
      <c r="BL7" s="266" t="s">
        <v>242</v>
      </c>
      <c r="BM7" s="267" t="s">
        <v>241</v>
      </c>
      <c r="BN7" s="225" t="s">
        <v>633</v>
      </c>
      <c r="BO7" s="226" t="s">
        <v>634</v>
      </c>
      <c r="BP7" s="268" t="s">
        <v>321</v>
      </c>
      <c r="BQ7" s="227" t="s">
        <v>322</v>
      </c>
      <c r="BR7" s="266" t="s">
        <v>242</v>
      </c>
      <c r="BS7" s="267" t="s">
        <v>241</v>
      </c>
      <c r="BT7" s="225" t="s">
        <v>638</v>
      </c>
      <c r="BU7" s="504" t="s">
        <v>639</v>
      </c>
      <c r="BV7" s="268" t="s">
        <v>321</v>
      </c>
      <c r="BW7" s="227" t="s">
        <v>322</v>
      </c>
      <c r="BX7" s="266" t="s">
        <v>603</v>
      </c>
      <c r="BY7" s="267" t="s">
        <v>604</v>
      </c>
      <c r="BZ7" s="225" t="s">
        <v>640</v>
      </c>
      <c r="CA7" s="226" t="s">
        <v>641</v>
      </c>
      <c r="CB7" s="268" t="s">
        <v>321</v>
      </c>
      <c r="CC7" s="227" t="s">
        <v>322</v>
      </c>
      <c r="CD7" s="266" t="s">
        <v>242</v>
      </c>
      <c r="CE7" s="267" t="s">
        <v>241</v>
      </c>
      <c r="CF7" s="225" t="s">
        <v>643</v>
      </c>
      <c r="CG7" s="226" t="s">
        <v>644</v>
      </c>
      <c r="CH7" s="268" t="s">
        <v>321</v>
      </c>
      <c r="CI7" s="227" t="s">
        <v>322</v>
      </c>
      <c r="CJ7" s="266" t="s">
        <v>242</v>
      </c>
      <c r="CK7" s="267" t="s">
        <v>241</v>
      </c>
      <c r="CL7" s="225" t="s">
        <v>647</v>
      </c>
      <c r="CM7" s="226" t="s">
        <v>648</v>
      </c>
      <c r="CN7" s="268" t="s">
        <v>321</v>
      </c>
      <c r="CO7" s="227" t="s">
        <v>322</v>
      </c>
      <c r="CP7" s="266" t="s">
        <v>603</v>
      </c>
      <c r="CQ7" s="267" t="s">
        <v>604</v>
      </c>
      <c r="CR7" s="225" t="s">
        <v>651</v>
      </c>
      <c r="CS7" s="226" t="s">
        <v>652</v>
      </c>
      <c r="CT7" s="268" t="s">
        <v>321</v>
      </c>
      <c r="CU7" s="227" t="s">
        <v>322</v>
      </c>
      <c r="CV7" s="266" t="s">
        <v>242</v>
      </c>
      <c r="CW7" s="267" t="s">
        <v>241</v>
      </c>
      <c r="CX7" s="225" t="s">
        <v>654</v>
      </c>
      <c r="CY7" s="226" t="s">
        <v>655</v>
      </c>
      <c r="CZ7" s="268" t="s">
        <v>321</v>
      </c>
      <c r="DA7" s="227" t="s">
        <v>322</v>
      </c>
      <c r="DB7" s="266" t="s">
        <v>242</v>
      </c>
      <c r="DC7" s="267" t="s">
        <v>241</v>
      </c>
    </row>
    <row r="8" spans="1:107" s="33" customFormat="1" ht="13.15" thickTop="1">
      <c r="A8" s="20"/>
      <c r="B8" s="145">
        <v>1</v>
      </c>
      <c r="C8" s="125" t="s">
        <v>40</v>
      </c>
      <c r="D8" s="86"/>
      <c r="E8" s="86"/>
      <c r="F8" s="86"/>
      <c r="G8" s="86"/>
      <c r="H8" s="87"/>
      <c r="I8" s="107"/>
      <c r="J8" s="107" t="s">
        <v>254</v>
      </c>
      <c r="K8" s="88"/>
      <c r="L8" s="88"/>
      <c r="M8" s="114" t="s">
        <v>200</v>
      </c>
      <c r="N8" s="88"/>
      <c r="O8" s="122"/>
      <c r="P8" s="183"/>
      <c r="Q8" s="121"/>
      <c r="R8" s="107"/>
      <c r="S8" s="114"/>
      <c r="T8" s="114"/>
      <c r="U8" s="107"/>
      <c r="V8" s="122"/>
      <c r="W8" s="187" t="str">
        <f t="shared" ref="W8:W18" si="0">IF(C8&lt;&gt;"","0",IF(D8&lt;&gt;"","1",IF(E8&lt;&gt;"","2",IF(F8&lt;&gt;"","3",IF(G8&lt;&gt;"","4",IF(H8&lt;&gt;"","5"))))))</f>
        <v>0</v>
      </c>
      <c r="X8" s="89" t="s">
        <v>255</v>
      </c>
      <c r="Y8" s="89"/>
      <c r="Z8" s="89"/>
      <c r="AA8" s="88"/>
      <c r="AB8" s="88" t="s">
        <v>256</v>
      </c>
      <c r="AC8" s="188"/>
      <c r="AD8" s="224"/>
      <c r="AE8" s="173"/>
      <c r="AF8" s="295" t="s">
        <v>371</v>
      </c>
      <c r="AG8" s="230" t="str">
        <f>IF(OR(AE$8="判定対象外",AF$8="判定対象外",AF8="-"),"-",IF(AE8=AF8,"OK","NG"))</f>
        <v>-</v>
      </c>
      <c r="AH8" s="269"/>
      <c r="AI8" s="270" t="s">
        <v>323</v>
      </c>
      <c r="AJ8" s="224"/>
      <c r="AK8" s="173"/>
      <c r="AL8" s="295" t="s">
        <v>371</v>
      </c>
      <c r="AM8" s="230" t="str">
        <f t="shared" ref="AM8:AM22" si="1">IF(OR(AK$8="判定対象外",AL$8="判定対象外",AL8="-"),"-",IF(AK8=AL8,"OK","NG"))</f>
        <v>-</v>
      </c>
      <c r="AN8" s="269"/>
      <c r="AO8" s="270" t="s">
        <v>245</v>
      </c>
      <c r="AP8" s="224"/>
      <c r="AQ8" s="505" t="s">
        <v>367</v>
      </c>
      <c r="AR8" s="295" t="s">
        <v>319</v>
      </c>
      <c r="AS8" s="230" t="str">
        <f t="shared" ref="AS8:AS22" si="2">IF(OR(AQ$8="判定対象外",AR$8="判定対象外",AR8="-"),"-",IF(AQ8=AR8,"OK","NG"))</f>
        <v>OK</v>
      </c>
      <c r="AT8" s="269" t="s">
        <v>400</v>
      </c>
      <c r="AU8" s="230" t="str">
        <f>IF(OR(AS$8="判定対象外",AT$8="判定対象外",AT8="-"),"-",IF(AS8=AT8,"OK","NG"))</f>
        <v>-</v>
      </c>
      <c r="AV8" s="224"/>
      <c r="AW8" s="173"/>
      <c r="AX8" s="295" t="s">
        <v>371</v>
      </c>
      <c r="AY8" s="230" t="str">
        <f t="shared" ref="AY8:AY22" si="3">IF(OR(AW$8="判定対象外",AX$8="判定対象外",AX8="-"),"-",IF(AW8=AX8,"OK","NG"))</f>
        <v>-</v>
      </c>
      <c r="AZ8" s="269" t="s">
        <v>614</v>
      </c>
      <c r="BA8" s="270" t="s">
        <v>245</v>
      </c>
      <c r="BB8" s="224"/>
      <c r="BC8" s="173"/>
      <c r="BD8" s="295" t="s">
        <v>371</v>
      </c>
      <c r="BE8" s="230" t="str">
        <f t="shared" ref="BE8:BE22" si="4">IF(OR(BC$8="判定対象外",BD$8="判定対象外",BD8="-"),"-",IF(BC8=BD8,"OK","NG"))</f>
        <v>-</v>
      </c>
      <c r="BF8" s="269" t="s">
        <v>614</v>
      </c>
      <c r="BG8" s="270" t="s">
        <v>245</v>
      </c>
      <c r="BH8" s="224"/>
      <c r="BI8" s="505" t="s">
        <v>367</v>
      </c>
      <c r="BJ8" s="295" t="s">
        <v>319</v>
      </c>
      <c r="BK8" s="230" t="str">
        <f t="shared" ref="BK8:BK56" si="5">IF(OR(BI$8="判定対象外",BJ$8="判定対象外",BJ8="-"),"-",IF(BI8=BJ8,"OK","NG"))</f>
        <v>OK</v>
      </c>
      <c r="BL8" s="269" t="s">
        <v>614</v>
      </c>
      <c r="BM8" s="270" t="s">
        <v>245</v>
      </c>
      <c r="BN8" s="224"/>
      <c r="BO8" s="173"/>
      <c r="BP8" s="295" t="s">
        <v>371</v>
      </c>
      <c r="BQ8" s="230" t="str">
        <f t="shared" ref="BQ8:BQ22" si="6">IF(OR(BO$8="判定対象外",BP$8="判定対象外",BP8="-"),"-",IF(BO8=BP8,"OK","NG"))</f>
        <v>-</v>
      </c>
      <c r="BR8" s="269" t="s">
        <v>614</v>
      </c>
      <c r="BS8" s="270" t="s">
        <v>245</v>
      </c>
      <c r="BT8" s="224"/>
      <c r="BU8" s="505" t="s">
        <v>752</v>
      </c>
      <c r="BV8" s="295" t="s">
        <v>637</v>
      </c>
      <c r="BW8" s="230" t="str">
        <f t="shared" ref="BW8:BW22" si="7">IF(OR(BU$8="判定対象外",BV$8="判定対象外",BV8="-"),"-",IF(BU8=BV8,"OK","NG"))</f>
        <v>OK</v>
      </c>
      <c r="BX8" s="269" t="s">
        <v>400</v>
      </c>
      <c r="BY8" s="230" t="str">
        <f t="shared" ref="BY8:BY22" si="8">IF(OR(BW$8="判定対象外",BX$8="判定対象外",BX8="-"),"-",IF(BW8=BX8,"OK","NG"))</f>
        <v>-</v>
      </c>
      <c r="BZ8" s="224"/>
      <c r="CA8" s="173"/>
      <c r="CB8" s="295" t="s">
        <v>371</v>
      </c>
      <c r="CC8" s="230" t="str">
        <f t="shared" ref="CC8:CC22" si="9">IF(OR(CA$8="判定対象外",CB$8="判定対象外",CB8="-"),"-",IF(CA8=CB8,"OK","NG"))</f>
        <v>-</v>
      </c>
      <c r="CD8" s="269"/>
      <c r="CE8" s="270" t="s">
        <v>245</v>
      </c>
      <c r="CF8" s="224"/>
      <c r="CG8" s="173"/>
      <c r="CH8" s="295" t="s">
        <v>371</v>
      </c>
      <c r="CI8" s="230" t="str">
        <f t="shared" ref="CI8:CI22" si="10">IF(OR(CG$8="判定対象外",CH$8="判定対象外",CH8="-"),"-",IF(CG8=CH8,"OK","NG"))</f>
        <v>-</v>
      </c>
      <c r="CJ8" s="269"/>
      <c r="CK8" s="270" t="s">
        <v>245</v>
      </c>
      <c r="CL8" s="224"/>
      <c r="CM8" s="173">
        <v>8900</v>
      </c>
      <c r="CN8" s="295" t="s">
        <v>650</v>
      </c>
      <c r="CO8" s="230" t="str">
        <f t="shared" ref="CO8:CO32" si="11">IF(OR(CM$8="判定対象外",CN$8="判定対象外",CN8="-"),"-",IF(CM8=CN8,"OK","NG"))</f>
        <v>NG</v>
      </c>
      <c r="CP8" s="269" t="s">
        <v>400</v>
      </c>
      <c r="CQ8" s="230" t="str">
        <f t="shared" ref="CQ8:CQ22" si="12">IF(OR(CO$8="判定対象外",CP$8="判定対象外",CP8="-"),"-",IF(CO8=CP8,"OK","NG"))</f>
        <v>-</v>
      </c>
      <c r="CR8" s="224"/>
      <c r="CS8" s="173"/>
      <c r="CT8" s="295" t="s">
        <v>371</v>
      </c>
      <c r="CU8" s="230" t="str">
        <f t="shared" ref="CU8:CU22" si="13">IF(OR(CS$8="判定対象外",CT$8="判定対象外",CT8="-"),"-",IF(CS8=CT8,"OK","NG"))</f>
        <v>-</v>
      </c>
      <c r="CV8" s="269" t="s">
        <v>614</v>
      </c>
      <c r="CW8" s="270" t="s">
        <v>245</v>
      </c>
      <c r="CX8" s="224"/>
      <c r="CY8" s="173"/>
      <c r="CZ8" s="295" t="s">
        <v>371</v>
      </c>
      <c r="DA8" s="230" t="str">
        <f t="shared" ref="DA8:DA22" si="14">IF(OR(CY$8="判定対象外",CZ$8="判定対象外",CZ8="-"),"-",IF(CY8=CZ8,"OK","NG"))</f>
        <v>-</v>
      </c>
      <c r="DB8" s="269" t="s">
        <v>614</v>
      </c>
      <c r="DC8" s="270" t="s">
        <v>245</v>
      </c>
    </row>
    <row r="9" spans="1:107" s="33" customFormat="1">
      <c r="A9" s="20"/>
      <c r="B9" s="146">
        <v>1</v>
      </c>
      <c r="C9" s="54" t="s">
        <v>41</v>
      </c>
      <c r="D9" s="102"/>
      <c r="E9" s="67"/>
      <c r="F9" s="67"/>
      <c r="G9" s="67"/>
      <c r="H9" s="62"/>
      <c r="I9" s="109"/>
      <c r="J9" s="109" t="s">
        <v>31</v>
      </c>
      <c r="K9" s="17"/>
      <c r="L9" s="17"/>
      <c r="M9" s="108" t="s">
        <v>42</v>
      </c>
      <c r="N9" s="17"/>
      <c r="O9" s="110"/>
      <c r="P9" s="131"/>
      <c r="Q9" s="126"/>
      <c r="R9" s="109"/>
      <c r="S9" s="108"/>
      <c r="T9" s="108"/>
      <c r="U9" s="109"/>
      <c r="V9" s="110"/>
      <c r="W9" s="25" t="str">
        <f t="shared" si="0"/>
        <v>0</v>
      </c>
      <c r="X9" s="15" t="s">
        <v>34</v>
      </c>
      <c r="Y9" s="15"/>
      <c r="Z9" s="15"/>
      <c r="AA9" s="17"/>
      <c r="AB9" s="17" t="s">
        <v>257</v>
      </c>
      <c r="AC9" s="130"/>
      <c r="AD9" s="51"/>
      <c r="AE9" s="169"/>
      <c r="AF9" s="52" t="str">
        <f>IF(AH9="-","-",AH9&amp;REPT(IF($R9="N","　",IF($R9="9","0"," ")),$Z9-LEN(AH9)))</f>
        <v/>
      </c>
      <c r="AG9" s="218" t="str">
        <f>IF(OR(AE$8="判定対象外",AF$8="判定対象外",AF9="-"),"-",IF(AE9=AF9,"OK","NG"))</f>
        <v>-</v>
      </c>
      <c r="AH9" s="52"/>
      <c r="AI9" s="92" t="str">
        <f t="shared" ref="AI9:AI36" si="15">IF(EXACT(AE9,AH9),"OK","NG")</f>
        <v>OK</v>
      </c>
      <c r="AJ9" s="51"/>
      <c r="AK9" s="169"/>
      <c r="AL9" s="52" t="str">
        <f>IF(AN9="-","-",AN9&amp;REPT(IF($R9="N","　",IF($R9="9","0"," ")),$Z9-LEN(AN9)))</f>
        <v/>
      </c>
      <c r="AM9" s="218" t="str">
        <f t="shared" si="1"/>
        <v>-</v>
      </c>
      <c r="AN9" s="52"/>
      <c r="AO9" s="92" t="str">
        <f t="shared" ref="AO9:AO18" si="16">IF(EXACT(AK9,AN9),"OK","NG")</f>
        <v>OK</v>
      </c>
      <c r="AP9" s="51"/>
      <c r="AQ9" s="172"/>
      <c r="AR9" s="52" t="str">
        <f>IF(AT9="-","-",AT9&amp;REPT(IF($R9="N","　",IF($R9="9","0"," ")),$Z9-LEN(AT9)))</f>
        <v/>
      </c>
      <c r="AS9" s="218" t="str">
        <f t="shared" si="2"/>
        <v>OK</v>
      </c>
      <c r="AT9" s="52"/>
      <c r="AU9" s="218" t="str">
        <f>IF(OR(AS$8="判定対象外",AT$8="判定対象外",AT9="-"),"-",IF(AS9=AT9,"OK","NG"))</f>
        <v>-</v>
      </c>
      <c r="AV9" s="51"/>
      <c r="AW9" s="169"/>
      <c r="AX9" s="52" t="str">
        <f>IF(AZ9="-","-",AZ9&amp;REPT(IF($R9="N","　",IF($R9="9","0"," ")),$Z9-LEN(AZ9)))</f>
        <v/>
      </c>
      <c r="AY9" s="218" t="str">
        <f t="shared" si="3"/>
        <v>-</v>
      </c>
      <c r="AZ9" s="52"/>
      <c r="BA9" s="92" t="str">
        <f t="shared" ref="BA9:BA18" si="17">IF(EXACT(AW9,AZ9),"OK","NG")</f>
        <v>OK</v>
      </c>
      <c r="BB9" s="51"/>
      <c r="BC9" s="169"/>
      <c r="BD9" s="52" t="str">
        <f>IF(BF9="-","-",BF9&amp;REPT(IF($R9="N","　",IF($R9="9","0"," ")),$Z9-LEN(BF9)))</f>
        <v/>
      </c>
      <c r="BE9" s="218" t="str">
        <f t="shared" si="4"/>
        <v>-</v>
      </c>
      <c r="BF9" s="52"/>
      <c r="BG9" s="92" t="str">
        <f t="shared" ref="BG9:BG18" si="18">IF(EXACT(BC9,BF9),"OK","NG")</f>
        <v>OK</v>
      </c>
      <c r="BH9" s="51"/>
      <c r="BI9" s="172"/>
      <c r="BJ9" s="52" t="str">
        <f>IF(BL9="-","-",BL9&amp;REPT(IF($R9="N","　",IF($R9="9","0"," ")),$Z9-LEN(BL9)))</f>
        <v/>
      </c>
      <c r="BK9" s="218" t="str">
        <f t="shared" si="5"/>
        <v>OK</v>
      </c>
      <c r="BL9" s="52"/>
      <c r="BM9" s="92" t="str">
        <f t="shared" ref="BM9:BM37" si="19">IF(EXACT(BI9,BL9),"OK","NG")</f>
        <v>OK</v>
      </c>
      <c r="BN9" s="51"/>
      <c r="BO9" s="169"/>
      <c r="BP9" s="52" t="str">
        <f>IF(BR9="-","-",BR9&amp;REPT(IF($R9="N","　",IF($R9="9","0"," ")),$Z9-LEN(BR9)))</f>
        <v/>
      </c>
      <c r="BQ9" s="218" t="str">
        <f t="shared" si="6"/>
        <v>-</v>
      </c>
      <c r="BR9" s="52"/>
      <c r="BS9" s="92" t="str">
        <f t="shared" ref="BS9:BS18" si="20">IF(EXACT(BO9,BR9),"OK","NG")</f>
        <v>OK</v>
      </c>
      <c r="BT9" s="51"/>
      <c r="BU9" s="172"/>
      <c r="BV9" s="52" t="str">
        <f>IF(BX9="-","-",BX9&amp;REPT(IF($R9="N","　",IF($R9="9","0"," ")),$Z9-LEN(BX9)))</f>
        <v/>
      </c>
      <c r="BW9" s="218" t="str">
        <f t="shared" si="7"/>
        <v>OK</v>
      </c>
      <c r="BX9" s="52"/>
      <c r="BY9" s="218" t="str">
        <f t="shared" si="8"/>
        <v>-</v>
      </c>
      <c r="BZ9" s="51"/>
      <c r="CA9" s="169"/>
      <c r="CB9" s="52" t="str">
        <f>IF(CD9="-","-",CD9&amp;REPT(IF($R9="N","　",IF($R9="9","0"," ")),$Z9-LEN(CD9)))</f>
        <v/>
      </c>
      <c r="CC9" s="218" t="str">
        <f t="shared" si="9"/>
        <v>-</v>
      </c>
      <c r="CD9" s="52"/>
      <c r="CE9" s="92" t="str">
        <f t="shared" ref="CE9:CE18" si="21">IF(EXACT(CA9,CD9),"OK","NG")</f>
        <v>OK</v>
      </c>
      <c r="CF9" s="51"/>
      <c r="CG9" s="169"/>
      <c r="CH9" s="52" t="str">
        <f>IF(CJ9="-","-",CJ9&amp;REPT(IF($R9="N","　",IF($R9="9","0"," ")),$Z9-LEN(CJ9)))</f>
        <v/>
      </c>
      <c r="CI9" s="218" t="str">
        <f t="shared" si="10"/>
        <v>-</v>
      </c>
      <c r="CJ9" s="52"/>
      <c r="CK9" s="92" t="str">
        <f t="shared" ref="CK9:CK18" si="22">IF(EXACT(CG9,CJ9),"OK","NG")</f>
        <v>OK</v>
      </c>
      <c r="CL9" s="51"/>
      <c r="CM9" s="169"/>
      <c r="CN9" s="52" t="str">
        <f>IF(CP9="-","-",CP9&amp;REPT(IF($R9="N","　",IF($R9="9","0"," ")),$Z9-LEN(CP9)))</f>
        <v/>
      </c>
      <c r="CO9" s="218" t="str">
        <f t="shared" si="11"/>
        <v>OK</v>
      </c>
      <c r="CP9" s="52"/>
      <c r="CQ9" s="218" t="str">
        <f t="shared" si="12"/>
        <v>-</v>
      </c>
      <c r="CR9" s="51"/>
      <c r="CS9" s="169"/>
      <c r="CT9" s="52" t="str">
        <f>IF(CV9="-","-",CV9&amp;REPT(IF($R9="N","　",IF($R9="9","0"," ")),$Z9-LEN(CV9)))</f>
        <v/>
      </c>
      <c r="CU9" s="218" t="str">
        <f t="shared" si="13"/>
        <v>-</v>
      </c>
      <c r="CV9" s="52"/>
      <c r="CW9" s="92" t="str">
        <f t="shared" ref="CW9:CW18" si="23">IF(EXACT(CS9,CV9),"OK","NG")</f>
        <v>OK</v>
      </c>
      <c r="CX9" s="51"/>
      <c r="CY9" s="169"/>
      <c r="CZ9" s="52" t="str">
        <f>IF(DB9="-","-",DB9&amp;REPT(IF($R9="N","　",IF($R9="9","0"," ")),$Z9-LEN(DB9)))</f>
        <v/>
      </c>
      <c r="DA9" s="218" t="str">
        <f t="shared" si="14"/>
        <v>-</v>
      </c>
      <c r="DB9" s="52"/>
      <c r="DC9" s="92" t="str">
        <f t="shared" ref="DC9:DC18" si="24">IF(EXACT(CY9,DB9),"OK","NG")</f>
        <v>OK</v>
      </c>
    </row>
    <row r="10" spans="1:107" s="33" customFormat="1">
      <c r="A10" s="20"/>
      <c r="B10" s="147">
        <v>2</v>
      </c>
      <c r="C10" s="7"/>
      <c r="D10" s="123" t="s">
        <v>43</v>
      </c>
      <c r="E10" s="16"/>
      <c r="F10" s="16"/>
      <c r="G10" s="16"/>
      <c r="H10" s="13"/>
      <c r="I10" s="21"/>
      <c r="J10" s="21" t="s">
        <v>254</v>
      </c>
      <c r="K10" s="8"/>
      <c r="L10" s="8"/>
      <c r="M10" s="96"/>
      <c r="N10" s="8"/>
      <c r="O10" s="10"/>
      <c r="P10" s="95"/>
      <c r="Q10" s="115"/>
      <c r="R10" s="21"/>
      <c r="S10" s="96"/>
      <c r="T10" s="96"/>
      <c r="U10" s="21"/>
      <c r="V10" s="10"/>
      <c r="W10" s="25" t="str">
        <f t="shared" si="0"/>
        <v>1</v>
      </c>
      <c r="X10" s="1" t="s">
        <v>258</v>
      </c>
      <c r="Y10" s="1"/>
      <c r="Z10" s="1"/>
      <c r="AA10" s="8"/>
      <c r="AB10" s="8" t="s">
        <v>259</v>
      </c>
      <c r="AC10" s="57"/>
      <c r="AD10" s="51"/>
      <c r="AE10" s="169"/>
      <c r="AF10" s="52" t="str">
        <f>IF(AH10="-","-",AH10&amp;REPT(IF($R10="N","　",IF($R10="9","0"," ")),$Z10-LEN(AH10)))</f>
        <v/>
      </c>
      <c r="AG10" s="218" t="str">
        <f>IF(OR(AE$8="判定対象外",AF$8="判定対象外",AF10="-"),"-",IF(AE10=AF10,"OK","NG"))</f>
        <v>-</v>
      </c>
      <c r="AH10" s="52"/>
      <c r="AI10" s="92" t="str">
        <f t="shared" si="15"/>
        <v>OK</v>
      </c>
      <c r="AJ10" s="51"/>
      <c r="AK10" s="169"/>
      <c r="AL10" s="52" t="str">
        <f>IF(AN10="-","-",AN10&amp;REPT(IF($R10="N","　",IF($R10="9","0"," ")),$Z10-LEN(AN10)))</f>
        <v/>
      </c>
      <c r="AM10" s="218" t="str">
        <f t="shared" si="1"/>
        <v>-</v>
      </c>
      <c r="AN10" s="52"/>
      <c r="AO10" s="92" t="str">
        <f t="shared" si="16"/>
        <v>OK</v>
      </c>
      <c r="AP10" s="51"/>
      <c r="AQ10" s="172"/>
      <c r="AR10" s="52" t="str">
        <f>IF(AT10="-","-",AT10&amp;REPT(IF($R10="N","　",IF($R10="9","0"," ")),$Z10-LEN(AT10)))</f>
        <v/>
      </c>
      <c r="AS10" s="218" t="str">
        <f t="shared" si="2"/>
        <v>OK</v>
      </c>
      <c r="AT10" s="52"/>
      <c r="AU10" s="218" t="str">
        <f>IF(OR(AS$8="判定対象外",AT$8="判定対象外",AT10="-"),"-",IF(AS10=AT10,"OK","NG"))</f>
        <v>-</v>
      </c>
      <c r="AV10" s="51"/>
      <c r="AW10" s="169"/>
      <c r="AX10" s="52" t="str">
        <f>IF(AZ10="-","-",AZ10&amp;REPT(IF($R10="N","　",IF($R10="9","0"," ")),$Z10-LEN(AZ10)))</f>
        <v/>
      </c>
      <c r="AY10" s="218" t="str">
        <f t="shared" si="3"/>
        <v>-</v>
      </c>
      <c r="AZ10" s="52"/>
      <c r="BA10" s="92" t="str">
        <f t="shared" si="17"/>
        <v>OK</v>
      </c>
      <c r="BB10" s="51"/>
      <c r="BC10" s="169"/>
      <c r="BD10" s="52" t="str">
        <f>IF(BF10="-","-",BF10&amp;REPT(IF($R10="N","　",IF($R10="9","0"," ")),$Z10-LEN(BF10)))</f>
        <v/>
      </c>
      <c r="BE10" s="218" t="str">
        <f t="shared" si="4"/>
        <v>-</v>
      </c>
      <c r="BF10" s="52"/>
      <c r="BG10" s="92" t="str">
        <f t="shared" si="18"/>
        <v>OK</v>
      </c>
      <c r="BH10" s="51"/>
      <c r="BI10" s="172"/>
      <c r="BJ10" s="52" t="str">
        <f>IF(BL10="-","-",BL10&amp;REPT(IF($R10="N","　",IF($R10="9","0"," ")),$Z10-LEN(BL10)))</f>
        <v/>
      </c>
      <c r="BK10" s="218" t="str">
        <f t="shared" si="5"/>
        <v>OK</v>
      </c>
      <c r="BL10" s="52"/>
      <c r="BM10" s="92" t="str">
        <f t="shared" si="19"/>
        <v>OK</v>
      </c>
      <c r="BN10" s="51"/>
      <c r="BO10" s="169"/>
      <c r="BP10" s="52" t="str">
        <f>IF(BR10="-","-",BR10&amp;REPT(IF($R10="N","　",IF($R10="9","0"," ")),$Z10-LEN(BR10)))</f>
        <v/>
      </c>
      <c r="BQ10" s="218" t="str">
        <f t="shared" si="6"/>
        <v>-</v>
      </c>
      <c r="BR10" s="52"/>
      <c r="BS10" s="92" t="str">
        <f t="shared" si="20"/>
        <v>OK</v>
      </c>
      <c r="BT10" s="51"/>
      <c r="BU10" s="172"/>
      <c r="BV10" s="52" t="str">
        <f>IF(BX10="-","-",BX10&amp;REPT(IF($R10="N","　",IF($R10="9","0"," ")),$Z10-LEN(BX10)))</f>
        <v/>
      </c>
      <c r="BW10" s="218" t="str">
        <f t="shared" si="7"/>
        <v>OK</v>
      </c>
      <c r="BX10" s="52"/>
      <c r="BY10" s="218" t="str">
        <f t="shared" si="8"/>
        <v>-</v>
      </c>
      <c r="BZ10" s="51"/>
      <c r="CA10" s="169"/>
      <c r="CB10" s="52" t="str">
        <f>IF(CD10="-","-",CD10&amp;REPT(IF($R10="N","　",IF($R10="9","0"," ")),$Z10-LEN(CD10)))</f>
        <v/>
      </c>
      <c r="CC10" s="218" t="str">
        <f t="shared" si="9"/>
        <v>-</v>
      </c>
      <c r="CD10" s="52"/>
      <c r="CE10" s="92" t="str">
        <f t="shared" si="21"/>
        <v>OK</v>
      </c>
      <c r="CF10" s="51"/>
      <c r="CG10" s="169"/>
      <c r="CH10" s="52" t="str">
        <f>IF(CJ10="-","-",CJ10&amp;REPT(IF($R10="N","　",IF($R10="9","0"," ")),$Z10-LEN(CJ10)))</f>
        <v/>
      </c>
      <c r="CI10" s="218" t="str">
        <f t="shared" si="10"/>
        <v>-</v>
      </c>
      <c r="CJ10" s="52"/>
      <c r="CK10" s="92" t="str">
        <f t="shared" si="22"/>
        <v>OK</v>
      </c>
      <c r="CL10" s="51"/>
      <c r="CM10" s="169"/>
      <c r="CN10" s="52" t="str">
        <f>IF(CP10="-","-",CP10&amp;REPT(IF($R10="N","　",IF($R10="9","0"," ")),$Z10-LEN(CP10)))</f>
        <v/>
      </c>
      <c r="CO10" s="218" t="str">
        <f t="shared" si="11"/>
        <v>OK</v>
      </c>
      <c r="CP10" s="52"/>
      <c r="CQ10" s="218" t="str">
        <f t="shared" si="12"/>
        <v>-</v>
      </c>
      <c r="CR10" s="51"/>
      <c r="CS10" s="169"/>
      <c r="CT10" s="52" t="str">
        <f>IF(CV10="-","-",CV10&amp;REPT(IF($R10="N","　",IF($R10="9","0"," ")),$Z10-LEN(CV10)))</f>
        <v/>
      </c>
      <c r="CU10" s="218" t="str">
        <f t="shared" si="13"/>
        <v>-</v>
      </c>
      <c r="CV10" s="52"/>
      <c r="CW10" s="92" t="str">
        <f t="shared" si="23"/>
        <v>OK</v>
      </c>
      <c r="CX10" s="51"/>
      <c r="CY10" s="169"/>
      <c r="CZ10" s="52" t="str">
        <f>IF(DB10="-","-",DB10&amp;REPT(IF($R10="N","　",IF($R10="9","0"," ")),$Z10-LEN(DB10)))</f>
        <v/>
      </c>
      <c r="DA10" s="218" t="str">
        <f t="shared" si="14"/>
        <v>-</v>
      </c>
      <c r="DB10" s="52"/>
      <c r="DC10" s="92" t="str">
        <f t="shared" si="24"/>
        <v>OK</v>
      </c>
    </row>
    <row r="11" spans="1:107" s="33" customFormat="1" ht="25.5">
      <c r="A11" s="20"/>
      <c r="B11" s="2">
        <v>3</v>
      </c>
      <c r="C11" s="7"/>
      <c r="D11" s="7"/>
      <c r="E11" s="22" t="s">
        <v>260</v>
      </c>
      <c r="F11" s="16"/>
      <c r="G11" s="16"/>
      <c r="H11" s="13"/>
      <c r="I11" s="8"/>
      <c r="J11" s="8" t="s">
        <v>254</v>
      </c>
      <c r="K11" s="8"/>
      <c r="L11" s="8"/>
      <c r="M11" s="9" t="s">
        <v>201</v>
      </c>
      <c r="N11" s="8"/>
      <c r="O11" s="10"/>
      <c r="P11" s="95">
        <v>1</v>
      </c>
      <c r="Q11" s="115">
        <v>5</v>
      </c>
      <c r="R11" s="21" t="s">
        <v>261</v>
      </c>
      <c r="S11" s="96"/>
      <c r="T11" s="96"/>
      <c r="U11" s="21" t="s">
        <v>259</v>
      </c>
      <c r="V11" s="10" t="s">
        <v>44</v>
      </c>
      <c r="W11" s="25" t="str">
        <f t="shared" si="0"/>
        <v>2</v>
      </c>
      <c r="X11" s="1" t="s">
        <v>262</v>
      </c>
      <c r="Y11" s="1">
        <v>4</v>
      </c>
      <c r="Z11" s="1">
        <v>4</v>
      </c>
      <c r="AA11" s="8" t="s">
        <v>261</v>
      </c>
      <c r="AB11" s="8" t="s">
        <v>259</v>
      </c>
      <c r="AC11" s="57"/>
      <c r="AD11" s="93" t="s">
        <v>243</v>
      </c>
      <c r="AE11" s="170" t="s">
        <v>659</v>
      </c>
      <c r="AF11" s="91" t="s">
        <v>370</v>
      </c>
      <c r="AG11" s="218" t="str">
        <f>IF(OR(AE$8="判定対象外",AF$8="判定対象外",AF11="-"),"-",IF(AE11=AF11,"OK","NG"))</f>
        <v>-</v>
      </c>
      <c r="AH11" s="91" t="str">
        <f t="shared" ref="AH11:AH20" si="25">IF(AD11&lt;&gt;"",AD11,"")</f>
        <v>B004</v>
      </c>
      <c r="AI11" s="92" t="str">
        <f>IF(EXACT(AE11,AH11),"OK","NG")</f>
        <v>OK</v>
      </c>
      <c r="AJ11" s="93" t="s">
        <v>229</v>
      </c>
      <c r="AK11" s="170" t="s">
        <v>659</v>
      </c>
      <c r="AL11" s="91" t="s">
        <v>370</v>
      </c>
      <c r="AM11" s="218" t="str">
        <f t="shared" si="1"/>
        <v>-</v>
      </c>
      <c r="AN11" s="91" t="str">
        <f t="shared" ref="AN11:AN20" si="26">IF(AJ11&lt;&gt;"",AJ11,"")</f>
        <v>B004</v>
      </c>
      <c r="AO11" s="92" t="str">
        <f t="shared" si="16"/>
        <v>OK</v>
      </c>
      <c r="AP11" s="93" t="s">
        <v>229</v>
      </c>
      <c r="AQ11" s="170" t="s">
        <v>685</v>
      </c>
      <c r="AR11" s="91" t="s">
        <v>370</v>
      </c>
      <c r="AS11" s="218" t="str">
        <f t="shared" si="2"/>
        <v>OK</v>
      </c>
      <c r="AT11" s="91" t="str">
        <f t="shared" ref="AT11:AT20" si="27">IF(AP11&lt;&gt;"",AP11,"")</f>
        <v>B004</v>
      </c>
      <c r="AU11" s="218" t="str">
        <f>IF(OR(AS$8="判定対象外",AT$8="判定対象外",AT11="-"),"-",IF(AS11=AT11,"OK","NG"))</f>
        <v>-</v>
      </c>
      <c r="AV11" s="93" t="s">
        <v>229</v>
      </c>
      <c r="AW11" s="170" t="s">
        <v>659</v>
      </c>
      <c r="AX11" s="91" t="s">
        <v>370</v>
      </c>
      <c r="AY11" s="218" t="str">
        <f t="shared" si="3"/>
        <v>-</v>
      </c>
      <c r="AZ11" s="91" t="str">
        <f t="shared" ref="AZ11:AZ20" si="28">IF(AV11&lt;&gt;"",AV11,"")</f>
        <v>B004</v>
      </c>
      <c r="BA11" s="92" t="str">
        <f t="shared" si="17"/>
        <v>OK</v>
      </c>
      <c r="BB11" s="93" t="s">
        <v>229</v>
      </c>
      <c r="BC11" s="170" t="s">
        <v>659</v>
      </c>
      <c r="BD11" s="91" t="s">
        <v>370</v>
      </c>
      <c r="BE11" s="218" t="str">
        <f t="shared" si="4"/>
        <v>-</v>
      </c>
      <c r="BF11" s="91" t="str">
        <f t="shared" ref="BF11:BF20" si="29">IF(BB11&lt;&gt;"",BB11,"")</f>
        <v>B004</v>
      </c>
      <c r="BG11" s="92" t="str">
        <f t="shared" si="18"/>
        <v>OK</v>
      </c>
      <c r="BH11" s="93" t="s">
        <v>229</v>
      </c>
      <c r="BI11" s="170" t="s">
        <v>685</v>
      </c>
      <c r="BJ11" s="91" t="s">
        <v>370</v>
      </c>
      <c r="BK11" s="218" t="str">
        <f t="shared" si="5"/>
        <v>OK</v>
      </c>
      <c r="BL11" s="91" t="str">
        <f t="shared" ref="BL11:BL20" si="30">IF(BH11&lt;&gt;"",BH11,"")</f>
        <v>B004</v>
      </c>
      <c r="BM11" s="92" t="str">
        <f t="shared" si="19"/>
        <v>NG</v>
      </c>
      <c r="BN11" s="93" t="s">
        <v>229</v>
      </c>
      <c r="BO11" s="170" t="s">
        <v>659</v>
      </c>
      <c r="BP11" s="91" t="s">
        <v>370</v>
      </c>
      <c r="BQ11" s="218" t="str">
        <f t="shared" si="6"/>
        <v>-</v>
      </c>
      <c r="BR11" s="91" t="str">
        <f t="shared" ref="BR11:BR20" si="31">IF(BN11&lt;&gt;"",BN11,"")</f>
        <v>B004</v>
      </c>
      <c r="BS11" s="92" t="str">
        <f t="shared" si="20"/>
        <v>OK</v>
      </c>
      <c r="BT11" s="93" t="s">
        <v>229</v>
      </c>
      <c r="BU11" s="170" t="s">
        <v>685</v>
      </c>
      <c r="BV11" s="91" t="s">
        <v>370</v>
      </c>
      <c r="BW11" s="218" t="str">
        <f t="shared" si="7"/>
        <v>OK</v>
      </c>
      <c r="BX11" s="91" t="str">
        <f t="shared" ref="BX11:BX20" si="32">IF(BT11&lt;&gt;"",BT11,"")</f>
        <v>B004</v>
      </c>
      <c r="BY11" s="218" t="str">
        <f t="shared" si="8"/>
        <v>-</v>
      </c>
      <c r="BZ11" s="93" t="s">
        <v>229</v>
      </c>
      <c r="CA11" s="170" t="s">
        <v>659</v>
      </c>
      <c r="CB11" s="91" t="s">
        <v>370</v>
      </c>
      <c r="CC11" s="218" t="str">
        <f t="shared" si="9"/>
        <v>-</v>
      </c>
      <c r="CD11" s="91" t="str">
        <f t="shared" ref="CD11:CD20" si="33">IF(BZ11&lt;&gt;"",BZ11,"")</f>
        <v>B004</v>
      </c>
      <c r="CE11" s="92" t="str">
        <f t="shared" si="21"/>
        <v>OK</v>
      </c>
      <c r="CF11" s="93" t="s">
        <v>229</v>
      </c>
      <c r="CG11" s="170" t="s">
        <v>659</v>
      </c>
      <c r="CH11" s="91" t="s">
        <v>370</v>
      </c>
      <c r="CI11" s="218" t="str">
        <f t="shared" si="10"/>
        <v>-</v>
      </c>
      <c r="CJ11" s="91" t="str">
        <f t="shared" ref="CJ11:CJ20" si="34">IF(CF11&lt;&gt;"",CF11,"")</f>
        <v>B004</v>
      </c>
      <c r="CK11" s="92" t="str">
        <f t="shared" si="22"/>
        <v>OK</v>
      </c>
      <c r="CL11" s="93" t="s">
        <v>229</v>
      </c>
      <c r="CM11" s="170" t="s">
        <v>685</v>
      </c>
      <c r="CN11" s="91" t="s">
        <v>370</v>
      </c>
      <c r="CO11" s="218" t="str">
        <f t="shared" si="11"/>
        <v>OK</v>
      </c>
      <c r="CP11" s="91" t="str">
        <f t="shared" ref="CP11:CP20" si="35">IF(CL11&lt;&gt;"",CL11,"")</f>
        <v>B004</v>
      </c>
      <c r="CQ11" s="218" t="str">
        <f t="shared" si="12"/>
        <v>-</v>
      </c>
      <c r="CR11" s="93" t="s">
        <v>229</v>
      </c>
      <c r="CS11" s="170" t="s">
        <v>659</v>
      </c>
      <c r="CT11" s="91" t="s">
        <v>370</v>
      </c>
      <c r="CU11" s="218" t="str">
        <f t="shared" si="13"/>
        <v>-</v>
      </c>
      <c r="CV11" s="91" t="str">
        <f t="shared" ref="CV11:CV20" si="36">IF(CR11&lt;&gt;"",CR11,"")</f>
        <v>B004</v>
      </c>
      <c r="CW11" s="92" t="str">
        <f t="shared" si="23"/>
        <v>OK</v>
      </c>
      <c r="CX11" s="93" t="s">
        <v>229</v>
      </c>
      <c r="CY11" s="170" t="s">
        <v>659</v>
      </c>
      <c r="CZ11" s="91" t="s">
        <v>370</v>
      </c>
      <c r="DA11" s="218" t="str">
        <f t="shared" si="14"/>
        <v>-</v>
      </c>
      <c r="DB11" s="91" t="str">
        <f t="shared" ref="DB11:DB20" si="37">IF(CX11&lt;&gt;"",CX11,"")</f>
        <v>B004</v>
      </c>
      <c r="DC11" s="92" t="str">
        <f t="shared" si="24"/>
        <v>OK</v>
      </c>
    </row>
    <row r="12" spans="1:107" s="33" customFormat="1" ht="25.5">
      <c r="A12" s="20"/>
      <c r="B12" s="2">
        <v>4</v>
      </c>
      <c r="C12" s="7"/>
      <c r="D12" s="7"/>
      <c r="E12" s="22" t="s">
        <v>263</v>
      </c>
      <c r="F12" s="16"/>
      <c r="G12" s="16"/>
      <c r="H12" s="13"/>
      <c r="I12" s="8"/>
      <c r="J12" s="8" t="s">
        <v>254</v>
      </c>
      <c r="K12" s="8"/>
      <c r="L12" s="8"/>
      <c r="M12" s="9" t="s">
        <v>202</v>
      </c>
      <c r="N12" s="8"/>
      <c r="O12" s="10"/>
      <c r="P12" s="95">
        <v>2</v>
      </c>
      <c r="Q12" s="115">
        <v>2</v>
      </c>
      <c r="R12" s="21" t="s">
        <v>261</v>
      </c>
      <c r="S12" s="96"/>
      <c r="T12" s="96"/>
      <c r="U12" s="21" t="s">
        <v>259</v>
      </c>
      <c r="V12" s="10"/>
      <c r="W12" s="25" t="str">
        <f t="shared" si="0"/>
        <v>2</v>
      </c>
      <c r="X12" s="1" t="s">
        <v>264</v>
      </c>
      <c r="Y12" s="1">
        <v>2</v>
      </c>
      <c r="Z12" s="1">
        <v>2</v>
      </c>
      <c r="AA12" s="8">
        <v>9</v>
      </c>
      <c r="AB12" s="8" t="s">
        <v>259</v>
      </c>
      <c r="AC12" s="57"/>
      <c r="AD12" s="93" t="s">
        <v>58</v>
      </c>
      <c r="AE12" s="170" t="s">
        <v>58</v>
      </c>
      <c r="AF12" s="91" t="str">
        <f>IF(AH12="-","-",AH12&amp;REPT(IF($R12="N","　",IF($R12="9","0"," ")),$Z12-LENB(AH12)))</f>
        <v>10</v>
      </c>
      <c r="AG12" s="218" t="str">
        <f t="shared" ref="AG12:AG66" si="38">IF(OR(AE$8="判定対象外",AF$8="判定対象外",AF12="-"),"-",IF(AE12=AF12,"OK","NG"))</f>
        <v>-</v>
      </c>
      <c r="AH12" s="91" t="str">
        <f t="shared" si="25"/>
        <v>10</v>
      </c>
      <c r="AI12" s="92" t="str">
        <f>IF(EXACT(AE12,AH12),"OK","NG")</f>
        <v>OK</v>
      </c>
      <c r="AJ12" s="93" t="s">
        <v>58</v>
      </c>
      <c r="AK12" s="170" t="s">
        <v>58</v>
      </c>
      <c r="AL12" s="91" t="str">
        <f>IF(AN12="-","-",AN12&amp;REPT(IF($R12="N","　",IF($R12="9","0"," ")),$Z12-LENB(AN12)))</f>
        <v>10</v>
      </c>
      <c r="AM12" s="218" t="str">
        <f t="shared" si="1"/>
        <v>-</v>
      </c>
      <c r="AN12" s="91" t="str">
        <f t="shared" si="26"/>
        <v>10</v>
      </c>
      <c r="AO12" s="92" t="str">
        <f t="shared" si="16"/>
        <v>OK</v>
      </c>
      <c r="AP12" s="93" t="s">
        <v>58</v>
      </c>
      <c r="AQ12" s="170" t="s">
        <v>58</v>
      </c>
      <c r="AR12" s="91" t="str">
        <f>IF(AT12="-","-",AT12&amp;REPT(IF($R12="N","　",IF($R12="9","0"," ")),$Z12-LENB(AT12)))</f>
        <v>10</v>
      </c>
      <c r="AS12" s="218" t="str">
        <f t="shared" si="2"/>
        <v>OK</v>
      </c>
      <c r="AT12" s="91" t="str">
        <f t="shared" si="27"/>
        <v>10</v>
      </c>
      <c r="AU12" s="218" t="str">
        <f t="shared" ref="AU12:AU75" si="39">IF(OR(AS$8="判定対象外",AT$8="判定対象外",AT12="-"),"-",IF(AS12=AT12,"OK","NG"))</f>
        <v>-</v>
      </c>
      <c r="AV12" s="93" t="s">
        <v>58</v>
      </c>
      <c r="AW12" s="170" t="s">
        <v>58</v>
      </c>
      <c r="AX12" s="91" t="str">
        <f>IF(AZ12="-","-",AZ12&amp;REPT(IF($R12="N","　",IF($R12="9","0"," ")),$Z12-LENB(AZ12)))</f>
        <v>10</v>
      </c>
      <c r="AY12" s="218" t="str">
        <f t="shared" si="3"/>
        <v>-</v>
      </c>
      <c r="AZ12" s="91" t="str">
        <f t="shared" si="28"/>
        <v>10</v>
      </c>
      <c r="BA12" s="92" t="str">
        <f t="shared" si="17"/>
        <v>OK</v>
      </c>
      <c r="BB12" s="93" t="s">
        <v>58</v>
      </c>
      <c r="BC12" s="170" t="s">
        <v>58</v>
      </c>
      <c r="BD12" s="91" t="str">
        <f>IF(BF12="-","-",BF12&amp;REPT(IF($R12="N","　",IF($R12="9","0"," ")),$Z12-LENB(BF12)))</f>
        <v>10</v>
      </c>
      <c r="BE12" s="218" t="str">
        <f t="shared" si="4"/>
        <v>-</v>
      </c>
      <c r="BF12" s="91" t="str">
        <f t="shared" si="29"/>
        <v>10</v>
      </c>
      <c r="BG12" s="92" t="str">
        <f t="shared" si="18"/>
        <v>OK</v>
      </c>
      <c r="BH12" s="93" t="s">
        <v>58</v>
      </c>
      <c r="BI12" s="170" t="s">
        <v>58</v>
      </c>
      <c r="BJ12" s="91" t="str">
        <f>IF(BL12="-","-",BL12&amp;REPT(IF($R12="N","　",IF($R12="9","0"," ")),$Z12-LENB(BL12)))</f>
        <v>10</v>
      </c>
      <c r="BK12" s="218" t="str">
        <f t="shared" si="5"/>
        <v>OK</v>
      </c>
      <c r="BL12" s="91" t="str">
        <f t="shared" si="30"/>
        <v>10</v>
      </c>
      <c r="BM12" s="92" t="str">
        <f t="shared" si="19"/>
        <v>OK</v>
      </c>
      <c r="BN12" s="93" t="s">
        <v>58</v>
      </c>
      <c r="BO12" s="170" t="s">
        <v>58</v>
      </c>
      <c r="BP12" s="91" t="str">
        <f>IF(BR12="-","-",BR12&amp;REPT(IF($R12="N","　",IF($R12="9","0"," ")),$Z12-LENB(BR12)))</f>
        <v>10</v>
      </c>
      <c r="BQ12" s="218" t="str">
        <f t="shared" si="6"/>
        <v>-</v>
      </c>
      <c r="BR12" s="91" t="str">
        <f t="shared" si="31"/>
        <v>10</v>
      </c>
      <c r="BS12" s="92" t="str">
        <f t="shared" si="20"/>
        <v>OK</v>
      </c>
      <c r="BT12" s="93" t="s">
        <v>58</v>
      </c>
      <c r="BU12" s="170" t="s">
        <v>58</v>
      </c>
      <c r="BV12" s="91" t="str">
        <f>IF(BX12="-","-",BX12&amp;REPT(IF($R12="N","　",IF($R12="9","0"," ")),$Z12-LENB(BX12)))</f>
        <v>10</v>
      </c>
      <c r="BW12" s="218" t="str">
        <f t="shared" si="7"/>
        <v>OK</v>
      </c>
      <c r="BX12" s="91" t="str">
        <f t="shared" si="32"/>
        <v>10</v>
      </c>
      <c r="BY12" s="218" t="str">
        <f t="shared" si="8"/>
        <v>-</v>
      </c>
      <c r="BZ12" s="93" t="s">
        <v>58</v>
      </c>
      <c r="CA12" s="170" t="s">
        <v>58</v>
      </c>
      <c r="CB12" s="91" t="str">
        <f>IF(CD12="-","-",CD12&amp;REPT(IF($R12="N","　",IF($R12="9","0"," ")),$Z12-LENB(CD12)))</f>
        <v>10</v>
      </c>
      <c r="CC12" s="218" t="str">
        <f t="shared" si="9"/>
        <v>-</v>
      </c>
      <c r="CD12" s="91" t="str">
        <f t="shared" si="33"/>
        <v>10</v>
      </c>
      <c r="CE12" s="92" t="str">
        <f t="shared" si="21"/>
        <v>OK</v>
      </c>
      <c r="CF12" s="93" t="s">
        <v>58</v>
      </c>
      <c r="CG12" s="170" t="s">
        <v>58</v>
      </c>
      <c r="CH12" s="91" t="str">
        <f>IF(CJ12="-","-",CJ12&amp;REPT(IF($R12="N","　",IF($R12="9","0"," ")),$Z12-LENB(CJ12)))</f>
        <v>10</v>
      </c>
      <c r="CI12" s="218" t="str">
        <f t="shared" si="10"/>
        <v>-</v>
      </c>
      <c r="CJ12" s="91" t="str">
        <f t="shared" si="34"/>
        <v>10</v>
      </c>
      <c r="CK12" s="92" t="str">
        <f t="shared" si="22"/>
        <v>OK</v>
      </c>
      <c r="CL12" s="93" t="s">
        <v>58</v>
      </c>
      <c r="CM12" s="170" t="s">
        <v>58</v>
      </c>
      <c r="CN12" s="91" t="str">
        <f>IF(CP12="-","-",CP12&amp;REPT(IF($R12="N","　",IF($R12="9","0"," ")),$Z12-LENB(CP12)))</f>
        <v>10</v>
      </c>
      <c r="CO12" s="218" t="str">
        <f t="shared" si="11"/>
        <v>OK</v>
      </c>
      <c r="CP12" s="91" t="str">
        <f t="shared" si="35"/>
        <v>10</v>
      </c>
      <c r="CQ12" s="218" t="str">
        <f t="shared" si="12"/>
        <v>-</v>
      </c>
      <c r="CR12" s="93" t="s">
        <v>58</v>
      </c>
      <c r="CS12" s="170" t="s">
        <v>58</v>
      </c>
      <c r="CT12" s="91" t="str">
        <f>IF(CV12="-","-",CV12&amp;REPT(IF($R12="N","　",IF($R12="9","0"," ")),$Z12-LENB(CV12)))</f>
        <v>10</v>
      </c>
      <c r="CU12" s="218" t="str">
        <f t="shared" si="13"/>
        <v>-</v>
      </c>
      <c r="CV12" s="91" t="str">
        <f t="shared" si="36"/>
        <v>10</v>
      </c>
      <c r="CW12" s="92" t="str">
        <f t="shared" si="23"/>
        <v>OK</v>
      </c>
      <c r="CX12" s="93" t="s">
        <v>58</v>
      </c>
      <c r="CY12" s="170" t="s">
        <v>58</v>
      </c>
      <c r="CZ12" s="91" t="str">
        <f>IF(DB12="-","-",DB12&amp;REPT(IF($R12="N","　",IF($R12="9","0"," ")),$Z12-LENB(DB12)))</f>
        <v>10</v>
      </c>
      <c r="DA12" s="218" t="str">
        <f t="shared" si="14"/>
        <v>-</v>
      </c>
      <c r="DB12" s="91" t="str">
        <f t="shared" si="37"/>
        <v>10</v>
      </c>
      <c r="DC12" s="92" t="str">
        <f t="shared" si="24"/>
        <v>OK</v>
      </c>
    </row>
    <row r="13" spans="1:107" s="33" customFormat="1">
      <c r="A13" s="20"/>
      <c r="B13" s="2">
        <v>5</v>
      </c>
      <c r="C13" s="7"/>
      <c r="D13" s="7"/>
      <c r="E13" s="22" t="s">
        <v>45</v>
      </c>
      <c r="F13" s="16"/>
      <c r="G13" s="16"/>
      <c r="H13" s="13"/>
      <c r="I13" s="21"/>
      <c r="J13" s="21" t="s">
        <v>254</v>
      </c>
      <c r="K13" s="8"/>
      <c r="L13" s="8"/>
      <c r="M13" s="96" t="s">
        <v>265</v>
      </c>
      <c r="N13" s="8"/>
      <c r="O13" s="10"/>
      <c r="P13" s="95">
        <v>3</v>
      </c>
      <c r="Q13" s="115">
        <v>14</v>
      </c>
      <c r="R13" s="21" t="s">
        <v>261</v>
      </c>
      <c r="S13" s="96"/>
      <c r="T13" s="96"/>
      <c r="U13" s="21" t="s">
        <v>259</v>
      </c>
      <c r="V13" s="10"/>
      <c r="W13" s="25" t="str">
        <f t="shared" si="0"/>
        <v>2</v>
      </c>
      <c r="X13" s="1" t="s">
        <v>266</v>
      </c>
      <c r="Y13" s="1">
        <v>14</v>
      </c>
      <c r="Z13" s="1">
        <v>14</v>
      </c>
      <c r="AA13" s="8">
        <v>9</v>
      </c>
      <c r="AB13" s="8" t="s">
        <v>259</v>
      </c>
      <c r="AC13" s="57"/>
      <c r="AD13" s="94" t="s">
        <v>361</v>
      </c>
      <c r="AE13" s="171" t="s">
        <v>660</v>
      </c>
      <c r="AF13" s="91" t="str">
        <f t="shared" ref="AF13:AF76" si="40">IF(AH13="-","-",AH13&amp;REPT(IF($R13="N","　",IF($R13="9","0"," ")),$Z13-LENB(AH13)))</f>
        <v>20160404111111</v>
      </c>
      <c r="AG13" s="218" t="str">
        <f t="shared" si="38"/>
        <v>-</v>
      </c>
      <c r="AH13" s="91" t="str">
        <f t="shared" si="25"/>
        <v>20160404111111</v>
      </c>
      <c r="AI13" s="92" t="str">
        <f>IF(EXACT(AE13,AH13),"OK","NG")</f>
        <v>OK</v>
      </c>
      <c r="AJ13" s="94" t="s">
        <v>361</v>
      </c>
      <c r="AK13" s="171" t="s">
        <v>660</v>
      </c>
      <c r="AL13" s="91" t="str">
        <f t="shared" ref="AL13:AL76" si="41">IF(AN13="-","-",AN13&amp;REPT(IF($R13="N","　",IF($R13="9","0"," ")),$Z13-LENB(AN13)))</f>
        <v>20160404111111</v>
      </c>
      <c r="AM13" s="218" t="str">
        <f t="shared" si="1"/>
        <v>-</v>
      </c>
      <c r="AN13" s="91" t="str">
        <f t="shared" si="26"/>
        <v>20160404111111</v>
      </c>
      <c r="AO13" s="92" t="str">
        <f t="shared" si="16"/>
        <v>OK</v>
      </c>
      <c r="AP13" s="94" t="s">
        <v>361</v>
      </c>
      <c r="AQ13" s="171" t="s">
        <v>660</v>
      </c>
      <c r="AR13" s="91" t="str">
        <f t="shared" ref="AR13:AR76" si="42">IF(AT13="-","-",AT13&amp;REPT(IF($R13="N","　",IF($R13="9","0"," ")),$Z13-LENB(AT13)))</f>
        <v>20160404111111</v>
      </c>
      <c r="AS13" s="218" t="str">
        <f t="shared" si="2"/>
        <v>OK</v>
      </c>
      <c r="AT13" s="91" t="str">
        <f t="shared" si="27"/>
        <v>20160404111111</v>
      </c>
      <c r="AU13" s="218" t="str">
        <f t="shared" si="39"/>
        <v>-</v>
      </c>
      <c r="AV13" s="94" t="s">
        <v>361</v>
      </c>
      <c r="AW13" s="171" t="s">
        <v>660</v>
      </c>
      <c r="AX13" s="91" t="str">
        <f t="shared" ref="AX13:AX76" si="43">IF(AZ13="-","-",AZ13&amp;REPT(IF($R13="N","　",IF($R13="9","0"," ")),$Z13-LENB(AZ13)))</f>
        <v>20160404111111</v>
      </c>
      <c r="AY13" s="218" t="str">
        <f t="shared" si="3"/>
        <v>-</v>
      </c>
      <c r="AZ13" s="91" t="str">
        <f t="shared" si="28"/>
        <v>20160404111111</v>
      </c>
      <c r="BA13" s="92" t="str">
        <f t="shared" si="17"/>
        <v>OK</v>
      </c>
      <c r="BB13" s="94" t="s">
        <v>361</v>
      </c>
      <c r="BC13" s="171" t="s">
        <v>660</v>
      </c>
      <c r="BD13" s="91" t="str">
        <f t="shared" ref="BD13:BD76" si="44">IF(BF13="-","-",BF13&amp;REPT(IF($R13="N","　",IF($R13="9","0"," ")),$Z13-LENB(BF13)))</f>
        <v>20160404111111</v>
      </c>
      <c r="BE13" s="218" t="str">
        <f t="shared" si="4"/>
        <v>-</v>
      </c>
      <c r="BF13" s="91" t="str">
        <f t="shared" si="29"/>
        <v>20160404111111</v>
      </c>
      <c r="BG13" s="92" t="str">
        <f t="shared" si="18"/>
        <v>OK</v>
      </c>
      <c r="BH13" s="94" t="s">
        <v>361</v>
      </c>
      <c r="BI13" s="171" t="s">
        <v>660</v>
      </c>
      <c r="BJ13" s="91" t="str">
        <f t="shared" ref="BJ13:BJ76" si="45">IF(BL13="-","-",BL13&amp;REPT(IF($R13="N","　",IF($R13="9","0"," ")),$Z13-LENB(BL13)))</f>
        <v>20160404111111</v>
      </c>
      <c r="BK13" s="218" t="str">
        <f t="shared" si="5"/>
        <v>OK</v>
      </c>
      <c r="BL13" s="91" t="str">
        <f t="shared" si="30"/>
        <v>20160404111111</v>
      </c>
      <c r="BM13" s="92" t="str">
        <f t="shared" si="19"/>
        <v>OK</v>
      </c>
      <c r="BN13" s="94" t="s">
        <v>361</v>
      </c>
      <c r="BO13" s="171" t="s">
        <v>660</v>
      </c>
      <c r="BP13" s="91" t="str">
        <f t="shared" ref="BP13:BP76" si="46">IF(BR13="-","-",BR13&amp;REPT(IF($R13="N","　",IF($R13="9","0"," ")),$Z13-LENB(BR13)))</f>
        <v>20160404111111</v>
      </c>
      <c r="BQ13" s="218" t="str">
        <f t="shared" si="6"/>
        <v>-</v>
      </c>
      <c r="BR13" s="91" t="str">
        <f t="shared" si="31"/>
        <v>20160404111111</v>
      </c>
      <c r="BS13" s="92" t="str">
        <f t="shared" si="20"/>
        <v>OK</v>
      </c>
      <c r="BT13" s="94" t="s">
        <v>361</v>
      </c>
      <c r="BU13" s="171" t="s">
        <v>660</v>
      </c>
      <c r="BV13" s="91" t="str">
        <f t="shared" ref="BV13:BV76" si="47">IF(BX13="-","-",BX13&amp;REPT(IF($R13="N","　",IF($R13="9","0"," ")),$Z13-LENB(BX13)))</f>
        <v>20160404111111</v>
      </c>
      <c r="BW13" s="218" t="str">
        <f t="shared" si="7"/>
        <v>OK</v>
      </c>
      <c r="BX13" s="91" t="str">
        <f t="shared" si="32"/>
        <v>20160404111111</v>
      </c>
      <c r="BY13" s="218" t="str">
        <f t="shared" si="8"/>
        <v>-</v>
      </c>
      <c r="BZ13" s="94" t="s">
        <v>361</v>
      </c>
      <c r="CA13" s="171" t="s">
        <v>660</v>
      </c>
      <c r="CB13" s="91" t="str">
        <f t="shared" ref="CB13:CB76" si="48">IF(CD13="-","-",CD13&amp;REPT(IF($R13="N","　",IF($R13="9","0"," ")),$Z13-LENB(CD13)))</f>
        <v>20160404111111</v>
      </c>
      <c r="CC13" s="218" t="str">
        <f t="shared" si="9"/>
        <v>-</v>
      </c>
      <c r="CD13" s="91" t="str">
        <f t="shared" si="33"/>
        <v>20160404111111</v>
      </c>
      <c r="CE13" s="92" t="str">
        <f t="shared" si="21"/>
        <v>OK</v>
      </c>
      <c r="CF13" s="94" t="s">
        <v>361</v>
      </c>
      <c r="CG13" s="171" t="s">
        <v>660</v>
      </c>
      <c r="CH13" s="91" t="str">
        <f t="shared" ref="CH13:CH76" si="49">IF(CJ13="-","-",CJ13&amp;REPT(IF($R13="N","　",IF($R13="9","0"," ")),$Z13-LENB(CJ13)))</f>
        <v>20160404111111</v>
      </c>
      <c r="CI13" s="218" t="str">
        <f t="shared" si="10"/>
        <v>-</v>
      </c>
      <c r="CJ13" s="91" t="str">
        <f t="shared" si="34"/>
        <v>20160404111111</v>
      </c>
      <c r="CK13" s="92" t="str">
        <f t="shared" si="22"/>
        <v>OK</v>
      </c>
      <c r="CL13" s="94" t="s">
        <v>361</v>
      </c>
      <c r="CM13" s="171" t="s">
        <v>660</v>
      </c>
      <c r="CN13" s="91" t="str">
        <f t="shared" ref="CN13:CN76" si="50">IF(CP13="-","-",CP13&amp;REPT(IF($R13="N","　",IF($R13="9","0"," ")),$Z13-LENB(CP13)))</f>
        <v>20160404111111</v>
      </c>
      <c r="CO13" s="218" t="str">
        <f t="shared" si="11"/>
        <v>OK</v>
      </c>
      <c r="CP13" s="91" t="str">
        <f t="shared" si="35"/>
        <v>20160404111111</v>
      </c>
      <c r="CQ13" s="218" t="str">
        <f t="shared" si="12"/>
        <v>-</v>
      </c>
      <c r="CR13" s="94" t="s">
        <v>361</v>
      </c>
      <c r="CS13" s="171" t="s">
        <v>660</v>
      </c>
      <c r="CT13" s="91" t="str">
        <f t="shared" ref="CT13:CT76" si="51">IF(CV13="-","-",CV13&amp;REPT(IF($R13="N","　",IF($R13="9","0"," ")),$Z13-LENB(CV13)))</f>
        <v>20160404111111</v>
      </c>
      <c r="CU13" s="218" t="str">
        <f t="shared" si="13"/>
        <v>-</v>
      </c>
      <c r="CV13" s="91" t="str">
        <f t="shared" si="36"/>
        <v>20160404111111</v>
      </c>
      <c r="CW13" s="92" t="str">
        <f t="shared" si="23"/>
        <v>OK</v>
      </c>
      <c r="CX13" s="94" t="s">
        <v>361</v>
      </c>
      <c r="CY13" s="171" t="s">
        <v>660</v>
      </c>
      <c r="CZ13" s="91" t="str">
        <f t="shared" ref="CZ13:CZ76" si="52">IF(DB13="-","-",DB13&amp;REPT(IF($R13="N","　",IF($R13="9","0"," ")),$Z13-LENB(DB13)))</f>
        <v>20160404111111</v>
      </c>
      <c r="DA13" s="218" t="str">
        <f t="shared" si="14"/>
        <v>-</v>
      </c>
      <c r="DB13" s="91" t="str">
        <f t="shared" si="37"/>
        <v>20160404111111</v>
      </c>
      <c r="DC13" s="92" t="str">
        <f t="shared" si="24"/>
        <v>OK</v>
      </c>
    </row>
    <row r="14" spans="1:107" s="33" customFormat="1">
      <c r="A14" s="20"/>
      <c r="B14" s="2">
        <v>6</v>
      </c>
      <c r="C14" s="7"/>
      <c r="D14" s="7"/>
      <c r="E14" s="123" t="s">
        <v>46</v>
      </c>
      <c r="F14" s="16"/>
      <c r="G14" s="16"/>
      <c r="H14" s="13"/>
      <c r="I14" s="21"/>
      <c r="J14" s="21" t="s">
        <v>254</v>
      </c>
      <c r="K14" s="8"/>
      <c r="L14" s="8"/>
      <c r="M14" s="96"/>
      <c r="N14" s="8"/>
      <c r="O14" s="10"/>
      <c r="P14" s="95"/>
      <c r="Q14" s="115"/>
      <c r="R14" s="21"/>
      <c r="S14" s="96"/>
      <c r="T14" s="96"/>
      <c r="U14" s="21"/>
      <c r="V14" s="10"/>
      <c r="W14" s="25" t="str">
        <f t="shared" si="0"/>
        <v>2</v>
      </c>
      <c r="X14" s="1" t="s">
        <v>267</v>
      </c>
      <c r="Y14" s="1"/>
      <c r="Z14" s="1"/>
      <c r="AA14" s="8"/>
      <c r="AB14" s="8" t="s">
        <v>259</v>
      </c>
      <c r="AC14" s="57"/>
      <c r="AD14" s="93"/>
      <c r="AE14" s="172"/>
      <c r="AF14" s="91" t="str">
        <f t="shared" si="40"/>
        <v/>
      </c>
      <c r="AG14" s="218" t="str">
        <f t="shared" si="38"/>
        <v>-</v>
      </c>
      <c r="AH14" s="91" t="str">
        <f t="shared" si="25"/>
        <v/>
      </c>
      <c r="AI14" s="92" t="str">
        <f t="shared" si="15"/>
        <v>OK</v>
      </c>
      <c r="AJ14" s="93"/>
      <c r="AK14" s="172"/>
      <c r="AL14" s="91" t="str">
        <f t="shared" si="41"/>
        <v/>
      </c>
      <c r="AM14" s="218" t="str">
        <f t="shared" si="1"/>
        <v>-</v>
      </c>
      <c r="AN14" s="91" t="str">
        <f t="shared" si="26"/>
        <v/>
      </c>
      <c r="AO14" s="92" t="str">
        <f t="shared" si="16"/>
        <v>OK</v>
      </c>
      <c r="AP14" s="93"/>
      <c r="AQ14" s="172"/>
      <c r="AR14" s="91" t="str">
        <f t="shared" si="42"/>
        <v/>
      </c>
      <c r="AS14" s="218" t="str">
        <f t="shared" si="2"/>
        <v>OK</v>
      </c>
      <c r="AT14" s="91" t="str">
        <f t="shared" si="27"/>
        <v/>
      </c>
      <c r="AU14" s="218" t="str">
        <f t="shared" si="39"/>
        <v>-</v>
      </c>
      <c r="AV14" s="93"/>
      <c r="AW14" s="172"/>
      <c r="AX14" s="91" t="str">
        <f t="shared" si="43"/>
        <v/>
      </c>
      <c r="AY14" s="218" t="str">
        <f t="shared" si="3"/>
        <v>-</v>
      </c>
      <c r="AZ14" s="91" t="str">
        <f t="shared" si="28"/>
        <v/>
      </c>
      <c r="BA14" s="92" t="str">
        <f t="shared" si="17"/>
        <v>OK</v>
      </c>
      <c r="BB14" s="93"/>
      <c r="BC14" s="172"/>
      <c r="BD14" s="91" t="str">
        <f t="shared" si="44"/>
        <v/>
      </c>
      <c r="BE14" s="218" t="str">
        <f t="shared" si="4"/>
        <v>-</v>
      </c>
      <c r="BF14" s="91" t="str">
        <f t="shared" si="29"/>
        <v/>
      </c>
      <c r="BG14" s="92" t="str">
        <f t="shared" si="18"/>
        <v>OK</v>
      </c>
      <c r="BH14" s="93"/>
      <c r="BI14" s="172"/>
      <c r="BJ14" s="91" t="str">
        <f t="shared" si="45"/>
        <v/>
      </c>
      <c r="BK14" s="218" t="str">
        <f t="shared" si="5"/>
        <v>OK</v>
      </c>
      <c r="BL14" s="91" t="str">
        <f t="shared" si="30"/>
        <v/>
      </c>
      <c r="BM14" s="92" t="str">
        <f t="shared" si="19"/>
        <v>OK</v>
      </c>
      <c r="BN14" s="93"/>
      <c r="BO14" s="172"/>
      <c r="BP14" s="91" t="str">
        <f t="shared" si="46"/>
        <v/>
      </c>
      <c r="BQ14" s="218" t="str">
        <f t="shared" si="6"/>
        <v>-</v>
      </c>
      <c r="BR14" s="91" t="str">
        <f t="shared" si="31"/>
        <v/>
      </c>
      <c r="BS14" s="92" t="str">
        <f t="shared" si="20"/>
        <v>OK</v>
      </c>
      <c r="BT14" s="93"/>
      <c r="BU14" s="172"/>
      <c r="BV14" s="91" t="str">
        <f t="shared" si="47"/>
        <v/>
      </c>
      <c r="BW14" s="218" t="str">
        <f t="shared" si="7"/>
        <v>OK</v>
      </c>
      <c r="BX14" s="91" t="str">
        <f t="shared" si="32"/>
        <v/>
      </c>
      <c r="BY14" s="218" t="str">
        <f t="shared" si="8"/>
        <v>-</v>
      </c>
      <c r="BZ14" s="93"/>
      <c r="CA14" s="172"/>
      <c r="CB14" s="91" t="str">
        <f t="shared" si="48"/>
        <v/>
      </c>
      <c r="CC14" s="218" t="str">
        <f t="shared" si="9"/>
        <v>-</v>
      </c>
      <c r="CD14" s="91" t="str">
        <f t="shared" si="33"/>
        <v/>
      </c>
      <c r="CE14" s="92" t="str">
        <f t="shared" si="21"/>
        <v>OK</v>
      </c>
      <c r="CF14" s="93"/>
      <c r="CG14" s="172"/>
      <c r="CH14" s="91" t="str">
        <f t="shared" si="49"/>
        <v/>
      </c>
      <c r="CI14" s="218" t="str">
        <f t="shared" si="10"/>
        <v>-</v>
      </c>
      <c r="CJ14" s="91" t="str">
        <f t="shared" si="34"/>
        <v/>
      </c>
      <c r="CK14" s="92" t="str">
        <f t="shared" si="22"/>
        <v>OK</v>
      </c>
      <c r="CL14" s="93"/>
      <c r="CM14" s="172"/>
      <c r="CN14" s="91" t="str">
        <f t="shared" si="50"/>
        <v/>
      </c>
      <c r="CO14" s="218" t="str">
        <f t="shared" si="11"/>
        <v>OK</v>
      </c>
      <c r="CP14" s="91" t="str">
        <f t="shared" si="35"/>
        <v/>
      </c>
      <c r="CQ14" s="218" t="str">
        <f t="shared" si="12"/>
        <v>-</v>
      </c>
      <c r="CR14" s="93"/>
      <c r="CS14" s="172"/>
      <c r="CT14" s="91" t="str">
        <f t="shared" si="51"/>
        <v/>
      </c>
      <c r="CU14" s="218" t="str">
        <f t="shared" si="13"/>
        <v>-</v>
      </c>
      <c r="CV14" s="91" t="str">
        <f t="shared" si="36"/>
        <v/>
      </c>
      <c r="CW14" s="92" t="str">
        <f t="shared" si="23"/>
        <v>OK</v>
      </c>
      <c r="CX14" s="93"/>
      <c r="CY14" s="172"/>
      <c r="CZ14" s="91" t="str">
        <f t="shared" si="52"/>
        <v/>
      </c>
      <c r="DA14" s="218" t="str">
        <f t="shared" si="14"/>
        <v>-</v>
      </c>
      <c r="DB14" s="91" t="str">
        <f t="shared" si="37"/>
        <v/>
      </c>
      <c r="DC14" s="92" t="str">
        <f t="shared" si="24"/>
        <v>OK</v>
      </c>
    </row>
    <row r="15" spans="1:107" s="33" customFormat="1">
      <c r="A15" s="20"/>
      <c r="B15" s="2">
        <v>7</v>
      </c>
      <c r="C15" s="7"/>
      <c r="D15" s="7"/>
      <c r="E15" s="7"/>
      <c r="F15" s="22" t="s">
        <v>47</v>
      </c>
      <c r="G15" s="22"/>
      <c r="H15" s="13"/>
      <c r="I15" s="21"/>
      <c r="J15" s="21" t="s">
        <v>254</v>
      </c>
      <c r="K15" s="8"/>
      <c r="L15" s="8"/>
      <c r="M15" s="124" t="s">
        <v>48</v>
      </c>
      <c r="N15" s="1"/>
      <c r="O15" s="10"/>
      <c r="P15" s="95">
        <v>4</v>
      </c>
      <c r="Q15" s="115">
        <v>4</v>
      </c>
      <c r="R15" s="21" t="s">
        <v>261</v>
      </c>
      <c r="S15" s="96"/>
      <c r="T15" s="96"/>
      <c r="U15" s="21" t="s">
        <v>259</v>
      </c>
      <c r="V15" s="10"/>
      <c r="W15" s="25" t="str">
        <f t="shared" si="0"/>
        <v>3</v>
      </c>
      <c r="X15" s="1" t="s">
        <v>268</v>
      </c>
      <c r="Y15" s="1">
        <v>1</v>
      </c>
      <c r="Z15" s="1">
        <v>4</v>
      </c>
      <c r="AA15" s="8" t="s">
        <v>261</v>
      </c>
      <c r="AB15" s="8" t="s">
        <v>259</v>
      </c>
      <c r="AC15" s="57"/>
      <c r="AD15" s="93" t="s">
        <v>350</v>
      </c>
      <c r="AE15" s="170" t="s">
        <v>661</v>
      </c>
      <c r="AF15" s="91" t="str">
        <f t="shared" si="40"/>
        <v xml:space="preserve">FMC </v>
      </c>
      <c r="AG15" s="218" t="str">
        <f t="shared" si="38"/>
        <v>-</v>
      </c>
      <c r="AH15" s="91" t="str">
        <f>IF(AD15&lt;&gt;"",AD15,"")</f>
        <v>FMC</v>
      </c>
      <c r="AI15" s="92" t="str">
        <f>IF(EXACT(AE15,AH15),"OK","NG")</f>
        <v>OK</v>
      </c>
      <c r="AJ15" s="93" t="s">
        <v>350</v>
      </c>
      <c r="AK15" s="170" t="s">
        <v>661</v>
      </c>
      <c r="AL15" s="91" t="str">
        <f t="shared" si="41"/>
        <v xml:space="preserve">FMC </v>
      </c>
      <c r="AM15" s="218" t="str">
        <f t="shared" si="1"/>
        <v>-</v>
      </c>
      <c r="AN15" s="91" t="str">
        <f t="shared" si="26"/>
        <v>FMC</v>
      </c>
      <c r="AO15" s="92" t="str">
        <f t="shared" si="16"/>
        <v>OK</v>
      </c>
      <c r="AP15" s="93" t="s">
        <v>350</v>
      </c>
      <c r="AQ15" s="170" t="s">
        <v>686</v>
      </c>
      <c r="AR15" s="91" t="str">
        <f t="shared" si="42"/>
        <v xml:space="preserve">FMC </v>
      </c>
      <c r="AS15" s="218" t="str">
        <f t="shared" si="2"/>
        <v>OK</v>
      </c>
      <c r="AT15" s="91" t="str">
        <f>IF(AP15&lt;&gt;"",AP15,"")</f>
        <v>FMC</v>
      </c>
      <c r="AU15" s="218" t="str">
        <f t="shared" si="39"/>
        <v>-</v>
      </c>
      <c r="AV15" s="93" t="s">
        <v>350</v>
      </c>
      <c r="AW15" s="170" t="s">
        <v>661</v>
      </c>
      <c r="AX15" s="91" t="str">
        <f t="shared" si="43"/>
        <v xml:space="preserve">FMC </v>
      </c>
      <c r="AY15" s="218" t="str">
        <f t="shared" si="3"/>
        <v>-</v>
      </c>
      <c r="AZ15" s="91" t="str">
        <f>IF(AV15&lt;&gt;"",AV15,"")</f>
        <v>FMC</v>
      </c>
      <c r="BA15" s="92" t="str">
        <f t="shared" si="17"/>
        <v>OK</v>
      </c>
      <c r="BB15" s="93" t="s">
        <v>350</v>
      </c>
      <c r="BC15" s="170" t="s">
        <v>661</v>
      </c>
      <c r="BD15" s="91" t="str">
        <f t="shared" si="44"/>
        <v xml:space="preserve">FMC </v>
      </c>
      <c r="BE15" s="218" t="str">
        <f t="shared" si="4"/>
        <v>-</v>
      </c>
      <c r="BF15" s="91" t="str">
        <f t="shared" si="29"/>
        <v>FMC</v>
      </c>
      <c r="BG15" s="92" t="str">
        <f t="shared" si="18"/>
        <v>OK</v>
      </c>
      <c r="BH15" s="93" t="s">
        <v>350</v>
      </c>
      <c r="BI15" s="170" t="s">
        <v>686</v>
      </c>
      <c r="BJ15" s="91" t="str">
        <f t="shared" si="45"/>
        <v xml:space="preserve">FMC </v>
      </c>
      <c r="BK15" s="218" t="str">
        <f t="shared" si="5"/>
        <v>OK</v>
      </c>
      <c r="BL15" s="91" t="str">
        <f t="shared" si="30"/>
        <v>FMC</v>
      </c>
      <c r="BM15" s="92" t="str">
        <f t="shared" si="19"/>
        <v>NG</v>
      </c>
      <c r="BN15" s="93" t="s">
        <v>350</v>
      </c>
      <c r="BO15" s="170" t="s">
        <v>661</v>
      </c>
      <c r="BP15" s="91" t="str">
        <f t="shared" si="46"/>
        <v xml:space="preserve">FMC </v>
      </c>
      <c r="BQ15" s="218" t="str">
        <f t="shared" si="6"/>
        <v>-</v>
      </c>
      <c r="BR15" s="91" t="str">
        <f t="shared" si="31"/>
        <v>FMC</v>
      </c>
      <c r="BS15" s="92" t="str">
        <f t="shared" si="20"/>
        <v>OK</v>
      </c>
      <c r="BT15" s="93" t="s">
        <v>350</v>
      </c>
      <c r="BU15" s="170" t="s">
        <v>686</v>
      </c>
      <c r="BV15" s="91" t="str">
        <f t="shared" si="47"/>
        <v xml:space="preserve">FMC </v>
      </c>
      <c r="BW15" s="218" t="str">
        <f t="shared" si="7"/>
        <v>OK</v>
      </c>
      <c r="BX15" s="91" t="str">
        <f t="shared" si="32"/>
        <v>FMC</v>
      </c>
      <c r="BY15" s="218" t="str">
        <f t="shared" si="8"/>
        <v>-</v>
      </c>
      <c r="BZ15" s="93" t="s">
        <v>350</v>
      </c>
      <c r="CA15" s="170" t="s">
        <v>661</v>
      </c>
      <c r="CB15" s="91" t="str">
        <f t="shared" si="48"/>
        <v xml:space="preserve">FMC </v>
      </c>
      <c r="CC15" s="218" t="str">
        <f t="shared" si="9"/>
        <v>-</v>
      </c>
      <c r="CD15" s="91" t="str">
        <f t="shared" si="33"/>
        <v>FMC</v>
      </c>
      <c r="CE15" s="92" t="str">
        <f t="shared" si="21"/>
        <v>OK</v>
      </c>
      <c r="CF15" s="93" t="s">
        <v>350</v>
      </c>
      <c r="CG15" s="170" t="s">
        <v>661</v>
      </c>
      <c r="CH15" s="91" t="str">
        <f t="shared" si="49"/>
        <v xml:space="preserve">FMC </v>
      </c>
      <c r="CI15" s="218" t="str">
        <f t="shared" si="10"/>
        <v>-</v>
      </c>
      <c r="CJ15" s="91" t="str">
        <f t="shared" si="34"/>
        <v>FMC</v>
      </c>
      <c r="CK15" s="92" t="str">
        <f t="shared" si="22"/>
        <v>OK</v>
      </c>
      <c r="CL15" s="93" t="s">
        <v>350</v>
      </c>
      <c r="CM15" s="170" t="s">
        <v>686</v>
      </c>
      <c r="CN15" s="91" t="str">
        <f t="shared" si="50"/>
        <v xml:space="preserve">FMC </v>
      </c>
      <c r="CO15" s="218" t="str">
        <f t="shared" si="11"/>
        <v>OK</v>
      </c>
      <c r="CP15" s="91" t="str">
        <f t="shared" si="35"/>
        <v>FMC</v>
      </c>
      <c r="CQ15" s="218" t="str">
        <f t="shared" si="12"/>
        <v>-</v>
      </c>
      <c r="CR15" s="93" t="s">
        <v>350</v>
      </c>
      <c r="CS15" s="170" t="s">
        <v>661</v>
      </c>
      <c r="CT15" s="91" t="str">
        <f t="shared" si="51"/>
        <v xml:space="preserve">FMC </v>
      </c>
      <c r="CU15" s="218" t="str">
        <f t="shared" si="13"/>
        <v>-</v>
      </c>
      <c r="CV15" s="91" t="str">
        <f t="shared" si="36"/>
        <v>FMC</v>
      </c>
      <c r="CW15" s="92" t="str">
        <f t="shared" si="23"/>
        <v>OK</v>
      </c>
      <c r="CX15" s="93" t="s">
        <v>350</v>
      </c>
      <c r="CY15" s="170" t="s">
        <v>661</v>
      </c>
      <c r="CZ15" s="91" t="str">
        <f t="shared" si="52"/>
        <v xml:space="preserve">FMC </v>
      </c>
      <c r="DA15" s="218" t="str">
        <f t="shared" si="14"/>
        <v>-</v>
      </c>
      <c r="DB15" s="91" t="str">
        <f t="shared" si="37"/>
        <v>FMC</v>
      </c>
      <c r="DC15" s="92" t="str">
        <f t="shared" si="24"/>
        <v>OK</v>
      </c>
    </row>
    <row r="16" spans="1:107" s="33" customFormat="1" ht="89.25">
      <c r="A16" s="20"/>
      <c r="B16" s="2">
        <v>8</v>
      </c>
      <c r="C16" s="7"/>
      <c r="D16" s="7"/>
      <c r="E16" s="7"/>
      <c r="F16" s="22" t="s">
        <v>49</v>
      </c>
      <c r="G16" s="22"/>
      <c r="H16" s="13"/>
      <c r="I16" s="21"/>
      <c r="J16" s="8" t="s">
        <v>269</v>
      </c>
      <c r="K16" s="8"/>
      <c r="L16" s="8"/>
      <c r="M16" s="9" t="s">
        <v>203</v>
      </c>
      <c r="N16" s="8"/>
      <c r="O16" s="10"/>
      <c r="P16" s="95">
        <v>5</v>
      </c>
      <c r="Q16" s="115">
        <v>7</v>
      </c>
      <c r="R16" s="21" t="s">
        <v>261</v>
      </c>
      <c r="S16" s="96"/>
      <c r="T16" s="96"/>
      <c r="U16" s="21" t="s">
        <v>259</v>
      </c>
      <c r="V16" s="10"/>
      <c r="W16" s="25" t="str">
        <f t="shared" si="0"/>
        <v>3</v>
      </c>
      <c r="X16" s="1" t="s">
        <v>270</v>
      </c>
      <c r="Y16" s="1">
        <v>7</v>
      </c>
      <c r="Z16" s="1">
        <v>7</v>
      </c>
      <c r="AA16" s="8" t="s">
        <v>261</v>
      </c>
      <c r="AB16" s="8" t="s">
        <v>259</v>
      </c>
      <c r="AC16" s="57"/>
      <c r="AD16" s="93" t="s">
        <v>364</v>
      </c>
      <c r="AE16" s="170" t="s">
        <v>662</v>
      </c>
      <c r="AF16" s="91" t="str">
        <f t="shared" si="40"/>
        <v>E845001</v>
      </c>
      <c r="AG16" s="218" t="str">
        <f t="shared" si="38"/>
        <v>-</v>
      </c>
      <c r="AH16" s="91" t="str">
        <f t="shared" si="25"/>
        <v>E845001</v>
      </c>
      <c r="AI16" s="92" t="str">
        <f>IF(EXACT(AE16,AH16),"OK","NG")</f>
        <v>OK</v>
      </c>
      <c r="AJ16" s="93" t="s">
        <v>364</v>
      </c>
      <c r="AK16" s="170" t="s">
        <v>662</v>
      </c>
      <c r="AL16" s="91" t="str">
        <f t="shared" si="41"/>
        <v>E845001</v>
      </c>
      <c r="AM16" s="218" t="str">
        <f t="shared" si="1"/>
        <v>-</v>
      </c>
      <c r="AN16" s="91" t="str">
        <f t="shared" si="26"/>
        <v>E845001</v>
      </c>
      <c r="AO16" s="92" t="str">
        <f t="shared" si="16"/>
        <v>OK</v>
      </c>
      <c r="AP16" s="93" t="s">
        <v>624</v>
      </c>
      <c r="AQ16" s="170" t="s">
        <v>687</v>
      </c>
      <c r="AR16" s="91" t="str">
        <f t="shared" si="42"/>
        <v>A080601</v>
      </c>
      <c r="AS16" s="218" t="str">
        <f t="shared" si="2"/>
        <v>OK</v>
      </c>
      <c r="AT16" s="91" t="str">
        <f t="shared" si="27"/>
        <v>A080601</v>
      </c>
      <c r="AU16" s="218" t="str">
        <f t="shared" si="39"/>
        <v>-</v>
      </c>
      <c r="AV16" s="93" t="s">
        <v>364</v>
      </c>
      <c r="AW16" s="170" t="s">
        <v>662</v>
      </c>
      <c r="AX16" s="91" t="str">
        <f t="shared" si="43"/>
        <v>E845001</v>
      </c>
      <c r="AY16" s="218" t="str">
        <f t="shared" si="3"/>
        <v>-</v>
      </c>
      <c r="AZ16" s="91" t="str">
        <f t="shared" si="28"/>
        <v>E845001</v>
      </c>
      <c r="BA16" s="92" t="str">
        <f t="shared" si="17"/>
        <v>OK</v>
      </c>
      <c r="BB16" s="93" t="s">
        <v>364</v>
      </c>
      <c r="BC16" s="170" t="s">
        <v>662</v>
      </c>
      <c r="BD16" s="91" t="str">
        <f t="shared" si="44"/>
        <v>E845001</v>
      </c>
      <c r="BE16" s="218" t="str">
        <f t="shared" si="4"/>
        <v>-</v>
      </c>
      <c r="BF16" s="91" t="str">
        <f t="shared" si="29"/>
        <v>E845001</v>
      </c>
      <c r="BG16" s="92" t="str">
        <f t="shared" si="18"/>
        <v>OK</v>
      </c>
      <c r="BH16" s="93" t="s">
        <v>624</v>
      </c>
      <c r="BI16" s="170" t="s">
        <v>687</v>
      </c>
      <c r="BJ16" s="91" t="str">
        <f t="shared" si="45"/>
        <v>A080601</v>
      </c>
      <c r="BK16" s="218" t="str">
        <f t="shared" si="5"/>
        <v>OK</v>
      </c>
      <c r="BL16" s="91" t="str">
        <f t="shared" si="30"/>
        <v>A080601</v>
      </c>
      <c r="BM16" s="92" t="str">
        <f t="shared" si="19"/>
        <v>OK</v>
      </c>
      <c r="BN16" s="93" t="s">
        <v>364</v>
      </c>
      <c r="BO16" s="170" t="s">
        <v>662</v>
      </c>
      <c r="BP16" s="91" t="str">
        <f t="shared" si="46"/>
        <v>E845001</v>
      </c>
      <c r="BQ16" s="218" t="str">
        <f t="shared" si="6"/>
        <v>-</v>
      </c>
      <c r="BR16" s="91" t="str">
        <f t="shared" si="31"/>
        <v>E845001</v>
      </c>
      <c r="BS16" s="92" t="str">
        <f t="shared" si="20"/>
        <v>OK</v>
      </c>
      <c r="BT16" s="93" t="s">
        <v>624</v>
      </c>
      <c r="BU16" s="170" t="s">
        <v>687</v>
      </c>
      <c r="BV16" s="91" t="str">
        <f t="shared" si="47"/>
        <v>A080601</v>
      </c>
      <c r="BW16" s="218" t="str">
        <f t="shared" si="7"/>
        <v>OK</v>
      </c>
      <c r="BX16" s="91" t="str">
        <f t="shared" si="32"/>
        <v>A080601</v>
      </c>
      <c r="BY16" s="218" t="str">
        <f t="shared" si="8"/>
        <v>-</v>
      </c>
      <c r="BZ16" s="93" t="s">
        <v>364</v>
      </c>
      <c r="CA16" s="170" t="s">
        <v>662</v>
      </c>
      <c r="CB16" s="91" t="str">
        <f t="shared" si="48"/>
        <v>E845001</v>
      </c>
      <c r="CC16" s="218" t="str">
        <f t="shared" si="9"/>
        <v>-</v>
      </c>
      <c r="CD16" s="91" t="str">
        <f t="shared" si="33"/>
        <v>E845001</v>
      </c>
      <c r="CE16" s="92" t="str">
        <f t="shared" si="21"/>
        <v>OK</v>
      </c>
      <c r="CF16" s="93" t="s">
        <v>364</v>
      </c>
      <c r="CG16" s="170" t="s">
        <v>662</v>
      </c>
      <c r="CH16" s="91" t="str">
        <f t="shared" si="49"/>
        <v>E845001</v>
      </c>
      <c r="CI16" s="218" t="str">
        <f t="shared" si="10"/>
        <v>-</v>
      </c>
      <c r="CJ16" s="91" t="str">
        <f t="shared" si="34"/>
        <v>E845001</v>
      </c>
      <c r="CK16" s="92" t="str">
        <f t="shared" si="22"/>
        <v>OK</v>
      </c>
      <c r="CL16" s="93" t="s">
        <v>624</v>
      </c>
      <c r="CM16" s="170" t="s">
        <v>687</v>
      </c>
      <c r="CN16" s="91" t="str">
        <f t="shared" si="50"/>
        <v>A080601</v>
      </c>
      <c r="CO16" s="218" t="str">
        <f t="shared" si="11"/>
        <v>OK</v>
      </c>
      <c r="CP16" s="91" t="str">
        <f t="shared" si="35"/>
        <v>A080601</v>
      </c>
      <c r="CQ16" s="218" t="str">
        <f t="shared" si="12"/>
        <v>-</v>
      </c>
      <c r="CR16" s="93" t="s">
        <v>364</v>
      </c>
      <c r="CS16" s="170" t="s">
        <v>662</v>
      </c>
      <c r="CT16" s="91" t="str">
        <f t="shared" si="51"/>
        <v>E845001</v>
      </c>
      <c r="CU16" s="218" t="str">
        <f t="shared" si="13"/>
        <v>-</v>
      </c>
      <c r="CV16" s="91" t="str">
        <f t="shared" si="36"/>
        <v>E845001</v>
      </c>
      <c r="CW16" s="92" t="str">
        <f t="shared" si="23"/>
        <v>OK</v>
      </c>
      <c r="CX16" s="93" t="s">
        <v>364</v>
      </c>
      <c r="CY16" s="170" t="s">
        <v>662</v>
      </c>
      <c r="CZ16" s="91" t="str">
        <f t="shared" si="52"/>
        <v>E845001</v>
      </c>
      <c r="DA16" s="218" t="str">
        <f t="shared" si="14"/>
        <v>-</v>
      </c>
      <c r="DB16" s="91" t="str">
        <f t="shared" si="37"/>
        <v>E845001</v>
      </c>
      <c r="DC16" s="92" t="str">
        <f t="shared" si="24"/>
        <v>OK</v>
      </c>
    </row>
    <row r="17" spans="1:107" s="33" customFormat="1">
      <c r="A17" s="20"/>
      <c r="B17" s="2">
        <v>9</v>
      </c>
      <c r="C17" s="7"/>
      <c r="D17" s="7"/>
      <c r="E17" s="7"/>
      <c r="F17" s="22" t="s">
        <v>50</v>
      </c>
      <c r="G17" s="22"/>
      <c r="H17" s="13"/>
      <c r="I17" s="21"/>
      <c r="J17" s="21" t="s">
        <v>254</v>
      </c>
      <c r="K17" s="8"/>
      <c r="L17" s="8"/>
      <c r="M17" s="96" t="s">
        <v>51</v>
      </c>
      <c r="N17" s="8"/>
      <c r="O17" s="10"/>
      <c r="P17" s="95">
        <v>6</v>
      </c>
      <c r="Q17" s="115">
        <v>8</v>
      </c>
      <c r="R17" s="21" t="s">
        <v>261</v>
      </c>
      <c r="S17" s="96"/>
      <c r="T17" s="96"/>
      <c r="U17" s="21" t="s">
        <v>259</v>
      </c>
      <c r="V17" s="10"/>
      <c r="W17" s="25" t="str">
        <f t="shared" si="0"/>
        <v>3</v>
      </c>
      <c r="X17" s="1" t="s">
        <v>271</v>
      </c>
      <c r="Y17" s="1">
        <v>8</v>
      </c>
      <c r="Z17" s="1">
        <v>8</v>
      </c>
      <c r="AA17" s="8" t="s">
        <v>261</v>
      </c>
      <c r="AB17" s="8" t="s">
        <v>259</v>
      </c>
      <c r="AC17" s="57"/>
      <c r="AD17" s="94" t="s">
        <v>318</v>
      </c>
      <c r="AE17" s="170" t="s">
        <v>663</v>
      </c>
      <c r="AF17" s="91" t="str">
        <f t="shared" si="40"/>
        <v>CASE0010</v>
      </c>
      <c r="AG17" s="218" t="str">
        <f t="shared" si="38"/>
        <v>-</v>
      </c>
      <c r="AH17" s="91" t="str">
        <f t="shared" si="25"/>
        <v>CASE0010</v>
      </c>
      <c r="AI17" s="92" t="str">
        <f t="shared" si="15"/>
        <v>OK</v>
      </c>
      <c r="AJ17" s="94" t="s">
        <v>318</v>
      </c>
      <c r="AK17" s="170" t="s">
        <v>663</v>
      </c>
      <c r="AL17" s="91" t="str">
        <f t="shared" si="41"/>
        <v>CASE0010</v>
      </c>
      <c r="AM17" s="218" t="str">
        <f t="shared" si="1"/>
        <v>-</v>
      </c>
      <c r="AN17" s="91" t="str">
        <f t="shared" si="26"/>
        <v>CASE0010</v>
      </c>
      <c r="AO17" s="92" t="str">
        <f t="shared" si="16"/>
        <v>OK</v>
      </c>
      <c r="AP17" s="93" t="s">
        <v>625</v>
      </c>
      <c r="AQ17" s="170" t="s">
        <v>663</v>
      </c>
      <c r="AR17" s="91" t="str">
        <f t="shared" si="42"/>
        <v>CASE0010</v>
      </c>
      <c r="AS17" s="218" t="str">
        <f t="shared" si="2"/>
        <v>OK</v>
      </c>
      <c r="AT17" s="91" t="str">
        <f t="shared" si="27"/>
        <v>CASE0010</v>
      </c>
      <c r="AU17" s="218" t="str">
        <f t="shared" si="39"/>
        <v>-</v>
      </c>
      <c r="AV17" s="94" t="s">
        <v>318</v>
      </c>
      <c r="AW17" s="170" t="s">
        <v>663</v>
      </c>
      <c r="AX17" s="91" t="str">
        <f t="shared" si="43"/>
        <v>CASE0010</v>
      </c>
      <c r="AY17" s="218" t="str">
        <f t="shared" si="3"/>
        <v>-</v>
      </c>
      <c r="AZ17" s="91" t="str">
        <f t="shared" si="28"/>
        <v>CASE0010</v>
      </c>
      <c r="BA17" s="92" t="str">
        <f t="shared" si="17"/>
        <v>OK</v>
      </c>
      <c r="BB17" s="94" t="s">
        <v>318</v>
      </c>
      <c r="BC17" s="170" t="s">
        <v>663</v>
      </c>
      <c r="BD17" s="91" t="str">
        <f t="shared" si="44"/>
        <v>CASE0010</v>
      </c>
      <c r="BE17" s="218" t="str">
        <f t="shared" si="4"/>
        <v>-</v>
      </c>
      <c r="BF17" s="91" t="str">
        <f t="shared" si="29"/>
        <v>CASE0010</v>
      </c>
      <c r="BG17" s="92" t="str">
        <f t="shared" si="18"/>
        <v>OK</v>
      </c>
      <c r="BH17" s="93" t="s">
        <v>625</v>
      </c>
      <c r="BI17" s="170" t="s">
        <v>663</v>
      </c>
      <c r="BJ17" s="91" t="str">
        <f t="shared" si="45"/>
        <v>CASE0010</v>
      </c>
      <c r="BK17" s="218" t="str">
        <f t="shared" si="5"/>
        <v>OK</v>
      </c>
      <c r="BL17" s="91" t="str">
        <f t="shared" si="30"/>
        <v>CASE0010</v>
      </c>
      <c r="BM17" s="92" t="str">
        <f t="shared" si="19"/>
        <v>OK</v>
      </c>
      <c r="BN17" s="94" t="s">
        <v>318</v>
      </c>
      <c r="BO17" s="170" t="s">
        <v>663</v>
      </c>
      <c r="BP17" s="91" t="str">
        <f t="shared" si="46"/>
        <v>CASE0010</v>
      </c>
      <c r="BQ17" s="218" t="str">
        <f t="shared" si="6"/>
        <v>-</v>
      </c>
      <c r="BR17" s="91" t="str">
        <f t="shared" si="31"/>
        <v>CASE0010</v>
      </c>
      <c r="BS17" s="92" t="str">
        <f t="shared" si="20"/>
        <v>OK</v>
      </c>
      <c r="BT17" s="93" t="s">
        <v>625</v>
      </c>
      <c r="BU17" s="170" t="s">
        <v>663</v>
      </c>
      <c r="BV17" s="91" t="str">
        <f t="shared" si="47"/>
        <v>CASE0010</v>
      </c>
      <c r="BW17" s="218" t="str">
        <f t="shared" si="7"/>
        <v>OK</v>
      </c>
      <c r="BX17" s="91" t="str">
        <f t="shared" si="32"/>
        <v>CASE0010</v>
      </c>
      <c r="BY17" s="218" t="str">
        <f t="shared" si="8"/>
        <v>-</v>
      </c>
      <c r="BZ17" s="94" t="s">
        <v>318</v>
      </c>
      <c r="CA17" s="170" t="s">
        <v>663</v>
      </c>
      <c r="CB17" s="91" t="str">
        <f t="shared" si="48"/>
        <v>CASE0010</v>
      </c>
      <c r="CC17" s="218" t="str">
        <f t="shared" si="9"/>
        <v>-</v>
      </c>
      <c r="CD17" s="91" t="str">
        <f t="shared" si="33"/>
        <v>CASE0010</v>
      </c>
      <c r="CE17" s="92" t="str">
        <f t="shared" si="21"/>
        <v>OK</v>
      </c>
      <c r="CF17" s="94" t="s">
        <v>318</v>
      </c>
      <c r="CG17" s="170" t="s">
        <v>663</v>
      </c>
      <c r="CH17" s="91" t="str">
        <f t="shared" si="49"/>
        <v>CASE0010</v>
      </c>
      <c r="CI17" s="218" t="str">
        <f t="shared" si="10"/>
        <v>-</v>
      </c>
      <c r="CJ17" s="91" t="str">
        <f t="shared" si="34"/>
        <v>CASE0010</v>
      </c>
      <c r="CK17" s="92" t="str">
        <f t="shared" si="22"/>
        <v>OK</v>
      </c>
      <c r="CL17" s="93" t="s">
        <v>625</v>
      </c>
      <c r="CM17" s="170" t="s">
        <v>663</v>
      </c>
      <c r="CN17" s="91" t="str">
        <f t="shared" si="50"/>
        <v>CASE0010</v>
      </c>
      <c r="CO17" s="218" t="str">
        <f t="shared" si="11"/>
        <v>OK</v>
      </c>
      <c r="CP17" s="91" t="str">
        <f t="shared" si="35"/>
        <v>CASE0010</v>
      </c>
      <c r="CQ17" s="218" t="str">
        <f t="shared" si="12"/>
        <v>-</v>
      </c>
      <c r="CR17" s="94" t="s">
        <v>318</v>
      </c>
      <c r="CS17" s="170" t="s">
        <v>663</v>
      </c>
      <c r="CT17" s="91" t="str">
        <f t="shared" si="51"/>
        <v>CASE0010</v>
      </c>
      <c r="CU17" s="218" t="str">
        <f t="shared" si="13"/>
        <v>-</v>
      </c>
      <c r="CV17" s="91" t="str">
        <f t="shared" si="36"/>
        <v>CASE0010</v>
      </c>
      <c r="CW17" s="92" t="str">
        <f t="shared" si="23"/>
        <v>OK</v>
      </c>
      <c r="CX17" s="94" t="s">
        <v>318</v>
      </c>
      <c r="CY17" s="170" t="s">
        <v>663</v>
      </c>
      <c r="CZ17" s="91" t="str">
        <f t="shared" si="52"/>
        <v>CASE0010</v>
      </c>
      <c r="DA17" s="218" t="str">
        <f t="shared" si="14"/>
        <v>-</v>
      </c>
      <c r="DB17" s="91" t="str">
        <f t="shared" si="37"/>
        <v>CASE0010</v>
      </c>
      <c r="DC17" s="92" t="str">
        <f t="shared" si="24"/>
        <v>OK</v>
      </c>
    </row>
    <row r="18" spans="1:107" s="26" customFormat="1" ht="38.25">
      <c r="B18" s="2">
        <v>10</v>
      </c>
      <c r="C18" s="7"/>
      <c r="D18" s="7"/>
      <c r="E18" s="7"/>
      <c r="F18" s="16" t="s">
        <v>52</v>
      </c>
      <c r="G18" s="22"/>
      <c r="H18" s="13"/>
      <c r="I18" s="21"/>
      <c r="J18" s="21" t="s">
        <v>254</v>
      </c>
      <c r="K18" s="8"/>
      <c r="L18" s="8"/>
      <c r="M18" s="184" t="s">
        <v>272</v>
      </c>
      <c r="N18" s="8"/>
      <c r="O18" s="10" t="s">
        <v>273</v>
      </c>
      <c r="P18" s="95">
        <v>7</v>
      </c>
      <c r="Q18" s="115">
        <v>15</v>
      </c>
      <c r="R18" s="21" t="s">
        <v>261</v>
      </c>
      <c r="S18" s="96"/>
      <c r="T18" s="96"/>
      <c r="U18" s="21" t="s">
        <v>259</v>
      </c>
      <c r="V18" s="10"/>
      <c r="W18" s="25" t="str">
        <f t="shared" si="0"/>
        <v>3</v>
      </c>
      <c r="X18" s="1" t="s">
        <v>274</v>
      </c>
      <c r="Y18" s="1">
        <v>7</v>
      </c>
      <c r="Z18" s="1">
        <v>15</v>
      </c>
      <c r="AA18" s="8" t="s">
        <v>261</v>
      </c>
      <c r="AB18" s="8" t="s">
        <v>259</v>
      </c>
      <c r="AC18" s="57"/>
      <c r="AD18" s="265" t="s">
        <v>363</v>
      </c>
      <c r="AE18" s="170" t="s">
        <v>664</v>
      </c>
      <c r="AF18" s="91" t="str">
        <f t="shared" si="40"/>
        <v>192.168.134.174</v>
      </c>
      <c r="AG18" s="218" t="str">
        <f t="shared" si="38"/>
        <v>-</v>
      </c>
      <c r="AH18" s="91" t="str">
        <f>IF(AD18&lt;&gt;"",AD18,"")</f>
        <v>192.168.134.174</v>
      </c>
      <c r="AI18" s="92" t="str">
        <f>IF(EXACT(AE18,AH18),"OK","NG")</f>
        <v>OK</v>
      </c>
      <c r="AJ18" s="265" t="s">
        <v>363</v>
      </c>
      <c r="AK18" s="170" t="s">
        <v>664</v>
      </c>
      <c r="AL18" s="91" t="str">
        <f t="shared" si="41"/>
        <v>192.168.134.174</v>
      </c>
      <c r="AM18" s="218" t="str">
        <f t="shared" si="1"/>
        <v>-</v>
      </c>
      <c r="AN18" s="91" t="str">
        <f t="shared" si="26"/>
        <v>192.168.134.174</v>
      </c>
      <c r="AO18" s="92" t="str">
        <f t="shared" si="16"/>
        <v>OK</v>
      </c>
      <c r="AP18" s="265" t="s">
        <v>626</v>
      </c>
      <c r="AQ18" s="170" t="s">
        <v>688</v>
      </c>
      <c r="AR18" s="91" t="str">
        <f t="shared" si="42"/>
        <v xml:space="preserve">172.24.1.1     </v>
      </c>
      <c r="AS18" s="218" t="str">
        <f t="shared" si="2"/>
        <v>OK</v>
      </c>
      <c r="AT18" s="91" t="str">
        <f>IF(AP18&lt;&gt;"",AP18,"")</f>
        <v>172.24.1.1</v>
      </c>
      <c r="AU18" s="218" t="str">
        <f t="shared" si="39"/>
        <v>-</v>
      </c>
      <c r="AV18" s="265" t="s">
        <v>363</v>
      </c>
      <c r="AW18" s="170" t="s">
        <v>664</v>
      </c>
      <c r="AX18" s="91" t="str">
        <f t="shared" si="43"/>
        <v>192.168.134.174</v>
      </c>
      <c r="AY18" s="218" t="str">
        <f t="shared" si="3"/>
        <v>-</v>
      </c>
      <c r="AZ18" s="91" t="str">
        <f>IF(AV18&lt;&gt;"",AV18,"")</f>
        <v>192.168.134.174</v>
      </c>
      <c r="BA18" s="92" t="str">
        <f t="shared" si="17"/>
        <v>OK</v>
      </c>
      <c r="BB18" s="265" t="s">
        <v>363</v>
      </c>
      <c r="BC18" s="170" t="s">
        <v>664</v>
      </c>
      <c r="BD18" s="91" t="str">
        <f t="shared" si="44"/>
        <v>192.168.134.174</v>
      </c>
      <c r="BE18" s="218" t="str">
        <f t="shared" si="4"/>
        <v>-</v>
      </c>
      <c r="BF18" s="91" t="str">
        <f t="shared" si="29"/>
        <v>192.168.134.174</v>
      </c>
      <c r="BG18" s="92" t="str">
        <f t="shared" si="18"/>
        <v>OK</v>
      </c>
      <c r="BH18" s="265" t="s">
        <v>626</v>
      </c>
      <c r="BI18" s="170" t="s">
        <v>688</v>
      </c>
      <c r="BJ18" s="91" t="str">
        <f t="shared" si="45"/>
        <v xml:space="preserve">172.24.1.1     </v>
      </c>
      <c r="BK18" s="218" t="str">
        <f t="shared" si="5"/>
        <v>OK</v>
      </c>
      <c r="BL18" s="91" t="str">
        <f t="shared" si="30"/>
        <v>172.24.1.1</v>
      </c>
      <c r="BM18" s="92" t="str">
        <f t="shared" si="19"/>
        <v>NG</v>
      </c>
      <c r="BN18" s="265" t="s">
        <v>363</v>
      </c>
      <c r="BO18" s="170" t="s">
        <v>664</v>
      </c>
      <c r="BP18" s="91" t="str">
        <f t="shared" si="46"/>
        <v>192.168.134.174</v>
      </c>
      <c r="BQ18" s="218" t="str">
        <f t="shared" si="6"/>
        <v>-</v>
      </c>
      <c r="BR18" s="91" t="str">
        <f t="shared" si="31"/>
        <v>192.168.134.174</v>
      </c>
      <c r="BS18" s="92" t="str">
        <f t="shared" si="20"/>
        <v>OK</v>
      </c>
      <c r="BT18" s="265" t="s">
        <v>626</v>
      </c>
      <c r="BU18" s="170" t="s">
        <v>688</v>
      </c>
      <c r="BV18" s="91" t="str">
        <f t="shared" si="47"/>
        <v xml:space="preserve">172.24.1.1     </v>
      </c>
      <c r="BW18" s="218" t="str">
        <f t="shared" si="7"/>
        <v>OK</v>
      </c>
      <c r="BX18" s="91" t="str">
        <f t="shared" si="32"/>
        <v>172.24.1.1</v>
      </c>
      <c r="BY18" s="218" t="str">
        <f t="shared" si="8"/>
        <v>-</v>
      </c>
      <c r="BZ18" s="265" t="s">
        <v>363</v>
      </c>
      <c r="CA18" s="170" t="s">
        <v>664</v>
      </c>
      <c r="CB18" s="91" t="str">
        <f t="shared" si="48"/>
        <v>192.168.134.174</v>
      </c>
      <c r="CC18" s="218" t="str">
        <f t="shared" si="9"/>
        <v>-</v>
      </c>
      <c r="CD18" s="91" t="str">
        <f t="shared" si="33"/>
        <v>192.168.134.174</v>
      </c>
      <c r="CE18" s="92" t="str">
        <f t="shared" si="21"/>
        <v>OK</v>
      </c>
      <c r="CF18" s="265" t="s">
        <v>363</v>
      </c>
      <c r="CG18" s="170" t="s">
        <v>664</v>
      </c>
      <c r="CH18" s="91" t="str">
        <f t="shared" si="49"/>
        <v>192.168.134.174</v>
      </c>
      <c r="CI18" s="218" t="str">
        <f t="shared" si="10"/>
        <v>-</v>
      </c>
      <c r="CJ18" s="91" t="str">
        <f t="shared" si="34"/>
        <v>192.168.134.174</v>
      </c>
      <c r="CK18" s="92" t="str">
        <f t="shared" si="22"/>
        <v>OK</v>
      </c>
      <c r="CL18" s="265" t="s">
        <v>626</v>
      </c>
      <c r="CM18" s="170" t="s">
        <v>688</v>
      </c>
      <c r="CN18" s="91" t="str">
        <f t="shared" si="50"/>
        <v xml:space="preserve">172.24.1.1     </v>
      </c>
      <c r="CO18" s="218" t="str">
        <f t="shared" si="11"/>
        <v>OK</v>
      </c>
      <c r="CP18" s="91" t="str">
        <f t="shared" si="35"/>
        <v>172.24.1.1</v>
      </c>
      <c r="CQ18" s="218" t="str">
        <f t="shared" si="12"/>
        <v>-</v>
      </c>
      <c r="CR18" s="265" t="s">
        <v>363</v>
      </c>
      <c r="CS18" s="170" t="s">
        <v>664</v>
      </c>
      <c r="CT18" s="91" t="str">
        <f t="shared" si="51"/>
        <v>192.168.134.174</v>
      </c>
      <c r="CU18" s="218" t="str">
        <f t="shared" si="13"/>
        <v>-</v>
      </c>
      <c r="CV18" s="91" t="str">
        <f t="shared" si="36"/>
        <v>192.168.134.174</v>
      </c>
      <c r="CW18" s="92" t="str">
        <f t="shared" si="23"/>
        <v>OK</v>
      </c>
      <c r="CX18" s="265" t="s">
        <v>363</v>
      </c>
      <c r="CY18" s="170" t="s">
        <v>664</v>
      </c>
      <c r="CZ18" s="91" t="str">
        <f t="shared" si="52"/>
        <v>192.168.134.174</v>
      </c>
      <c r="DA18" s="218" t="str">
        <f t="shared" si="14"/>
        <v>-</v>
      </c>
      <c r="DB18" s="91" t="str">
        <f t="shared" si="37"/>
        <v>192.168.134.174</v>
      </c>
      <c r="DC18" s="92" t="str">
        <f t="shared" si="24"/>
        <v>OK</v>
      </c>
    </row>
    <row r="19" spans="1:107" s="26" customFormat="1" ht="63.75">
      <c r="B19" s="19">
        <v>11</v>
      </c>
      <c r="C19" s="7"/>
      <c r="D19" s="7"/>
      <c r="E19" s="7"/>
      <c r="F19" s="3" t="s">
        <v>53</v>
      </c>
      <c r="G19" s="3"/>
      <c r="H19" s="4"/>
      <c r="I19" s="37"/>
      <c r="J19" s="37" t="s">
        <v>254</v>
      </c>
      <c r="K19" s="6"/>
      <c r="L19" s="6"/>
      <c r="M19" s="185" t="s">
        <v>275</v>
      </c>
      <c r="N19" s="23" t="s">
        <v>276</v>
      </c>
      <c r="O19" s="27"/>
      <c r="P19" s="95">
        <v>8</v>
      </c>
      <c r="Q19" s="116">
        <v>6</v>
      </c>
      <c r="R19" s="21" t="s">
        <v>261</v>
      </c>
      <c r="S19" s="96"/>
      <c r="T19" s="96"/>
      <c r="U19" s="21" t="s">
        <v>259</v>
      </c>
      <c r="V19" s="10"/>
      <c r="W19" s="28">
        <v>3</v>
      </c>
      <c r="X19" s="5" t="s">
        <v>277</v>
      </c>
      <c r="Y19" s="5">
        <v>6</v>
      </c>
      <c r="Z19" s="5">
        <v>6</v>
      </c>
      <c r="AA19" s="6" t="s">
        <v>261</v>
      </c>
      <c r="AB19" s="8" t="s">
        <v>259</v>
      </c>
      <c r="AC19" s="55"/>
      <c r="AD19" s="94" t="s">
        <v>362</v>
      </c>
      <c r="AE19" s="170" t="s">
        <v>665</v>
      </c>
      <c r="AF19" s="91" t="str">
        <f t="shared" si="40"/>
        <v>ORANGE</v>
      </c>
      <c r="AG19" s="218" t="str">
        <f t="shared" si="38"/>
        <v>-</v>
      </c>
      <c r="AH19" s="91" t="str">
        <f t="shared" si="25"/>
        <v>ORANGE</v>
      </c>
      <c r="AI19" s="92" t="str">
        <f t="shared" si="15"/>
        <v>OK</v>
      </c>
      <c r="AJ19" s="94" t="s">
        <v>212</v>
      </c>
      <c r="AK19" s="170" t="s">
        <v>677</v>
      </c>
      <c r="AL19" s="91" t="str">
        <f t="shared" si="41"/>
        <v>PASCAL</v>
      </c>
      <c r="AM19" s="218" t="str">
        <f t="shared" si="1"/>
        <v>-</v>
      </c>
      <c r="AN19" s="91" t="str">
        <f t="shared" si="26"/>
        <v>PASCAL</v>
      </c>
      <c r="AO19" s="92" t="str">
        <f t="shared" ref="AO19:AO36" si="53">IF(EXACT(AK19,AN19),"OK","NG")</f>
        <v>OK</v>
      </c>
      <c r="AP19" s="93" t="s">
        <v>213</v>
      </c>
      <c r="AQ19" s="170" t="s">
        <v>689</v>
      </c>
      <c r="AR19" s="91" t="str">
        <f t="shared" si="42"/>
        <v>EKIDEN</v>
      </c>
      <c r="AS19" s="218" t="str">
        <f t="shared" si="2"/>
        <v>OK</v>
      </c>
      <c r="AT19" s="91" t="str">
        <f t="shared" si="27"/>
        <v>EKIDEN</v>
      </c>
      <c r="AU19" s="218" t="str">
        <f t="shared" si="39"/>
        <v>-</v>
      </c>
      <c r="AV19" s="94" t="s">
        <v>3</v>
      </c>
      <c r="AW19" s="170" t="s">
        <v>665</v>
      </c>
      <c r="AX19" s="91" t="str">
        <f t="shared" si="43"/>
        <v>ORANGE</v>
      </c>
      <c r="AY19" s="218" t="str">
        <f t="shared" si="3"/>
        <v>-</v>
      </c>
      <c r="AZ19" s="91" t="str">
        <f t="shared" si="28"/>
        <v>ORANGE</v>
      </c>
      <c r="BA19" s="92" t="str">
        <f t="shared" ref="BA19:BA37" si="54">IF(EXACT(AW19,AZ19),"OK","NG")</f>
        <v>OK</v>
      </c>
      <c r="BB19" s="94" t="s">
        <v>212</v>
      </c>
      <c r="BC19" s="170" t="s">
        <v>677</v>
      </c>
      <c r="BD19" s="91" t="str">
        <f t="shared" si="44"/>
        <v>PASCAL</v>
      </c>
      <c r="BE19" s="218" t="str">
        <f t="shared" si="4"/>
        <v>-</v>
      </c>
      <c r="BF19" s="91" t="str">
        <f t="shared" si="29"/>
        <v>PASCAL</v>
      </c>
      <c r="BG19" s="92" t="str">
        <f t="shared" ref="BG19:BG37" si="55">IF(EXACT(BC19,BF19),"OK","NG")</f>
        <v>OK</v>
      </c>
      <c r="BH19" s="93" t="s">
        <v>213</v>
      </c>
      <c r="BI19" s="170" t="s">
        <v>689</v>
      </c>
      <c r="BJ19" s="91" t="str">
        <f t="shared" si="45"/>
        <v>EKIDEN</v>
      </c>
      <c r="BK19" s="218" t="str">
        <f t="shared" si="5"/>
        <v>OK</v>
      </c>
      <c r="BL19" s="91" t="str">
        <f t="shared" si="30"/>
        <v>EKIDEN</v>
      </c>
      <c r="BM19" s="92" t="str">
        <f t="shared" si="19"/>
        <v>OK</v>
      </c>
      <c r="BN19" s="94" t="s">
        <v>3</v>
      </c>
      <c r="BO19" s="170" t="s">
        <v>665</v>
      </c>
      <c r="BP19" s="91" t="str">
        <f t="shared" si="46"/>
        <v>ORANGE</v>
      </c>
      <c r="BQ19" s="218" t="str">
        <f t="shared" si="6"/>
        <v>-</v>
      </c>
      <c r="BR19" s="91" t="str">
        <f t="shared" si="31"/>
        <v>ORANGE</v>
      </c>
      <c r="BS19" s="92" t="str">
        <f t="shared" ref="BS19:BS37" si="56">IF(EXACT(BO19,BR19),"OK","NG")</f>
        <v>OK</v>
      </c>
      <c r="BT19" s="93" t="s">
        <v>213</v>
      </c>
      <c r="BU19" s="170" t="s">
        <v>689</v>
      </c>
      <c r="BV19" s="91" t="str">
        <f t="shared" si="47"/>
        <v>EKIDEN</v>
      </c>
      <c r="BW19" s="218" t="str">
        <f t="shared" si="7"/>
        <v>OK</v>
      </c>
      <c r="BX19" s="91" t="str">
        <f t="shared" si="32"/>
        <v>EKIDEN</v>
      </c>
      <c r="BY19" s="218" t="str">
        <f t="shared" si="8"/>
        <v>-</v>
      </c>
      <c r="BZ19" s="94" t="s">
        <v>3</v>
      </c>
      <c r="CA19" s="170" t="s">
        <v>665</v>
      </c>
      <c r="CB19" s="91" t="str">
        <f t="shared" si="48"/>
        <v>ORANGE</v>
      </c>
      <c r="CC19" s="218" t="str">
        <f t="shared" si="9"/>
        <v>-</v>
      </c>
      <c r="CD19" s="91" t="str">
        <f t="shared" si="33"/>
        <v>ORANGE</v>
      </c>
      <c r="CE19" s="92" t="str">
        <f t="shared" ref="CE19:CE36" si="57">IF(EXACT(CA19,CD19),"OK","NG")</f>
        <v>OK</v>
      </c>
      <c r="CF19" s="94" t="s">
        <v>212</v>
      </c>
      <c r="CG19" s="170" t="s">
        <v>677</v>
      </c>
      <c r="CH19" s="91" t="str">
        <f t="shared" si="49"/>
        <v>PASCAL</v>
      </c>
      <c r="CI19" s="218" t="str">
        <f t="shared" si="10"/>
        <v>-</v>
      </c>
      <c r="CJ19" s="91" t="str">
        <f t="shared" si="34"/>
        <v>PASCAL</v>
      </c>
      <c r="CK19" s="92" t="str">
        <f t="shared" ref="CK19:CK36" si="58">IF(EXACT(CG19,CJ19),"OK","NG")</f>
        <v>OK</v>
      </c>
      <c r="CL19" s="93" t="s">
        <v>213</v>
      </c>
      <c r="CM19" s="170" t="s">
        <v>689</v>
      </c>
      <c r="CN19" s="91" t="str">
        <f t="shared" si="50"/>
        <v>EKIDEN</v>
      </c>
      <c r="CO19" s="218" t="str">
        <f t="shared" si="11"/>
        <v>OK</v>
      </c>
      <c r="CP19" s="91" t="str">
        <f t="shared" si="35"/>
        <v>EKIDEN</v>
      </c>
      <c r="CQ19" s="218" t="str">
        <f t="shared" si="12"/>
        <v>-</v>
      </c>
      <c r="CR19" s="94" t="s">
        <v>3</v>
      </c>
      <c r="CS19" s="170" t="s">
        <v>665</v>
      </c>
      <c r="CT19" s="91" t="str">
        <f t="shared" si="51"/>
        <v>ORANGE</v>
      </c>
      <c r="CU19" s="218" t="str">
        <f t="shared" si="13"/>
        <v>-</v>
      </c>
      <c r="CV19" s="91" t="str">
        <f t="shared" si="36"/>
        <v>ORANGE</v>
      </c>
      <c r="CW19" s="92" t="str">
        <f t="shared" ref="CW19:CW36" si="59">IF(EXACT(CS19,CV19),"OK","NG")</f>
        <v>OK</v>
      </c>
      <c r="CX19" s="94" t="s">
        <v>212</v>
      </c>
      <c r="CY19" s="170" t="s">
        <v>677</v>
      </c>
      <c r="CZ19" s="91" t="str">
        <f t="shared" si="52"/>
        <v>PASCAL</v>
      </c>
      <c r="DA19" s="218" t="str">
        <f t="shared" si="14"/>
        <v>-</v>
      </c>
      <c r="DB19" s="91" t="str">
        <f t="shared" si="37"/>
        <v>PASCAL</v>
      </c>
      <c r="DC19" s="92" t="str">
        <f t="shared" ref="DC19:DC36" si="60">IF(EXACT(CY19,DB19),"OK","NG")</f>
        <v>OK</v>
      </c>
    </row>
    <row r="20" spans="1:107" s="26" customFormat="1" ht="76.5">
      <c r="B20" s="19">
        <v>12</v>
      </c>
      <c r="C20" s="7"/>
      <c r="D20" s="7"/>
      <c r="E20" s="15"/>
      <c r="F20" s="3" t="s">
        <v>54</v>
      </c>
      <c r="G20" s="3"/>
      <c r="H20" s="4"/>
      <c r="I20" s="37"/>
      <c r="J20" s="37" t="s">
        <v>254</v>
      </c>
      <c r="K20" s="6"/>
      <c r="L20" s="6"/>
      <c r="M20" s="185" t="s">
        <v>278</v>
      </c>
      <c r="N20" s="6"/>
      <c r="O20" s="27"/>
      <c r="P20" s="95">
        <v>9</v>
      </c>
      <c r="Q20" s="116">
        <v>8</v>
      </c>
      <c r="R20" s="21" t="s">
        <v>261</v>
      </c>
      <c r="S20" s="96"/>
      <c r="T20" s="96"/>
      <c r="U20" s="21" t="s">
        <v>259</v>
      </c>
      <c r="V20" s="10"/>
      <c r="W20" s="28">
        <v>3</v>
      </c>
      <c r="X20" s="5" t="s">
        <v>279</v>
      </c>
      <c r="Y20" s="5">
        <v>6</v>
      </c>
      <c r="Z20" s="5">
        <v>8</v>
      </c>
      <c r="AA20" s="6" t="s">
        <v>261</v>
      </c>
      <c r="AB20" s="8" t="s">
        <v>259</v>
      </c>
      <c r="AC20" s="189" t="s">
        <v>280</v>
      </c>
      <c r="AD20" s="94" t="s">
        <v>325</v>
      </c>
      <c r="AE20" s="170" t="s">
        <v>666</v>
      </c>
      <c r="AF20" s="91" t="str">
        <f t="shared" si="40"/>
        <v>ORANGE01</v>
      </c>
      <c r="AG20" s="218" t="str">
        <f t="shared" si="38"/>
        <v>-</v>
      </c>
      <c r="AH20" s="91" t="str">
        <f t="shared" si="25"/>
        <v>ORANGE01</v>
      </c>
      <c r="AI20" s="92" t="str">
        <f t="shared" si="15"/>
        <v>OK</v>
      </c>
      <c r="AJ20" s="94" t="s">
        <v>212</v>
      </c>
      <c r="AK20" s="170" t="s">
        <v>677</v>
      </c>
      <c r="AL20" s="91" t="str">
        <f t="shared" si="41"/>
        <v xml:space="preserve">PASCAL  </v>
      </c>
      <c r="AM20" s="218" t="str">
        <f t="shared" si="1"/>
        <v>-</v>
      </c>
      <c r="AN20" s="91" t="str">
        <f t="shared" si="26"/>
        <v>PASCAL</v>
      </c>
      <c r="AO20" s="92" t="str">
        <f t="shared" si="53"/>
        <v>OK</v>
      </c>
      <c r="AP20" s="93" t="s">
        <v>627</v>
      </c>
      <c r="AQ20" s="170" t="s">
        <v>690</v>
      </c>
      <c r="AR20" s="91" t="str">
        <f t="shared" si="42"/>
        <v>EKIDEN01</v>
      </c>
      <c r="AS20" s="218" t="str">
        <f t="shared" si="2"/>
        <v>OK</v>
      </c>
      <c r="AT20" s="91" t="str">
        <f t="shared" si="27"/>
        <v>EKIDEN01</v>
      </c>
      <c r="AU20" s="218" t="str">
        <f t="shared" si="39"/>
        <v>-</v>
      </c>
      <c r="AV20" s="94" t="s">
        <v>325</v>
      </c>
      <c r="AW20" s="170" t="s">
        <v>666</v>
      </c>
      <c r="AX20" s="91" t="str">
        <f t="shared" si="43"/>
        <v>ORANGE01</v>
      </c>
      <c r="AY20" s="218" t="str">
        <f t="shared" si="3"/>
        <v>-</v>
      </c>
      <c r="AZ20" s="91" t="str">
        <f t="shared" si="28"/>
        <v>ORANGE01</v>
      </c>
      <c r="BA20" s="92" t="str">
        <f t="shared" si="54"/>
        <v>OK</v>
      </c>
      <c r="BB20" s="94" t="s">
        <v>212</v>
      </c>
      <c r="BC20" s="170" t="s">
        <v>677</v>
      </c>
      <c r="BD20" s="91" t="str">
        <f t="shared" si="44"/>
        <v xml:space="preserve">PASCAL  </v>
      </c>
      <c r="BE20" s="218" t="str">
        <f t="shared" si="4"/>
        <v>-</v>
      </c>
      <c r="BF20" s="91" t="str">
        <f t="shared" si="29"/>
        <v>PASCAL</v>
      </c>
      <c r="BG20" s="92" t="str">
        <f t="shared" si="55"/>
        <v>OK</v>
      </c>
      <c r="BH20" s="93" t="s">
        <v>627</v>
      </c>
      <c r="BI20" s="170" t="s">
        <v>690</v>
      </c>
      <c r="BJ20" s="91" t="str">
        <f t="shared" si="45"/>
        <v>EKIDEN01</v>
      </c>
      <c r="BK20" s="218" t="str">
        <f t="shared" si="5"/>
        <v>OK</v>
      </c>
      <c r="BL20" s="91" t="str">
        <f t="shared" si="30"/>
        <v>EKIDEN01</v>
      </c>
      <c r="BM20" s="92" t="str">
        <f t="shared" si="19"/>
        <v>OK</v>
      </c>
      <c r="BN20" s="94" t="s">
        <v>325</v>
      </c>
      <c r="BO20" s="170" t="s">
        <v>666</v>
      </c>
      <c r="BP20" s="91" t="str">
        <f t="shared" si="46"/>
        <v>ORANGE01</v>
      </c>
      <c r="BQ20" s="218" t="str">
        <f t="shared" si="6"/>
        <v>-</v>
      </c>
      <c r="BR20" s="91" t="str">
        <f t="shared" si="31"/>
        <v>ORANGE01</v>
      </c>
      <c r="BS20" s="92" t="str">
        <f t="shared" si="56"/>
        <v>OK</v>
      </c>
      <c r="BT20" s="93" t="s">
        <v>627</v>
      </c>
      <c r="BU20" s="170" t="s">
        <v>690</v>
      </c>
      <c r="BV20" s="91" t="str">
        <f t="shared" si="47"/>
        <v>EKIDEN01</v>
      </c>
      <c r="BW20" s="218" t="str">
        <f t="shared" si="7"/>
        <v>OK</v>
      </c>
      <c r="BX20" s="91" t="str">
        <f t="shared" si="32"/>
        <v>EKIDEN01</v>
      </c>
      <c r="BY20" s="218" t="str">
        <f t="shared" si="8"/>
        <v>-</v>
      </c>
      <c r="BZ20" s="94" t="s">
        <v>325</v>
      </c>
      <c r="CA20" s="170" t="s">
        <v>666</v>
      </c>
      <c r="CB20" s="91" t="str">
        <f t="shared" si="48"/>
        <v>ORANGE01</v>
      </c>
      <c r="CC20" s="218" t="str">
        <f t="shared" si="9"/>
        <v>-</v>
      </c>
      <c r="CD20" s="91" t="str">
        <f t="shared" si="33"/>
        <v>ORANGE01</v>
      </c>
      <c r="CE20" s="92" t="str">
        <f t="shared" si="57"/>
        <v>OK</v>
      </c>
      <c r="CF20" s="94" t="s">
        <v>212</v>
      </c>
      <c r="CG20" s="170" t="s">
        <v>677</v>
      </c>
      <c r="CH20" s="91" t="str">
        <f t="shared" si="49"/>
        <v xml:space="preserve">PASCAL  </v>
      </c>
      <c r="CI20" s="218" t="str">
        <f t="shared" si="10"/>
        <v>-</v>
      </c>
      <c r="CJ20" s="91" t="str">
        <f t="shared" si="34"/>
        <v>PASCAL</v>
      </c>
      <c r="CK20" s="92" t="str">
        <f t="shared" si="58"/>
        <v>OK</v>
      </c>
      <c r="CL20" s="93" t="s">
        <v>627</v>
      </c>
      <c r="CM20" s="170" t="s">
        <v>690</v>
      </c>
      <c r="CN20" s="91" t="str">
        <f t="shared" si="50"/>
        <v>EKIDEN01</v>
      </c>
      <c r="CO20" s="218" t="str">
        <f t="shared" si="11"/>
        <v>OK</v>
      </c>
      <c r="CP20" s="91" t="str">
        <f t="shared" si="35"/>
        <v>EKIDEN01</v>
      </c>
      <c r="CQ20" s="218" t="str">
        <f t="shared" si="12"/>
        <v>-</v>
      </c>
      <c r="CR20" s="94" t="s">
        <v>325</v>
      </c>
      <c r="CS20" s="170" t="s">
        <v>666</v>
      </c>
      <c r="CT20" s="91" t="str">
        <f t="shared" si="51"/>
        <v>ORANGE01</v>
      </c>
      <c r="CU20" s="218" t="str">
        <f t="shared" si="13"/>
        <v>-</v>
      </c>
      <c r="CV20" s="91" t="str">
        <f t="shared" si="36"/>
        <v>ORANGE01</v>
      </c>
      <c r="CW20" s="92" t="str">
        <f t="shared" si="59"/>
        <v>OK</v>
      </c>
      <c r="CX20" s="94" t="s">
        <v>212</v>
      </c>
      <c r="CY20" s="170" t="s">
        <v>677</v>
      </c>
      <c r="CZ20" s="91" t="str">
        <f t="shared" si="52"/>
        <v xml:space="preserve">PASCAL  </v>
      </c>
      <c r="DA20" s="218" t="str">
        <f t="shared" si="14"/>
        <v>-</v>
      </c>
      <c r="DB20" s="91" t="str">
        <f t="shared" si="37"/>
        <v>PASCAL</v>
      </c>
      <c r="DC20" s="92" t="str">
        <f t="shared" si="60"/>
        <v>OK</v>
      </c>
    </row>
    <row r="21" spans="1:107" s="26" customFormat="1" ht="216.75">
      <c r="B21" s="2">
        <v>13</v>
      </c>
      <c r="C21" s="7"/>
      <c r="D21" s="7"/>
      <c r="E21" s="22" t="s">
        <v>55</v>
      </c>
      <c r="F21" s="16"/>
      <c r="G21" s="16"/>
      <c r="H21" s="13"/>
      <c r="I21" s="8"/>
      <c r="J21" s="8" t="s">
        <v>269</v>
      </c>
      <c r="K21" s="8"/>
      <c r="L21" s="8"/>
      <c r="M21" s="184" t="s">
        <v>405</v>
      </c>
      <c r="N21" s="11"/>
      <c r="O21" s="97"/>
      <c r="P21" s="95">
        <v>10</v>
      </c>
      <c r="Q21" s="115">
        <v>2</v>
      </c>
      <c r="R21" s="21" t="s">
        <v>261</v>
      </c>
      <c r="S21" s="96"/>
      <c r="T21" s="96"/>
      <c r="U21" s="21" t="s">
        <v>259</v>
      </c>
      <c r="V21" s="100" t="s">
        <v>281</v>
      </c>
      <c r="W21" s="25" t="str">
        <f>IF(C21&lt;&gt;"","0",IF(D21&lt;&gt;"","1",IF(E21&lt;&gt;"","2",IF(F21&lt;&gt;"","3",IF(G21&lt;&gt;"","4",IF(H21&lt;&gt;"","5"))))))</f>
        <v>2</v>
      </c>
      <c r="X21" s="1" t="s">
        <v>282</v>
      </c>
      <c r="Y21" s="1">
        <v>2</v>
      </c>
      <c r="Z21" s="1">
        <v>2</v>
      </c>
      <c r="AA21" s="8" t="s">
        <v>261</v>
      </c>
      <c r="AB21" s="8" t="s">
        <v>257</v>
      </c>
      <c r="AC21" s="100"/>
      <c r="AD21" s="127" t="s">
        <v>244</v>
      </c>
      <c r="AE21" s="222" t="s">
        <v>61</v>
      </c>
      <c r="AF21" s="271" t="str">
        <f t="shared" si="40"/>
        <v>00</v>
      </c>
      <c r="AG21" s="218" t="str">
        <f t="shared" si="38"/>
        <v>-</v>
      </c>
      <c r="AH21" s="272" t="s">
        <v>61</v>
      </c>
      <c r="AI21" s="92" t="str">
        <f t="shared" si="15"/>
        <v>OK</v>
      </c>
      <c r="AJ21" s="127" t="s">
        <v>244</v>
      </c>
      <c r="AK21" s="222" t="s">
        <v>61</v>
      </c>
      <c r="AL21" s="271" t="str">
        <f t="shared" si="41"/>
        <v>00</v>
      </c>
      <c r="AM21" s="218" t="str">
        <f t="shared" si="1"/>
        <v>-</v>
      </c>
      <c r="AN21" s="272" t="s">
        <v>61</v>
      </c>
      <c r="AO21" s="92" t="str">
        <f t="shared" si="53"/>
        <v>OK</v>
      </c>
      <c r="AP21" s="127" t="s">
        <v>244</v>
      </c>
      <c r="AQ21" s="222" t="s">
        <v>61</v>
      </c>
      <c r="AR21" s="271" t="str">
        <f t="shared" si="42"/>
        <v>00</v>
      </c>
      <c r="AS21" s="218" t="str">
        <f t="shared" si="2"/>
        <v>OK</v>
      </c>
      <c r="AT21" s="272" t="s">
        <v>61</v>
      </c>
      <c r="AU21" s="218" t="str">
        <f t="shared" si="39"/>
        <v>-</v>
      </c>
      <c r="AV21" s="127" t="s">
        <v>244</v>
      </c>
      <c r="AW21" s="222" t="s">
        <v>61</v>
      </c>
      <c r="AX21" s="271" t="str">
        <f t="shared" si="43"/>
        <v>00</v>
      </c>
      <c r="AY21" s="218" t="str">
        <f t="shared" si="3"/>
        <v>-</v>
      </c>
      <c r="AZ21" s="272" t="s">
        <v>61</v>
      </c>
      <c r="BA21" s="92" t="str">
        <f t="shared" si="54"/>
        <v>OK</v>
      </c>
      <c r="BB21" s="127" t="s">
        <v>244</v>
      </c>
      <c r="BC21" s="222" t="s">
        <v>61</v>
      </c>
      <c r="BD21" s="271" t="str">
        <f t="shared" si="44"/>
        <v>00</v>
      </c>
      <c r="BE21" s="218" t="str">
        <f t="shared" si="4"/>
        <v>-</v>
      </c>
      <c r="BF21" s="272" t="s">
        <v>61</v>
      </c>
      <c r="BG21" s="92" t="str">
        <f t="shared" si="55"/>
        <v>OK</v>
      </c>
      <c r="BH21" s="127" t="s">
        <v>244</v>
      </c>
      <c r="BI21" s="222" t="s">
        <v>61</v>
      </c>
      <c r="BJ21" s="271" t="str">
        <f t="shared" si="45"/>
        <v>00</v>
      </c>
      <c r="BK21" s="218" t="str">
        <f t="shared" si="5"/>
        <v>OK</v>
      </c>
      <c r="BL21" s="272" t="s">
        <v>61</v>
      </c>
      <c r="BM21" s="92" t="str">
        <f t="shared" si="19"/>
        <v>OK</v>
      </c>
      <c r="BN21" s="127" t="s">
        <v>244</v>
      </c>
      <c r="BO21" s="222" t="s">
        <v>61</v>
      </c>
      <c r="BP21" s="271" t="str">
        <f t="shared" si="46"/>
        <v>00</v>
      </c>
      <c r="BQ21" s="218" t="str">
        <f t="shared" si="6"/>
        <v>-</v>
      </c>
      <c r="BR21" s="272" t="s">
        <v>61</v>
      </c>
      <c r="BS21" s="92" t="str">
        <f t="shared" si="56"/>
        <v>OK</v>
      </c>
      <c r="BT21" s="127" t="s">
        <v>244</v>
      </c>
      <c r="BU21" s="222" t="s">
        <v>61</v>
      </c>
      <c r="BV21" s="271" t="str">
        <f t="shared" si="47"/>
        <v>00</v>
      </c>
      <c r="BW21" s="218" t="str">
        <f t="shared" si="7"/>
        <v>OK</v>
      </c>
      <c r="BX21" s="272" t="s">
        <v>61</v>
      </c>
      <c r="BY21" s="218" t="str">
        <f t="shared" si="8"/>
        <v>-</v>
      </c>
      <c r="BZ21" s="127" t="s">
        <v>244</v>
      </c>
      <c r="CA21" s="222" t="s">
        <v>61</v>
      </c>
      <c r="CB21" s="271" t="str">
        <f t="shared" si="48"/>
        <v>00</v>
      </c>
      <c r="CC21" s="218" t="str">
        <f t="shared" si="9"/>
        <v>-</v>
      </c>
      <c r="CD21" s="272" t="s">
        <v>61</v>
      </c>
      <c r="CE21" s="92" t="str">
        <f t="shared" si="57"/>
        <v>OK</v>
      </c>
      <c r="CF21" s="127" t="s">
        <v>244</v>
      </c>
      <c r="CG21" s="222" t="s">
        <v>61</v>
      </c>
      <c r="CH21" s="271" t="str">
        <f t="shared" si="49"/>
        <v>93</v>
      </c>
      <c r="CI21" s="218" t="str">
        <f t="shared" si="10"/>
        <v>-</v>
      </c>
      <c r="CJ21" s="272" t="s">
        <v>646</v>
      </c>
      <c r="CK21" s="92" t="str">
        <f t="shared" si="58"/>
        <v>NG</v>
      </c>
      <c r="CL21" s="127" t="s">
        <v>244</v>
      </c>
      <c r="CM21" s="222" t="s">
        <v>760</v>
      </c>
      <c r="CN21" s="271" t="str">
        <f t="shared" si="50"/>
        <v>05</v>
      </c>
      <c r="CO21" s="218" t="str">
        <f t="shared" si="11"/>
        <v>OK</v>
      </c>
      <c r="CP21" s="272" t="s">
        <v>649</v>
      </c>
      <c r="CQ21" s="218" t="str">
        <f t="shared" si="12"/>
        <v>-</v>
      </c>
      <c r="CR21" s="127" t="s">
        <v>244</v>
      </c>
      <c r="CS21" s="222" t="s">
        <v>102</v>
      </c>
      <c r="CT21" s="271" t="str">
        <f t="shared" si="51"/>
        <v>01</v>
      </c>
      <c r="CU21" s="218" t="str">
        <f t="shared" si="13"/>
        <v>-</v>
      </c>
      <c r="CV21" s="272" t="s">
        <v>605</v>
      </c>
      <c r="CW21" s="92" t="str">
        <f t="shared" si="59"/>
        <v>OK</v>
      </c>
      <c r="CX21" s="127" t="s">
        <v>244</v>
      </c>
      <c r="CY21" s="222" t="s">
        <v>102</v>
      </c>
      <c r="CZ21" s="271" t="str">
        <f t="shared" si="52"/>
        <v>01</v>
      </c>
      <c r="DA21" s="218" t="str">
        <f t="shared" si="14"/>
        <v>-</v>
      </c>
      <c r="DB21" s="272" t="s">
        <v>605</v>
      </c>
      <c r="DC21" s="92" t="str">
        <f t="shared" si="60"/>
        <v>OK</v>
      </c>
    </row>
    <row r="22" spans="1:107" s="26" customFormat="1" ht="76.900000000000006" thickBot="1">
      <c r="B22" s="132">
        <v>14</v>
      </c>
      <c r="C22" s="133"/>
      <c r="D22" s="134"/>
      <c r="E22" s="135" t="s">
        <v>283</v>
      </c>
      <c r="F22" s="135"/>
      <c r="G22" s="135"/>
      <c r="H22" s="136"/>
      <c r="I22" s="137"/>
      <c r="J22" s="137" t="s">
        <v>269</v>
      </c>
      <c r="K22" s="137"/>
      <c r="L22" s="137"/>
      <c r="M22" s="138" t="s">
        <v>56</v>
      </c>
      <c r="N22" s="137"/>
      <c r="O22" s="190"/>
      <c r="P22" s="139">
        <v>11</v>
      </c>
      <c r="Q22" s="140">
        <v>1</v>
      </c>
      <c r="R22" s="141" t="s">
        <v>261</v>
      </c>
      <c r="S22" s="142"/>
      <c r="T22" s="142"/>
      <c r="U22" s="141" t="s">
        <v>259</v>
      </c>
      <c r="V22" s="143" t="s">
        <v>281</v>
      </c>
      <c r="W22" s="191" t="str">
        <f>IF(C22&lt;&gt;"","0",IF(D22&lt;&gt;"","1",IF(E22&lt;&gt;"","2",IF(F22&lt;&gt;"","3",IF(G22&lt;&gt;"","4",IF(H22&lt;&gt;"","5"))))))</f>
        <v>2</v>
      </c>
      <c r="X22" s="144" t="s">
        <v>284</v>
      </c>
      <c r="Y22" s="144">
        <v>1</v>
      </c>
      <c r="Z22" s="144">
        <v>1</v>
      </c>
      <c r="AA22" s="137" t="s">
        <v>261</v>
      </c>
      <c r="AB22" s="137"/>
      <c r="AC22" s="143"/>
      <c r="AD22" s="219" t="s">
        <v>38</v>
      </c>
      <c r="AE22" s="220"/>
      <c r="AF22" s="223" t="str">
        <f t="shared" si="40"/>
        <v xml:space="preserve"> </v>
      </c>
      <c r="AG22" s="231" t="str">
        <f>IF(OR(AE$8="判定対象外",AF$8="判定対象外",AF22="-"),"-",IF(AE22=AF22,"OK","NG"))</f>
        <v>-</v>
      </c>
      <c r="AH22" s="220"/>
      <c r="AI22" s="395" t="str">
        <f t="shared" si="15"/>
        <v>OK</v>
      </c>
      <c r="AJ22" s="219" t="s">
        <v>38</v>
      </c>
      <c r="AK22" s="491"/>
      <c r="AL22" s="223" t="str">
        <f t="shared" si="41"/>
        <v xml:space="preserve"> </v>
      </c>
      <c r="AM22" s="231" t="str">
        <f t="shared" si="1"/>
        <v>-</v>
      </c>
      <c r="AN22" s="220"/>
      <c r="AO22" s="395" t="str">
        <f t="shared" si="53"/>
        <v>OK</v>
      </c>
      <c r="AP22" s="219" t="s">
        <v>38</v>
      </c>
      <c r="AQ22" s="491" t="s">
        <v>38</v>
      </c>
      <c r="AR22" s="223" t="str">
        <f t="shared" si="42"/>
        <v xml:space="preserve"> </v>
      </c>
      <c r="AS22" s="231" t="str">
        <f t="shared" si="2"/>
        <v>OK</v>
      </c>
      <c r="AT22" s="220"/>
      <c r="AU22" s="231" t="str">
        <f>IF(OR(AS$8="判定対象外",AT$8="判定対象外",AT22="-"),"-",IF(AS22=AT22,"OK","NG"))</f>
        <v>-</v>
      </c>
      <c r="AV22" s="219" t="s">
        <v>38</v>
      </c>
      <c r="AW22" s="220"/>
      <c r="AX22" s="223" t="str">
        <f t="shared" si="43"/>
        <v xml:space="preserve"> </v>
      </c>
      <c r="AY22" s="231" t="str">
        <f t="shared" si="3"/>
        <v>-</v>
      </c>
      <c r="AZ22" s="220"/>
      <c r="BA22" s="395" t="str">
        <f t="shared" si="54"/>
        <v>OK</v>
      </c>
      <c r="BB22" s="219" t="s">
        <v>38</v>
      </c>
      <c r="BC22" s="220"/>
      <c r="BD22" s="223" t="str">
        <f t="shared" si="44"/>
        <v xml:space="preserve"> </v>
      </c>
      <c r="BE22" s="231" t="str">
        <f t="shared" si="4"/>
        <v>-</v>
      </c>
      <c r="BF22" s="220"/>
      <c r="BG22" s="395" t="str">
        <f t="shared" si="55"/>
        <v>OK</v>
      </c>
      <c r="BH22" s="219" t="s">
        <v>38</v>
      </c>
      <c r="BI22" s="491" t="s">
        <v>38</v>
      </c>
      <c r="BJ22" s="223" t="str">
        <f t="shared" si="45"/>
        <v xml:space="preserve"> </v>
      </c>
      <c r="BK22" s="231" t="str">
        <f t="shared" si="5"/>
        <v>OK</v>
      </c>
      <c r="BL22" s="220"/>
      <c r="BM22" s="395" t="str">
        <f t="shared" si="19"/>
        <v>NG</v>
      </c>
      <c r="BN22" s="219" t="s">
        <v>38</v>
      </c>
      <c r="BO22" s="220"/>
      <c r="BP22" s="223" t="str">
        <f t="shared" si="46"/>
        <v xml:space="preserve"> </v>
      </c>
      <c r="BQ22" s="231" t="str">
        <f t="shared" si="6"/>
        <v>-</v>
      </c>
      <c r="BR22" s="220"/>
      <c r="BS22" s="395" t="str">
        <f t="shared" si="56"/>
        <v>OK</v>
      </c>
      <c r="BT22" s="219" t="s">
        <v>38</v>
      </c>
      <c r="BU22" s="491" t="s">
        <v>33</v>
      </c>
      <c r="BV22" s="223" t="str">
        <f t="shared" si="47"/>
        <v>1</v>
      </c>
      <c r="BW22" s="231" t="str">
        <f t="shared" si="7"/>
        <v>OK</v>
      </c>
      <c r="BX22" s="220" t="s">
        <v>215</v>
      </c>
      <c r="BY22" s="231" t="str">
        <f t="shared" si="8"/>
        <v>-</v>
      </c>
      <c r="BZ22" s="219" t="s">
        <v>38</v>
      </c>
      <c r="CA22" s="220"/>
      <c r="CB22" s="223" t="str">
        <f t="shared" si="48"/>
        <v xml:space="preserve"> </v>
      </c>
      <c r="CC22" s="231" t="str">
        <f t="shared" si="9"/>
        <v>-</v>
      </c>
      <c r="CD22" s="220"/>
      <c r="CE22" s="395" t="str">
        <f t="shared" si="57"/>
        <v>OK</v>
      </c>
      <c r="CF22" s="219" t="s">
        <v>38</v>
      </c>
      <c r="CG22" s="220"/>
      <c r="CH22" s="223" t="str">
        <f t="shared" si="49"/>
        <v xml:space="preserve"> </v>
      </c>
      <c r="CI22" s="231" t="str">
        <f t="shared" si="10"/>
        <v>-</v>
      </c>
      <c r="CJ22" s="220"/>
      <c r="CK22" s="395" t="str">
        <f t="shared" si="58"/>
        <v>OK</v>
      </c>
      <c r="CL22" s="219" t="s">
        <v>38</v>
      </c>
      <c r="CM22" s="491" t="s">
        <v>679</v>
      </c>
      <c r="CN22" s="223" t="str">
        <f t="shared" si="50"/>
        <v>2</v>
      </c>
      <c r="CO22" s="231" t="str">
        <f t="shared" si="11"/>
        <v>OK</v>
      </c>
      <c r="CP22" s="220" t="s">
        <v>471</v>
      </c>
      <c r="CQ22" s="231" t="str">
        <f t="shared" si="12"/>
        <v>-</v>
      </c>
      <c r="CR22" s="219" t="s">
        <v>38</v>
      </c>
      <c r="CS22" s="220"/>
      <c r="CT22" s="223" t="str">
        <f t="shared" si="51"/>
        <v xml:space="preserve"> </v>
      </c>
      <c r="CU22" s="231" t="str">
        <f t="shared" si="13"/>
        <v>-</v>
      </c>
      <c r="CV22" s="220"/>
      <c r="CW22" s="395" t="str">
        <f t="shared" si="59"/>
        <v>OK</v>
      </c>
      <c r="CX22" s="219" t="s">
        <v>38</v>
      </c>
      <c r="CY22" s="220"/>
      <c r="CZ22" s="223" t="str">
        <f t="shared" si="52"/>
        <v xml:space="preserve"> </v>
      </c>
      <c r="DA22" s="231" t="str">
        <f t="shared" si="14"/>
        <v>-</v>
      </c>
      <c r="DB22" s="220"/>
      <c r="DC22" s="395" t="str">
        <f t="shared" si="60"/>
        <v>OK</v>
      </c>
    </row>
    <row r="23" spans="1:107" s="33" customFormat="1" ht="13.15" thickTop="1">
      <c r="A23" s="20"/>
      <c r="B23" s="2">
        <f t="shared" ref="B23:B86" si="61">ROW()-7</f>
        <v>16</v>
      </c>
      <c r="C23" s="192"/>
      <c r="D23" s="3" t="s">
        <v>103</v>
      </c>
      <c r="E23" s="16"/>
      <c r="F23" s="16"/>
      <c r="G23" s="13"/>
      <c r="H23" s="13"/>
      <c r="I23" s="8"/>
      <c r="J23" s="8" t="s">
        <v>31</v>
      </c>
      <c r="K23" s="8"/>
      <c r="L23" s="88"/>
      <c r="M23" s="96"/>
      <c r="N23" s="89"/>
      <c r="O23" s="188"/>
      <c r="P23" s="183"/>
      <c r="Q23" s="89"/>
      <c r="R23" s="107"/>
      <c r="S23" s="193"/>
      <c r="T23" s="114"/>
      <c r="U23" s="107"/>
      <c r="V23" s="122"/>
      <c r="W23" s="25">
        <v>1</v>
      </c>
      <c r="X23" s="1" t="s">
        <v>104</v>
      </c>
      <c r="Y23" s="89"/>
      <c r="Z23" s="89"/>
      <c r="AA23" s="8"/>
      <c r="AB23" s="8" t="s">
        <v>259</v>
      </c>
      <c r="AC23" s="12"/>
      <c r="AD23" s="120"/>
      <c r="AE23" s="173"/>
      <c r="AF23" s="90" t="str">
        <f t="shared" si="40"/>
        <v/>
      </c>
      <c r="AG23" s="218" t="str">
        <f t="shared" si="38"/>
        <v>-</v>
      </c>
      <c r="AH23" s="173"/>
      <c r="AI23" s="92" t="str">
        <f t="shared" si="15"/>
        <v>OK</v>
      </c>
      <c r="AJ23" s="120"/>
      <c r="AK23" s="173"/>
      <c r="AL23" s="90" t="str">
        <f t="shared" si="41"/>
        <v/>
      </c>
      <c r="AM23" s="218" t="str">
        <f t="shared" ref="AM23:AM86" si="62">IF(OR(AK$8="判定対象外",AL$8="判定対象外",AL23="-"),"-",IF(AK23=AL23,"OK","NG"))</f>
        <v>-</v>
      </c>
      <c r="AN23" s="173"/>
      <c r="AO23" s="92" t="str">
        <f t="shared" si="53"/>
        <v>OK</v>
      </c>
      <c r="AP23" s="120"/>
      <c r="AQ23" s="505"/>
      <c r="AR23" s="90" t="str">
        <f t="shared" si="42"/>
        <v/>
      </c>
      <c r="AS23" s="218" t="str">
        <f t="shared" ref="AS23:AS66" si="63">IF(OR(AQ$8="判定対象外",AR$8="判定対象外",AR23="-"),"-",IF(AQ23=AR23,"OK","NG"))</f>
        <v>OK</v>
      </c>
      <c r="AT23" s="90"/>
      <c r="AU23" s="218" t="str">
        <f t="shared" si="39"/>
        <v>-</v>
      </c>
      <c r="AV23" s="120"/>
      <c r="AW23" s="173"/>
      <c r="AX23" s="90" t="str">
        <f t="shared" si="43"/>
        <v/>
      </c>
      <c r="AY23" s="218" t="str">
        <f t="shared" ref="AY23:AY86" si="64">IF(OR(AW$8="判定対象外",AX$8="判定対象外",AX23="-"),"-",IF(AW23=AX23,"OK","NG"))</f>
        <v>-</v>
      </c>
      <c r="AZ23" s="173"/>
      <c r="BA23" s="92" t="str">
        <f t="shared" si="54"/>
        <v>OK</v>
      </c>
      <c r="BB23" s="120"/>
      <c r="BC23" s="173"/>
      <c r="BD23" s="90" t="str">
        <f t="shared" si="44"/>
        <v/>
      </c>
      <c r="BE23" s="218" t="str">
        <f t="shared" ref="BE23:BE86" si="65">IF(OR(BC$8="判定対象外",BD$8="判定対象外",BD23="-"),"-",IF(BC23=BD23,"OK","NG"))</f>
        <v>-</v>
      </c>
      <c r="BF23" s="173"/>
      <c r="BG23" s="92" t="str">
        <f t="shared" si="55"/>
        <v>OK</v>
      </c>
      <c r="BH23" s="120"/>
      <c r="BI23" s="505"/>
      <c r="BJ23" s="90" t="str">
        <f t="shared" si="45"/>
        <v/>
      </c>
      <c r="BK23" s="218" t="str">
        <f t="shared" si="5"/>
        <v>OK</v>
      </c>
      <c r="BL23" s="173"/>
      <c r="BM23" s="92" t="str">
        <f t="shared" si="19"/>
        <v>OK</v>
      </c>
      <c r="BN23" s="120"/>
      <c r="BO23" s="173"/>
      <c r="BP23" s="90" t="str">
        <f t="shared" si="46"/>
        <v/>
      </c>
      <c r="BQ23" s="218" t="str">
        <f t="shared" ref="BQ23:BQ86" si="66">IF(OR(BO$8="判定対象外",BP$8="判定対象外",BP23="-"),"-",IF(BO23=BP23,"OK","NG"))</f>
        <v>-</v>
      </c>
      <c r="BR23" s="173"/>
      <c r="BS23" s="92" t="str">
        <f t="shared" si="56"/>
        <v>OK</v>
      </c>
      <c r="BT23" s="120"/>
      <c r="BU23" s="505"/>
      <c r="BV23" s="90" t="str">
        <f t="shared" si="47"/>
        <v/>
      </c>
      <c r="BW23" s="218" t="str">
        <f t="shared" ref="BW23:BW32" si="67">IF(OR(BU$8="判定対象外",BV$8="判定対象外",BV23="-"),"-",IF(BU23=BV23,"OK","NG"))</f>
        <v>OK</v>
      </c>
      <c r="BX23" s="90"/>
      <c r="BY23" s="218" t="str">
        <f t="shared" ref="BY23:BY86" si="68">IF(OR(BW$8="判定対象外",BX$8="判定対象外",BX23="-"),"-",IF(BW23=BX23,"OK","NG"))</f>
        <v>-</v>
      </c>
      <c r="BZ23" s="120"/>
      <c r="CA23" s="173"/>
      <c r="CB23" s="90" t="str">
        <f t="shared" si="48"/>
        <v/>
      </c>
      <c r="CC23" s="218" t="str">
        <f t="shared" ref="CC23:CC86" si="69">IF(OR(CA$8="判定対象外",CB$8="判定対象外",CB23="-"),"-",IF(CA23=CB23,"OK","NG"))</f>
        <v>-</v>
      </c>
      <c r="CD23" s="173"/>
      <c r="CE23" s="92" t="str">
        <f t="shared" si="57"/>
        <v>OK</v>
      </c>
      <c r="CF23" s="120"/>
      <c r="CG23" s="173"/>
      <c r="CH23" s="90" t="str">
        <f t="shared" si="49"/>
        <v/>
      </c>
      <c r="CI23" s="218" t="str">
        <f t="shared" ref="CI23:CI86" si="70">IF(OR(CG$8="判定対象外",CH$8="判定対象外",CH23="-"),"-",IF(CG23=CH23,"OK","NG"))</f>
        <v>-</v>
      </c>
      <c r="CJ23" s="173"/>
      <c r="CK23" s="92" t="str">
        <f t="shared" si="58"/>
        <v>OK</v>
      </c>
      <c r="CL23" s="120"/>
      <c r="CM23" s="173"/>
      <c r="CN23" s="90" t="str">
        <f t="shared" si="50"/>
        <v/>
      </c>
      <c r="CO23" s="218" t="str">
        <f t="shared" si="11"/>
        <v>OK</v>
      </c>
      <c r="CP23" s="90"/>
      <c r="CQ23" s="218" t="str">
        <f t="shared" ref="CQ23:CQ86" si="71">IF(OR(CO$8="判定対象外",CP$8="判定対象外",CP23="-"),"-",IF(CO23=CP23,"OK","NG"))</f>
        <v>-</v>
      </c>
      <c r="CR23" s="120"/>
      <c r="CS23" s="173"/>
      <c r="CT23" s="90" t="str">
        <f t="shared" si="51"/>
        <v/>
      </c>
      <c r="CU23" s="218" t="str">
        <f t="shared" ref="CU23:CU86" si="72">IF(OR(CS$8="判定対象外",CT$8="判定対象外",CT23="-"),"-",IF(CS23=CT23,"OK","NG"))</f>
        <v>-</v>
      </c>
      <c r="CV23" s="173"/>
      <c r="CW23" s="92" t="str">
        <f t="shared" si="59"/>
        <v>OK</v>
      </c>
      <c r="CX23" s="120"/>
      <c r="CY23" s="173"/>
      <c r="CZ23" s="90" t="str">
        <f t="shared" si="52"/>
        <v/>
      </c>
      <c r="DA23" s="218" t="str">
        <f t="shared" ref="DA23:DA86" si="73">IF(OR(CY$8="判定対象外",CZ$8="判定対象外",CZ23="-"),"-",IF(CY23=CZ23,"OK","NG"))</f>
        <v>-</v>
      </c>
      <c r="DB23" s="173"/>
      <c r="DC23" s="92" t="str">
        <f t="shared" si="60"/>
        <v>OK</v>
      </c>
    </row>
    <row r="24" spans="1:107" s="33" customFormat="1">
      <c r="A24" s="20"/>
      <c r="B24" s="2">
        <f t="shared" si="61"/>
        <v>17</v>
      </c>
      <c r="C24" s="36"/>
      <c r="D24" s="111"/>
      <c r="E24" s="595" t="s">
        <v>416</v>
      </c>
      <c r="F24" s="596"/>
      <c r="G24" s="596"/>
      <c r="H24" s="597"/>
      <c r="I24" s="8"/>
      <c r="J24" s="8" t="s">
        <v>31</v>
      </c>
      <c r="K24" s="8"/>
      <c r="L24" s="8"/>
      <c r="M24" s="96"/>
      <c r="N24" s="1"/>
      <c r="O24" s="57"/>
      <c r="P24" s="95">
        <v>1</v>
      </c>
      <c r="Q24" s="115">
        <v>11</v>
      </c>
      <c r="R24" s="21" t="str">
        <f>IF(AA24="M","NX",AA24)</f>
        <v>X</v>
      </c>
      <c r="S24" s="98"/>
      <c r="T24" s="96"/>
      <c r="U24" s="21" t="s">
        <v>417</v>
      </c>
      <c r="V24" s="10"/>
      <c r="W24" s="25">
        <v>2</v>
      </c>
      <c r="X24" s="1" t="s">
        <v>105</v>
      </c>
      <c r="Y24" s="1">
        <v>11</v>
      </c>
      <c r="Z24" s="1">
        <v>11</v>
      </c>
      <c r="AA24" s="8" t="s">
        <v>261</v>
      </c>
      <c r="AB24" s="8" t="s">
        <v>29</v>
      </c>
      <c r="AC24" s="12"/>
      <c r="AD24" s="482">
        <v>17010119001</v>
      </c>
      <c r="AE24" s="169"/>
      <c r="AF24" s="91" t="str">
        <f t="shared" si="40"/>
        <v xml:space="preserve">           </v>
      </c>
      <c r="AG24" s="218" t="str">
        <f t="shared" si="38"/>
        <v>-</v>
      </c>
      <c r="AH24" s="169"/>
      <c r="AI24" s="92" t="str">
        <f t="shared" si="15"/>
        <v>OK</v>
      </c>
      <c r="AJ24" s="482">
        <v>17010119000</v>
      </c>
      <c r="AK24" s="174"/>
      <c r="AL24" s="91" t="str">
        <f t="shared" si="41"/>
        <v xml:space="preserve">           </v>
      </c>
      <c r="AM24" s="218" t="str">
        <f t="shared" si="62"/>
        <v>-</v>
      </c>
      <c r="AN24" s="169"/>
      <c r="AO24" s="92" t="str">
        <f t="shared" si="53"/>
        <v>OK</v>
      </c>
      <c r="AP24" s="482">
        <v>17010119003</v>
      </c>
      <c r="AQ24" s="170" t="s">
        <v>691</v>
      </c>
      <c r="AR24" s="91" t="str">
        <f t="shared" si="42"/>
        <v>17010119003</v>
      </c>
      <c r="AS24" s="218" t="str">
        <f t="shared" si="63"/>
        <v>OK</v>
      </c>
      <c r="AT24" s="91">
        <f>IF(AP24&lt;&gt;"",AP24,"")</f>
        <v>17010119003</v>
      </c>
      <c r="AU24" s="218" t="str">
        <f t="shared" si="39"/>
        <v>-</v>
      </c>
      <c r="AV24" s="482">
        <v>17010119000</v>
      </c>
      <c r="AW24" s="169"/>
      <c r="AX24" s="91" t="str">
        <f t="shared" si="43"/>
        <v xml:space="preserve">           </v>
      </c>
      <c r="AY24" s="218" t="str">
        <f t="shared" si="64"/>
        <v>-</v>
      </c>
      <c r="AZ24" s="169"/>
      <c r="BA24" s="92" t="str">
        <f t="shared" si="54"/>
        <v>OK</v>
      </c>
      <c r="BB24" s="482">
        <v>17010119005</v>
      </c>
      <c r="BC24" s="169"/>
      <c r="BD24" s="91" t="str">
        <f t="shared" si="44"/>
        <v xml:space="preserve">           </v>
      </c>
      <c r="BE24" s="218" t="str">
        <f t="shared" si="65"/>
        <v>-</v>
      </c>
      <c r="BF24" s="169"/>
      <c r="BG24" s="92" t="str">
        <f t="shared" si="55"/>
        <v>OK</v>
      </c>
      <c r="BH24" s="482">
        <v>17010119000</v>
      </c>
      <c r="BI24" s="170" t="s">
        <v>724</v>
      </c>
      <c r="BJ24" s="91" t="str">
        <f t="shared" si="45"/>
        <v>17010119000</v>
      </c>
      <c r="BK24" s="218" t="str">
        <f t="shared" si="5"/>
        <v>OK</v>
      </c>
      <c r="BL24" s="91">
        <f>IF(BH24&lt;&gt;"",BH24,"")</f>
        <v>17010119000</v>
      </c>
      <c r="BM24" s="92" t="str">
        <f t="shared" si="19"/>
        <v>OK</v>
      </c>
      <c r="BN24" s="482">
        <v>17010119007</v>
      </c>
      <c r="BO24" s="169"/>
      <c r="BP24" s="91" t="str">
        <f t="shared" si="46"/>
        <v xml:space="preserve">           </v>
      </c>
      <c r="BQ24" s="218" t="str">
        <f t="shared" si="66"/>
        <v>-</v>
      </c>
      <c r="BR24" s="169"/>
      <c r="BS24" s="92" t="str">
        <f t="shared" si="56"/>
        <v>OK</v>
      </c>
      <c r="BT24" s="482">
        <v>17010119000</v>
      </c>
      <c r="BU24" s="170" t="s">
        <v>724</v>
      </c>
      <c r="BV24" s="91" t="str">
        <f t="shared" si="47"/>
        <v>17010119000</v>
      </c>
      <c r="BW24" s="218" t="str">
        <f t="shared" si="67"/>
        <v>OK</v>
      </c>
      <c r="BX24" s="91">
        <f>IF(BT24&lt;&gt;"",BT24,"")</f>
        <v>17010119000</v>
      </c>
      <c r="BY24" s="218" t="str">
        <f t="shared" si="68"/>
        <v>-</v>
      </c>
      <c r="BZ24" s="482">
        <v>17010119009</v>
      </c>
      <c r="CA24" s="169"/>
      <c r="CB24" s="91" t="str">
        <f t="shared" si="48"/>
        <v xml:space="preserve">           </v>
      </c>
      <c r="CC24" s="218" t="str">
        <f t="shared" si="69"/>
        <v>-</v>
      </c>
      <c r="CD24" s="169"/>
      <c r="CE24" s="92" t="str">
        <f t="shared" si="57"/>
        <v>OK</v>
      </c>
      <c r="CF24" s="482">
        <v>17010119000</v>
      </c>
      <c r="CG24" s="169"/>
      <c r="CH24" s="91" t="str">
        <f t="shared" si="49"/>
        <v xml:space="preserve">           </v>
      </c>
      <c r="CI24" s="218" t="str">
        <f t="shared" si="70"/>
        <v>-</v>
      </c>
      <c r="CJ24" s="169"/>
      <c r="CK24" s="92" t="str">
        <f t="shared" si="58"/>
        <v>OK</v>
      </c>
      <c r="CL24" s="482">
        <v>17010119011</v>
      </c>
      <c r="CM24" s="174" t="s">
        <v>761</v>
      </c>
      <c r="CN24" s="91" t="str">
        <f t="shared" si="50"/>
        <v>17010119011</v>
      </c>
      <c r="CO24" s="218" t="str">
        <f t="shared" si="11"/>
        <v>OK</v>
      </c>
      <c r="CP24" s="91">
        <f t="shared" ref="CP24:CP30" si="74">IF(CL24&lt;&gt;"",CL24,"")</f>
        <v>17010119011</v>
      </c>
      <c r="CQ24" s="218" t="str">
        <f t="shared" si="71"/>
        <v>-</v>
      </c>
      <c r="CR24" s="482">
        <v>17010119000</v>
      </c>
      <c r="CS24" s="169"/>
      <c r="CT24" s="91" t="str">
        <f t="shared" si="51"/>
        <v xml:space="preserve">           </v>
      </c>
      <c r="CU24" s="218" t="str">
        <f t="shared" si="72"/>
        <v>-</v>
      </c>
      <c r="CV24" s="169"/>
      <c r="CW24" s="92" t="str">
        <f t="shared" si="59"/>
        <v>OK</v>
      </c>
      <c r="CX24" s="482">
        <v>17010119000</v>
      </c>
      <c r="CY24" s="169"/>
      <c r="CZ24" s="91" t="str">
        <f t="shared" si="52"/>
        <v xml:space="preserve">           </v>
      </c>
      <c r="DA24" s="218" t="str">
        <f t="shared" si="73"/>
        <v>-</v>
      </c>
      <c r="DB24" s="169"/>
      <c r="DC24" s="92" t="str">
        <f t="shared" si="60"/>
        <v>OK</v>
      </c>
    </row>
    <row r="25" spans="1:107" s="33" customFormat="1">
      <c r="A25" s="20"/>
      <c r="B25" s="2">
        <f t="shared" si="61"/>
        <v>18</v>
      </c>
      <c r="C25" s="36"/>
      <c r="D25" s="111"/>
      <c r="E25" s="598" t="s">
        <v>106</v>
      </c>
      <c r="F25" s="599"/>
      <c r="G25" s="599"/>
      <c r="H25" s="600"/>
      <c r="I25" s="8"/>
      <c r="J25" s="8"/>
      <c r="K25" s="8"/>
      <c r="L25" s="8"/>
      <c r="M25" s="96" t="s">
        <v>107</v>
      </c>
      <c r="N25" s="1"/>
      <c r="O25" s="57"/>
      <c r="P25" s="95">
        <f>P24+1</f>
        <v>2</v>
      </c>
      <c r="Q25" s="115">
        <v>10</v>
      </c>
      <c r="R25" s="21" t="s">
        <v>418</v>
      </c>
      <c r="S25" s="98"/>
      <c r="T25" s="96"/>
      <c r="U25" s="21" t="s">
        <v>417</v>
      </c>
      <c r="V25" s="10"/>
      <c r="W25" s="25">
        <v>2</v>
      </c>
      <c r="X25" s="1" t="s">
        <v>108</v>
      </c>
      <c r="Y25" s="1">
        <v>10</v>
      </c>
      <c r="Z25" s="1">
        <v>10</v>
      </c>
      <c r="AA25" s="8">
        <v>9</v>
      </c>
      <c r="AB25" s="8" t="s">
        <v>29</v>
      </c>
      <c r="AC25" s="12"/>
      <c r="AD25" s="232" t="s">
        <v>349</v>
      </c>
      <c r="AE25" s="169"/>
      <c r="AF25" s="91" t="str">
        <f t="shared" si="40"/>
        <v xml:space="preserve">          </v>
      </c>
      <c r="AG25" s="218" t="str">
        <f t="shared" si="38"/>
        <v>-</v>
      </c>
      <c r="AH25" s="169"/>
      <c r="AI25" s="92" t="str">
        <f t="shared" si="15"/>
        <v>OK</v>
      </c>
      <c r="AJ25" s="232" t="s">
        <v>349</v>
      </c>
      <c r="AK25" s="174"/>
      <c r="AL25" s="91" t="str">
        <f t="shared" si="41"/>
        <v xml:space="preserve">          </v>
      </c>
      <c r="AM25" s="218" t="str">
        <f t="shared" si="62"/>
        <v>-</v>
      </c>
      <c r="AN25" s="169"/>
      <c r="AO25" s="92" t="str">
        <f t="shared" si="53"/>
        <v>OK</v>
      </c>
      <c r="AP25" s="232" t="s">
        <v>349</v>
      </c>
      <c r="AQ25" s="170" t="s">
        <v>692</v>
      </c>
      <c r="AR25" s="91" t="str">
        <f t="shared" si="42"/>
        <v>0334439999</v>
      </c>
      <c r="AS25" s="218" t="str">
        <f t="shared" si="63"/>
        <v>OK</v>
      </c>
      <c r="AT25" s="91" t="str">
        <f>IF(AP25&lt;&gt;"",AP25,"")</f>
        <v>0334439999</v>
      </c>
      <c r="AU25" s="218" t="str">
        <f t="shared" si="39"/>
        <v>-</v>
      </c>
      <c r="AV25" s="232" t="s">
        <v>349</v>
      </c>
      <c r="AW25" s="169"/>
      <c r="AX25" s="91" t="str">
        <f t="shared" si="43"/>
        <v xml:space="preserve">          </v>
      </c>
      <c r="AY25" s="218" t="str">
        <f t="shared" si="64"/>
        <v>-</v>
      </c>
      <c r="AZ25" s="169"/>
      <c r="BA25" s="92" t="str">
        <f t="shared" si="54"/>
        <v>OK</v>
      </c>
      <c r="BB25" s="232" t="s">
        <v>349</v>
      </c>
      <c r="BC25" s="169"/>
      <c r="BD25" s="91" t="str">
        <f t="shared" si="44"/>
        <v xml:space="preserve">          </v>
      </c>
      <c r="BE25" s="218" t="str">
        <f t="shared" si="65"/>
        <v>-</v>
      </c>
      <c r="BF25" s="169"/>
      <c r="BG25" s="92" t="str">
        <f t="shared" si="55"/>
        <v>OK</v>
      </c>
      <c r="BH25" s="232" t="s">
        <v>349</v>
      </c>
      <c r="BI25" s="170" t="s">
        <v>692</v>
      </c>
      <c r="BJ25" s="91" t="str">
        <f t="shared" si="45"/>
        <v>0334439999</v>
      </c>
      <c r="BK25" s="218" t="str">
        <f t="shared" si="5"/>
        <v>OK</v>
      </c>
      <c r="BL25" s="91" t="str">
        <f>IF(BH25&lt;&gt;"",BH25,"")</f>
        <v>0334439999</v>
      </c>
      <c r="BM25" s="92" t="str">
        <f t="shared" si="19"/>
        <v>OK</v>
      </c>
      <c r="BN25" s="232" t="s">
        <v>349</v>
      </c>
      <c r="BO25" s="169"/>
      <c r="BP25" s="91" t="str">
        <f t="shared" si="46"/>
        <v xml:space="preserve">          </v>
      </c>
      <c r="BQ25" s="218" t="str">
        <f t="shared" si="66"/>
        <v>-</v>
      </c>
      <c r="BR25" s="169"/>
      <c r="BS25" s="92" t="str">
        <f t="shared" si="56"/>
        <v>OK</v>
      </c>
      <c r="BT25" s="232" t="s">
        <v>349</v>
      </c>
      <c r="BU25" s="170" t="s">
        <v>692</v>
      </c>
      <c r="BV25" s="91" t="str">
        <f t="shared" si="47"/>
        <v>0334439999</v>
      </c>
      <c r="BW25" s="218" t="str">
        <f t="shared" si="67"/>
        <v>OK</v>
      </c>
      <c r="BX25" s="91" t="str">
        <f>IF(BT25&lt;&gt;"",BT25,"")</f>
        <v>0334439999</v>
      </c>
      <c r="BY25" s="218" t="str">
        <f t="shared" si="68"/>
        <v>-</v>
      </c>
      <c r="BZ25" s="232" t="s">
        <v>349</v>
      </c>
      <c r="CA25" s="169"/>
      <c r="CB25" s="91" t="str">
        <f t="shared" si="48"/>
        <v xml:space="preserve">          </v>
      </c>
      <c r="CC25" s="218" t="str">
        <f t="shared" si="69"/>
        <v>-</v>
      </c>
      <c r="CD25" s="169"/>
      <c r="CE25" s="92" t="str">
        <f t="shared" si="57"/>
        <v>OK</v>
      </c>
      <c r="CF25" s="232" t="s">
        <v>349</v>
      </c>
      <c r="CG25" s="169"/>
      <c r="CH25" s="91" t="str">
        <f t="shared" si="49"/>
        <v xml:space="preserve">          </v>
      </c>
      <c r="CI25" s="218" t="str">
        <f t="shared" si="70"/>
        <v>-</v>
      </c>
      <c r="CJ25" s="169"/>
      <c r="CK25" s="92" t="str">
        <f t="shared" si="58"/>
        <v>OK</v>
      </c>
      <c r="CL25" s="232" t="s">
        <v>349</v>
      </c>
      <c r="CM25" s="174" t="s">
        <v>692</v>
      </c>
      <c r="CN25" s="91" t="str">
        <f t="shared" si="50"/>
        <v>0334439999</v>
      </c>
      <c r="CO25" s="218" t="str">
        <f t="shared" si="11"/>
        <v>OK</v>
      </c>
      <c r="CP25" s="91" t="str">
        <f t="shared" si="74"/>
        <v>0334439999</v>
      </c>
      <c r="CQ25" s="218" t="str">
        <f t="shared" si="71"/>
        <v>-</v>
      </c>
      <c r="CR25" s="232" t="s">
        <v>349</v>
      </c>
      <c r="CS25" s="169"/>
      <c r="CT25" s="91" t="str">
        <f t="shared" si="51"/>
        <v xml:space="preserve">          </v>
      </c>
      <c r="CU25" s="218" t="str">
        <f t="shared" si="72"/>
        <v>-</v>
      </c>
      <c r="CV25" s="169"/>
      <c r="CW25" s="92" t="str">
        <f t="shared" si="59"/>
        <v>OK</v>
      </c>
      <c r="CX25" s="232" t="s">
        <v>349</v>
      </c>
      <c r="CY25" s="169"/>
      <c r="CZ25" s="91" t="str">
        <f t="shared" si="52"/>
        <v xml:space="preserve">          </v>
      </c>
      <c r="DA25" s="218" t="str">
        <f t="shared" si="73"/>
        <v>-</v>
      </c>
      <c r="DB25" s="169"/>
      <c r="DC25" s="92" t="str">
        <f t="shared" si="60"/>
        <v>OK</v>
      </c>
    </row>
    <row r="26" spans="1:107" s="33" customFormat="1">
      <c r="A26" s="20"/>
      <c r="B26" s="2">
        <f t="shared" si="61"/>
        <v>19</v>
      </c>
      <c r="C26" s="36"/>
      <c r="D26" s="111"/>
      <c r="E26" s="595" t="s">
        <v>109</v>
      </c>
      <c r="F26" s="596"/>
      <c r="G26" s="596"/>
      <c r="H26" s="597"/>
      <c r="I26" s="8"/>
      <c r="J26" s="8" t="s">
        <v>31</v>
      </c>
      <c r="K26" s="8"/>
      <c r="L26" s="8"/>
      <c r="M26" s="96" t="s">
        <v>110</v>
      </c>
      <c r="N26" s="1"/>
      <c r="O26" s="57"/>
      <c r="P26" s="95">
        <f t="shared" ref="P26:P58" si="75">P25+1</f>
        <v>3</v>
      </c>
      <c r="Q26" s="115">
        <v>7</v>
      </c>
      <c r="R26" s="21" t="s">
        <v>419</v>
      </c>
      <c r="S26" s="98"/>
      <c r="T26" s="96"/>
      <c r="U26" s="21" t="s">
        <v>420</v>
      </c>
      <c r="V26" s="10"/>
      <c r="W26" s="25">
        <v>2</v>
      </c>
      <c r="X26" s="1" t="s">
        <v>111</v>
      </c>
      <c r="Y26" s="1">
        <v>7</v>
      </c>
      <c r="Z26" s="1">
        <v>7</v>
      </c>
      <c r="AA26" s="8">
        <v>9</v>
      </c>
      <c r="AB26" s="8" t="s">
        <v>29</v>
      </c>
      <c r="AC26" s="12"/>
      <c r="AD26" s="60">
        <v>1001701</v>
      </c>
      <c r="AE26" s="169"/>
      <c r="AF26" s="91" t="str">
        <f t="shared" si="40"/>
        <v xml:space="preserve">       </v>
      </c>
      <c r="AG26" s="218" t="str">
        <f t="shared" si="38"/>
        <v>-</v>
      </c>
      <c r="AH26" s="169"/>
      <c r="AI26" s="92" t="str">
        <f t="shared" si="15"/>
        <v>OK</v>
      </c>
      <c r="AJ26" s="60">
        <v>1001701</v>
      </c>
      <c r="AK26" s="174"/>
      <c r="AL26" s="91" t="str">
        <f t="shared" si="41"/>
        <v xml:space="preserve">       </v>
      </c>
      <c r="AM26" s="218" t="str">
        <f t="shared" si="62"/>
        <v>-</v>
      </c>
      <c r="AN26" s="169"/>
      <c r="AO26" s="92" t="str">
        <f t="shared" si="53"/>
        <v>OK</v>
      </c>
      <c r="AP26" s="60">
        <v>1001701</v>
      </c>
      <c r="AQ26" s="170" t="s">
        <v>693</v>
      </c>
      <c r="AR26" s="91" t="str">
        <f t="shared" si="42"/>
        <v>1001701</v>
      </c>
      <c r="AS26" s="218" t="str">
        <f t="shared" si="63"/>
        <v>OK</v>
      </c>
      <c r="AT26" s="91">
        <f t="shared" ref="AT26:AT32" si="76">IF(AP26&lt;&gt;"",AP26,"")</f>
        <v>1001701</v>
      </c>
      <c r="AU26" s="218" t="str">
        <f t="shared" si="39"/>
        <v>-</v>
      </c>
      <c r="AV26" s="60">
        <v>1001701</v>
      </c>
      <c r="AW26" s="169"/>
      <c r="AX26" s="91" t="str">
        <f t="shared" si="43"/>
        <v xml:space="preserve">       </v>
      </c>
      <c r="AY26" s="218" t="str">
        <f t="shared" si="64"/>
        <v>-</v>
      </c>
      <c r="AZ26" s="169"/>
      <c r="BA26" s="92" t="str">
        <f t="shared" si="54"/>
        <v>OK</v>
      </c>
      <c r="BB26" s="60">
        <v>1001701</v>
      </c>
      <c r="BC26" s="169"/>
      <c r="BD26" s="91" t="str">
        <f t="shared" si="44"/>
        <v xml:space="preserve">       </v>
      </c>
      <c r="BE26" s="218" t="str">
        <f t="shared" si="65"/>
        <v>-</v>
      </c>
      <c r="BF26" s="169"/>
      <c r="BG26" s="92" t="str">
        <f t="shared" si="55"/>
        <v>OK</v>
      </c>
      <c r="BH26" s="60">
        <v>1001701</v>
      </c>
      <c r="BI26" s="170" t="s">
        <v>693</v>
      </c>
      <c r="BJ26" s="91" t="str">
        <f t="shared" si="45"/>
        <v>1001701</v>
      </c>
      <c r="BK26" s="218" t="str">
        <f t="shared" si="5"/>
        <v>OK</v>
      </c>
      <c r="BL26" s="91">
        <f t="shared" ref="BL26:BL32" si="77">IF(BH26&lt;&gt;"",BH26,"")</f>
        <v>1001701</v>
      </c>
      <c r="BM26" s="92" t="str">
        <f t="shared" si="19"/>
        <v>OK</v>
      </c>
      <c r="BN26" s="60">
        <v>1001701</v>
      </c>
      <c r="BO26" s="169"/>
      <c r="BP26" s="91" t="str">
        <f t="shared" si="46"/>
        <v xml:space="preserve">       </v>
      </c>
      <c r="BQ26" s="218" t="str">
        <f t="shared" si="66"/>
        <v>-</v>
      </c>
      <c r="BR26" s="169"/>
      <c r="BS26" s="92" t="str">
        <f t="shared" si="56"/>
        <v>OK</v>
      </c>
      <c r="BT26" s="60">
        <v>1001701</v>
      </c>
      <c r="BU26" s="170" t="s">
        <v>693</v>
      </c>
      <c r="BV26" s="91" t="str">
        <f t="shared" si="47"/>
        <v>1001701</v>
      </c>
      <c r="BW26" s="218" t="str">
        <f t="shared" si="67"/>
        <v>OK</v>
      </c>
      <c r="BX26" s="91">
        <f t="shared" ref="BX26:BX32" si="78">IF(BT26&lt;&gt;"",BT26,"")</f>
        <v>1001701</v>
      </c>
      <c r="BY26" s="218" t="str">
        <f t="shared" si="68"/>
        <v>-</v>
      </c>
      <c r="BZ26" s="60">
        <v>1001701</v>
      </c>
      <c r="CA26" s="169"/>
      <c r="CB26" s="91" t="str">
        <f t="shared" si="48"/>
        <v xml:space="preserve">       </v>
      </c>
      <c r="CC26" s="218" t="str">
        <f t="shared" si="69"/>
        <v>-</v>
      </c>
      <c r="CD26" s="169"/>
      <c r="CE26" s="92" t="str">
        <f t="shared" si="57"/>
        <v>OK</v>
      </c>
      <c r="CF26" s="60">
        <v>1001701</v>
      </c>
      <c r="CG26" s="169"/>
      <c r="CH26" s="91" t="str">
        <f t="shared" si="49"/>
        <v xml:space="preserve">       </v>
      </c>
      <c r="CI26" s="218" t="str">
        <f t="shared" si="70"/>
        <v>-</v>
      </c>
      <c r="CJ26" s="169"/>
      <c r="CK26" s="92" t="str">
        <f t="shared" si="58"/>
        <v>OK</v>
      </c>
      <c r="CL26" s="60">
        <v>1001701</v>
      </c>
      <c r="CM26" s="174" t="s">
        <v>693</v>
      </c>
      <c r="CN26" s="91" t="str">
        <f t="shared" si="50"/>
        <v>1001701</v>
      </c>
      <c r="CO26" s="218" t="str">
        <f t="shared" si="11"/>
        <v>OK</v>
      </c>
      <c r="CP26" s="91">
        <f t="shared" si="74"/>
        <v>1001701</v>
      </c>
      <c r="CQ26" s="218" t="str">
        <f t="shared" si="71"/>
        <v>-</v>
      </c>
      <c r="CR26" s="60">
        <v>1001701</v>
      </c>
      <c r="CS26" s="169"/>
      <c r="CT26" s="91" t="str">
        <f t="shared" si="51"/>
        <v xml:space="preserve">       </v>
      </c>
      <c r="CU26" s="218" t="str">
        <f t="shared" si="72"/>
        <v>-</v>
      </c>
      <c r="CV26" s="169"/>
      <c r="CW26" s="92" t="str">
        <f t="shared" si="59"/>
        <v>OK</v>
      </c>
      <c r="CX26" s="60">
        <v>1001701</v>
      </c>
      <c r="CY26" s="169"/>
      <c r="CZ26" s="91" t="str">
        <f t="shared" si="52"/>
        <v xml:space="preserve">       </v>
      </c>
      <c r="DA26" s="218" t="str">
        <f t="shared" si="73"/>
        <v>-</v>
      </c>
      <c r="DB26" s="169"/>
      <c r="DC26" s="92" t="str">
        <f t="shared" si="60"/>
        <v>OK</v>
      </c>
    </row>
    <row r="27" spans="1:107" s="33" customFormat="1" ht="38.25">
      <c r="A27" s="20"/>
      <c r="B27" s="2">
        <f t="shared" si="61"/>
        <v>20</v>
      </c>
      <c r="C27" s="36"/>
      <c r="D27" s="111"/>
      <c r="E27" s="595" t="s">
        <v>421</v>
      </c>
      <c r="F27" s="596"/>
      <c r="G27" s="596"/>
      <c r="H27" s="597"/>
      <c r="I27" s="8"/>
      <c r="J27" s="8" t="s">
        <v>31</v>
      </c>
      <c r="K27" s="8"/>
      <c r="L27" s="8"/>
      <c r="M27" s="9" t="s">
        <v>422</v>
      </c>
      <c r="N27" s="1" t="s">
        <v>423</v>
      </c>
      <c r="O27" s="57"/>
      <c r="P27" s="95">
        <f t="shared" si="75"/>
        <v>4</v>
      </c>
      <c r="Q27" s="115">
        <v>1</v>
      </c>
      <c r="R27" s="21" t="s">
        <v>419</v>
      </c>
      <c r="S27" s="98"/>
      <c r="T27" s="96"/>
      <c r="U27" s="21" t="s">
        <v>420</v>
      </c>
      <c r="V27" s="10"/>
      <c r="W27" s="25">
        <v>2</v>
      </c>
      <c r="X27" s="1" t="s">
        <v>112</v>
      </c>
      <c r="Y27" s="1">
        <v>1</v>
      </c>
      <c r="Z27" s="1">
        <v>1</v>
      </c>
      <c r="AA27" s="8">
        <v>9</v>
      </c>
      <c r="AB27" s="8" t="s">
        <v>29</v>
      </c>
      <c r="AC27" s="12"/>
      <c r="AD27" s="60">
        <v>0</v>
      </c>
      <c r="AE27" s="169"/>
      <c r="AF27" s="91" t="str">
        <f t="shared" si="40"/>
        <v xml:space="preserve"> </v>
      </c>
      <c r="AG27" s="218" t="str">
        <f t="shared" si="38"/>
        <v>-</v>
      </c>
      <c r="AH27" s="169"/>
      <c r="AI27" s="92" t="str">
        <f t="shared" si="15"/>
        <v>OK</v>
      </c>
      <c r="AJ27" s="60">
        <v>1</v>
      </c>
      <c r="AK27" s="174"/>
      <c r="AL27" s="91" t="str">
        <f t="shared" si="41"/>
        <v xml:space="preserve"> </v>
      </c>
      <c r="AM27" s="218" t="str">
        <f t="shared" si="62"/>
        <v>-</v>
      </c>
      <c r="AN27" s="169"/>
      <c r="AO27" s="92" t="str">
        <f t="shared" si="53"/>
        <v>OK</v>
      </c>
      <c r="AP27" s="60">
        <v>0</v>
      </c>
      <c r="AQ27" s="170" t="s">
        <v>368</v>
      </c>
      <c r="AR27" s="91" t="str">
        <f t="shared" si="42"/>
        <v>0</v>
      </c>
      <c r="AS27" s="218" t="str">
        <f t="shared" si="63"/>
        <v>OK</v>
      </c>
      <c r="AT27" s="91">
        <f t="shared" si="76"/>
        <v>0</v>
      </c>
      <c r="AU27" s="218" t="str">
        <f t="shared" si="39"/>
        <v>-</v>
      </c>
      <c r="AV27" s="60">
        <v>1</v>
      </c>
      <c r="AW27" s="169"/>
      <c r="AX27" s="91" t="str">
        <f t="shared" si="43"/>
        <v xml:space="preserve"> </v>
      </c>
      <c r="AY27" s="218" t="str">
        <f t="shared" si="64"/>
        <v>-</v>
      </c>
      <c r="AZ27" s="169"/>
      <c r="BA27" s="92" t="str">
        <f t="shared" si="54"/>
        <v>OK</v>
      </c>
      <c r="BB27" s="60">
        <v>0</v>
      </c>
      <c r="BC27" s="169"/>
      <c r="BD27" s="91" t="str">
        <f t="shared" si="44"/>
        <v xml:space="preserve"> </v>
      </c>
      <c r="BE27" s="218" t="str">
        <f t="shared" si="65"/>
        <v>-</v>
      </c>
      <c r="BF27" s="169"/>
      <c r="BG27" s="92" t="str">
        <f t="shared" si="55"/>
        <v>OK</v>
      </c>
      <c r="BH27" s="60">
        <v>1</v>
      </c>
      <c r="BI27" s="170" t="s">
        <v>33</v>
      </c>
      <c r="BJ27" s="91" t="str">
        <f t="shared" si="45"/>
        <v>1</v>
      </c>
      <c r="BK27" s="218" t="str">
        <f t="shared" si="5"/>
        <v>OK</v>
      </c>
      <c r="BL27" s="91">
        <f t="shared" si="77"/>
        <v>1</v>
      </c>
      <c r="BM27" s="92" t="str">
        <f t="shared" si="19"/>
        <v>OK</v>
      </c>
      <c r="BN27" s="60">
        <v>0</v>
      </c>
      <c r="BO27" s="169"/>
      <c r="BP27" s="91" t="str">
        <f t="shared" si="46"/>
        <v xml:space="preserve"> </v>
      </c>
      <c r="BQ27" s="218" t="str">
        <f t="shared" si="66"/>
        <v>-</v>
      </c>
      <c r="BR27" s="169"/>
      <c r="BS27" s="92" t="str">
        <f t="shared" si="56"/>
        <v>OK</v>
      </c>
      <c r="BT27" s="60">
        <v>1</v>
      </c>
      <c r="BU27" s="170" t="s">
        <v>33</v>
      </c>
      <c r="BV27" s="91" t="str">
        <f t="shared" si="47"/>
        <v>1</v>
      </c>
      <c r="BW27" s="218" t="str">
        <f t="shared" si="67"/>
        <v>OK</v>
      </c>
      <c r="BX27" s="91">
        <f t="shared" si="78"/>
        <v>1</v>
      </c>
      <c r="BY27" s="218" t="str">
        <f t="shared" si="68"/>
        <v>-</v>
      </c>
      <c r="BZ27" s="60">
        <v>0</v>
      </c>
      <c r="CA27" s="169"/>
      <c r="CB27" s="91" t="str">
        <f t="shared" si="48"/>
        <v xml:space="preserve"> </v>
      </c>
      <c r="CC27" s="218" t="str">
        <f t="shared" si="69"/>
        <v>-</v>
      </c>
      <c r="CD27" s="169"/>
      <c r="CE27" s="92" t="str">
        <f t="shared" si="57"/>
        <v>OK</v>
      </c>
      <c r="CF27" s="60">
        <v>1</v>
      </c>
      <c r="CG27" s="169"/>
      <c r="CH27" s="91" t="str">
        <f t="shared" si="49"/>
        <v xml:space="preserve"> </v>
      </c>
      <c r="CI27" s="218" t="str">
        <f t="shared" si="70"/>
        <v>-</v>
      </c>
      <c r="CJ27" s="169"/>
      <c r="CK27" s="92" t="str">
        <f t="shared" si="58"/>
        <v>OK</v>
      </c>
      <c r="CL27" s="60">
        <v>0</v>
      </c>
      <c r="CM27" s="174" t="s">
        <v>368</v>
      </c>
      <c r="CN27" s="91" t="str">
        <f t="shared" si="50"/>
        <v>0</v>
      </c>
      <c r="CO27" s="218" t="str">
        <f t="shared" si="11"/>
        <v>OK</v>
      </c>
      <c r="CP27" s="91">
        <f t="shared" si="74"/>
        <v>0</v>
      </c>
      <c r="CQ27" s="218" t="str">
        <f t="shared" si="71"/>
        <v>-</v>
      </c>
      <c r="CR27" s="60">
        <v>1</v>
      </c>
      <c r="CS27" s="169"/>
      <c r="CT27" s="91" t="str">
        <f t="shared" si="51"/>
        <v xml:space="preserve"> </v>
      </c>
      <c r="CU27" s="218" t="str">
        <f t="shared" si="72"/>
        <v>-</v>
      </c>
      <c r="CV27" s="169"/>
      <c r="CW27" s="92" t="str">
        <f t="shared" si="59"/>
        <v>OK</v>
      </c>
      <c r="CX27" s="60">
        <v>1</v>
      </c>
      <c r="CY27" s="169"/>
      <c r="CZ27" s="91" t="str">
        <f t="shared" si="52"/>
        <v xml:space="preserve"> </v>
      </c>
      <c r="DA27" s="218" t="str">
        <f t="shared" si="73"/>
        <v>-</v>
      </c>
      <c r="DB27" s="169"/>
      <c r="DC27" s="92" t="str">
        <f t="shared" si="60"/>
        <v>OK</v>
      </c>
    </row>
    <row r="28" spans="1:107" s="33" customFormat="1" ht="38.25">
      <c r="A28" s="20"/>
      <c r="B28" s="2">
        <f t="shared" si="61"/>
        <v>21</v>
      </c>
      <c r="C28" s="36"/>
      <c r="D28" s="111"/>
      <c r="E28" s="598" t="s">
        <v>286</v>
      </c>
      <c r="F28" s="599"/>
      <c r="G28" s="599"/>
      <c r="H28" s="600"/>
      <c r="I28" s="8"/>
      <c r="J28" s="8" t="s">
        <v>31</v>
      </c>
      <c r="K28" s="8"/>
      <c r="L28" s="8"/>
      <c r="M28" s="9" t="s">
        <v>287</v>
      </c>
      <c r="N28" s="1" t="s">
        <v>285</v>
      </c>
      <c r="O28" s="57"/>
      <c r="P28" s="95">
        <f t="shared" si="75"/>
        <v>5</v>
      </c>
      <c r="Q28" s="115">
        <v>1</v>
      </c>
      <c r="R28" s="21" t="s">
        <v>261</v>
      </c>
      <c r="S28" s="98"/>
      <c r="T28" s="96"/>
      <c r="U28" s="21" t="s">
        <v>237</v>
      </c>
      <c r="V28" s="10"/>
      <c r="W28" s="25">
        <v>2</v>
      </c>
      <c r="X28" s="1" t="s">
        <v>113</v>
      </c>
      <c r="Y28" s="1">
        <v>1</v>
      </c>
      <c r="Z28" s="1">
        <v>1</v>
      </c>
      <c r="AA28" s="8">
        <v>9</v>
      </c>
      <c r="AB28" s="8" t="s">
        <v>29</v>
      </c>
      <c r="AC28" s="12"/>
      <c r="AD28" s="60">
        <v>0</v>
      </c>
      <c r="AE28" s="169"/>
      <c r="AF28" s="91" t="str">
        <f t="shared" si="40"/>
        <v xml:space="preserve"> </v>
      </c>
      <c r="AG28" s="218" t="str">
        <f t="shared" si="38"/>
        <v>-</v>
      </c>
      <c r="AH28" s="169"/>
      <c r="AI28" s="92" t="str">
        <f t="shared" si="15"/>
        <v>OK</v>
      </c>
      <c r="AJ28" s="60">
        <v>0</v>
      </c>
      <c r="AK28" s="174"/>
      <c r="AL28" s="91" t="str">
        <f t="shared" si="41"/>
        <v xml:space="preserve"> </v>
      </c>
      <c r="AM28" s="218" t="str">
        <f t="shared" si="62"/>
        <v>-</v>
      </c>
      <c r="AN28" s="169"/>
      <c r="AO28" s="92" t="str">
        <f t="shared" si="53"/>
        <v>OK</v>
      </c>
      <c r="AP28" s="60">
        <v>0</v>
      </c>
      <c r="AQ28" s="170" t="s">
        <v>368</v>
      </c>
      <c r="AR28" s="91" t="str">
        <f t="shared" si="42"/>
        <v>0</v>
      </c>
      <c r="AS28" s="218" t="str">
        <f t="shared" si="63"/>
        <v>OK</v>
      </c>
      <c r="AT28" s="91">
        <f t="shared" si="76"/>
        <v>0</v>
      </c>
      <c r="AU28" s="218" t="str">
        <f t="shared" si="39"/>
        <v>-</v>
      </c>
      <c r="AV28" s="60">
        <v>0</v>
      </c>
      <c r="AW28" s="169"/>
      <c r="AX28" s="91" t="str">
        <f t="shared" si="43"/>
        <v xml:space="preserve"> </v>
      </c>
      <c r="AY28" s="218" t="str">
        <f t="shared" si="64"/>
        <v>-</v>
      </c>
      <c r="AZ28" s="169"/>
      <c r="BA28" s="92" t="str">
        <f t="shared" si="54"/>
        <v>OK</v>
      </c>
      <c r="BB28" s="60">
        <v>0</v>
      </c>
      <c r="BC28" s="169"/>
      <c r="BD28" s="91" t="str">
        <f t="shared" si="44"/>
        <v xml:space="preserve"> </v>
      </c>
      <c r="BE28" s="218" t="str">
        <f t="shared" si="65"/>
        <v>-</v>
      </c>
      <c r="BF28" s="169"/>
      <c r="BG28" s="92" t="str">
        <f t="shared" si="55"/>
        <v>OK</v>
      </c>
      <c r="BH28" s="60">
        <v>0</v>
      </c>
      <c r="BI28" s="170" t="s">
        <v>368</v>
      </c>
      <c r="BJ28" s="91" t="str">
        <f t="shared" si="45"/>
        <v>0</v>
      </c>
      <c r="BK28" s="218" t="str">
        <f t="shared" si="5"/>
        <v>OK</v>
      </c>
      <c r="BL28" s="91">
        <f t="shared" si="77"/>
        <v>0</v>
      </c>
      <c r="BM28" s="92" t="str">
        <f t="shared" si="19"/>
        <v>OK</v>
      </c>
      <c r="BN28" s="60">
        <v>1</v>
      </c>
      <c r="BO28" s="169"/>
      <c r="BP28" s="91" t="str">
        <f t="shared" si="46"/>
        <v xml:space="preserve"> </v>
      </c>
      <c r="BQ28" s="218" t="str">
        <f t="shared" si="66"/>
        <v>-</v>
      </c>
      <c r="BR28" s="169"/>
      <c r="BS28" s="92" t="str">
        <f t="shared" si="56"/>
        <v>OK</v>
      </c>
      <c r="BT28" s="60">
        <v>0</v>
      </c>
      <c r="BU28" s="170" t="s">
        <v>368</v>
      </c>
      <c r="BV28" s="91" t="str">
        <f t="shared" si="47"/>
        <v>0</v>
      </c>
      <c r="BW28" s="218" t="str">
        <f t="shared" si="67"/>
        <v>OK</v>
      </c>
      <c r="BX28" s="91">
        <f t="shared" si="78"/>
        <v>0</v>
      </c>
      <c r="BY28" s="218" t="str">
        <f t="shared" si="68"/>
        <v>-</v>
      </c>
      <c r="BZ28" s="60">
        <v>1</v>
      </c>
      <c r="CA28" s="169"/>
      <c r="CB28" s="91" t="str">
        <f t="shared" si="48"/>
        <v xml:space="preserve"> </v>
      </c>
      <c r="CC28" s="218" t="str">
        <f t="shared" si="69"/>
        <v>-</v>
      </c>
      <c r="CD28" s="169"/>
      <c r="CE28" s="92" t="str">
        <f t="shared" si="57"/>
        <v>OK</v>
      </c>
      <c r="CF28" s="60">
        <v>0</v>
      </c>
      <c r="CG28" s="169"/>
      <c r="CH28" s="91" t="str">
        <f t="shared" si="49"/>
        <v xml:space="preserve"> </v>
      </c>
      <c r="CI28" s="218" t="str">
        <f t="shared" si="70"/>
        <v>-</v>
      </c>
      <c r="CJ28" s="169"/>
      <c r="CK28" s="92" t="str">
        <f t="shared" si="58"/>
        <v>OK</v>
      </c>
      <c r="CL28" s="60">
        <v>0</v>
      </c>
      <c r="CM28" s="174" t="s">
        <v>368</v>
      </c>
      <c r="CN28" s="91" t="str">
        <f t="shared" si="50"/>
        <v>0</v>
      </c>
      <c r="CO28" s="218" t="str">
        <f t="shared" si="11"/>
        <v>OK</v>
      </c>
      <c r="CP28" s="91">
        <f t="shared" si="74"/>
        <v>0</v>
      </c>
      <c r="CQ28" s="218" t="str">
        <f t="shared" si="71"/>
        <v>-</v>
      </c>
      <c r="CR28" s="60">
        <v>0</v>
      </c>
      <c r="CS28" s="169"/>
      <c r="CT28" s="91" t="str">
        <f t="shared" si="51"/>
        <v xml:space="preserve"> </v>
      </c>
      <c r="CU28" s="218" t="str">
        <f t="shared" si="72"/>
        <v>-</v>
      </c>
      <c r="CV28" s="169"/>
      <c r="CW28" s="92" t="str">
        <f t="shared" si="59"/>
        <v>OK</v>
      </c>
      <c r="CX28" s="60">
        <v>0</v>
      </c>
      <c r="CY28" s="169"/>
      <c r="CZ28" s="91" t="str">
        <f t="shared" si="52"/>
        <v xml:space="preserve"> </v>
      </c>
      <c r="DA28" s="218" t="str">
        <f t="shared" si="73"/>
        <v>-</v>
      </c>
      <c r="DB28" s="169"/>
      <c r="DC28" s="92" t="str">
        <f t="shared" si="60"/>
        <v>OK</v>
      </c>
    </row>
    <row r="29" spans="1:107" s="26" customFormat="1" ht="328.5" customHeight="1">
      <c r="B29" s="2">
        <f t="shared" si="61"/>
        <v>22</v>
      </c>
      <c r="C29" s="129"/>
      <c r="D29" s="7"/>
      <c r="E29" s="112" t="s">
        <v>424</v>
      </c>
      <c r="F29" s="16"/>
      <c r="G29" s="16"/>
      <c r="H29" s="13"/>
      <c r="I29" s="8"/>
      <c r="J29" s="8"/>
      <c r="K29" s="8"/>
      <c r="L29" s="8"/>
      <c r="M29" s="414" t="s">
        <v>454</v>
      </c>
      <c r="N29" s="415" t="s">
        <v>425</v>
      </c>
      <c r="O29" s="57"/>
      <c r="P29" s="95">
        <f t="shared" si="75"/>
        <v>6</v>
      </c>
      <c r="Q29" s="115">
        <v>2</v>
      </c>
      <c r="R29" s="21" t="str">
        <f>IF(AA29="M","NX",AA29)</f>
        <v>X</v>
      </c>
      <c r="S29" s="98"/>
      <c r="T29" s="96"/>
      <c r="U29" s="21" t="s">
        <v>417</v>
      </c>
      <c r="V29" s="10"/>
      <c r="W29" s="25">
        <v>2</v>
      </c>
      <c r="X29" s="1" t="s">
        <v>288</v>
      </c>
      <c r="Y29" s="1">
        <v>2</v>
      </c>
      <c r="Z29" s="1">
        <v>2</v>
      </c>
      <c r="AA29" s="8" t="s">
        <v>114</v>
      </c>
      <c r="AB29" s="8" t="s">
        <v>256</v>
      </c>
      <c r="AC29" s="12"/>
      <c r="AD29" s="477" t="s">
        <v>592</v>
      </c>
      <c r="AE29" s="172"/>
      <c r="AF29" s="91" t="str">
        <f t="shared" si="40"/>
        <v xml:space="preserve">  </v>
      </c>
      <c r="AG29" s="218" t="str">
        <f t="shared" si="38"/>
        <v>-</v>
      </c>
      <c r="AH29" s="172"/>
      <c r="AI29" s="92" t="str">
        <f t="shared" si="15"/>
        <v>OK</v>
      </c>
      <c r="AJ29" s="477" t="s">
        <v>599</v>
      </c>
      <c r="AK29" s="170"/>
      <c r="AL29" s="91" t="str">
        <f t="shared" si="41"/>
        <v xml:space="preserve">  </v>
      </c>
      <c r="AM29" s="218" t="str">
        <f t="shared" si="62"/>
        <v>-</v>
      </c>
      <c r="AN29" s="172"/>
      <c r="AO29" s="92" t="str">
        <f t="shared" si="53"/>
        <v>OK</v>
      </c>
      <c r="AP29" s="477" t="s">
        <v>592</v>
      </c>
      <c r="AQ29" s="170" t="s">
        <v>667</v>
      </c>
      <c r="AR29" s="91" t="str">
        <f t="shared" si="42"/>
        <v>A7</v>
      </c>
      <c r="AS29" s="218" t="str">
        <f t="shared" si="63"/>
        <v>OK</v>
      </c>
      <c r="AT29" s="91" t="str">
        <f t="shared" si="76"/>
        <v>A7</v>
      </c>
      <c r="AU29" s="218" t="str">
        <f t="shared" si="39"/>
        <v>-</v>
      </c>
      <c r="AV29" s="477"/>
      <c r="AW29" s="172"/>
      <c r="AX29" s="91" t="str">
        <f t="shared" si="43"/>
        <v xml:space="preserve">  </v>
      </c>
      <c r="AY29" s="218" t="str">
        <f t="shared" si="64"/>
        <v>-</v>
      </c>
      <c r="AZ29" s="172"/>
      <c r="BA29" s="92" t="str">
        <f t="shared" si="54"/>
        <v>OK</v>
      </c>
      <c r="BB29" s="477"/>
      <c r="BC29" s="172"/>
      <c r="BD29" s="91" t="str">
        <f t="shared" si="44"/>
        <v xml:space="preserve">  </v>
      </c>
      <c r="BE29" s="218" t="str">
        <f t="shared" si="65"/>
        <v>-</v>
      </c>
      <c r="BF29" s="172"/>
      <c r="BG29" s="92" t="str">
        <f t="shared" si="55"/>
        <v>OK</v>
      </c>
      <c r="BH29" s="477"/>
      <c r="BI29" s="170" t="s">
        <v>698</v>
      </c>
      <c r="BJ29" s="91" t="str">
        <f t="shared" si="45"/>
        <v xml:space="preserve">  </v>
      </c>
      <c r="BK29" s="218" t="str">
        <f t="shared" si="5"/>
        <v>OK</v>
      </c>
      <c r="BL29" s="91" t="str">
        <f t="shared" si="77"/>
        <v/>
      </c>
      <c r="BM29" s="92" t="str">
        <f t="shared" si="19"/>
        <v>NG</v>
      </c>
      <c r="BN29" s="477"/>
      <c r="BO29" s="172"/>
      <c r="BP29" s="91" t="str">
        <f t="shared" si="46"/>
        <v xml:space="preserve">  </v>
      </c>
      <c r="BQ29" s="218" t="str">
        <f t="shared" si="66"/>
        <v>-</v>
      </c>
      <c r="BR29" s="172"/>
      <c r="BS29" s="92" t="str">
        <f t="shared" si="56"/>
        <v>OK</v>
      </c>
      <c r="BT29" s="477" t="s">
        <v>599</v>
      </c>
      <c r="BU29" s="170" t="s">
        <v>678</v>
      </c>
      <c r="BV29" s="91" t="str">
        <f t="shared" si="47"/>
        <v>B7</v>
      </c>
      <c r="BW29" s="218" t="str">
        <f t="shared" si="67"/>
        <v>OK</v>
      </c>
      <c r="BX29" s="91" t="str">
        <f t="shared" si="78"/>
        <v>B7</v>
      </c>
      <c r="BY29" s="218" t="str">
        <f t="shared" si="68"/>
        <v>-</v>
      </c>
      <c r="BZ29" s="477" t="s">
        <v>592</v>
      </c>
      <c r="CA29" s="172"/>
      <c r="CB29" s="91" t="str">
        <f t="shared" si="48"/>
        <v xml:space="preserve">  </v>
      </c>
      <c r="CC29" s="218" t="str">
        <f t="shared" si="69"/>
        <v>-</v>
      </c>
      <c r="CD29" s="172"/>
      <c r="CE29" s="92" t="str">
        <f t="shared" si="57"/>
        <v>OK</v>
      </c>
      <c r="CF29" s="477" t="s">
        <v>599</v>
      </c>
      <c r="CG29" s="172"/>
      <c r="CH29" s="91" t="str">
        <f t="shared" si="49"/>
        <v xml:space="preserve">  </v>
      </c>
      <c r="CI29" s="218" t="str">
        <f t="shared" si="70"/>
        <v>-</v>
      </c>
      <c r="CJ29" s="172"/>
      <c r="CK29" s="92" t="str">
        <f t="shared" si="58"/>
        <v>OK</v>
      </c>
      <c r="CL29" s="477" t="s">
        <v>592</v>
      </c>
      <c r="CM29" s="170" t="s">
        <v>667</v>
      </c>
      <c r="CN29" s="91" t="str">
        <f t="shared" si="50"/>
        <v>A7</v>
      </c>
      <c r="CO29" s="218" t="str">
        <f t="shared" si="11"/>
        <v>OK</v>
      </c>
      <c r="CP29" s="91" t="str">
        <f t="shared" si="74"/>
        <v>A7</v>
      </c>
      <c r="CQ29" s="218" t="str">
        <f t="shared" si="71"/>
        <v>-</v>
      </c>
      <c r="CR29" s="521" t="s">
        <v>653</v>
      </c>
      <c r="CS29" s="172"/>
      <c r="CT29" s="91" t="str">
        <f t="shared" si="51"/>
        <v xml:space="preserve">  </v>
      </c>
      <c r="CU29" s="218" t="str">
        <f t="shared" si="72"/>
        <v>-</v>
      </c>
      <c r="CV29" s="172"/>
      <c r="CW29" s="92" t="str">
        <f t="shared" si="59"/>
        <v>OK</v>
      </c>
      <c r="CX29" s="477" t="s">
        <v>599</v>
      </c>
      <c r="CY29" s="172"/>
      <c r="CZ29" s="91" t="str">
        <f t="shared" si="52"/>
        <v xml:space="preserve">  </v>
      </c>
      <c r="DA29" s="218" t="str">
        <f t="shared" si="73"/>
        <v>-</v>
      </c>
      <c r="DB29" s="172"/>
      <c r="DC29" s="92" t="str">
        <f t="shared" si="60"/>
        <v>OK</v>
      </c>
    </row>
    <row r="30" spans="1:107" s="33" customFormat="1" ht="140.25" customHeight="1">
      <c r="A30" s="20"/>
      <c r="B30" s="19">
        <f t="shared" si="61"/>
        <v>23</v>
      </c>
      <c r="C30" s="54"/>
      <c r="D30" s="7"/>
      <c r="E30" s="589" t="s">
        <v>83</v>
      </c>
      <c r="F30" s="590"/>
      <c r="G30" s="590"/>
      <c r="H30" s="591"/>
      <c r="I30" s="6"/>
      <c r="J30" s="6" t="s">
        <v>426</v>
      </c>
      <c r="K30" s="6"/>
      <c r="L30" s="6"/>
      <c r="M30" s="416" t="s">
        <v>427</v>
      </c>
      <c r="N30" s="5"/>
      <c r="O30" s="55"/>
      <c r="P30" s="95">
        <f t="shared" si="75"/>
        <v>7</v>
      </c>
      <c r="Q30" s="116">
        <v>8</v>
      </c>
      <c r="R30" s="21" t="str">
        <f t="shared" ref="R30:R58" si="79">IF(AA30="M","NX",AA30)</f>
        <v>X</v>
      </c>
      <c r="S30" s="98"/>
      <c r="T30" s="96"/>
      <c r="U30" s="21" t="s">
        <v>417</v>
      </c>
      <c r="V30" s="10"/>
      <c r="W30" s="25">
        <v>2</v>
      </c>
      <c r="X30" s="56" t="s">
        <v>289</v>
      </c>
      <c r="Y30" s="5">
        <v>8</v>
      </c>
      <c r="Z30" s="5">
        <v>8</v>
      </c>
      <c r="AA30" s="6" t="s">
        <v>261</v>
      </c>
      <c r="AB30" s="6" t="s">
        <v>256</v>
      </c>
      <c r="AC30" s="99"/>
      <c r="AD30" s="482"/>
      <c r="AE30" s="169"/>
      <c r="AF30" s="91" t="str">
        <f t="shared" si="40"/>
        <v xml:space="preserve">        </v>
      </c>
      <c r="AG30" s="218" t="str">
        <f t="shared" si="38"/>
        <v>-</v>
      </c>
      <c r="AH30" s="169"/>
      <c r="AI30" s="92" t="str">
        <f t="shared" si="15"/>
        <v>OK</v>
      </c>
      <c r="AJ30" s="482" t="s">
        <v>617</v>
      </c>
      <c r="AK30" s="174"/>
      <c r="AL30" s="91" t="str">
        <f t="shared" si="41"/>
        <v xml:space="preserve">        </v>
      </c>
      <c r="AM30" s="218" t="str">
        <f t="shared" si="62"/>
        <v>-</v>
      </c>
      <c r="AN30" s="169"/>
      <c r="AO30" s="92" t="str">
        <f t="shared" si="53"/>
        <v>OK</v>
      </c>
      <c r="AP30" s="482"/>
      <c r="AQ30" s="170" t="s">
        <v>694</v>
      </c>
      <c r="AR30" s="91" t="str">
        <f t="shared" si="42"/>
        <v xml:space="preserve">        </v>
      </c>
      <c r="AS30" s="218" t="str">
        <f t="shared" si="63"/>
        <v>OK</v>
      </c>
      <c r="AT30" s="91" t="str">
        <f t="shared" si="76"/>
        <v/>
      </c>
      <c r="AU30" s="218" t="str">
        <f t="shared" si="39"/>
        <v>-</v>
      </c>
      <c r="AV30" s="482" t="s">
        <v>618</v>
      </c>
      <c r="AW30" s="169"/>
      <c r="AX30" s="91" t="str">
        <f t="shared" si="43"/>
        <v xml:space="preserve">        </v>
      </c>
      <c r="AY30" s="218" t="str">
        <f t="shared" si="64"/>
        <v>-</v>
      </c>
      <c r="AZ30" s="169"/>
      <c r="BA30" s="92" t="str">
        <f t="shared" si="54"/>
        <v>OK</v>
      </c>
      <c r="BB30" s="482"/>
      <c r="BC30" s="169"/>
      <c r="BD30" s="91" t="str">
        <f t="shared" si="44"/>
        <v xml:space="preserve">        </v>
      </c>
      <c r="BE30" s="218" t="str">
        <f t="shared" si="65"/>
        <v>-</v>
      </c>
      <c r="BF30" s="169"/>
      <c r="BG30" s="92" t="str">
        <f t="shared" si="55"/>
        <v>OK</v>
      </c>
      <c r="BH30" s="482" t="s">
        <v>630</v>
      </c>
      <c r="BI30" s="170" t="s">
        <v>725</v>
      </c>
      <c r="BJ30" s="91" t="str">
        <f t="shared" si="45"/>
        <v>C1701006</v>
      </c>
      <c r="BK30" s="218" t="str">
        <f t="shared" si="5"/>
        <v>OK</v>
      </c>
      <c r="BL30" s="91" t="str">
        <f t="shared" si="77"/>
        <v>C1701006</v>
      </c>
      <c r="BM30" s="92" t="str">
        <f t="shared" si="19"/>
        <v>OK</v>
      </c>
      <c r="BN30" s="482"/>
      <c r="BO30" s="169"/>
      <c r="BP30" s="91" t="str">
        <f t="shared" si="46"/>
        <v xml:space="preserve">        </v>
      </c>
      <c r="BQ30" s="218" t="str">
        <f t="shared" si="66"/>
        <v>-</v>
      </c>
      <c r="BR30" s="169"/>
      <c r="BS30" s="92" t="str">
        <f t="shared" si="56"/>
        <v>OK</v>
      </c>
      <c r="BT30" s="482" t="s">
        <v>636</v>
      </c>
      <c r="BU30" s="170" t="s">
        <v>751</v>
      </c>
      <c r="BV30" s="91" t="str">
        <f t="shared" si="47"/>
        <v>C1701008</v>
      </c>
      <c r="BW30" s="218" t="str">
        <f t="shared" si="67"/>
        <v>OK</v>
      </c>
      <c r="BX30" s="91" t="str">
        <f t="shared" si="78"/>
        <v>C1701008</v>
      </c>
      <c r="BY30" s="218" t="str">
        <f t="shared" si="68"/>
        <v>-</v>
      </c>
      <c r="BZ30" s="482"/>
      <c r="CA30" s="169"/>
      <c r="CB30" s="91" t="str">
        <f t="shared" si="48"/>
        <v xml:space="preserve">        </v>
      </c>
      <c r="CC30" s="218" t="str">
        <f t="shared" si="69"/>
        <v>-</v>
      </c>
      <c r="CD30" s="169"/>
      <c r="CE30" s="92" t="str">
        <f t="shared" si="57"/>
        <v>OK</v>
      </c>
      <c r="CF30" s="482" t="s">
        <v>645</v>
      </c>
      <c r="CG30" s="169"/>
      <c r="CH30" s="91" t="str">
        <f t="shared" si="49"/>
        <v xml:space="preserve">        </v>
      </c>
      <c r="CI30" s="218" t="str">
        <f t="shared" si="70"/>
        <v>-</v>
      </c>
      <c r="CJ30" s="169"/>
      <c r="CK30" s="92" t="str">
        <f t="shared" si="58"/>
        <v>OK</v>
      </c>
      <c r="CL30" s="482"/>
      <c r="CM30" s="174" t="s">
        <v>694</v>
      </c>
      <c r="CN30" s="91" t="str">
        <f t="shared" si="50"/>
        <v xml:space="preserve">        </v>
      </c>
      <c r="CO30" s="218" t="str">
        <f t="shared" si="11"/>
        <v>OK</v>
      </c>
      <c r="CP30" s="91" t="str">
        <f t="shared" si="74"/>
        <v/>
      </c>
      <c r="CQ30" s="218" t="str">
        <f t="shared" si="71"/>
        <v>-</v>
      </c>
      <c r="CR30" s="482" t="s">
        <v>617</v>
      </c>
      <c r="CS30" s="169"/>
      <c r="CT30" s="91" t="str">
        <f t="shared" si="51"/>
        <v xml:space="preserve">        </v>
      </c>
      <c r="CU30" s="218" t="str">
        <f t="shared" si="72"/>
        <v>-</v>
      </c>
      <c r="CV30" s="169"/>
      <c r="CW30" s="92" t="str">
        <f t="shared" si="59"/>
        <v>OK</v>
      </c>
      <c r="CX30" s="522"/>
      <c r="CY30" s="169"/>
      <c r="CZ30" s="91" t="str">
        <f t="shared" si="52"/>
        <v xml:space="preserve">        </v>
      </c>
      <c r="DA30" s="218" t="str">
        <f t="shared" si="73"/>
        <v>-</v>
      </c>
      <c r="DB30" s="169"/>
      <c r="DC30" s="92" t="str">
        <f t="shared" si="60"/>
        <v>OK</v>
      </c>
    </row>
    <row r="31" spans="1:107" s="33" customFormat="1" ht="33.75" customHeight="1">
      <c r="A31" s="20"/>
      <c r="B31" s="19">
        <f t="shared" si="61"/>
        <v>24</v>
      </c>
      <c r="C31" s="54"/>
      <c r="D31" s="7"/>
      <c r="E31" s="194" t="s">
        <v>216</v>
      </c>
      <c r="F31" s="181"/>
      <c r="G31" s="181"/>
      <c r="H31" s="182"/>
      <c r="I31" s="6"/>
      <c r="J31" s="6"/>
      <c r="K31" s="6"/>
      <c r="L31" s="6"/>
      <c r="M31" s="186" t="s">
        <v>217</v>
      </c>
      <c r="N31" s="5"/>
      <c r="O31" s="55"/>
      <c r="P31" s="95">
        <f t="shared" si="75"/>
        <v>8</v>
      </c>
      <c r="Q31" s="116">
        <v>36</v>
      </c>
      <c r="R31" s="21" t="s">
        <v>428</v>
      </c>
      <c r="S31" s="98"/>
      <c r="T31" s="96"/>
      <c r="U31" s="21" t="s">
        <v>429</v>
      </c>
      <c r="V31" s="10"/>
      <c r="W31" s="25">
        <v>2</v>
      </c>
      <c r="X31" s="175" t="s">
        <v>291</v>
      </c>
      <c r="Y31" s="5">
        <v>1</v>
      </c>
      <c r="Z31" s="5">
        <v>18</v>
      </c>
      <c r="AA31" s="6" t="s">
        <v>290</v>
      </c>
      <c r="AB31" s="6" t="s">
        <v>256</v>
      </c>
      <c r="AC31" s="99"/>
      <c r="AD31" s="60"/>
      <c r="AE31" s="169"/>
      <c r="AF31" s="91" t="str">
        <f t="shared" si="40"/>
        <v>　　　　　　　　　　　　　　　　　　</v>
      </c>
      <c r="AG31" s="218" t="str">
        <f t="shared" si="38"/>
        <v>-</v>
      </c>
      <c r="AH31" s="169"/>
      <c r="AI31" s="92" t="str">
        <f t="shared" si="15"/>
        <v>OK</v>
      </c>
      <c r="AJ31" s="60"/>
      <c r="AK31" s="174"/>
      <c r="AL31" s="91" t="str">
        <f t="shared" si="41"/>
        <v>　　　　　　　　　　　　　　　　　　</v>
      </c>
      <c r="AM31" s="218" t="str">
        <f t="shared" si="62"/>
        <v>-</v>
      </c>
      <c r="AN31" s="169"/>
      <c r="AO31" s="92" t="str">
        <f t="shared" si="53"/>
        <v>OK</v>
      </c>
      <c r="AP31" s="60"/>
      <c r="AQ31" s="170" t="s">
        <v>695</v>
      </c>
      <c r="AR31" s="91" t="str">
        <f t="shared" si="42"/>
        <v>　　　　　　　　　　　　　　　　　　</v>
      </c>
      <c r="AS31" s="218" t="str">
        <f t="shared" si="63"/>
        <v>OK</v>
      </c>
      <c r="AT31" s="91" t="str">
        <f t="shared" si="76"/>
        <v/>
      </c>
      <c r="AU31" s="218" t="str">
        <f t="shared" si="39"/>
        <v>-</v>
      </c>
      <c r="AV31" s="60"/>
      <c r="AW31" s="169"/>
      <c r="AX31" s="91" t="str">
        <f t="shared" si="43"/>
        <v>　　　　　　　　　　　　　　　　　　</v>
      </c>
      <c r="AY31" s="218" t="str">
        <f t="shared" si="64"/>
        <v>-</v>
      </c>
      <c r="AZ31" s="169"/>
      <c r="BA31" s="92" t="str">
        <f t="shared" si="54"/>
        <v>OK</v>
      </c>
      <c r="BB31" s="60"/>
      <c r="BC31" s="169"/>
      <c r="BD31" s="91" t="str">
        <f t="shared" si="44"/>
        <v>　　　　　　　　　　　　　　　　　　</v>
      </c>
      <c r="BE31" s="218" t="str">
        <f t="shared" si="65"/>
        <v>-</v>
      </c>
      <c r="BF31" s="169"/>
      <c r="BG31" s="92" t="str">
        <f t="shared" si="55"/>
        <v>OK</v>
      </c>
      <c r="BH31" s="60"/>
      <c r="BI31" s="170" t="s">
        <v>695</v>
      </c>
      <c r="BJ31" s="91" t="str">
        <f t="shared" si="45"/>
        <v>　　　　　　　　　　　　　　　　　　</v>
      </c>
      <c r="BK31" s="218" t="str">
        <f t="shared" si="5"/>
        <v>OK</v>
      </c>
      <c r="BL31" s="91" t="str">
        <f>IF(BH31&lt;&gt;"",BH31,"")</f>
        <v/>
      </c>
      <c r="BM31" s="92" t="str">
        <f t="shared" si="19"/>
        <v>NG</v>
      </c>
      <c r="BN31" s="60"/>
      <c r="BO31" s="169"/>
      <c r="BP31" s="91" t="str">
        <f t="shared" si="46"/>
        <v>　　　　　　　　　　　　　　　　　　</v>
      </c>
      <c r="BQ31" s="218" t="str">
        <f t="shared" si="66"/>
        <v>-</v>
      </c>
      <c r="BR31" s="169"/>
      <c r="BS31" s="92" t="str">
        <f t="shared" si="56"/>
        <v>OK</v>
      </c>
      <c r="BT31" s="60"/>
      <c r="BU31" s="170" t="s">
        <v>695</v>
      </c>
      <c r="BV31" s="91" t="str">
        <f t="shared" si="47"/>
        <v>　　　　　　　　　　　　　　　　　　</v>
      </c>
      <c r="BW31" s="218" t="str">
        <f t="shared" si="67"/>
        <v>OK</v>
      </c>
      <c r="BX31" s="91" t="str">
        <f t="shared" si="78"/>
        <v/>
      </c>
      <c r="BY31" s="218" t="str">
        <f t="shared" si="68"/>
        <v>-</v>
      </c>
      <c r="BZ31" s="60"/>
      <c r="CA31" s="169"/>
      <c r="CB31" s="91" t="str">
        <f t="shared" si="48"/>
        <v>　　　　　　　　　　　　　　　　　　</v>
      </c>
      <c r="CC31" s="218" t="str">
        <f t="shared" si="69"/>
        <v>-</v>
      </c>
      <c r="CD31" s="169"/>
      <c r="CE31" s="92" t="str">
        <f t="shared" si="57"/>
        <v>OK</v>
      </c>
      <c r="CF31" s="60"/>
      <c r="CG31" s="169"/>
      <c r="CH31" s="91" t="str">
        <f t="shared" si="49"/>
        <v>　　　　　　　　　　　　　　　　　　</v>
      </c>
      <c r="CI31" s="218" t="str">
        <f t="shared" si="70"/>
        <v>-</v>
      </c>
      <c r="CJ31" s="169"/>
      <c r="CK31" s="92" t="str">
        <f t="shared" si="58"/>
        <v>OK</v>
      </c>
      <c r="CL31" s="60"/>
      <c r="CM31" s="174" t="s">
        <v>695</v>
      </c>
      <c r="CN31" s="91" t="str">
        <f t="shared" si="50"/>
        <v>　　　　　　　　　　　　　　　　　　</v>
      </c>
      <c r="CO31" s="218" t="str">
        <f t="shared" si="11"/>
        <v>OK</v>
      </c>
      <c r="CP31" s="91"/>
      <c r="CQ31" s="218" t="str">
        <f t="shared" si="71"/>
        <v>-</v>
      </c>
      <c r="CR31" s="60"/>
      <c r="CS31" s="169"/>
      <c r="CT31" s="91" t="str">
        <f t="shared" si="51"/>
        <v>　　　　　　　　　　　　　　　　　　</v>
      </c>
      <c r="CU31" s="218" t="str">
        <f t="shared" si="72"/>
        <v>-</v>
      </c>
      <c r="CV31" s="169"/>
      <c r="CW31" s="92" t="str">
        <f t="shared" si="59"/>
        <v>OK</v>
      </c>
      <c r="CX31" s="60"/>
      <c r="CY31" s="169"/>
      <c r="CZ31" s="91" t="str">
        <f t="shared" si="52"/>
        <v>　　　　　　　　　　　　　　　　　　</v>
      </c>
      <c r="DA31" s="218" t="str">
        <f t="shared" si="73"/>
        <v>-</v>
      </c>
      <c r="DB31" s="169"/>
      <c r="DC31" s="92" t="str">
        <f t="shared" si="60"/>
        <v>OK</v>
      </c>
    </row>
    <row r="32" spans="1:107" s="33" customFormat="1" ht="33.75" customHeight="1">
      <c r="A32" s="20"/>
      <c r="B32" s="19">
        <f t="shared" si="61"/>
        <v>25</v>
      </c>
      <c r="C32" s="54"/>
      <c r="D32" s="7"/>
      <c r="E32" s="194" t="s">
        <v>218</v>
      </c>
      <c r="F32" s="181"/>
      <c r="G32" s="181"/>
      <c r="H32" s="182"/>
      <c r="I32" s="6"/>
      <c r="J32" s="6"/>
      <c r="K32" s="6"/>
      <c r="L32" s="6"/>
      <c r="M32" s="186" t="s">
        <v>219</v>
      </c>
      <c r="N32" s="5"/>
      <c r="O32" s="55"/>
      <c r="P32" s="95">
        <f t="shared" si="75"/>
        <v>9</v>
      </c>
      <c r="Q32" s="116">
        <v>36</v>
      </c>
      <c r="R32" s="21" t="s">
        <v>430</v>
      </c>
      <c r="S32" s="98"/>
      <c r="T32" s="96"/>
      <c r="U32" s="21" t="s">
        <v>431</v>
      </c>
      <c r="V32" s="10"/>
      <c r="W32" s="25">
        <v>2</v>
      </c>
      <c r="X32" s="175" t="s">
        <v>292</v>
      </c>
      <c r="Y32" s="5">
        <v>1</v>
      </c>
      <c r="Z32" s="5">
        <v>18</v>
      </c>
      <c r="AA32" s="6" t="s">
        <v>290</v>
      </c>
      <c r="AB32" s="6" t="s">
        <v>256</v>
      </c>
      <c r="AC32" s="99"/>
      <c r="AD32" s="60"/>
      <c r="AE32" s="169"/>
      <c r="AF32" s="91" t="str">
        <f t="shared" si="40"/>
        <v>　　　　　　　　　　　　　　　　　　</v>
      </c>
      <c r="AG32" s="218" t="str">
        <f t="shared" si="38"/>
        <v>-</v>
      </c>
      <c r="AH32" s="169"/>
      <c r="AI32" s="92" t="str">
        <f t="shared" si="15"/>
        <v>OK</v>
      </c>
      <c r="AJ32" s="60"/>
      <c r="AK32" s="174"/>
      <c r="AL32" s="91" t="str">
        <f t="shared" si="41"/>
        <v>　　　　　　　　　　　　　　　　　　</v>
      </c>
      <c r="AM32" s="218" t="str">
        <f t="shared" si="62"/>
        <v>-</v>
      </c>
      <c r="AN32" s="169"/>
      <c r="AO32" s="92" t="str">
        <f t="shared" si="53"/>
        <v>OK</v>
      </c>
      <c r="AP32" s="60"/>
      <c r="AQ32" s="170" t="s">
        <v>695</v>
      </c>
      <c r="AR32" s="91" t="str">
        <f t="shared" si="42"/>
        <v>　　　　　　　　　　　　　　　　　　</v>
      </c>
      <c r="AS32" s="218" t="str">
        <f t="shared" si="63"/>
        <v>OK</v>
      </c>
      <c r="AT32" s="91" t="str">
        <f t="shared" si="76"/>
        <v/>
      </c>
      <c r="AU32" s="218" t="str">
        <f t="shared" si="39"/>
        <v>-</v>
      </c>
      <c r="AV32" s="60"/>
      <c r="AW32" s="169"/>
      <c r="AX32" s="91" t="str">
        <f t="shared" si="43"/>
        <v>　　　　　　　　　　　　　　　　　　</v>
      </c>
      <c r="AY32" s="218" t="str">
        <f t="shared" si="64"/>
        <v>-</v>
      </c>
      <c r="AZ32" s="169"/>
      <c r="BA32" s="92" t="str">
        <f t="shared" si="54"/>
        <v>OK</v>
      </c>
      <c r="BB32" s="60"/>
      <c r="BC32" s="169"/>
      <c r="BD32" s="91" t="str">
        <f t="shared" si="44"/>
        <v>　　　　　　　　　　　　　　　　　　</v>
      </c>
      <c r="BE32" s="218" t="str">
        <f t="shared" si="65"/>
        <v>-</v>
      </c>
      <c r="BF32" s="169"/>
      <c r="BG32" s="92" t="str">
        <f t="shared" si="55"/>
        <v>OK</v>
      </c>
      <c r="BH32" s="60"/>
      <c r="BI32" s="170" t="s">
        <v>695</v>
      </c>
      <c r="BJ32" s="91" t="str">
        <f t="shared" si="45"/>
        <v>　　　　　　　　　　　　　　　　　　</v>
      </c>
      <c r="BK32" s="218" t="str">
        <f t="shared" si="5"/>
        <v>OK</v>
      </c>
      <c r="BL32" s="91" t="str">
        <f t="shared" si="77"/>
        <v/>
      </c>
      <c r="BM32" s="92" t="str">
        <f t="shared" si="19"/>
        <v>NG</v>
      </c>
      <c r="BN32" s="60"/>
      <c r="BO32" s="169"/>
      <c r="BP32" s="91" t="str">
        <f t="shared" si="46"/>
        <v>　　　　　　　　　　　　　　　　　　</v>
      </c>
      <c r="BQ32" s="218" t="str">
        <f t="shared" si="66"/>
        <v>-</v>
      </c>
      <c r="BR32" s="169"/>
      <c r="BS32" s="92" t="str">
        <f t="shared" si="56"/>
        <v>OK</v>
      </c>
      <c r="BT32" s="60"/>
      <c r="BU32" s="170" t="s">
        <v>695</v>
      </c>
      <c r="BV32" s="91" t="str">
        <f t="shared" si="47"/>
        <v>　　　　　　　　　　　　　　　　　　</v>
      </c>
      <c r="BW32" s="218" t="str">
        <f t="shared" si="67"/>
        <v>OK</v>
      </c>
      <c r="BX32" s="91" t="str">
        <f t="shared" si="78"/>
        <v/>
      </c>
      <c r="BY32" s="218" t="str">
        <f t="shared" si="68"/>
        <v>-</v>
      </c>
      <c r="BZ32" s="60"/>
      <c r="CA32" s="169"/>
      <c r="CB32" s="91" t="str">
        <f t="shared" si="48"/>
        <v>　　　　　　　　　　　　　　　　　　</v>
      </c>
      <c r="CC32" s="218" t="str">
        <f t="shared" si="69"/>
        <v>-</v>
      </c>
      <c r="CD32" s="169"/>
      <c r="CE32" s="92" t="str">
        <f t="shared" si="57"/>
        <v>OK</v>
      </c>
      <c r="CF32" s="60"/>
      <c r="CG32" s="169"/>
      <c r="CH32" s="91" t="str">
        <f t="shared" si="49"/>
        <v>　　　　　　　　　　　　　　　　　　</v>
      </c>
      <c r="CI32" s="218" t="str">
        <f t="shared" si="70"/>
        <v>-</v>
      </c>
      <c r="CJ32" s="169"/>
      <c r="CK32" s="92" t="str">
        <f t="shared" si="58"/>
        <v>OK</v>
      </c>
      <c r="CL32" s="60"/>
      <c r="CM32" s="174" t="s">
        <v>695</v>
      </c>
      <c r="CN32" s="91" t="str">
        <f t="shared" si="50"/>
        <v>　　　　　　　　　　　　　　　　　　</v>
      </c>
      <c r="CO32" s="218" t="str">
        <f t="shared" si="11"/>
        <v>OK</v>
      </c>
      <c r="CP32" s="91"/>
      <c r="CQ32" s="218" t="str">
        <f t="shared" si="71"/>
        <v>-</v>
      </c>
      <c r="CR32" s="60"/>
      <c r="CS32" s="169"/>
      <c r="CT32" s="91" t="str">
        <f t="shared" si="51"/>
        <v>　　　　　　　　　　　　　　　　　　</v>
      </c>
      <c r="CU32" s="218" t="str">
        <f t="shared" si="72"/>
        <v>-</v>
      </c>
      <c r="CV32" s="169"/>
      <c r="CW32" s="92" t="str">
        <f t="shared" si="59"/>
        <v>OK</v>
      </c>
      <c r="CX32" s="60"/>
      <c r="CY32" s="169"/>
      <c r="CZ32" s="91" t="str">
        <f t="shared" si="52"/>
        <v>　　　　　　　　　　　　　　　　　　</v>
      </c>
      <c r="DA32" s="218" t="str">
        <f t="shared" si="73"/>
        <v>-</v>
      </c>
      <c r="DB32" s="169"/>
      <c r="DC32" s="92" t="str">
        <f t="shared" si="60"/>
        <v>OK</v>
      </c>
    </row>
    <row r="33" spans="2:107" s="26" customFormat="1" ht="153.75" customHeight="1">
      <c r="B33" s="2">
        <f t="shared" si="61"/>
        <v>26</v>
      </c>
      <c r="C33" s="7"/>
      <c r="D33" s="7"/>
      <c r="E33" s="53" t="s">
        <v>432</v>
      </c>
      <c r="F33" s="16"/>
      <c r="G33" s="16"/>
      <c r="H33" s="13"/>
      <c r="I33" s="6"/>
      <c r="J33" s="6" t="s">
        <v>433</v>
      </c>
      <c r="K33" s="6"/>
      <c r="L33" s="8"/>
      <c r="M33" s="23" t="s">
        <v>434</v>
      </c>
      <c r="N33" s="1"/>
      <c r="O33" s="57"/>
      <c r="P33" s="95">
        <f t="shared" si="75"/>
        <v>10</v>
      </c>
      <c r="Q33" s="117">
        <v>4</v>
      </c>
      <c r="R33" s="21" t="str">
        <f t="shared" si="79"/>
        <v>X</v>
      </c>
      <c r="S33" s="98"/>
      <c r="T33" s="96"/>
      <c r="U33" s="21" t="s">
        <v>435</v>
      </c>
      <c r="V33" s="10"/>
      <c r="W33" s="25" t="str">
        <f t="shared" ref="W33:W38" si="80">IF(C33&lt;&gt;"","0",IF(D33&lt;&gt;"","1",IF(E33&lt;&gt;"","2",IF(F33&lt;&gt;"","3",IF(G33&lt;&gt;"","4",IF(H33&lt;&gt;"","5"))))))</f>
        <v>2</v>
      </c>
      <c r="X33" s="5" t="s">
        <v>195</v>
      </c>
      <c r="Y33" s="58">
        <v>4</v>
      </c>
      <c r="Z33" s="58">
        <v>4</v>
      </c>
      <c r="AA33" s="59" t="s">
        <v>114</v>
      </c>
      <c r="AB33" s="59" t="s">
        <v>21</v>
      </c>
      <c r="AC33" s="12"/>
      <c r="AD33" s="60"/>
      <c r="AE33" s="174" t="s">
        <v>367</v>
      </c>
      <c r="AF33" s="273" t="str">
        <f t="shared" si="40"/>
        <v>0000</v>
      </c>
      <c r="AG33" s="218" t="str">
        <f t="shared" si="38"/>
        <v>-</v>
      </c>
      <c r="AH33" s="174" t="s">
        <v>367</v>
      </c>
      <c r="AI33" s="92" t="str">
        <f t="shared" si="15"/>
        <v>OK</v>
      </c>
      <c r="AJ33" s="60"/>
      <c r="AK33" s="174" t="s">
        <v>367</v>
      </c>
      <c r="AL33" s="273" t="str">
        <f t="shared" si="41"/>
        <v>0000</v>
      </c>
      <c r="AM33" s="218" t="str">
        <f t="shared" si="62"/>
        <v>-</v>
      </c>
      <c r="AN33" s="174" t="s">
        <v>367</v>
      </c>
      <c r="AO33" s="92" t="str">
        <f t="shared" si="53"/>
        <v>OK</v>
      </c>
      <c r="AP33" s="60"/>
      <c r="AQ33" s="170" t="s">
        <v>367</v>
      </c>
      <c r="AR33" s="273" t="str">
        <f t="shared" si="42"/>
        <v>0000</v>
      </c>
      <c r="AS33" s="218" t="str">
        <f t="shared" si="63"/>
        <v>OK</v>
      </c>
      <c r="AT33" s="273" t="s">
        <v>319</v>
      </c>
      <c r="AU33" s="218" t="str">
        <f t="shared" si="39"/>
        <v>-</v>
      </c>
      <c r="AV33" s="60"/>
      <c r="AW33" s="174" t="s">
        <v>367</v>
      </c>
      <c r="AX33" s="273" t="str">
        <f t="shared" si="43"/>
        <v>0000</v>
      </c>
      <c r="AY33" s="218" t="str">
        <f t="shared" si="64"/>
        <v>-</v>
      </c>
      <c r="AZ33" s="174" t="s">
        <v>367</v>
      </c>
      <c r="BA33" s="92" t="str">
        <f t="shared" si="54"/>
        <v>OK</v>
      </c>
      <c r="BB33" s="60"/>
      <c r="BC33" s="174" t="s">
        <v>367</v>
      </c>
      <c r="BD33" s="273" t="str">
        <f t="shared" si="44"/>
        <v>0000</v>
      </c>
      <c r="BE33" s="218" t="str">
        <f t="shared" si="65"/>
        <v>-</v>
      </c>
      <c r="BF33" s="174" t="s">
        <v>367</v>
      </c>
      <c r="BG33" s="92" t="str">
        <f t="shared" si="55"/>
        <v>OK</v>
      </c>
      <c r="BH33" s="60"/>
      <c r="BI33" s="170" t="s">
        <v>367</v>
      </c>
      <c r="BJ33" s="273" t="str">
        <f t="shared" si="45"/>
        <v>0000</v>
      </c>
      <c r="BK33" s="218" t="str">
        <f t="shared" si="5"/>
        <v>OK</v>
      </c>
      <c r="BL33" s="174" t="s">
        <v>367</v>
      </c>
      <c r="BM33" s="92" t="str">
        <f t="shared" si="19"/>
        <v>OK</v>
      </c>
      <c r="BN33" s="60"/>
      <c r="BO33" s="174" t="s">
        <v>367</v>
      </c>
      <c r="BP33" s="273" t="str">
        <f t="shared" si="46"/>
        <v>0000</v>
      </c>
      <c r="BQ33" s="218" t="str">
        <f t="shared" si="66"/>
        <v>-</v>
      </c>
      <c r="BR33" s="174" t="s">
        <v>367</v>
      </c>
      <c r="BS33" s="92" t="str">
        <f t="shared" si="56"/>
        <v>OK</v>
      </c>
      <c r="BT33" s="60"/>
      <c r="BU33" s="170"/>
      <c r="BV33" s="516"/>
      <c r="BW33" s="218" t="str">
        <f>IF(OR(BU$8="判定対象外",BV$8="判定対象外",BV33="-"),"-",IF(BU33=BV33,"OK","NG"))</f>
        <v>OK</v>
      </c>
      <c r="BX33" s="273"/>
      <c r="BY33" s="218" t="str">
        <f t="shared" si="68"/>
        <v>-</v>
      </c>
      <c r="BZ33" s="60"/>
      <c r="CA33" s="174" t="s">
        <v>753</v>
      </c>
      <c r="CB33" s="273" t="str">
        <f t="shared" si="48"/>
        <v>0100</v>
      </c>
      <c r="CC33" s="218" t="str">
        <f t="shared" si="69"/>
        <v>-</v>
      </c>
      <c r="CD33" s="174" t="s">
        <v>642</v>
      </c>
      <c r="CE33" s="92" t="str">
        <f t="shared" si="57"/>
        <v>OK</v>
      </c>
      <c r="CF33" s="60"/>
      <c r="CG33" s="174" t="s">
        <v>367</v>
      </c>
      <c r="CH33" s="273" t="str">
        <f t="shared" si="49"/>
        <v>0000</v>
      </c>
      <c r="CI33" s="218" t="str">
        <f t="shared" si="70"/>
        <v>-</v>
      </c>
      <c r="CJ33" s="174" t="s">
        <v>367</v>
      </c>
      <c r="CK33" s="92" t="str">
        <f t="shared" si="58"/>
        <v>OK</v>
      </c>
      <c r="CL33" s="60"/>
      <c r="CM33" s="174"/>
      <c r="CN33" s="273" t="str">
        <f t="shared" si="50"/>
        <v xml:space="preserve">    </v>
      </c>
      <c r="CO33" s="218" t="s">
        <v>245</v>
      </c>
      <c r="CP33" s="273"/>
      <c r="CQ33" s="218" t="str">
        <f t="shared" si="71"/>
        <v>-</v>
      </c>
      <c r="CR33" s="60"/>
      <c r="CS33" s="174"/>
      <c r="CT33" s="273" t="str">
        <f t="shared" si="51"/>
        <v xml:space="preserve">    </v>
      </c>
      <c r="CU33" s="218" t="str">
        <f t="shared" si="72"/>
        <v>-</v>
      </c>
      <c r="CV33" s="174"/>
      <c r="CW33" s="92" t="str">
        <f t="shared" si="59"/>
        <v>OK</v>
      </c>
      <c r="CX33" s="60"/>
      <c r="CY33" s="174"/>
      <c r="CZ33" s="273" t="str">
        <f t="shared" si="52"/>
        <v xml:space="preserve">    </v>
      </c>
      <c r="DA33" s="218" t="str">
        <f t="shared" si="73"/>
        <v>-</v>
      </c>
      <c r="DB33" s="174"/>
      <c r="DC33" s="92" t="str">
        <f t="shared" si="60"/>
        <v>OK</v>
      </c>
    </row>
    <row r="34" spans="2:107" s="26" customFormat="1" ht="51">
      <c r="B34" s="2">
        <f t="shared" si="61"/>
        <v>27</v>
      </c>
      <c r="C34" s="129"/>
      <c r="D34" s="7"/>
      <c r="E34" s="53" t="s">
        <v>436</v>
      </c>
      <c r="F34" s="16"/>
      <c r="G34" s="16"/>
      <c r="H34" s="13"/>
      <c r="I34" s="6"/>
      <c r="J34" s="6"/>
      <c r="K34" s="6"/>
      <c r="L34" s="8"/>
      <c r="M34" s="23" t="s">
        <v>293</v>
      </c>
      <c r="N34" s="1"/>
      <c r="O34" s="57"/>
      <c r="P34" s="95">
        <f t="shared" si="75"/>
        <v>11</v>
      </c>
      <c r="Q34" s="117">
        <v>9</v>
      </c>
      <c r="R34" s="21" t="str">
        <f>IF(AA34="M","NX",AA34)</f>
        <v>X</v>
      </c>
      <c r="S34" s="98"/>
      <c r="T34" s="96"/>
      <c r="U34" s="21" t="s">
        <v>435</v>
      </c>
      <c r="V34" s="10"/>
      <c r="W34" s="25" t="str">
        <f t="shared" si="80"/>
        <v>2</v>
      </c>
      <c r="X34" s="5" t="s">
        <v>294</v>
      </c>
      <c r="Y34" s="58">
        <v>9</v>
      </c>
      <c r="Z34" s="58">
        <v>9</v>
      </c>
      <c r="AA34" s="59" t="s">
        <v>114</v>
      </c>
      <c r="AB34" s="59" t="s">
        <v>21</v>
      </c>
      <c r="AC34" s="12"/>
      <c r="AD34" s="60"/>
      <c r="AE34" s="169"/>
      <c r="AF34" s="61" t="str">
        <f t="shared" si="40"/>
        <v xml:space="preserve">         </v>
      </c>
      <c r="AG34" s="218" t="str">
        <f t="shared" si="38"/>
        <v>-</v>
      </c>
      <c r="AH34" s="169"/>
      <c r="AI34" s="92" t="str">
        <f t="shared" si="15"/>
        <v>OK</v>
      </c>
      <c r="AJ34" s="60"/>
      <c r="AK34" s="174"/>
      <c r="AL34" s="61" t="str">
        <f t="shared" si="41"/>
        <v xml:space="preserve">         </v>
      </c>
      <c r="AM34" s="218" t="str">
        <f t="shared" si="62"/>
        <v>-</v>
      </c>
      <c r="AN34" s="169"/>
      <c r="AO34" s="92" t="str">
        <f t="shared" si="53"/>
        <v>OK</v>
      </c>
      <c r="AP34" s="60"/>
      <c r="AQ34" s="170" t="s">
        <v>696</v>
      </c>
      <c r="AR34" s="61" t="str">
        <f t="shared" si="42"/>
        <v xml:space="preserve">         </v>
      </c>
      <c r="AS34" s="218" t="str">
        <f t="shared" si="63"/>
        <v>OK</v>
      </c>
      <c r="AT34" s="61"/>
      <c r="AU34" s="218" t="str">
        <f t="shared" si="39"/>
        <v>-</v>
      </c>
      <c r="AV34" s="60"/>
      <c r="AW34" s="169"/>
      <c r="AX34" s="61" t="str">
        <f t="shared" si="43"/>
        <v xml:space="preserve">         </v>
      </c>
      <c r="AY34" s="218" t="str">
        <f t="shared" si="64"/>
        <v>-</v>
      </c>
      <c r="AZ34" s="169"/>
      <c r="BA34" s="92" t="str">
        <f t="shared" si="54"/>
        <v>OK</v>
      </c>
      <c r="BB34" s="60"/>
      <c r="BC34" s="169"/>
      <c r="BD34" s="61" t="str">
        <f t="shared" si="44"/>
        <v xml:space="preserve">         </v>
      </c>
      <c r="BE34" s="218" t="str">
        <f t="shared" si="65"/>
        <v>-</v>
      </c>
      <c r="BF34" s="169"/>
      <c r="BG34" s="92" t="str">
        <f t="shared" si="55"/>
        <v>OK</v>
      </c>
      <c r="BH34" s="60"/>
      <c r="BI34" s="170" t="s">
        <v>696</v>
      </c>
      <c r="BJ34" s="61" t="str">
        <f t="shared" si="45"/>
        <v xml:space="preserve">         </v>
      </c>
      <c r="BK34" s="218" t="str">
        <f t="shared" si="5"/>
        <v>OK</v>
      </c>
      <c r="BL34" s="169"/>
      <c r="BM34" s="92" t="str">
        <f t="shared" si="19"/>
        <v>NG</v>
      </c>
      <c r="BN34" s="60"/>
      <c r="BO34" s="169"/>
      <c r="BP34" s="61" t="str">
        <f t="shared" si="46"/>
        <v xml:space="preserve">         </v>
      </c>
      <c r="BQ34" s="218" t="str">
        <f t="shared" si="66"/>
        <v>-</v>
      </c>
      <c r="BR34" s="169"/>
      <c r="BS34" s="92" t="str">
        <f t="shared" si="56"/>
        <v>OK</v>
      </c>
      <c r="BT34" s="60"/>
      <c r="BU34" s="172"/>
      <c r="BV34" s="517"/>
      <c r="BW34" s="218" t="str">
        <f>IF(OR(BU$8="判定対象外",BV$8="判定対象外",BV34="-"),"-",IF(BU34=BV34,"OK","NG"))</f>
        <v>OK</v>
      </c>
      <c r="BX34" s="61"/>
      <c r="BY34" s="218" t="str">
        <f t="shared" si="68"/>
        <v>-</v>
      </c>
      <c r="BZ34" s="60"/>
      <c r="CA34" s="174" t="s">
        <v>754</v>
      </c>
      <c r="CB34" s="61" t="str">
        <f t="shared" si="48"/>
        <v>SMC-99999</v>
      </c>
      <c r="CC34" s="218" t="str">
        <f t="shared" si="69"/>
        <v>-</v>
      </c>
      <c r="CD34" s="169" t="s">
        <v>755</v>
      </c>
      <c r="CE34" s="92" t="str">
        <f t="shared" si="57"/>
        <v>OK</v>
      </c>
      <c r="CF34" s="60"/>
      <c r="CG34" s="169"/>
      <c r="CH34" s="61" t="str">
        <f t="shared" si="49"/>
        <v xml:space="preserve">         </v>
      </c>
      <c r="CI34" s="218" t="str">
        <f t="shared" si="70"/>
        <v>-</v>
      </c>
      <c r="CJ34" s="169"/>
      <c r="CK34" s="92" t="str">
        <f t="shared" si="58"/>
        <v>OK</v>
      </c>
      <c r="CL34" s="60"/>
      <c r="CM34" s="169"/>
      <c r="CN34" s="61" t="str">
        <f t="shared" si="50"/>
        <v xml:space="preserve">         </v>
      </c>
      <c r="CO34" s="218" t="s">
        <v>245</v>
      </c>
      <c r="CP34" s="61"/>
      <c r="CQ34" s="218" t="str">
        <f t="shared" si="71"/>
        <v>-</v>
      </c>
      <c r="CR34" s="60"/>
      <c r="CS34" s="169"/>
      <c r="CT34" s="61" t="str">
        <f t="shared" si="51"/>
        <v xml:space="preserve">         </v>
      </c>
      <c r="CU34" s="218" t="str">
        <f t="shared" si="72"/>
        <v>-</v>
      </c>
      <c r="CV34" s="169"/>
      <c r="CW34" s="92" t="str">
        <f t="shared" si="59"/>
        <v>OK</v>
      </c>
      <c r="CX34" s="60"/>
      <c r="CY34" s="169"/>
      <c r="CZ34" s="61" t="str">
        <f t="shared" si="52"/>
        <v xml:space="preserve">         </v>
      </c>
      <c r="DA34" s="218" t="str">
        <f t="shared" si="73"/>
        <v>-</v>
      </c>
      <c r="DB34" s="169"/>
      <c r="DC34" s="92" t="str">
        <f t="shared" si="60"/>
        <v>OK</v>
      </c>
    </row>
    <row r="35" spans="2:107" s="26" customFormat="1" ht="38.25">
      <c r="B35" s="2">
        <f t="shared" si="61"/>
        <v>28</v>
      </c>
      <c r="C35" s="7"/>
      <c r="D35" s="7"/>
      <c r="E35" s="22" t="s">
        <v>118</v>
      </c>
      <c r="F35" s="16"/>
      <c r="G35" s="16"/>
      <c r="H35" s="13"/>
      <c r="I35" s="8"/>
      <c r="J35" s="8" t="s">
        <v>426</v>
      </c>
      <c r="K35" s="8"/>
      <c r="L35" s="8"/>
      <c r="M35" s="11" t="s">
        <v>437</v>
      </c>
      <c r="N35" s="1"/>
      <c r="O35" s="57"/>
      <c r="P35" s="95">
        <f t="shared" si="75"/>
        <v>12</v>
      </c>
      <c r="Q35" s="115">
        <v>1</v>
      </c>
      <c r="R35" s="21" t="s">
        <v>418</v>
      </c>
      <c r="S35" s="98"/>
      <c r="T35" s="96"/>
      <c r="U35" s="21" t="s">
        <v>435</v>
      </c>
      <c r="V35" s="10"/>
      <c r="W35" s="25" t="str">
        <f>IF(C35&lt;&gt;"","0",IF(D35&lt;&gt;"","1",IF(E35&lt;&gt;"","2",IF(F35&lt;&gt;"","3",IF(G35&lt;&gt;"","4",IF(H35&lt;&gt;"","5"))))))</f>
        <v>2</v>
      </c>
      <c r="X35" s="1" t="s">
        <v>119</v>
      </c>
      <c r="Y35" s="1">
        <v>1</v>
      </c>
      <c r="Z35" s="1">
        <v>1</v>
      </c>
      <c r="AA35" s="8">
        <v>9</v>
      </c>
      <c r="AB35" s="8" t="s">
        <v>21</v>
      </c>
      <c r="AC35" s="12"/>
      <c r="AD35" s="60"/>
      <c r="AE35" s="174" t="s">
        <v>368</v>
      </c>
      <c r="AF35" s="228" t="str">
        <f t="shared" si="40"/>
        <v>0</v>
      </c>
      <c r="AG35" s="218" t="str">
        <f t="shared" si="38"/>
        <v>-</v>
      </c>
      <c r="AH35" s="174" t="s">
        <v>368</v>
      </c>
      <c r="AI35" s="92" t="str">
        <f t="shared" si="15"/>
        <v>OK</v>
      </c>
      <c r="AJ35" s="60"/>
      <c r="AK35" s="174" t="s">
        <v>368</v>
      </c>
      <c r="AL35" s="228" t="str">
        <f t="shared" si="41"/>
        <v>0</v>
      </c>
      <c r="AM35" s="218" t="str">
        <f t="shared" si="62"/>
        <v>-</v>
      </c>
      <c r="AN35" s="174" t="s">
        <v>368</v>
      </c>
      <c r="AO35" s="92" t="str">
        <f t="shared" si="53"/>
        <v>OK</v>
      </c>
      <c r="AP35" s="60"/>
      <c r="AQ35" s="170" t="s">
        <v>368</v>
      </c>
      <c r="AR35" s="228" t="str">
        <f t="shared" si="42"/>
        <v>0</v>
      </c>
      <c r="AS35" s="218" t="str">
        <f t="shared" si="63"/>
        <v>OK</v>
      </c>
      <c r="AT35" s="228" t="s">
        <v>320</v>
      </c>
      <c r="AU35" s="218" t="str">
        <f t="shared" si="39"/>
        <v>-</v>
      </c>
      <c r="AV35" s="60"/>
      <c r="AW35" s="174" t="s">
        <v>368</v>
      </c>
      <c r="AX35" s="228" t="str">
        <f t="shared" si="43"/>
        <v>0</v>
      </c>
      <c r="AY35" s="218" t="str">
        <f t="shared" si="64"/>
        <v>-</v>
      </c>
      <c r="AZ35" s="174" t="s">
        <v>368</v>
      </c>
      <c r="BA35" s="92" t="str">
        <f t="shared" si="54"/>
        <v>OK</v>
      </c>
      <c r="BB35" s="60"/>
      <c r="BC35" s="174" t="s">
        <v>368</v>
      </c>
      <c r="BD35" s="228" t="str">
        <f t="shared" si="44"/>
        <v>0</v>
      </c>
      <c r="BE35" s="218" t="str">
        <f t="shared" si="65"/>
        <v>-</v>
      </c>
      <c r="BF35" s="174" t="s">
        <v>368</v>
      </c>
      <c r="BG35" s="92" t="str">
        <f t="shared" si="55"/>
        <v>OK</v>
      </c>
      <c r="BH35" s="60"/>
      <c r="BI35" s="170" t="s">
        <v>368</v>
      </c>
      <c r="BJ35" s="228" t="str">
        <f t="shared" si="45"/>
        <v>0</v>
      </c>
      <c r="BK35" s="218" t="str">
        <f t="shared" si="5"/>
        <v>OK</v>
      </c>
      <c r="BL35" s="174" t="s">
        <v>368</v>
      </c>
      <c r="BM35" s="92" t="str">
        <f t="shared" si="19"/>
        <v>OK</v>
      </c>
      <c r="BN35" s="60"/>
      <c r="BO35" s="174" t="s">
        <v>368</v>
      </c>
      <c r="BP35" s="228" t="str">
        <f t="shared" si="46"/>
        <v>0</v>
      </c>
      <c r="BQ35" s="218" t="str">
        <f t="shared" si="66"/>
        <v>-</v>
      </c>
      <c r="BR35" s="174" t="s">
        <v>368</v>
      </c>
      <c r="BS35" s="92" t="str">
        <f t="shared" si="56"/>
        <v>OK</v>
      </c>
      <c r="BT35" s="60"/>
      <c r="BU35" s="170"/>
      <c r="BV35" s="518"/>
      <c r="BW35" s="218" t="str">
        <f>IF(OR(BU$8="判定対象外",BV$8="判定対象外",BV35="-"),"-",IF(BU35=BV35,"OK","NG"))</f>
        <v>OK</v>
      </c>
      <c r="BX35" s="228"/>
      <c r="BY35" s="218" t="str">
        <f t="shared" si="68"/>
        <v>-</v>
      </c>
      <c r="BZ35" s="60"/>
      <c r="CA35" s="174"/>
      <c r="CB35" s="228" t="str">
        <f t="shared" si="48"/>
        <v xml:space="preserve"> </v>
      </c>
      <c r="CC35" s="218" t="str">
        <f t="shared" si="69"/>
        <v>-</v>
      </c>
      <c r="CD35" s="174"/>
      <c r="CE35" s="92" t="str">
        <f t="shared" si="57"/>
        <v>OK</v>
      </c>
      <c r="CF35" s="60"/>
      <c r="CG35" s="174" t="s">
        <v>368</v>
      </c>
      <c r="CH35" s="228" t="str">
        <f t="shared" si="49"/>
        <v>0</v>
      </c>
      <c r="CI35" s="218" t="str">
        <f t="shared" si="70"/>
        <v>-</v>
      </c>
      <c r="CJ35" s="174" t="s">
        <v>368</v>
      </c>
      <c r="CK35" s="92" t="str">
        <f t="shared" si="58"/>
        <v>OK</v>
      </c>
      <c r="CL35" s="60"/>
      <c r="CM35" s="174"/>
      <c r="CN35" s="228" t="str">
        <f t="shared" si="50"/>
        <v xml:space="preserve"> </v>
      </c>
      <c r="CO35" s="218" t="s">
        <v>245</v>
      </c>
      <c r="CP35" s="228"/>
      <c r="CQ35" s="218" t="str">
        <f t="shared" si="71"/>
        <v>-</v>
      </c>
      <c r="CR35" s="60"/>
      <c r="CS35" s="174"/>
      <c r="CT35" s="228" t="str">
        <f t="shared" si="51"/>
        <v xml:space="preserve"> </v>
      </c>
      <c r="CU35" s="218" t="str">
        <f t="shared" si="72"/>
        <v>-</v>
      </c>
      <c r="CV35" s="174"/>
      <c r="CW35" s="92" t="str">
        <f t="shared" si="59"/>
        <v>OK</v>
      </c>
      <c r="CX35" s="60"/>
      <c r="CY35" s="174"/>
      <c r="CZ35" s="228" t="str">
        <f t="shared" si="52"/>
        <v xml:space="preserve"> </v>
      </c>
      <c r="DA35" s="218" t="str">
        <f t="shared" si="73"/>
        <v>-</v>
      </c>
      <c r="DB35" s="174"/>
      <c r="DC35" s="92" t="str">
        <f t="shared" si="60"/>
        <v>OK</v>
      </c>
    </row>
    <row r="36" spans="2:107" s="26" customFormat="1" ht="18.75" customHeight="1" thickBot="1">
      <c r="B36" s="19">
        <f t="shared" si="61"/>
        <v>29</v>
      </c>
      <c r="C36" s="129"/>
      <c r="D36" s="7"/>
      <c r="E36" s="277" t="s">
        <v>120</v>
      </c>
      <c r="F36" s="3"/>
      <c r="G36" s="3"/>
      <c r="H36" s="4"/>
      <c r="I36" s="6"/>
      <c r="J36" s="6" t="s">
        <v>426</v>
      </c>
      <c r="K36" s="6"/>
      <c r="L36" s="6"/>
      <c r="M36" s="5" t="s">
        <v>121</v>
      </c>
      <c r="N36" s="186"/>
      <c r="O36" s="278"/>
      <c r="P36" s="279">
        <f t="shared" si="75"/>
        <v>13</v>
      </c>
      <c r="Q36" s="116">
        <v>2</v>
      </c>
      <c r="R36" s="37">
        <v>9</v>
      </c>
      <c r="S36" s="280" t="s">
        <v>438</v>
      </c>
      <c r="T36" s="419">
        <v>12</v>
      </c>
      <c r="U36" s="37" t="s">
        <v>435</v>
      </c>
      <c r="V36" s="281"/>
      <c r="W36" s="28" t="str">
        <f>IF(C36&lt;&gt;"","0",IF(D36&lt;&gt;"","1",IF(E36&lt;&gt;"","2",IF(F36&lt;&gt;"","3",IF(G36&lt;&gt;"","4",IF(H36&lt;&gt;"","5"))))))</f>
        <v>2</v>
      </c>
      <c r="X36" s="5" t="s">
        <v>295</v>
      </c>
      <c r="Y36" s="5">
        <v>1</v>
      </c>
      <c r="Z36" s="5">
        <v>2</v>
      </c>
      <c r="AA36" s="6">
        <v>9</v>
      </c>
      <c r="AB36" s="6"/>
      <c r="AC36" s="282"/>
      <c r="AD36" s="283"/>
      <c r="AE36" s="284"/>
      <c r="AF36" s="286" t="str">
        <f t="shared" si="40"/>
        <v xml:space="preserve">  </v>
      </c>
      <c r="AG36" s="285" t="str">
        <f t="shared" si="38"/>
        <v>-</v>
      </c>
      <c r="AH36" s="480"/>
      <c r="AI36" s="395" t="str">
        <f t="shared" si="15"/>
        <v>OK</v>
      </c>
      <c r="AJ36" s="283"/>
      <c r="AK36" s="492"/>
      <c r="AL36" s="286" t="str">
        <f t="shared" si="41"/>
        <v xml:space="preserve">  </v>
      </c>
      <c r="AM36" s="285" t="str">
        <f t="shared" si="62"/>
        <v>-</v>
      </c>
      <c r="AN36" s="480"/>
      <c r="AO36" s="395" t="str">
        <f t="shared" si="53"/>
        <v>OK</v>
      </c>
      <c r="AP36" s="283"/>
      <c r="AQ36" s="506" t="s">
        <v>102</v>
      </c>
      <c r="AR36" s="286" t="str">
        <f t="shared" si="42"/>
        <v>01</v>
      </c>
      <c r="AS36" s="285" t="str">
        <f t="shared" si="63"/>
        <v>OK</v>
      </c>
      <c r="AT36" s="483" t="s">
        <v>605</v>
      </c>
      <c r="AU36" s="285" t="str">
        <f t="shared" si="39"/>
        <v>-</v>
      </c>
      <c r="AV36" s="283"/>
      <c r="AW36" s="284"/>
      <c r="AX36" s="286" t="str">
        <f t="shared" si="43"/>
        <v xml:space="preserve">  </v>
      </c>
      <c r="AY36" s="285" t="str">
        <f t="shared" si="64"/>
        <v>-</v>
      </c>
      <c r="AZ36" s="284"/>
      <c r="BA36" s="395" t="str">
        <f t="shared" si="54"/>
        <v>OK</v>
      </c>
      <c r="BB36" s="283"/>
      <c r="BC36" s="284"/>
      <c r="BD36" s="286" t="str">
        <f t="shared" si="44"/>
        <v xml:space="preserve">  </v>
      </c>
      <c r="BE36" s="285" t="str">
        <f t="shared" si="65"/>
        <v>-</v>
      </c>
      <c r="BF36" s="284"/>
      <c r="BG36" s="395" t="str">
        <f t="shared" si="55"/>
        <v>OK</v>
      </c>
      <c r="BH36" s="283"/>
      <c r="BI36" s="506" t="s">
        <v>726</v>
      </c>
      <c r="BJ36" s="286" t="str">
        <f t="shared" si="45"/>
        <v>12</v>
      </c>
      <c r="BK36" s="285" t="str">
        <f t="shared" si="5"/>
        <v>OK</v>
      </c>
      <c r="BL36" s="284">
        <v>12</v>
      </c>
      <c r="BM36" s="395" t="str">
        <f t="shared" si="19"/>
        <v>OK</v>
      </c>
      <c r="BN36" s="283"/>
      <c r="BO36" s="284"/>
      <c r="BP36" s="286" t="str">
        <f t="shared" si="46"/>
        <v xml:space="preserve">  </v>
      </c>
      <c r="BQ36" s="285" t="str">
        <f t="shared" si="66"/>
        <v>-</v>
      </c>
      <c r="BR36" s="284"/>
      <c r="BS36" s="395" t="str">
        <f t="shared" si="56"/>
        <v>OK</v>
      </c>
      <c r="BT36" s="283"/>
      <c r="BU36" s="514"/>
      <c r="BV36" s="519"/>
      <c r="BW36" s="285" t="str">
        <f>IF(OR(BU$8="判定対象外",BV$8="判定対象外",BV36="-"),"-",IF(BU36=BV36,"OK","NG"))</f>
        <v>OK</v>
      </c>
      <c r="BX36" s="483"/>
      <c r="BY36" s="285" t="str">
        <f t="shared" si="68"/>
        <v>-</v>
      </c>
      <c r="BZ36" s="283"/>
      <c r="CA36" s="284"/>
      <c r="CB36" s="286" t="str">
        <f t="shared" si="48"/>
        <v xml:space="preserve">  </v>
      </c>
      <c r="CC36" s="285" t="str">
        <f t="shared" si="69"/>
        <v>-</v>
      </c>
      <c r="CD36" s="480"/>
      <c r="CE36" s="395" t="str">
        <f t="shared" si="57"/>
        <v>OK</v>
      </c>
      <c r="CF36" s="283"/>
      <c r="CG36" s="284"/>
      <c r="CH36" s="286" t="str">
        <f t="shared" si="49"/>
        <v xml:space="preserve">  </v>
      </c>
      <c r="CI36" s="285" t="str">
        <f t="shared" si="70"/>
        <v>-</v>
      </c>
      <c r="CJ36" s="480"/>
      <c r="CK36" s="395" t="str">
        <f t="shared" si="58"/>
        <v>OK</v>
      </c>
      <c r="CL36" s="283"/>
      <c r="CM36" s="284"/>
      <c r="CN36" s="286" t="str">
        <f t="shared" si="50"/>
        <v xml:space="preserve">  </v>
      </c>
      <c r="CO36" s="285" t="s">
        <v>245</v>
      </c>
      <c r="CP36" s="483"/>
      <c r="CQ36" s="285" t="str">
        <f t="shared" si="71"/>
        <v>-</v>
      </c>
      <c r="CR36" s="283"/>
      <c r="CS36" s="284"/>
      <c r="CT36" s="286" t="str">
        <f t="shared" si="51"/>
        <v xml:space="preserve">  </v>
      </c>
      <c r="CU36" s="285" t="str">
        <f t="shared" si="72"/>
        <v>-</v>
      </c>
      <c r="CV36" s="284"/>
      <c r="CW36" s="395" t="str">
        <f t="shared" si="59"/>
        <v>OK</v>
      </c>
      <c r="CX36" s="283"/>
      <c r="CY36" s="284"/>
      <c r="CZ36" s="286" t="str">
        <f t="shared" si="52"/>
        <v xml:space="preserve">  </v>
      </c>
      <c r="DA36" s="285" t="str">
        <f t="shared" si="73"/>
        <v>-</v>
      </c>
      <c r="DB36" s="284"/>
      <c r="DC36" s="395" t="str">
        <f t="shared" si="60"/>
        <v>OK</v>
      </c>
    </row>
    <row r="37" spans="2:107" s="26" customFormat="1" ht="18.75" customHeight="1" thickTop="1">
      <c r="B37" s="252">
        <f t="shared" si="61"/>
        <v>30</v>
      </c>
      <c r="C37" s="253"/>
      <c r="D37" s="253"/>
      <c r="E37" s="254" t="s">
        <v>439</v>
      </c>
      <c r="F37" s="254"/>
      <c r="G37" s="254"/>
      <c r="H37" s="87"/>
      <c r="I37" s="88" t="s">
        <v>31</v>
      </c>
      <c r="J37" s="88" t="s">
        <v>426</v>
      </c>
      <c r="K37" s="88"/>
      <c r="L37" s="88"/>
      <c r="M37" s="89" t="s">
        <v>352</v>
      </c>
      <c r="N37" s="287"/>
      <c r="O37" s="288"/>
      <c r="P37" s="183"/>
      <c r="Q37" s="121"/>
      <c r="R37" s="107"/>
      <c r="S37" s="289"/>
      <c r="T37" s="287"/>
      <c r="U37" s="107"/>
      <c r="V37" s="290"/>
      <c r="W37" s="187" t="str">
        <f t="shared" si="80"/>
        <v>2</v>
      </c>
      <c r="X37" s="89" t="s">
        <v>122</v>
      </c>
      <c r="Y37" s="89"/>
      <c r="Z37" s="89"/>
      <c r="AA37" s="88"/>
      <c r="AB37" s="88" t="s">
        <v>257</v>
      </c>
      <c r="AC37" s="291"/>
      <c r="AD37" s="292"/>
      <c r="AE37" s="293"/>
      <c r="AF37" s="90" t="str">
        <f t="shared" si="40"/>
        <v/>
      </c>
      <c r="AG37" s="294" t="str">
        <f t="shared" si="38"/>
        <v>-</v>
      </c>
      <c r="AH37" s="173"/>
      <c r="AI37" s="92" t="str">
        <f>IF(EXACT(AE37,AH37),"OK","NG")</f>
        <v>OK</v>
      </c>
      <c r="AJ37" s="292"/>
      <c r="AK37" s="293"/>
      <c r="AL37" s="90" t="str">
        <f t="shared" si="41"/>
        <v/>
      </c>
      <c r="AM37" s="294" t="str">
        <f t="shared" si="62"/>
        <v>-</v>
      </c>
      <c r="AN37" s="173"/>
      <c r="AO37" s="92" t="str">
        <f t="shared" ref="AO37:AO68" si="81">IF(EXACT(AK37,AN37),"OK","NG")</f>
        <v>OK</v>
      </c>
      <c r="AP37" s="292"/>
      <c r="AQ37" s="507"/>
      <c r="AR37" s="90" t="str">
        <f t="shared" si="42"/>
        <v/>
      </c>
      <c r="AS37" s="294" t="str">
        <f t="shared" si="63"/>
        <v>OK</v>
      </c>
      <c r="AT37" s="173"/>
      <c r="AU37" s="294" t="str">
        <f t="shared" si="39"/>
        <v>-</v>
      </c>
      <c r="AV37" s="292"/>
      <c r="AW37" s="293"/>
      <c r="AX37" s="90" t="str">
        <f t="shared" si="43"/>
        <v/>
      </c>
      <c r="AY37" s="294" t="str">
        <f t="shared" si="64"/>
        <v>-</v>
      </c>
      <c r="AZ37" s="293"/>
      <c r="BA37" s="92" t="str">
        <f t="shared" si="54"/>
        <v>OK</v>
      </c>
      <c r="BB37" s="292"/>
      <c r="BC37" s="293"/>
      <c r="BD37" s="90" t="str">
        <f t="shared" si="44"/>
        <v/>
      </c>
      <c r="BE37" s="294" t="str">
        <f t="shared" si="65"/>
        <v>-</v>
      </c>
      <c r="BF37" s="293"/>
      <c r="BG37" s="92" t="str">
        <f t="shared" si="55"/>
        <v>OK</v>
      </c>
      <c r="BH37" s="292"/>
      <c r="BI37" s="507"/>
      <c r="BJ37" s="90" t="str">
        <f t="shared" si="45"/>
        <v/>
      </c>
      <c r="BK37" s="294" t="str">
        <f t="shared" si="5"/>
        <v>OK</v>
      </c>
      <c r="BL37" s="293"/>
      <c r="BM37" s="92" t="str">
        <f t="shared" si="19"/>
        <v>OK</v>
      </c>
      <c r="BN37" s="292"/>
      <c r="BO37" s="293"/>
      <c r="BP37" s="90" t="str">
        <f t="shared" si="46"/>
        <v/>
      </c>
      <c r="BQ37" s="294" t="str">
        <f t="shared" si="66"/>
        <v>-</v>
      </c>
      <c r="BR37" s="293"/>
      <c r="BS37" s="92" t="str">
        <f t="shared" si="56"/>
        <v>OK</v>
      </c>
      <c r="BT37" s="292"/>
      <c r="BU37" s="507"/>
      <c r="BV37" s="90" t="str">
        <f t="shared" si="47"/>
        <v/>
      </c>
      <c r="BW37" s="294" t="s">
        <v>245</v>
      </c>
      <c r="BX37" s="173"/>
      <c r="BY37" s="294" t="str">
        <f t="shared" si="68"/>
        <v>-</v>
      </c>
      <c r="BZ37" s="292"/>
      <c r="CA37" s="293"/>
      <c r="CB37" s="90" t="str">
        <f t="shared" si="48"/>
        <v/>
      </c>
      <c r="CC37" s="294" t="str">
        <f t="shared" si="69"/>
        <v>-</v>
      </c>
      <c r="CD37" s="173"/>
      <c r="CE37" s="92" t="str">
        <f t="shared" ref="CE37:CE68" si="82">IF(EXACT(CA37,CD37),"OK","NG")</f>
        <v>OK</v>
      </c>
      <c r="CF37" s="292"/>
      <c r="CG37" s="293"/>
      <c r="CH37" s="90" t="str">
        <f t="shared" si="49"/>
        <v/>
      </c>
      <c r="CI37" s="294" t="str">
        <f t="shared" si="70"/>
        <v>-</v>
      </c>
      <c r="CJ37" s="173"/>
      <c r="CK37" s="92" t="str">
        <f t="shared" ref="CK37:CK68" si="83">IF(EXACT(CG37,CJ37),"OK","NG")</f>
        <v>OK</v>
      </c>
      <c r="CL37" s="292"/>
      <c r="CM37" s="293"/>
      <c r="CN37" s="90" t="str">
        <f t="shared" si="50"/>
        <v/>
      </c>
      <c r="CO37" s="294" t="s">
        <v>245</v>
      </c>
      <c r="CP37" s="173"/>
      <c r="CQ37" s="294" t="str">
        <f t="shared" si="71"/>
        <v>-</v>
      </c>
      <c r="CR37" s="292"/>
      <c r="CS37" s="293"/>
      <c r="CT37" s="90" t="str">
        <f t="shared" si="51"/>
        <v/>
      </c>
      <c r="CU37" s="294" t="str">
        <f t="shared" si="72"/>
        <v>-</v>
      </c>
      <c r="CV37" s="293"/>
      <c r="CW37" s="92" t="s">
        <v>245</v>
      </c>
      <c r="CX37" s="292"/>
      <c r="CY37" s="293"/>
      <c r="CZ37" s="90" t="str">
        <f t="shared" si="52"/>
        <v/>
      </c>
      <c r="DA37" s="294" t="str">
        <f t="shared" si="73"/>
        <v>-</v>
      </c>
      <c r="DB37" s="293"/>
      <c r="DC37" s="92" t="s">
        <v>245</v>
      </c>
    </row>
    <row r="38" spans="2:107" s="26" customFormat="1" ht="63.75">
      <c r="B38" s="2">
        <f t="shared" si="61"/>
        <v>31</v>
      </c>
      <c r="C38" s="129"/>
      <c r="D38" s="7"/>
      <c r="E38" s="7"/>
      <c r="F38" s="112" t="s">
        <v>92</v>
      </c>
      <c r="G38" s="16"/>
      <c r="H38" s="13"/>
      <c r="I38" s="6"/>
      <c r="J38" s="6"/>
      <c r="K38" s="6"/>
      <c r="L38" s="8"/>
      <c r="M38" s="23" t="s">
        <v>296</v>
      </c>
      <c r="N38" s="1"/>
      <c r="O38" s="57"/>
      <c r="P38" s="95">
        <f>P36+1</f>
        <v>14</v>
      </c>
      <c r="Q38" s="117">
        <v>2</v>
      </c>
      <c r="R38" s="21" t="str">
        <f>IF(AA38="M","NX",AA38)</f>
        <v>X</v>
      </c>
      <c r="S38" s="98" t="s">
        <v>440</v>
      </c>
      <c r="T38" s="96"/>
      <c r="U38" s="21" t="s">
        <v>435</v>
      </c>
      <c r="V38" s="118" t="s">
        <v>199</v>
      </c>
      <c r="W38" s="25" t="str">
        <f t="shared" si="80"/>
        <v>3</v>
      </c>
      <c r="X38" s="5" t="s">
        <v>297</v>
      </c>
      <c r="Y38" s="58">
        <v>2</v>
      </c>
      <c r="Z38" s="58">
        <v>2</v>
      </c>
      <c r="AA38" s="59" t="s">
        <v>114</v>
      </c>
      <c r="AB38" s="59" t="s">
        <v>21</v>
      </c>
      <c r="AC38" s="12"/>
      <c r="AD38" s="60"/>
      <c r="AE38" s="174" t="s">
        <v>102</v>
      </c>
      <c r="AF38" s="273" t="str">
        <f t="shared" si="40"/>
        <v>01</v>
      </c>
      <c r="AG38" s="218" t="str">
        <f t="shared" si="38"/>
        <v>-</v>
      </c>
      <c r="AH38" s="174" t="s">
        <v>102</v>
      </c>
      <c r="AI38" s="92" t="str">
        <f>IF(EXACT(AE38,AH38),"OK","NG")</f>
        <v>OK</v>
      </c>
      <c r="AJ38" s="60"/>
      <c r="AK38" s="174" t="s">
        <v>681</v>
      </c>
      <c r="AL38" s="273" t="str">
        <f t="shared" si="41"/>
        <v>d5</v>
      </c>
      <c r="AM38" s="218" t="str">
        <f t="shared" si="62"/>
        <v>-</v>
      </c>
      <c r="AN38" s="174" t="s">
        <v>683</v>
      </c>
      <c r="AO38" s="92" t="str">
        <f t="shared" si="81"/>
        <v>OK</v>
      </c>
      <c r="AP38" s="60"/>
      <c r="AQ38" s="170" t="s">
        <v>697</v>
      </c>
      <c r="AR38" s="273" t="str">
        <f t="shared" si="42"/>
        <v>06</v>
      </c>
      <c r="AS38" s="218" t="str">
        <f t="shared" si="63"/>
        <v>OK</v>
      </c>
      <c r="AT38" s="174" t="s">
        <v>610</v>
      </c>
      <c r="AU38" s="218" t="str">
        <f t="shared" si="39"/>
        <v>-</v>
      </c>
      <c r="AV38" s="60"/>
      <c r="AW38" s="174" t="s">
        <v>102</v>
      </c>
      <c r="AX38" s="273" t="str">
        <f t="shared" si="43"/>
        <v>01</v>
      </c>
      <c r="AY38" s="218" t="str">
        <f t="shared" si="64"/>
        <v>-</v>
      </c>
      <c r="AZ38" s="174" t="s">
        <v>102</v>
      </c>
      <c r="BA38" s="478" t="s">
        <v>594</v>
      </c>
      <c r="BB38" s="60"/>
      <c r="BC38" s="174" t="s">
        <v>102</v>
      </c>
      <c r="BD38" s="273" t="str">
        <f t="shared" si="44"/>
        <v>01</v>
      </c>
      <c r="BE38" s="218" t="str">
        <f t="shared" si="65"/>
        <v>-</v>
      </c>
      <c r="BF38" s="174" t="s">
        <v>102</v>
      </c>
      <c r="BG38" s="478" t="s">
        <v>594</v>
      </c>
      <c r="BH38" s="60"/>
      <c r="BI38" s="170" t="s">
        <v>102</v>
      </c>
      <c r="BJ38" s="273" t="str">
        <f t="shared" si="45"/>
        <v>01</v>
      </c>
      <c r="BK38" s="218" t="str">
        <f t="shared" si="5"/>
        <v>OK</v>
      </c>
      <c r="BL38" s="174" t="s">
        <v>102</v>
      </c>
      <c r="BM38" s="478" t="s">
        <v>594</v>
      </c>
      <c r="BN38" s="60"/>
      <c r="BO38" s="174" t="s">
        <v>102</v>
      </c>
      <c r="BP38" s="273" t="str">
        <f t="shared" si="46"/>
        <v>01</v>
      </c>
      <c r="BQ38" s="218" t="str">
        <f t="shared" si="66"/>
        <v>-</v>
      </c>
      <c r="BR38" s="174" t="s">
        <v>102</v>
      </c>
      <c r="BS38" s="478" t="s">
        <v>594</v>
      </c>
      <c r="BT38" s="60"/>
      <c r="BU38" s="170"/>
      <c r="BV38" s="273" t="str">
        <f t="shared" si="47"/>
        <v xml:space="preserve">  </v>
      </c>
      <c r="BW38" s="218" t="s">
        <v>245</v>
      </c>
      <c r="BX38" s="174"/>
      <c r="BY38" s="218" t="str">
        <f t="shared" si="68"/>
        <v>-</v>
      </c>
      <c r="BZ38" s="60"/>
      <c r="CA38" s="174"/>
      <c r="CB38" s="273" t="str">
        <f t="shared" si="48"/>
        <v xml:space="preserve">  </v>
      </c>
      <c r="CC38" s="218" t="str">
        <f t="shared" si="69"/>
        <v>-</v>
      </c>
      <c r="CD38" s="174"/>
      <c r="CE38" s="92" t="str">
        <f t="shared" si="82"/>
        <v>OK</v>
      </c>
      <c r="CF38" s="60"/>
      <c r="CG38" s="174" t="s">
        <v>102</v>
      </c>
      <c r="CH38" s="273" t="str">
        <f t="shared" si="49"/>
        <v>01</v>
      </c>
      <c r="CI38" s="218" t="str">
        <f t="shared" si="70"/>
        <v>-</v>
      </c>
      <c r="CJ38" s="174" t="s">
        <v>757</v>
      </c>
      <c r="CK38" s="92" t="str">
        <f t="shared" si="83"/>
        <v>OK</v>
      </c>
      <c r="CL38" s="60"/>
      <c r="CM38" s="174"/>
      <c r="CN38" s="273" t="str">
        <f t="shared" si="50"/>
        <v xml:space="preserve">  </v>
      </c>
      <c r="CO38" s="218" t="s">
        <v>245</v>
      </c>
      <c r="CP38" s="174"/>
      <c r="CQ38" s="218" t="str">
        <f t="shared" si="71"/>
        <v>-</v>
      </c>
      <c r="CR38" s="60"/>
      <c r="CS38" s="174"/>
      <c r="CT38" s="273" t="str">
        <f t="shared" si="51"/>
        <v xml:space="preserve">  </v>
      </c>
      <c r="CU38" s="218" t="str">
        <f t="shared" si="72"/>
        <v>-</v>
      </c>
      <c r="CV38" s="174"/>
      <c r="CW38" s="92" t="s">
        <v>245</v>
      </c>
      <c r="CX38" s="60"/>
      <c r="CY38" s="174"/>
      <c r="CZ38" s="273" t="str">
        <f t="shared" si="52"/>
        <v xml:space="preserve">  </v>
      </c>
      <c r="DA38" s="218" t="str">
        <f t="shared" si="73"/>
        <v>-</v>
      </c>
      <c r="DB38" s="174"/>
      <c r="DC38" s="92" t="s">
        <v>245</v>
      </c>
    </row>
    <row r="39" spans="2:107" s="26" customFormat="1" ht="293.25">
      <c r="B39" s="2">
        <f t="shared" si="61"/>
        <v>32</v>
      </c>
      <c r="C39" s="7"/>
      <c r="D39" s="7"/>
      <c r="E39" s="7"/>
      <c r="F39" s="112" t="s">
        <v>424</v>
      </c>
      <c r="G39" s="16"/>
      <c r="H39" s="13"/>
      <c r="I39" s="8"/>
      <c r="J39" s="8" t="s">
        <v>426</v>
      </c>
      <c r="K39" s="8"/>
      <c r="L39" s="8"/>
      <c r="M39" s="414" t="s">
        <v>441</v>
      </c>
      <c r="N39" s="11"/>
      <c r="O39" s="57"/>
      <c r="P39" s="95">
        <f>P38+1</f>
        <v>15</v>
      </c>
      <c r="Q39" s="115">
        <v>2</v>
      </c>
      <c r="R39" s="21" t="str">
        <f t="shared" si="79"/>
        <v>X</v>
      </c>
      <c r="S39" s="98" t="s">
        <v>442</v>
      </c>
      <c r="T39" s="96"/>
      <c r="U39" s="21" t="s">
        <v>443</v>
      </c>
      <c r="V39" s="10"/>
      <c r="W39" s="25">
        <v>3</v>
      </c>
      <c r="X39" s="1" t="s">
        <v>288</v>
      </c>
      <c r="Y39" s="1">
        <v>2</v>
      </c>
      <c r="Z39" s="1">
        <v>2</v>
      </c>
      <c r="AA39" s="8" t="s">
        <v>114</v>
      </c>
      <c r="AB39" s="8" t="s">
        <v>21</v>
      </c>
      <c r="AC39" s="12"/>
      <c r="AD39" s="60"/>
      <c r="AE39" s="174" t="s">
        <v>667</v>
      </c>
      <c r="AF39" s="273" t="str">
        <f t="shared" si="40"/>
        <v>A7</v>
      </c>
      <c r="AG39" s="218" t="str">
        <f t="shared" si="38"/>
        <v>-</v>
      </c>
      <c r="AH39" s="174" t="s">
        <v>592</v>
      </c>
      <c r="AI39" s="92" t="str">
        <f t="shared" ref="AI39:AI102" si="84">IF(EXACT(AE39,AH39),"OK","NG")</f>
        <v>OK</v>
      </c>
      <c r="AJ39" s="60"/>
      <c r="AK39" s="174" t="s">
        <v>678</v>
      </c>
      <c r="AL39" s="273" t="str">
        <f t="shared" si="41"/>
        <v>B7</v>
      </c>
      <c r="AM39" s="218" t="str">
        <f t="shared" si="62"/>
        <v>-</v>
      </c>
      <c r="AN39" s="174" t="s">
        <v>599</v>
      </c>
      <c r="AO39" s="92" t="str">
        <f t="shared" si="81"/>
        <v>OK</v>
      </c>
      <c r="AP39" s="60"/>
      <c r="AQ39" s="170" t="s">
        <v>667</v>
      </c>
      <c r="AR39" s="273" t="str">
        <f t="shared" si="42"/>
        <v>A7</v>
      </c>
      <c r="AS39" s="218" t="str">
        <f t="shared" si="63"/>
        <v>OK</v>
      </c>
      <c r="AT39" s="174" t="s">
        <v>592</v>
      </c>
      <c r="AU39" s="218" t="str">
        <f t="shared" si="39"/>
        <v>-</v>
      </c>
      <c r="AV39" s="60"/>
      <c r="AW39" s="174" t="s">
        <v>58</v>
      </c>
      <c r="AX39" s="273" t="str">
        <f t="shared" si="43"/>
        <v>10</v>
      </c>
      <c r="AY39" s="218" t="str">
        <f t="shared" si="64"/>
        <v>-</v>
      </c>
      <c r="AZ39" s="174" t="s">
        <v>58</v>
      </c>
      <c r="BA39" s="92" t="str">
        <f>IF(EXACT(AW39,AZ39),"OK","NG")</f>
        <v>OK</v>
      </c>
      <c r="BB39" s="60"/>
      <c r="BC39" s="174" t="s">
        <v>115</v>
      </c>
      <c r="BD39" s="273" t="str">
        <f t="shared" si="44"/>
        <v>02</v>
      </c>
      <c r="BE39" s="218" t="str">
        <f t="shared" si="65"/>
        <v>-</v>
      </c>
      <c r="BF39" s="174" t="s">
        <v>115</v>
      </c>
      <c r="BG39" s="92" t="str">
        <f>IF(EXACT(BC39,BF39),"OK","NG")</f>
        <v>OK</v>
      </c>
      <c r="BH39" s="60"/>
      <c r="BI39" s="170" t="s">
        <v>58</v>
      </c>
      <c r="BJ39" s="273" t="str">
        <f t="shared" si="45"/>
        <v>10</v>
      </c>
      <c r="BK39" s="218" t="str">
        <f t="shared" si="5"/>
        <v>OK</v>
      </c>
      <c r="BL39" s="174">
        <v>10</v>
      </c>
      <c r="BM39" s="92" t="str">
        <f>IF(EXACT(BI39,BL39),"OK","NG")</f>
        <v>OK</v>
      </c>
      <c r="BN39" s="60"/>
      <c r="BO39" s="174" t="s">
        <v>115</v>
      </c>
      <c r="BP39" s="273" t="str">
        <f t="shared" si="46"/>
        <v>02</v>
      </c>
      <c r="BQ39" s="218" t="str">
        <f t="shared" si="66"/>
        <v>-</v>
      </c>
      <c r="BR39" s="174" t="s">
        <v>115</v>
      </c>
      <c r="BS39" s="92" t="str">
        <f>IF(EXACT(BO39,BR39),"OK","NG")</f>
        <v>OK</v>
      </c>
      <c r="BT39" s="60"/>
      <c r="BU39" s="170"/>
      <c r="BV39" s="273" t="str">
        <f t="shared" si="47"/>
        <v xml:space="preserve">  </v>
      </c>
      <c r="BW39" s="218" t="s">
        <v>245</v>
      </c>
      <c r="BX39" s="174"/>
      <c r="BY39" s="218" t="str">
        <f t="shared" si="68"/>
        <v>-</v>
      </c>
      <c r="BZ39" s="60"/>
      <c r="CA39" s="174"/>
      <c r="CB39" s="273" t="str">
        <f t="shared" si="48"/>
        <v xml:space="preserve">  </v>
      </c>
      <c r="CC39" s="218" t="str">
        <f t="shared" si="69"/>
        <v>-</v>
      </c>
      <c r="CD39" s="174"/>
      <c r="CE39" s="92" t="str">
        <f t="shared" si="82"/>
        <v>OK</v>
      </c>
      <c r="CF39" s="60"/>
      <c r="CG39" s="174" t="s">
        <v>678</v>
      </c>
      <c r="CH39" s="273" t="str">
        <f t="shared" si="49"/>
        <v>B7</v>
      </c>
      <c r="CI39" s="218" t="str">
        <f t="shared" si="70"/>
        <v>-</v>
      </c>
      <c r="CJ39" s="174" t="s">
        <v>678</v>
      </c>
      <c r="CK39" s="92" t="str">
        <f t="shared" si="83"/>
        <v>OK</v>
      </c>
      <c r="CL39" s="60"/>
      <c r="CM39" s="174"/>
      <c r="CN39" s="273" t="str">
        <f t="shared" si="50"/>
        <v xml:space="preserve">  </v>
      </c>
      <c r="CO39" s="218" t="s">
        <v>245</v>
      </c>
      <c r="CP39" s="174"/>
      <c r="CQ39" s="218" t="str">
        <f t="shared" si="71"/>
        <v>-</v>
      </c>
      <c r="CR39" s="60"/>
      <c r="CS39" s="174"/>
      <c r="CT39" s="273" t="str">
        <f t="shared" si="51"/>
        <v xml:space="preserve">  </v>
      </c>
      <c r="CU39" s="218" t="str">
        <f t="shared" si="72"/>
        <v>-</v>
      </c>
      <c r="CV39" s="174"/>
      <c r="CW39" s="92" t="s">
        <v>593</v>
      </c>
      <c r="CX39" s="60"/>
      <c r="CY39" s="174"/>
      <c r="CZ39" s="273" t="str">
        <f t="shared" si="52"/>
        <v xml:space="preserve">  </v>
      </c>
      <c r="DA39" s="218" t="str">
        <f t="shared" si="73"/>
        <v>-</v>
      </c>
      <c r="DB39" s="174"/>
      <c r="DC39" s="92" t="s">
        <v>593</v>
      </c>
    </row>
    <row r="40" spans="2:107" s="26" customFormat="1">
      <c r="B40" s="2">
        <f t="shared" si="61"/>
        <v>33</v>
      </c>
      <c r="C40" s="7"/>
      <c r="D40" s="7"/>
      <c r="E40" s="7"/>
      <c r="F40" s="22" t="s">
        <v>353</v>
      </c>
      <c r="G40" s="16"/>
      <c r="H40" s="13"/>
      <c r="I40" s="8"/>
      <c r="J40" s="8"/>
      <c r="K40" s="8"/>
      <c r="L40" s="8"/>
      <c r="M40" s="417" t="s">
        <v>220</v>
      </c>
      <c r="N40" s="11"/>
      <c r="O40" s="57"/>
      <c r="P40" s="95">
        <f t="shared" si="75"/>
        <v>16</v>
      </c>
      <c r="Q40" s="115">
        <v>2</v>
      </c>
      <c r="R40" s="21" t="str">
        <f t="shared" si="79"/>
        <v>X</v>
      </c>
      <c r="S40" s="98" t="s">
        <v>124</v>
      </c>
      <c r="T40" s="96"/>
      <c r="U40" s="21" t="s">
        <v>257</v>
      </c>
      <c r="V40" s="10"/>
      <c r="W40" s="25">
        <v>3</v>
      </c>
      <c r="X40" s="1" t="s">
        <v>125</v>
      </c>
      <c r="Y40" s="1">
        <v>2</v>
      </c>
      <c r="Z40" s="1">
        <v>2</v>
      </c>
      <c r="AA40" s="8" t="s">
        <v>114</v>
      </c>
      <c r="AB40" s="8" t="s">
        <v>21</v>
      </c>
      <c r="AC40" s="12"/>
      <c r="AD40" s="60"/>
      <c r="AE40" s="169"/>
      <c r="AF40" s="61" t="str">
        <f t="shared" si="40"/>
        <v xml:space="preserve">  </v>
      </c>
      <c r="AG40" s="218" t="str">
        <f t="shared" si="38"/>
        <v>-</v>
      </c>
      <c r="AH40" s="169"/>
      <c r="AI40" s="92" t="str">
        <f t="shared" si="84"/>
        <v>OK</v>
      </c>
      <c r="AJ40" s="60"/>
      <c r="AK40" s="174"/>
      <c r="AL40" s="61" t="str">
        <f t="shared" si="41"/>
        <v xml:space="preserve">  </v>
      </c>
      <c r="AM40" s="218" t="str">
        <f t="shared" si="62"/>
        <v>-</v>
      </c>
      <c r="AN40" s="169"/>
      <c r="AO40" s="92" t="str">
        <f t="shared" si="81"/>
        <v>OK</v>
      </c>
      <c r="AP40" s="60"/>
      <c r="AQ40" s="170" t="s">
        <v>698</v>
      </c>
      <c r="AR40" s="61" t="str">
        <f t="shared" si="42"/>
        <v xml:space="preserve">  </v>
      </c>
      <c r="AS40" s="218" t="str">
        <f t="shared" si="63"/>
        <v>OK</v>
      </c>
      <c r="AT40" s="169"/>
      <c r="AU40" s="218" t="str">
        <f t="shared" si="39"/>
        <v>-</v>
      </c>
      <c r="AV40" s="60"/>
      <c r="AW40" s="169"/>
      <c r="AX40" s="61" t="str">
        <f t="shared" si="43"/>
        <v xml:space="preserve">  </v>
      </c>
      <c r="AY40" s="218" t="str">
        <f t="shared" si="64"/>
        <v>-</v>
      </c>
      <c r="AZ40" s="169"/>
      <c r="BA40" s="92" t="str">
        <f>IF(EXACT(AW40,AZ40),"OK","NG")</f>
        <v>OK</v>
      </c>
      <c r="BB40" s="60"/>
      <c r="BC40" s="169"/>
      <c r="BD40" s="61" t="str">
        <f t="shared" si="44"/>
        <v xml:space="preserve">  </v>
      </c>
      <c r="BE40" s="218" t="str">
        <f t="shared" si="65"/>
        <v>-</v>
      </c>
      <c r="BF40" s="169"/>
      <c r="BG40" s="92" t="str">
        <f>IF(EXACT(BC40,BF40),"OK","NG")</f>
        <v>OK</v>
      </c>
      <c r="BH40" s="60"/>
      <c r="BI40" s="170" t="s">
        <v>698</v>
      </c>
      <c r="BJ40" s="61" t="str">
        <f t="shared" si="45"/>
        <v xml:space="preserve">  </v>
      </c>
      <c r="BK40" s="218" t="str">
        <f t="shared" si="5"/>
        <v>OK</v>
      </c>
      <c r="BL40" s="169"/>
      <c r="BM40" s="92" t="str">
        <f>IF(EXACT(BI40,BL40),"OK","NG")</f>
        <v>NG</v>
      </c>
      <c r="BN40" s="60"/>
      <c r="BO40" s="169"/>
      <c r="BP40" s="61" t="str">
        <f t="shared" si="46"/>
        <v xml:space="preserve">  </v>
      </c>
      <c r="BQ40" s="218" t="str">
        <f t="shared" si="66"/>
        <v>-</v>
      </c>
      <c r="BR40" s="169"/>
      <c r="BS40" s="92" t="str">
        <f>IF(EXACT(BO40,BR40),"OK","NG")</f>
        <v>OK</v>
      </c>
      <c r="BT40" s="60"/>
      <c r="BU40" s="172"/>
      <c r="BV40" s="61" t="str">
        <f t="shared" si="47"/>
        <v xml:space="preserve">  </v>
      </c>
      <c r="BW40" s="218" t="s">
        <v>245</v>
      </c>
      <c r="BX40" s="169"/>
      <c r="BY40" s="218" t="str">
        <f t="shared" si="68"/>
        <v>-</v>
      </c>
      <c r="BZ40" s="60"/>
      <c r="CA40" s="169"/>
      <c r="CB40" s="61" t="str">
        <f t="shared" si="48"/>
        <v xml:space="preserve">  </v>
      </c>
      <c r="CC40" s="218" t="str">
        <f t="shared" si="69"/>
        <v>-</v>
      </c>
      <c r="CD40" s="169"/>
      <c r="CE40" s="92" t="str">
        <f t="shared" si="82"/>
        <v>OK</v>
      </c>
      <c r="CF40" s="60"/>
      <c r="CG40" s="169"/>
      <c r="CH40" s="61" t="str">
        <f t="shared" si="49"/>
        <v xml:space="preserve">  </v>
      </c>
      <c r="CI40" s="218" t="str">
        <f t="shared" si="70"/>
        <v>-</v>
      </c>
      <c r="CJ40" s="169"/>
      <c r="CK40" s="92" t="str">
        <f t="shared" si="83"/>
        <v>OK</v>
      </c>
      <c r="CL40" s="60"/>
      <c r="CM40" s="169"/>
      <c r="CN40" s="61" t="str">
        <f t="shared" si="50"/>
        <v xml:space="preserve">  </v>
      </c>
      <c r="CO40" s="218" t="s">
        <v>245</v>
      </c>
      <c r="CP40" s="169"/>
      <c r="CQ40" s="218" t="str">
        <f t="shared" si="71"/>
        <v>-</v>
      </c>
      <c r="CR40" s="60"/>
      <c r="CS40" s="169"/>
      <c r="CT40" s="61" t="str">
        <f t="shared" si="51"/>
        <v xml:space="preserve">  </v>
      </c>
      <c r="CU40" s="218" t="str">
        <f t="shared" si="72"/>
        <v>-</v>
      </c>
      <c r="CV40" s="169"/>
      <c r="CW40" s="92" t="s">
        <v>593</v>
      </c>
      <c r="CX40" s="60"/>
      <c r="CY40" s="169"/>
      <c r="CZ40" s="61" t="str">
        <f t="shared" si="52"/>
        <v xml:space="preserve">  </v>
      </c>
      <c r="DA40" s="218" t="str">
        <f t="shared" si="73"/>
        <v>-</v>
      </c>
      <c r="DB40" s="169"/>
      <c r="DC40" s="92" t="s">
        <v>593</v>
      </c>
    </row>
    <row r="41" spans="2:107" s="26" customFormat="1">
      <c r="B41" s="2">
        <f t="shared" si="61"/>
        <v>34</v>
      </c>
      <c r="C41" s="7"/>
      <c r="D41" s="7"/>
      <c r="E41" s="7"/>
      <c r="F41" s="22" t="s">
        <v>126</v>
      </c>
      <c r="G41" s="16"/>
      <c r="H41" s="13"/>
      <c r="I41" s="8"/>
      <c r="J41" s="8" t="s">
        <v>269</v>
      </c>
      <c r="K41" s="8"/>
      <c r="L41" s="8"/>
      <c r="M41" s="1" t="s">
        <v>127</v>
      </c>
      <c r="N41" s="1"/>
      <c r="O41" s="57"/>
      <c r="P41" s="95">
        <f t="shared" si="75"/>
        <v>17</v>
      </c>
      <c r="Q41" s="115">
        <v>255</v>
      </c>
      <c r="R41" s="21" t="str">
        <f t="shared" si="79"/>
        <v>NX</v>
      </c>
      <c r="S41" s="98" t="s">
        <v>128</v>
      </c>
      <c r="T41" s="96"/>
      <c r="U41" s="21" t="s">
        <v>257</v>
      </c>
      <c r="V41" s="10"/>
      <c r="W41" s="25">
        <v>3</v>
      </c>
      <c r="X41" s="1" t="s">
        <v>298</v>
      </c>
      <c r="Y41" s="1">
        <v>1</v>
      </c>
      <c r="Z41" s="1">
        <v>255</v>
      </c>
      <c r="AA41" s="8" t="s">
        <v>129</v>
      </c>
      <c r="AB41" s="8" t="s">
        <v>21</v>
      </c>
      <c r="AC41" s="12"/>
      <c r="AD41" s="60"/>
      <c r="AE41" s="174" t="s">
        <v>668</v>
      </c>
      <c r="AF41" s="228" t="str">
        <f t="shared" si="40"/>
        <v xml:space="preserve">ひかりＪ　ホーム                                                                                                                                                                                                                                               </v>
      </c>
      <c r="AG41" s="218" t="str">
        <f t="shared" si="38"/>
        <v>-</v>
      </c>
      <c r="AH41" s="174" t="s">
        <v>672</v>
      </c>
      <c r="AI41" s="92" t="str">
        <f t="shared" si="84"/>
        <v>OK</v>
      </c>
      <c r="AJ41" s="60"/>
      <c r="AK41" s="174" t="s">
        <v>673</v>
      </c>
      <c r="AL41" s="228" t="str">
        <f t="shared" si="41"/>
        <v xml:space="preserve">ひかりＪ　マンション                                                                                                                                                                                                                                           </v>
      </c>
      <c r="AM41" s="218" t="str">
        <f t="shared" si="62"/>
        <v>-</v>
      </c>
      <c r="AN41" s="174" t="s">
        <v>674</v>
      </c>
      <c r="AO41" s="92" t="str">
        <f t="shared" si="81"/>
        <v>OK</v>
      </c>
      <c r="AP41" s="60"/>
      <c r="AQ41" s="170" t="s">
        <v>699</v>
      </c>
      <c r="AR41" s="228" t="str">
        <f t="shared" si="42"/>
        <v xml:space="preserve">ひかりＪ　ホーム                                                                                                                                                                                                                                               </v>
      </c>
      <c r="AS41" s="218" t="str">
        <f t="shared" si="63"/>
        <v>OK</v>
      </c>
      <c r="AT41" s="174" t="s">
        <v>710</v>
      </c>
      <c r="AU41" s="218" t="str">
        <f t="shared" si="39"/>
        <v>-</v>
      </c>
      <c r="AV41" s="60"/>
      <c r="AW41" s="174" t="s">
        <v>390</v>
      </c>
      <c r="AX41" s="228" t="str">
        <f t="shared" si="43"/>
        <v xml:space="preserve">ａｕひかり マンション                                                                                                                                                                                                                                          </v>
      </c>
      <c r="AY41" s="218" t="str">
        <f t="shared" si="64"/>
        <v>-</v>
      </c>
      <c r="AZ41" s="174" t="s">
        <v>390</v>
      </c>
      <c r="BA41" s="92" t="str">
        <f>IF(EXACT(AW41,AZ41),"OK","NG")</f>
        <v>OK</v>
      </c>
      <c r="BB41" s="60"/>
      <c r="BC41" s="174" t="s">
        <v>372</v>
      </c>
      <c r="BD41" s="228" t="str">
        <f t="shared" si="44"/>
        <v xml:space="preserve">ａｕひかり ホーム（Ｓ）                                                                                                                                                                                                                                        </v>
      </c>
      <c r="BE41" s="218" t="str">
        <f t="shared" si="65"/>
        <v>-</v>
      </c>
      <c r="BF41" s="174" t="s">
        <v>372</v>
      </c>
      <c r="BG41" s="92" t="str">
        <f>IF(EXACT(BC41,BF41),"OK","NG")</f>
        <v>OK</v>
      </c>
      <c r="BH41" s="60"/>
      <c r="BI41" s="170" t="s">
        <v>727</v>
      </c>
      <c r="BJ41" s="228" t="str">
        <f t="shared" si="45"/>
        <v xml:space="preserve">ａｕひかり マンション                                                                                                                                                                                                                                          </v>
      </c>
      <c r="BK41" s="218" t="str">
        <f t="shared" si="5"/>
        <v>OK</v>
      </c>
      <c r="BL41" s="174" t="s">
        <v>390</v>
      </c>
      <c r="BM41" s="92" t="str">
        <f>IF(EXACT(BI41,BL41),"OK","NG")</f>
        <v>NG</v>
      </c>
      <c r="BN41" s="60"/>
      <c r="BO41" s="174" t="s">
        <v>372</v>
      </c>
      <c r="BP41" s="228" t="str">
        <f t="shared" si="46"/>
        <v xml:space="preserve">ａｕひかり ホーム（Ｓ）                                                                                                                                                                                                                                        </v>
      </c>
      <c r="BQ41" s="218" t="str">
        <f t="shared" si="66"/>
        <v>-</v>
      </c>
      <c r="BR41" s="174" t="s">
        <v>372</v>
      </c>
      <c r="BS41" s="92" t="str">
        <f>IF(EXACT(BO41,BR41),"OK","NG")</f>
        <v>OK</v>
      </c>
      <c r="BT41" s="60"/>
      <c r="BU41" s="170"/>
      <c r="BV41" s="228" t="str">
        <f t="shared" si="47"/>
        <v xml:space="preserve">                                                                                                                                                                                                                                                               </v>
      </c>
      <c r="BW41" s="218" t="s">
        <v>245</v>
      </c>
      <c r="BX41" s="174"/>
      <c r="BY41" s="218" t="str">
        <f t="shared" si="68"/>
        <v>-</v>
      </c>
      <c r="BZ41" s="60"/>
      <c r="CA41" s="174"/>
      <c r="CB41" s="228" t="str">
        <f t="shared" si="48"/>
        <v xml:space="preserve">                                                                                                                                                                                                                                                               </v>
      </c>
      <c r="CC41" s="218" t="str">
        <f t="shared" si="69"/>
        <v>-</v>
      </c>
      <c r="CD41" s="174"/>
      <c r="CE41" s="92" t="str">
        <f t="shared" si="82"/>
        <v>OK</v>
      </c>
      <c r="CF41" s="60"/>
      <c r="CG41" s="174" t="s">
        <v>673</v>
      </c>
      <c r="CH41" s="228" t="str">
        <f t="shared" si="49"/>
        <v xml:space="preserve">ひかりＪ　マンション                                                                                                                                                                                                                                           </v>
      </c>
      <c r="CI41" s="218" t="str">
        <f t="shared" si="70"/>
        <v>-</v>
      </c>
      <c r="CJ41" s="174" t="s">
        <v>673</v>
      </c>
      <c r="CK41" s="92" t="str">
        <f t="shared" si="83"/>
        <v>OK</v>
      </c>
      <c r="CL41" s="60"/>
      <c r="CM41" s="174"/>
      <c r="CN41" s="228" t="str">
        <f t="shared" si="50"/>
        <v xml:space="preserve">                                                                                                                                                                                                                                                               </v>
      </c>
      <c r="CO41" s="218" t="s">
        <v>245</v>
      </c>
      <c r="CP41" s="174"/>
      <c r="CQ41" s="218" t="str">
        <f t="shared" si="71"/>
        <v>-</v>
      </c>
      <c r="CR41" s="60"/>
      <c r="CS41" s="174"/>
      <c r="CT41" s="228" t="str">
        <f t="shared" si="51"/>
        <v xml:space="preserve">                                                                                                                                                                                                                                                               </v>
      </c>
      <c r="CU41" s="218" t="str">
        <f t="shared" si="72"/>
        <v>-</v>
      </c>
      <c r="CV41" s="174"/>
      <c r="CW41" s="92" t="s">
        <v>593</v>
      </c>
      <c r="CX41" s="60"/>
      <c r="CY41" s="174"/>
      <c r="CZ41" s="228" t="str">
        <f t="shared" si="52"/>
        <v xml:space="preserve">                                                                                                                                                                                                                                                               </v>
      </c>
      <c r="DA41" s="218" t="str">
        <f t="shared" si="73"/>
        <v>-</v>
      </c>
      <c r="DB41" s="174"/>
      <c r="DC41" s="92" t="s">
        <v>593</v>
      </c>
    </row>
    <row r="42" spans="2:107" s="26" customFormat="1">
      <c r="B42" s="19">
        <f t="shared" si="61"/>
        <v>35</v>
      </c>
      <c r="C42" s="7"/>
      <c r="D42" s="7"/>
      <c r="E42" s="7"/>
      <c r="F42" s="3" t="s">
        <v>130</v>
      </c>
      <c r="G42" s="3"/>
      <c r="H42" s="4"/>
      <c r="I42" s="6"/>
      <c r="J42" s="6"/>
      <c r="K42" s="6"/>
      <c r="L42" s="6"/>
      <c r="M42" s="23" t="s">
        <v>131</v>
      </c>
      <c r="N42" s="5"/>
      <c r="O42" s="55"/>
      <c r="P42" s="95">
        <f t="shared" si="75"/>
        <v>18</v>
      </c>
      <c r="Q42" s="116">
        <v>256</v>
      </c>
      <c r="R42" s="21" t="str">
        <f t="shared" si="79"/>
        <v>NX</v>
      </c>
      <c r="S42" s="98" t="s">
        <v>132</v>
      </c>
      <c r="T42" s="96"/>
      <c r="U42" s="21" t="s">
        <v>435</v>
      </c>
      <c r="V42" s="10"/>
      <c r="W42" s="28">
        <v>3</v>
      </c>
      <c r="X42" s="5" t="s">
        <v>299</v>
      </c>
      <c r="Y42" s="5">
        <v>1</v>
      </c>
      <c r="Z42" s="5">
        <v>256</v>
      </c>
      <c r="AA42" s="6" t="s">
        <v>300</v>
      </c>
      <c r="AB42" s="6" t="s">
        <v>257</v>
      </c>
      <c r="AC42" s="64"/>
      <c r="AD42" s="60"/>
      <c r="AE42" s="169"/>
      <c r="AF42" s="61" t="str">
        <f t="shared" si="40"/>
        <v xml:space="preserve">                                                                                                                                                                                                                                                                </v>
      </c>
      <c r="AG42" s="218" t="str">
        <f t="shared" si="38"/>
        <v>-</v>
      </c>
      <c r="AH42" s="169"/>
      <c r="AI42" s="92" t="str">
        <f t="shared" si="84"/>
        <v>OK</v>
      </c>
      <c r="AJ42" s="60"/>
      <c r="AK42" s="174"/>
      <c r="AL42" s="61" t="str">
        <f t="shared" si="41"/>
        <v xml:space="preserve">                                                                                                                                                                                                                                                                </v>
      </c>
      <c r="AM42" s="218" t="str">
        <f t="shared" si="62"/>
        <v>-</v>
      </c>
      <c r="AN42" s="169"/>
      <c r="AO42" s="92" t="str">
        <f t="shared" si="81"/>
        <v>OK</v>
      </c>
      <c r="AP42" s="60"/>
      <c r="AQ42" s="170" t="s">
        <v>700</v>
      </c>
      <c r="AR42" s="61" t="str">
        <f t="shared" si="42"/>
        <v xml:space="preserve">                                                                                                                                                                                                                                                                </v>
      </c>
      <c r="AS42" s="218" t="str">
        <f t="shared" si="63"/>
        <v>OK</v>
      </c>
      <c r="AT42" s="169"/>
      <c r="AU42" s="218" t="str">
        <f t="shared" si="39"/>
        <v>-</v>
      </c>
      <c r="AV42" s="60"/>
      <c r="AW42" s="169"/>
      <c r="AX42" s="61" t="str">
        <f t="shared" si="43"/>
        <v xml:space="preserve">                                                                                                                                                                                                                                                                </v>
      </c>
      <c r="AY42" s="218" t="str">
        <f t="shared" si="64"/>
        <v>-</v>
      </c>
      <c r="AZ42" s="169"/>
      <c r="BA42" s="92" t="str">
        <f>IF(EXACT(AW42,AZ42),"OK","NG")</f>
        <v>OK</v>
      </c>
      <c r="BB42" s="60"/>
      <c r="BC42" s="169"/>
      <c r="BD42" s="61" t="str">
        <f t="shared" si="44"/>
        <v xml:space="preserve">                                                                                                                                                                                                                                                                </v>
      </c>
      <c r="BE42" s="218" t="str">
        <f t="shared" si="65"/>
        <v>-</v>
      </c>
      <c r="BF42" s="169"/>
      <c r="BG42" s="92" t="str">
        <f>IF(EXACT(BC42,BF42),"OK","NG")</f>
        <v>OK</v>
      </c>
      <c r="BH42" s="60"/>
      <c r="BI42" s="170" t="s">
        <v>700</v>
      </c>
      <c r="BJ42" s="61" t="str">
        <f t="shared" si="45"/>
        <v xml:space="preserve">                                                                                                                                                                                                                                                                </v>
      </c>
      <c r="BK42" s="218" t="str">
        <f t="shared" si="5"/>
        <v>OK</v>
      </c>
      <c r="BL42" s="169"/>
      <c r="BM42" s="92" t="str">
        <f>IF(EXACT(BI42,BL42),"OK","NG")</f>
        <v>NG</v>
      </c>
      <c r="BN42" s="60"/>
      <c r="BO42" s="169"/>
      <c r="BP42" s="61" t="str">
        <f t="shared" si="46"/>
        <v xml:space="preserve">                                                                                                                                                                                                                                                                </v>
      </c>
      <c r="BQ42" s="218" t="str">
        <f t="shared" si="66"/>
        <v>-</v>
      </c>
      <c r="BR42" s="169"/>
      <c r="BS42" s="92" t="str">
        <f>IF(EXACT(BO42,BR42),"OK","NG")</f>
        <v>OK</v>
      </c>
      <c r="BT42" s="60"/>
      <c r="BU42" s="172"/>
      <c r="BV42" s="61" t="str">
        <f t="shared" si="47"/>
        <v xml:space="preserve">                                                                                                                                                                                                                                                                </v>
      </c>
      <c r="BW42" s="218" t="s">
        <v>245</v>
      </c>
      <c r="BX42" s="169"/>
      <c r="BY42" s="218" t="str">
        <f t="shared" si="68"/>
        <v>-</v>
      </c>
      <c r="BZ42" s="60"/>
      <c r="CA42" s="169"/>
      <c r="CB42" s="61" t="str">
        <f t="shared" si="48"/>
        <v xml:space="preserve">                                                                                                                                                                                                                                                                </v>
      </c>
      <c r="CC42" s="218" t="str">
        <f t="shared" si="69"/>
        <v>-</v>
      </c>
      <c r="CD42" s="169"/>
      <c r="CE42" s="92" t="str">
        <f t="shared" si="82"/>
        <v>OK</v>
      </c>
      <c r="CF42" s="60"/>
      <c r="CG42" s="169"/>
      <c r="CH42" s="61" t="str">
        <f t="shared" si="49"/>
        <v xml:space="preserve">                                                                                                                                                                                                                                                                </v>
      </c>
      <c r="CI42" s="218" t="str">
        <f t="shared" si="70"/>
        <v>-</v>
      </c>
      <c r="CJ42" s="169"/>
      <c r="CK42" s="92" t="str">
        <f t="shared" si="83"/>
        <v>OK</v>
      </c>
      <c r="CL42" s="60"/>
      <c r="CM42" s="169"/>
      <c r="CN42" s="61" t="str">
        <f t="shared" si="50"/>
        <v xml:space="preserve">                                                                                                                                                                                                                                                                </v>
      </c>
      <c r="CO42" s="218" t="s">
        <v>245</v>
      </c>
      <c r="CP42" s="169"/>
      <c r="CQ42" s="218" t="str">
        <f t="shared" si="71"/>
        <v>-</v>
      </c>
      <c r="CR42" s="60"/>
      <c r="CS42" s="169"/>
      <c r="CT42" s="61" t="str">
        <f t="shared" si="51"/>
        <v xml:space="preserve">                                                                                                                                                                                                                                                                </v>
      </c>
      <c r="CU42" s="218" t="str">
        <f t="shared" si="72"/>
        <v>-</v>
      </c>
      <c r="CV42" s="169"/>
      <c r="CW42" s="92" t="s">
        <v>593</v>
      </c>
      <c r="CX42" s="60"/>
      <c r="CY42" s="169"/>
      <c r="CZ42" s="61" t="str">
        <f t="shared" si="52"/>
        <v xml:space="preserve">                                                                                                                                                                                                                                                                </v>
      </c>
      <c r="DA42" s="218" t="str">
        <f t="shared" si="73"/>
        <v>-</v>
      </c>
      <c r="DB42" s="169"/>
      <c r="DC42" s="92" t="s">
        <v>593</v>
      </c>
    </row>
    <row r="43" spans="2:107" s="26" customFormat="1" ht="63.75">
      <c r="B43" s="2">
        <f t="shared" si="61"/>
        <v>36</v>
      </c>
      <c r="C43" s="7"/>
      <c r="D43" s="7"/>
      <c r="E43" s="7"/>
      <c r="F43" s="22" t="s">
        <v>133</v>
      </c>
      <c r="G43" s="16"/>
      <c r="H43" s="13"/>
      <c r="I43" s="8"/>
      <c r="J43" s="8"/>
      <c r="K43" s="8"/>
      <c r="L43" s="8"/>
      <c r="M43" s="11" t="s">
        <v>444</v>
      </c>
      <c r="N43" s="1"/>
      <c r="O43" s="57"/>
      <c r="P43" s="95">
        <f t="shared" si="75"/>
        <v>19</v>
      </c>
      <c r="Q43" s="115">
        <v>256</v>
      </c>
      <c r="R43" s="21" t="str">
        <f t="shared" si="79"/>
        <v>NX</v>
      </c>
      <c r="S43" s="98" t="s">
        <v>134</v>
      </c>
      <c r="T43" s="96"/>
      <c r="U43" s="21" t="s">
        <v>435</v>
      </c>
      <c r="V43" s="10"/>
      <c r="W43" s="25">
        <v>3</v>
      </c>
      <c r="X43" s="1" t="s">
        <v>135</v>
      </c>
      <c r="Y43" s="1">
        <v>1</v>
      </c>
      <c r="Z43" s="1">
        <v>256</v>
      </c>
      <c r="AA43" s="8" t="s">
        <v>129</v>
      </c>
      <c r="AB43" s="8" t="s">
        <v>257</v>
      </c>
      <c r="AC43" s="12"/>
      <c r="AD43" s="60"/>
      <c r="AE43" s="174"/>
      <c r="AF43" s="273" t="str">
        <f t="shared" si="40"/>
        <v xml:space="preserve">                                                                                                                                                                                                                                                                </v>
      </c>
      <c r="AG43" s="218" t="str">
        <f t="shared" si="38"/>
        <v>-</v>
      </c>
      <c r="AH43" s="174"/>
      <c r="AI43" s="92" t="str">
        <f t="shared" si="84"/>
        <v>OK</v>
      </c>
      <c r="AJ43" s="60"/>
      <c r="AK43" s="174"/>
      <c r="AL43" s="273" t="str">
        <f t="shared" si="41"/>
        <v xml:space="preserve">                                                                                                                                                                                                                                                                </v>
      </c>
      <c r="AM43" s="218" t="str">
        <f t="shared" si="62"/>
        <v>-</v>
      </c>
      <c r="AN43" s="174"/>
      <c r="AO43" s="92" t="str">
        <f t="shared" si="81"/>
        <v>OK</v>
      </c>
      <c r="AP43" s="60"/>
      <c r="AQ43" s="170" t="s">
        <v>700</v>
      </c>
      <c r="AR43" s="273" t="str">
        <f t="shared" si="42"/>
        <v xml:space="preserve">                                                                                                                                                                                                                                                                </v>
      </c>
      <c r="AS43" s="218" t="str">
        <f t="shared" si="63"/>
        <v>OK</v>
      </c>
      <c r="AT43" s="174"/>
      <c r="AU43" s="218" t="str">
        <f t="shared" si="39"/>
        <v>-</v>
      </c>
      <c r="AV43" s="60"/>
      <c r="AW43" s="174" t="s">
        <v>330</v>
      </c>
      <c r="AX43" s="273" t="str">
        <f t="shared" si="43"/>
        <v xml:space="preserve">インターネット/TV                                                                                                                                                                                                                                               </v>
      </c>
      <c r="AY43" s="218" t="str">
        <f t="shared" si="64"/>
        <v>-</v>
      </c>
      <c r="AZ43" s="174" t="s">
        <v>330</v>
      </c>
      <c r="BA43" s="478" t="s">
        <v>594</v>
      </c>
      <c r="BB43" s="60"/>
      <c r="BC43" s="174" t="s">
        <v>330</v>
      </c>
      <c r="BD43" s="273" t="str">
        <f t="shared" si="44"/>
        <v xml:space="preserve">インターネット/TV                                                                                                                                                                                                                                               </v>
      </c>
      <c r="BE43" s="218" t="str">
        <f t="shared" si="65"/>
        <v>-</v>
      </c>
      <c r="BF43" s="174" t="s">
        <v>330</v>
      </c>
      <c r="BG43" s="478" t="s">
        <v>594</v>
      </c>
      <c r="BH43" s="60"/>
      <c r="BI43" s="170" t="s">
        <v>728</v>
      </c>
      <c r="BJ43" s="273" t="str">
        <f t="shared" si="45"/>
        <v xml:space="preserve">インターネット/TV                                                                                                                                                                                                                                               </v>
      </c>
      <c r="BK43" s="218" t="str">
        <f t="shared" si="5"/>
        <v>OK</v>
      </c>
      <c r="BL43" s="174" t="s">
        <v>330</v>
      </c>
      <c r="BM43" s="478" t="s">
        <v>594</v>
      </c>
      <c r="BN43" s="60"/>
      <c r="BO43" s="174" t="s">
        <v>330</v>
      </c>
      <c r="BP43" s="273" t="str">
        <f t="shared" si="46"/>
        <v xml:space="preserve">インターネット/TV                                                                                                                                                                                                                                               </v>
      </c>
      <c r="BQ43" s="218" t="str">
        <f t="shared" si="66"/>
        <v>-</v>
      </c>
      <c r="BR43" s="174" t="s">
        <v>330</v>
      </c>
      <c r="BS43" s="478" t="s">
        <v>594</v>
      </c>
      <c r="BT43" s="60"/>
      <c r="BU43" s="170"/>
      <c r="BV43" s="273" t="str">
        <f t="shared" si="47"/>
        <v xml:space="preserve">                                                                                                                                                                                                                                                                </v>
      </c>
      <c r="BW43" s="218" t="s">
        <v>245</v>
      </c>
      <c r="BX43" s="174"/>
      <c r="BY43" s="218" t="str">
        <f t="shared" si="68"/>
        <v>-</v>
      </c>
      <c r="BZ43" s="60"/>
      <c r="CA43" s="174"/>
      <c r="CB43" s="273" t="str">
        <f t="shared" si="48"/>
        <v xml:space="preserve">                                                                                                                                                                                                                                                                </v>
      </c>
      <c r="CC43" s="218" t="str">
        <f t="shared" si="69"/>
        <v>-</v>
      </c>
      <c r="CD43" s="174"/>
      <c r="CE43" s="92" t="str">
        <f t="shared" si="82"/>
        <v>OK</v>
      </c>
      <c r="CF43" s="60"/>
      <c r="CG43" s="174"/>
      <c r="CH43" s="273" t="str">
        <f t="shared" si="49"/>
        <v xml:space="preserve">                                                                                                                                                                                                                                                                </v>
      </c>
      <c r="CI43" s="218" t="str">
        <f t="shared" si="70"/>
        <v>-</v>
      </c>
      <c r="CJ43" s="174"/>
      <c r="CK43" s="92" t="str">
        <f t="shared" si="83"/>
        <v>OK</v>
      </c>
      <c r="CL43" s="60"/>
      <c r="CM43" s="174"/>
      <c r="CN43" s="273" t="str">
        <f t="shared" si="50"/>
        <v xml:space="preserve">                                                                                                                                                                                                                                                                </v>
      </c>
      <c r="CO43" s="218" t="s">
        <v>245</v>
      </c>
      <c r="CP43" s="174"/>
      <c r="CQ43" s="218" t="str">
        <f t="shared" si="71"/>
        <v>-</v>
      </c>
      <c r="CR43" s="60"/>
      <c r="CS43" s="174"/>
      <c r="CT43" s="273" t="str">
        <f t="shared" si="51"/>
        <v xml:space="preserve">                                                                                                                                                                                                                                                                </v>
      </c>
      <c r="CU43" s="218" t="str">
        <f t="shared" si="72"/>
        <v>-</v>
      </c>
      <c r="CV43" s="174"/>
      <c r="CW43" s="92" t="s">
        <v>593</v>
      </c>
      <c r="CX43" s="60"/>
      <c r="CY43" s="174"/>
      <c r="CZ43" s="273" t="str">
        <f t="shared" si="52"/>
        <v xml:space="preserve">                                                                                                                                                                                                                                                                </v>
      </c>
      <c r="DA43" s="218" t="str">
        <f t="shared" si="73"/>
        <v>-</v>
      </c>
      <c r="DB43" s="174"/>
      <c r="DC43" s="92" t="s">
        <v>593</v>
      </c>
    </row>
    <row r="44" spans="2:107" s="26" customFormat="1" ht="63.75">
      <c r="B44" s="2">
        <f t="shared" si="61"/>
        <v>37</v>
      </c>
      <c r="C44" s="7"/>
      <c r="D44" s="7"/>
      <c r="E44" s="7"/>
      <c r="F44" s="22" t="s">
        <v>136</v>
      </c>
      <c r="G44" s="16"/>
      <c r="H44" s="13"/>
      <c r="I44" s="8"/>
      <c r="J44" s="8"/>
      <c r="K44" s="8"/>
      <c r="L44" s="8"/>
      <c r="M44" s="11" t="s">
        <v>445</v>
      </c>
      <c r="N44" s="1"/>
      <c r="O44" s="57"/>
      <c r="P44" s="95">
        <f t="shared" si="75"/>
        <v>20</v>
      </c>
      <c r="Q44" s="115">
        <v>256</v>
      </c>
      <c r="R44" s="21" t="str">
        <f t="shared" si="79"/>
        <v>NX</v>
      </c>
      <c r="S44" s="98" t="s">
        <v>137</v>
      </c>
      <c r="T44" s="96"/>
      <c r="U44" s="21" t="s">
        <v>435</v>
      </c>
      <c r="V44" s="10"/>
      <c r="W44" s="25">
        <v>3</v>
      </c>
      <c r="X44" s="1" t="s">
        <v>138</v>
      </c>
      <c r="Y44" s="1">
        <v>1</v>
      </c>
      <c r="Z44" s="1">
        <v>256</v>
      </c>
      <c r="AA44" s="8" t="s">
        <v>129</v>
      </c>
      <c r="AB44" s="8" t="s">
        <v>257</v>
      </c>
      <c r="AC44" s="12"/>
      <c r="AD44" s="60"/>
      <c r="AE44" s="174"/>
      <c r="AF44" s="273" t="str">
        <f t="shared" si="40"/>
        <v xml:space="preserve">                                                                                                                                                                                                                                                                </v>
      </c>
      <c r="AG44" s="218" t="str">
        <f t="shared" si="38"/>
        <v>-</v>
      </c>
      <c r="AH44" s="174"/>
      <c r="AI44" s="92" t="str">
        <f t="shared" si="84"/>
        <v>OK</v>
      </c>
      <c r="AJ44" s="60"/>
      <c r="AK44" s="174"/>
      <c r="AL44" s="273" t="str">
        <f t="shared" si="41"/>
        <v xml:space="preserve">                                                                                                                                                                                                                                                                </v>
      </c>
      <c r="AM44" s="218" t="str">
        <f t="shared" si="62"/>
        <v>-</v>
      </c>
      <c r="AN44" s="174"/>
      <c r="AO44" s="92" t="str">
        <f t="shared" si="81"/>
        <v>OK</v>
      </c>
      <c r="AP44" s="60"/>
      <c r="AQ44" s="170" t="s">
        <v>700</v>
      </c>
      <c r="AR44" s="273" t="str">
        <f t="shared" si="42"/>
        <v xml:space="preserve">                                                                                                                                                                                                                                                                </v>
      </c>
      <c r="AS44" s="218" t="str">
        <f t="shared" si="63"/>
        <v>OK</v>
      </c>
      <c r="AT44" s="174"/>
      <c r="AU44" s="218" t="str">
        <f t="shared" si="39"/>
        <v>-</v>
      </c>
      <c r="AV44" s="60"/>
      <c r="AW44" s="174" t="s">
        <v>324</v>
      </c>
      <c r="AX44" s="273" t="str">
        <f t="shared" si="43"/>
        <v xml:space="preserve">電話                                                                                                                                                                                                                                                            </v>
      </c>
      <c r="AY44" s="218" t="str">
        <f t="shared" si="64"/>
        <v>-</v>
      </c>
      <c r="AZ44" s="174" t="s">
        <v>324</v>
      </c>
      <c r="BA44" s="478" t="s">
        <v>594</v>
      </c>
      <c r="BB44" s="60"/>
      <c r="BC44" s="174" t="s">
        <v>324</v>
      </c>
      <c r="BD44" s="273" t="str">
        <f t="shared" si="44"/>
        <v xml:space="preserve">電話                                                                                                                                                                                                                                                            </v>
      </c>
      <c r="BE44" s="218" t="str">
        <f t="shared" si="65"/>
        <v>-</v>
      </c>
      <c r="BF44" s="174" t="s">
        <v>324</v>
      </c>
      <c r="BG44" s="478" t="s">
        <v>594</v>
      </c>
      <c r="BH44" s="60"/>
      <c r="BI44" s="170" t="s">
        <v>729</v>
      </c>
      <c r="BJ44" s="273" t="str">
        <f t="shared" si="45"/>
        <v xml:space="preserve">電話                                                                                                                                                                                                                                                            </v>
      </c>
      <c r="BK44" s="218" t="str">
        <f t="shared" si="5"/>
        <v>OK</v>
      </c>
      <c r="BL44" s="174" t="s">
        <v>324</v>
      </c>
      <c r="BM44" s="478" t="s">
        <v>594</v>
      </c>
      <c r="BN44" s="60"/>
      <c r="BO44" s="174" t="s">
        <v>324</v>
      </c>
      <c r="BP44" s="273" t="str">
        <f t="shared" si="46"/>
        <v xml:space="preserve">電話                                                                                                                                                                                                                                                            </v>
      </c>
      <c r="BQ44" s="218" t="str">
        <f t="shared" si="66"/>
        <v>-</v>
      </c>
      <c r="BR44" s="174" t="s">
        <v>324</v>
      </c>
      <c r="BS44" s="478" t="s">
        <v>594</v>
      </c>
      <c r="BT44" s="60"/>
      <c r="BU44" s="170"/>
      <c r="BV44" s="273" t="str">
        <f t="shared" si="47"/>
        <v xml:space="preserve">                                                                                                                                                                                                                                                                </v>
      </c>
      <c r="BW44" s="218" t="s">
        <v>245</v>
      </c>
      <c r="BX44" s="174"/>
      <c r="BY44" s="218" t="str">
        <f t="shared" si="68"/>
        <v>-</v>
      </c>
      <c r="BZ44" s="60"/>
      <c r="CA44" s="174"/>
      <c r="CB44" s="273" t="str">
        <f t="shared" si="48"/>
        <v xml:space="preserve">                                                                                                                                                                                                                                                                </v>
      </c>
      <c r="CC44" s="218" t="str">
        <f t="shared" si="69"/>
        <v>-</v>
      </c>
      <c r="CD44" s="174"/>
      <c r="CE44" s="92" t="str">
        <f t="shared" si="82"/>
        <v>OK</v>
      </c>
      <c r="CF44" s="60"/>
      <c r="CG44" s="174"/>
      <c r="CH44" s="273" t="str">
        <f t="shared" si="49"/>
        <v xml:space="preserve">                                                                                                                                                                                                                                                                </v>
      </c>
      <c r="CI44" s="218" t="str">
        <f t="shared" si="70"/>
        <v>-</v>
      </c>
      <c r="CJ44" s="174"/>
      <c r="CK44" s="92" t="str">
        <f t="shared" si="83"/>
        <v>OK</v>
      </c>
      <c r="CL44" s="60"/>
      <c r="CM44" s="174"/>
      <c r="CN44" s="273" t="str">
        <f t="shared" si="50"/>
        <v xml:space="preserve">                                                                                                                                                                                                                                                                </v>
      </c>
      <c r="CO44" s="218" t="s">
        <v>245</v>
      </c>
      <c r="CP44" s="174"/>
      <c r="CQ44" s="218" t="str">
        <f t="shared" si="71"/>
        <v>-</v>
      </c>
      <c r="CR44" s="60"/>
      <c r="CS44" s="174"/>
      <c r="CT44" s="273" t="str">
        <f t="shared" si="51"/>
        <v xml:space="preserve">                                                                                                                                                                                                                                                                </v>
      </c>
      <c r="CU44" s="218" t="str">
        <f t="shared" si="72"/>
        <v>-</v>
      </c>
      <c r="CV44" s="174"/>
      <c r="CW44" s="92" t="s">
        <v>593</v>
      </c>
      <c r="CX44" s="60"/>
      <c r="CY44" s="174"/>
      <c r="CZ44" s="273" t="str">
        <f t="shared" si="52"/>
        <v xml:space="preserve">                                                                                                                                                                                                                                                                </v>
      </c>
      <c r="DA44" s="218" t="str">
        <f t="shared" si="73"/>
        <v>-</v>
      </c>
      <c r="DB44" s="174"/>
      <c r="DC44" s="92" t="s">
        <v>593</v>
      </c>
    </row>
    <row r="45" spans="2:107" s="26" customFormat="1" ht="69" customHeight="1">
      <c r="B45" s="19">
        <f t="shared" si="61"/>
        <v>38</v>
      </c>
      <c r="C45" s="7"/>
      <c r="D45" s="7"/>
      <c r="E45" s="7"/>
      <c r="F45" s="112" t="s">
        <v>446</v>
      </c>
      <c r="G45" s="16"/>
      <c r="H45" s="13"/>
      <c r="I45" s="8"/>
      <c r="J45" s="8" t="s">
        <v>426</v>
      </c>
      <c r="K45" s="8"/>
      <c r="L45" s="8"/>
      <c r="M45" s="11" t="s">
        <v>301</v>
      </c>
      <c r="N45" s="1"/>
      <c r="O45" s="57"/>
      <c r="P45" s="95">
        <f t="shared" si="75"/>
        <v>21</v>
      </c>
      <c r="Q45" s="115">
        <v>1</v>
      </c>
      <c r="R45" s="21" t="s">
        <v>418</v>
      </c>
      <c r="S45" s="98" t="s">
        <v>139</v>
      </c>
      <c r="T45" s="96"/>
      <c r="U45" s="21" t="s">
        <v>435</v>
      </c>
      <c r="V45" s="10"/>
      <c r="W45" s="25">
        <v>3</v>
      </c>
      <c r="X45" s="1" t="s">
        <v>140</v>
      </c>
      <c r="Y45" s="1">
        <v>1</v>
      </c>
      <c r="Z45" s="1">
        <v>1</v>
      </c>
      <c r="AA45" s="8">
        <v>9</v>
      </c>
      <c r="AB45" s="8" t="s">
        <v>21</v>
      </c>
      <c r="AC45" s="12"/>
      <c r="AD45" s="60"/>
      <c r="AE45" s="174" t="s">
        <v>33</v>
      </c>
      <c r="AF45" s="61" t="str">
        <f t="shared" si="40"/>
        <v>1</v>
      </c>
      <c r="AG45" s="218" t="str">
        <f t="shared" si="38"/>
        <v>-</v>
      </c>
      <c r="AH45" s="174" t="s">
        <v>33</v>
      </c>
      <c r="AI45" s="92" t="str">
        <f t="shared" si="84"/>
        <v>OK</v>
      </c>
      <c r="AJ45" s="60"/>
      <c r="AK45" s="174" t="s">
        <v>679</v>
      </c>
      <c r="AL45" s="61" t="str">
        <f t="shared" si="41"/>
        <v>2</v>
      </c>
      <c r="AM45" s="218" t="str">
        <f t="shared" si="62"/>
        <v>-</v>
      </c>
      <c r="AN45" s="174">
        <v>2</v>
      </c>
      <c r="AO45" s="92" t="str">
        <f t="shared" si="81"/>
        <v>OK</v>
      </c>
      <c r="AP45" s="60"/>
      <c r="AQ45" s="170" t="s">
        <v>701</v>
      </c>
      <c r="AR45" s="61" t="str">
        <f t="shared" si="42"/>
        <v>3</v>
      </c>
      <c r="AS45" s="218" t="str">
        <f t="shared" si="63"/>
        <v>OK</v>
      </c>
      <c r="AT45" s="174">
        <v>3</v>
      </c>
      <c r="AU45" s="218" t="str">
        <f t="shared" si="39"/>
        <v>-</v>
      </c>
      <c r="AV45" s="60"/>
      <c r="AW45" s="174" t="s">
        <v>33</v>
      </c>
      <c r="AX45" s="61" t="str">
        <f t="shared" si="43"/>
        <v>1</v>
      </c>
      <c r="AY45" s="218" t="str">
        <f t="shared" si="64"/>
        <v>-</v>
      </c>
      <c r="AZ45" s="174" t="s">
        <v>33</v>
      </c>
      <c r="BA45" s="478" t="s">
        <v>594</v>
      </c>
      <c r="BB45" s="60"/>
      <c r="BC45" s="174" t="s">
        <v>33</v>
      </c>
      <c r="BD45" s="61" t="str">
        <f t="shared" si="44"/>
        <v>1</v>
      </c>
      <c r="BE45" s="218" t="str">
        <f t="shared" si="65"/>
        <v>-</v>
      </c>
      <c r="BF45" s="174" t="s">
        <v>33</v>
      </c>
      <c r="BG45" s="478" t="s">
        <v>594</v>
      </c>
      <c r="BH45" s="60"/>
      <c r="BI45" s="170" t="s">
        <v>33</v>
      </c>
      <c r="BJ45" s="61" t="str">
        <f t="shared" si="45"/>
        <v>1</v>
      </c>
      <c r="BK45" s="218" t="str">
        <f t="shared" si="5"/>
        <v>OK</v>
      </c>
      <c r="BL45" s="174" t="s">
        <v>33</v>
      </c>
      <c r="BM45" s="478" t="s">
        <v>594</v>
      </c>
      <c r="BN45" s="60"/>
      <c r="BO45" s="174" t="s">
        <v>33</v>
      </c>
      <c r="BP45" s="61" t="str">
        <f t="shared" si="46"/>
        <v>1</v>
      </c>
      <c r="BQ45" s="218" t="str">
        <f t="shared" si="66"/>
        <v>-</v>
      </c>
      <c r="BR45" s="174" t="s">
        <v>33</v>
      </c>
      <c r="BS45" s="478" t="s">
        <v>594</v>
      </c>
      <c r="BT45" s="60"/>
      <c r="BU45" s="170"/>
      <c r="BV45" s="61" t="str">
        <f t="shared" si="47"/>
        <v xml:space="preserve"> </v>
      </c>
      <c r="BW45" s="218" t="s">
        <v>245</v>
      </c>
      <c r="BX45" s="174"/>
      <c r="BY45" s="218" t="str">
        <f t="shared" si="68"/>
        <v>-</v>
      </c>
      <c r="BZ45" s="60"/>
      <c r="CA45" s="174"/>
      <c r="CB45" s="61" t="str">
        <f t="shared" si="48"/>
        <v xml:space="preserve"> </v>
      </c>
      <c r="CC45" s="218" t="str">
        <f t="shared" si="69"/>
        <v>-</v>
      </c>
      <c r="CD45" s="174"/>
      <c r="CE45" s="92" t="str">
        <f t="shared" si="82"/>
        <v>OK</v>
      </c>
      <c r="CF45" s="60"/>
      <c r="CG45" s="174" t="s">
        <v>701</v>
      </c>
      <c r="CH45" s="61" t="str">
        <f t="shared" si="49"/>
        <v>3</v>
      </c>
      <c r="CI45" s="218" t="str">
        <f t="shared" si="70"/>
        <v>-</v>
      </c>
      <c r="CJ45" s="174" t="s">
        <v>701</v>
      </c>
      <c r="CK45" s="92" t="str">
        <f t="shared" si="83"/>
        <v>OK</v>
      </c>
      <c r="CL45" s="60"/>
      <c r="CM45" s="174"/>
      <c r="CN45" s="61" t="str">
        <f t="shared" si="50"/>
        <v xml:space="preserve"> </v>
      </c>
      <c r="CO45" s="218" t="s">
        <v>245</v>
      </c>
      <c r="CP45" s="174"/>
      <c r="CQ45" s="218" t="str">
        <f t="shared" si="71"/>
        <v>-</v>
      </c>
      <c r="CR45" s="60"/>
      <c r="CS45" s="174"/>
      <c r="CT45" s="61" t="str">
        <f t="shared" si="51"/>
        <v xml:space="preserve"> </v>
      </c>
      <c r="CU45" s="218" t="str">
        <f t="shared" si="72"/>
        <v>-</v>
      </c>
      <c r="CV45" s="174"/>
      <c r="CW45" s="92" t="s">
        <v>593</v>
      </c>
      <c r="CX45" s="60"/>
      <c r="CY45" s="174"/>
      <c r="CZ45" s="61" t="str">
        <f t="shared" si="52"/>
        <v xml:space="preserve"> </v>
      </c>
      <c r="DA45" s="218" t="str">
        <f t="shared" si="73"/>
        <v>-</v>
      </c>
      <c r="DB45" s="174"/>
      <c r="DC45" s="92" t="s">
        <v>593</v>
      </c>
    </row>
    <row r="46" spans="2:107" s="26" customFormat="1" ht="114.75">
      <c r="B46" s="2">
        <f t="shared" si="61"/>
        <v>39</v>
      </c>
      <c r="C46" s="7"/>
      <c r="D46" s="7"/>
      <c r="E46" s="7"/>
      <c r="F46" s="22" t="s">
        <v>141</v>
      </c>
      <c r="G46" s="16"/>
      <c r="H46" s="13"/>
      <c r="I46" s="8"/>
      <c r="J46" s="8"/>
      <c r="K46" s="8"/>
      <c r="L46" s="8"/>
      <c r="M46" s="418" t="s">
        <v>221</v>
      </c>
      <c r="N46" s="1"/>
      <c r="O46" s="57"/>
      <c r="P46" s="95">
        <f t="shared" si="75"/>
        <v>22</v>
      </c>
      <c r="Q46" s="115">
        <v>1</v>
      </c>
      <c r="R46" s="21" t="s">
        <v>418</v>
      </c>
      <c r="S46" s="98" t="s">
        <v>142</v>
      </c>
      <c r="T46" s="96"/>
      <c r="U46" s="21" t="s">
        <v>435</v>
      </c>
      <c r="V46" s="10"/>
      <c r="W46" s="25">
        <v>3</v>
      </c>
      <c r="X46" s="1" t="s">
        <v>20</v>
      </c>
      <c r="Y46" s="1">
        <v>1</v>
      </c>
      <c r="Z46" s="1">
        <v>1</v>
      </c>
      <c r="AA46" s="8">
        <v>9</v>
      </c>
      <c r="AB46" s="8" t="s">
        <v>21</v>
      </c>
      <c r="AC46" s="103"/>
      <c r="AD46" s="60"/>
      <c r="AE46" s="174"/>
      <c r="AF46" s="61" t="str">
        <f t="shared" si="40"/>
        <v xml:space="preserve"> </v>
      </c>
      <c r="AG46" s="218" t="str">
        <f t="shared" si="38"/>
        <v>-</v>
      </c>
      <c r="AH46" s="174"/>
      <c r="AI46" s="92" t="str">
        <f t="shared" si="84"/>
        <v>OK</v>
      </c>
      <c r="AJ46" s="60"/>
      <c r="AK46" s="174"/>
      <c r="AL46" s="61" t="str">
        <f t="shared" si="41"/>
        <v xml:space="preserve"> </v>
      </c>
      <c r="AM46" s="218" t="str">
        <f t="shared" si="62"/>
        <v>-</v>
      </c>
      <c r="AN46" s="174"/>
      <c r="AO46" s="92" t="str">
        <f t="shared" si="81"/>
        <v>OK</v>
      </c>
      <c r="AP46" s="60"/>
      <c r="AQ46" s="170" t="s">
        <v>38</v>
      </c>
      <c r="AR46" s="61" t="str">
        <f t="shared" si="42"/>
        <v xml:space="preserve"> </v>
      </c>
      <c r="AS46" s="218" t="str">
        <f t="shared" si="63"/>
        <v>OK</v>
      </c>
      <c r="AT46" s="174"/>
      <c r="AU46" s="218" t="str">
        <f t="shared" si="39"/>
        <v>-</v>
      </c>
      <c r="AV46" s="60"/>
      <c r="AW46" s="174" t="s">
        <v>33</v>
      </c>
      <c r="AX46" s="61" t="str">
        <f t="shared" si="43"/>
        <v>1</v>
      </c>
      <c r="AY46" s="218" t="str">
        <f t="shared" si="64"/>
        <v>-</v>
      </c>
      <c r="AZ46" s="174" t="s">
        <v>33</v>
      </c>
      <c r="BA46" s="478" t="s">
        <v>594</v>
      </c>
      <c r="BB46" s="60"/>
      <c r="BC46" s="174" t="s">
        <v>33</v>
      </c>
      <c r="BD46" s="61" t="str">
        <f t="shared" si="44"/>
        <v>1</v>
      </c>
      <c r="BE46" s="218" t="str">
        <f t="shared" si="65"/>
        <v>-</v>
      </c>
      <c r="BF46" s="174" t="s">
        <v>33</v>
      </c>
      <c r="BG46" s="478" t="s">
        <v>594</v>
      </c>
      <c r="BH46" s="60"/>
      <c r="BI46" s="170" t="s">
        <v>33</v>
      </c>
      <c r="BJ46" s="61" t="str">
        <f t="shared" si="45"/>
        <v>1</v>
      </c>
      <c r="BK46" s="218" t="str">
        <f t="shared" si="5"/>
        <v>OK</v>
      </c>
      <c r="BL46" s="174" t="s">
        <v>33</v>
      </c>
      <c r="BM46" s="478" t="s">
        <v>594</v>
      </c>
      <c r="BN46" s="60"/>
      <c r="BO46" s="174" t="s">
        <v>33</v>
      </c>
      <c r="BP46" s="61" t="str">
        <f t="shared" si="46"/>
        <v>1</v>
      </c>
      <c r="BQ46" s="218" t="str">
        <f t="shared" si="66"/>
        <v>-</v>
      </c>
      <c r="BR46" s="174" t="s">
        <v>33</v>
      </c>
      <c r="BS46" s="478" t="s">
        <v>594</v>
      </c>
      <c r="BT46" s="60"/>
      <c r="BU46" s="170"/>
      <c r="BV46" s="61" t="str">
        <f t="shared" si="47"/>
        <v xml:space="preserve"> </v>
      </c>
      <c r="BW46" s="218" t="s">
        <v>245</v>
      </c>
      <c r="BX46" s="174"/>
      <c r="BY46" s="218" t="str">
        <f t="shared" si="68"/>
        <v>-</v>
      </c>
      <c r="BZ46" s="60"/>
      <c r="CA46" s="174"/>
      <c r="CB46" s="61" t="str">
        <f t="shared" si="48"/>
        <v xml:space="preserve"> </v>
      </c>
      <c r="CC46" s="218" t="str">
        <f t="shared" si="69"/>
        <v>-</v>
      </c>
      <c r="CD46" s="174"/>
      <c r="CE46" s="92" t="str">
        <f t="shared" si="82"/>
        <v>OK</v>
      </c>
      <c r="CF46" s="60"/>
      <c r="CG46" s="174"/>
      <c r="CH46" s="61" t="str">
        <f t="shared" si="49"/>
        <v xml:space="preserve"> </v>
      </c>
      <c r="CI46" s="218" t="str">
        <f t="shared" si="70"/>
        <v>-</v>
      </c>
      <c r="CJ46" s="174"/>
      <c r="CK46" s="92" t="str">
        <f t="shared" si="83"/>
        <v>OK</v>
      </c>
      <c r="CL46" s="60"/>
      <c r="CM46" s="174"/>
      <c r="CN46" s="61" t="str">
        <f t="shared" si="50"/>
        <v xml:space="preserve"> </v>
      </c>
      <c r="CO46" s="218" t="s">
        <v>245</v>
      </c>
      <c r="CP46" s="174"/>
      <c r="CQ46" s="218" t="str">
        <f t="shared" si="71"/>
        <v>-</v>
      </c>
      <c r="CR46" s="60"/>
      <c r="CS46" s="174"/>
      <c r="CT46" s="61" t="str">
        <f t="shared" si="51"/>
        <v xml:space="preserve"> </v>
      </c>
      <c r="CU46" s="218" t="str">
        <f t="shared" si="72"/>
        <v>-</v>
      </c>
      <c r="CV46" s="174"/>
      <c r="CW46" s="92" t="s">
        <v>593</v>
      </c>
      <c r="CX46" s="60"/>
      <c r="CY46" s="174"/>
      <c r="CZ46" s="61" t="str">
        <f t="shared" si="52"/>
        <v xml:space="preserve"> </v>
      </c>
      <c r="DA46" s="218" t="str">
        <f t="shared" si="73"/>
        <v>-</v>
      </c>
      <c r="DB46" s="174"/>
      <c r="DC46" s="92" t="s">
        <v>593</v>
      </c>
    </row>
    <row r="47" spans="2:107" s="26" customFormat="1" ht="129" customHeight="1">
      <c r="B47" s="65">
        <f t="shared" si="61"/>
        <v>40</v>
      </c>
      <c r="C47" s="7"/>
      <c r="D47" s="7"/>
      <c r="E47" s="7"/>
      <c r="F47" s="112" t="s">
        <v>143</v>
      </c>
      <c r="G47" s="16"/>
      <c r="H47" s="13"/>
      <c r="I47" s="8"/>
      <c r="J47" s="8"/>
      <c r="K47" s="8"/>
      <c r="L47" s="8"/>
      <c r="M47" s="11" t="s">
        <v>447</v>
      </c>
      <c r="N47" s="1"/>
      <c r="O47" s="57"/>
      <c r="P47" s="95">
        <f t="shared" si="75"/>
        <v>23</v>
      </c>
      <c r="Q47" s="115">
        <v>1</v>
      </c>
      <c r="R47" s="21" t="str">
        <f t="shared" si="79"/>
        <v>X</v>
      </c>
      <c r="S47" s="98" t="s">
        <v>189</v>
      </c>
      <c r="T47" s="96"/>
      <c r="U47" s="21" t="s">
        <v>435</v>
      </c>
      <c r="V47" s="10"/>
      <c r="W47" s="25">
        <v>3</v>
      </c>
      <c r="X47" s="1" t="s">
        <v>302</v>
      </c>
      <c r="Y47" s="1">
        <v>1</v>
      </c>
      <c r="Z47" s="1">
        <v>1</v>
      </c>
      <c r="AA47" s="8" t="s">
        <v>261</v>
      </c>
      <c r="AB47" s="8" t="s">
        <v>257</v>
      </c>
      <c r="AC47" s="12"/>
      <c r="AD47" s="60"/>
      <c r="AE47" s="174" t="s">
        <v>33</v>
      </c>
      <c r="AF47" s="61" t="str">
        <f t="shared" si="40"/>
        <v>1</v>
      </c>
      <c r="AG47" s="218" t="str">
        <f t="shared" si="38"/>
        <v>-</v>
      </c>
      <c r="AH47" s="174">
        <v>1</v>
      </c>
      <c r="AI47" s="92" t="str">
        <f t="shared" si="84"/>
        <v>OK</v>
      </c>
      <c r="AJ47" s="60"/>
      <c r="AK47" s="174" t="s">
        <v>368</v>
      </c>
      <c r="AL47" s="61" t="str">
        <f t="shared" si="41"/>
        <v>0</v>
      </c>
      <c r="AM47" s="218" t="str">
        <f t="shared" si="62"/>
        <v>-</v>
      </c>
      <c r="AN47" s="174" t="s">
        <v>715</v>
      </c>
      <c r="AO47" s="92" t="str">
        <f t="shared" si="81"/>
        <v>OK</v>
      </c>
      <c r="AP47" s="60"/>
      <c r="AQ47" s="170" t="s">
        <v>368</v>
      </c>
      <c r="AR47" s="61" t="str">
        <f t="shared" si="42"/>
        <v>0</v>
      </c>
      <c r="AS47" s="218" t="str">
        <f t="shared" si="63"/>
        <v>OK</v>
      </c>
      <c r="AT47" s="174">
        <v>0</v>
      </c>
      <c r="AU47" s="218" t="str">
        <f t="shared" si="39"/>
        <v>-</v>
      </c>
      <c r="AV47" s="60"/>
      <c r="AW47" s="174" t="s">
        <v>33</v>
      </c>
      <c r="AX47" s="61" t="str">
        <f t="shared" si="43"/>
        <v>1</v>
      </c>
      <c r="AY47" s="218" t="str">
        <f t="shared" si="64"/>
        <v>-</v>
      </c>
      <c r="AZ47" s="174" t="s">
        <v>33</v>
      </c>
      <c r="BA47" s="478" t="s">
        <v>594</v>
      </c>
      <c r="BB47" s="60"/>
      <c r="BC47" s="174" t="s">
        <v>33</v>
      </c>
      <c r="BD47" s="61" t="str">
        <f t="shared" si="44"/>
        <v>1</v>
      </c>
      <c r="BE47" s="218" t="str">
        <f t="shared" si="65"/>
        <v>-</v>
      </c>
      <c r="BF47" s="174" t="s">
        <v>33</v>
      </c>
      <c r="BG47" s="478" t="s">
        <v>594</v>
      </c>
      <c r="BH47" s="60"/>
      <c r="BI47" s="170" t="s">
        <v>33</v>
      </c>
      <c r="BJ47" s="61" t="str">
        <f t="shared" si="45"/>
        <v>1</v>
      </c>
      <c r="BK47" s="218" t="str">
        <f t="shared" si="5"/>
        <v>OK</v>
      </c>
      <c r="BL47" s="174" t="s">
        <v>33</v>
      </c>
      <c r="BM47" s="478" t="s">
        <v>594</v>
      </c>
      <c r="BN47" s="60"/>
      <c r="BO47" s="174" t="s">
        <v>33</v>
      </c>
      <c r="BP47" s="61" t="str">
        <f t="shared" si="46"/>
        <v>1</v>
      </c>
      <c r="BQ47" s="218" t="str">
        <f t="shared" si="66"/>
        <v>-</v>
      </c>
      <c r="BR47" s="174" t="s">
        <v>33</v>
      </c>
      <c r="BS47" s="478" t="s">
        <v>594</v>
      </c>
      <c r="BT47" s="60"/>
      <c r="BU47" s="170"/>
      <c r="BV47" s="61" t="str">
        <f t="shared" si="47"/>
        <v xml:space="preserve"> </v>
      </c>
      <c r="BW47" s="218" t="s">
        <v>245</v>
      </c>
      <c r="BX47" s="174"/>
      <c r="BY47" s="218" t="str">
        <f t="shared" si="68"/>
        <v>-</v>
      </c>
      <c r="BZ47" s="60"/>
      <c r="CA47" s="174"/>
      <c r="CB47" s="61" t="str">
        <f t="shared" si="48"/>
        <v xml:space="preserve"> </v>
      </c>
      <c r="CC47" s="218" t="str">
        <f t="shared" si="69"/>
        <v>-</v>
      </c>
      <c r="CD47" s="174"/>
      <c r="CE47" s="92" t="str">
        <f t="shared" si="82"/>
        <v>OK</v>
      </c>
      <c r="CF47" s="60"/>
      <c r="CG47" s="174" t="s">
        <v>723</v>
      </c>
      <c r="CH47" s="61" t="str">
        <f t="shared" si="49"/>
        <v>7</v>
      </c>
      <c r="CI47" s="218" t="str">
        <f t="shared" si="70"/>
        <v>-</v>
      </c>
      <c r="CJ47" s="174" t="s">
        <v>723</v>
      </c>
      <c r="CK47" s="92" t="str">
        <f t="shared" si="83"/>
        <v>OK</v>
      </c>
      <c r="CL47" s="60"/>
      <c r="CM47" s="174"/>
      <c r="CN47" s="61" t="str">
        <f t="shared" si="50"/>
        <v xml:space="preserve"> </v>
      </c>
      <c r="CO47" s="218" t="s">
        <v>245</v>
      </c>
      <c r="CP47" s="174"/>
      <c r="CQ47" s="218" t="str">
        <f t="shared" si="71"/>
        <v>-</v>
      </c>
      <c r="CR47" s="60"/>
      <c r="CS47" s="174"/>
      <c r="CT47" s="61" t="str">
        <f t="shared" si="51"/>
        <v xml:space="preserve"> </v>
      </c>
      <c r="CU47" s="218" t="str">
        <f t="shared" si="72"/>
        <v>-</v>
      </c>
      <c r="CV47" s="174"/>
      <c r="CW47" s="92" t="s">
        <v>593</v>
      </c>
      <c r="CX47" s="60"/>
      <c r="CY47" s="174"/>
      <c r="CZ47" s="61" t="str">
        <f t="shared" si="52"/>
        <v xml:space="preserve"> </v>
      </c>
      <c r="DA47" s="218" t="str">
        <f t="shared" si="73"/>
        <v>-</v>
      </c>
      <c r="DB47" s="174"/>
      <c r="DC47" s="92" t="s">
        <v>593</v>
      </c>
    </row>
    <row r="48" spans="2:107" s="26" customFormat="1">
      <c r="B48" s="65">
        <f t="shared" si="61"/>
        <v>41</v>
      </c>
      <c r="C48" s="7"/>
      <c r="D48" s="7"/>
      <c r="E48" s="7"/>
      <c r="F48" s="22" t="s">
        <v>144</v>
      </c>
      <c r="G48" s="16"/>
      <c r="H48" s="13"/>
      <c r="I48" s="8"/>
      <c r="J48" s="8"/>
      <c r="K48" s="8"/>
      <c r="L48" s="8"/>
      <c r="M48" s="418" t="s">
        <v>145</v>
      </c>
      <c r="N48" s="1"/>
      <c r="O48" s="57"/>
      <c r="P48" s="95">
        <f t="shared" si="75"/>
        <v>24</v>
      </c>
      <c r="Q48" s="115">
        <v>400</v>
      </c>
      <c r="R48" s="21" t="str">
        <f t="shared" si="79"/>
        <v>NX</v>
      </c>
      <c r="S48" s="98" t="s">
        <v>146</v>
      </c>
      <c r="T48" s="96"/>
      <c r="U48" s="21" t="s">
        <v>435</v>
      </c>
      <c r="V48" s="10"/>
      <c r="W48" s="25">
        <v>3</v>
      </c>
      <c r="X48" s="1" t="s">
        <v>147</v>
      </c>
      <c r="Y48" s="1">
        <v>1</v>
      </c>
      <c r="Z48" s="1">
        <v>400</v>
      </c>
      <c r="AA48" s="8" t="s">
        <v>129</v>
      </c>
      <c r="AB48" s="8" t="s">
        <v>257</v>
      </c>
      <c r="AC48" s="12"/>
      <c r="AD48" s="60"/>
      <c r="AE48" s="174" t="s">
        <v>190</v>
      </c>
      <c r="AF48" s="271" t="str">
        <f t="shared" si="40"/>
        <v xml:space="preserve">申込受付中。                                                                                                                                                                                                                                                                                                                                                                                                    </v>
      </c>
      <c r="AG48" s="218" t="str">
        <f t="shared" si="38"/>
        <v>-</v>
      </c>
      <c r="AH48" s="174" t="s">
        <v>1</v>
      </c>
      <c r="AI48" s="92" t="str">
        <f t="shared" si="84"/>
        <v>OK</v>
      </c>
      <c r="AJ48" s="60"/>
      <c r="AK48" s="174" t="s">
        <v>682</v>
      </c>
      <c r="AL48" s="271" t="str">
        <f t="shared" si="41"/>
        <v xml:space="preserve">予約受付中。\※2017年2月頃より開通手続きを受付順に開始します。                                                                                                                                                                                                                                                                                                                                                  </v>
      </c>
      <c r="AM48" s="218" t="str">
        <f t="shared" si="62"/>
        <v>-</v>
      </c>
      <c r="AN48" s="174" t="s">
        <v>684</v>
      </c>
      <c r="AO48" s="92" t="str">
        <f t="shared" si="81"/>
        <v>OK</v>
      </c>
      <c r="AP48" s="60"/>
      <c r="AQ48" s="170" t="s">
        <v>702</v>
      </c>
      <c r="AR48" s="271" t="str">
        <f t="shared" si="42"/>
        <v xml:space="preserve">現在提供しておりません。                                                                                                                                                                                                                                                                                                                                                                                        </v>
      </c>
      <c r="AS48" s="218" t="str">
        <f t="shared" si="63"/>
        <v>OK</v>
      </c>
      <c r="AT48" s="174" t="s">
        <v>481</v>
      </c>
      <c r="AU48" s="218" t="str">
        <f t="shared" si="39"/>
        <v>-</v>
      </c>
      <c r="AV48" s="60"/>
      <c r="AW48" s="174" t="s">
        <v>190</v>
      </c>
      <c r="AX48" s="271" t="str">
        <f t="shared" si="43"/>
        <v xml:space="preserve">申込受付中。                                                                                                                                                                                                                                                                                                                                                                                                    </v>
      </c>
      <c r="AY48" s="218" t="str">
        <f t="shared" si="64"/>
        <v>-</v>
      </c>
      <c r="AZ48" s="174" t="s">
        <v>190</v>
      </c>
      <c r="BA48" s="478" t="s">
        <v>594</v>
      </c>
      <c r="BB48" s="60"/>
      <c r="BC48" s="174" t="s">
        <v>190</v>
      </c>
      <c r="BD48" s="271" t="str">
        <f t="shared" si="44"/>
        <v xml:space="preserve">申込受付中。                                                                                                                                                                                                                                                                                                                                                                                                    </v>
      </c>
      <c r="BE48" s="218" t="str">
        <f t="shared" si="65"/>
        <v>-</v>
      </c>
      <c r="BF48" s="174" t="s">
        <v>190</v>
      </c>
      <c r="BG48" s="478" t="s">
        <v>594</v>
      </c>
      <c r="BH48" s="60"/>
      <c r="BI48" s="170" t="s">
        <v>730</v>
      </c>
      <c r="BJ48" s="271" t="str">
        <f t="shared" si="45"/>
        <v xml:space="preserve">申込受付中。                                                                                                                                                                                                                                                                                                                                                                                                    </v>
      </c>
      <c r="BK48" s="218" t="str">
        <f t="shared" si="5"/>
        <v>OK</v>
      </c>
      <c r="BL48" s="174" t="s">
        <v>190</v>
      </c>
      <c r="BM48" s="478" t="s">
        <v>594</v>
      </c>
      <c r="BN48" s="60"/>
      <c r="BO48" s="174" t="s">
        <v>190</v>
      </c>
      <c r="BP48" s="271" t="str">
        <f t="shared" si="46"/>
        <v xml:space="preserve">申込受付中。                                                                                                                                                                                                                                                                                                                                                                                                    </v>
      </c>
      <c r="BQ48" s="218" t="str">
        <f t="shared" si="66"/>
        <v>-</v>
      </c>
      <c r="BR48" s="174" t="s">
        <v>190</v>
      </c>
      <c r="BS48" s="478" t="s">
        <v>594</v>
      </c>
      <c r="BT48" s="60"/>
      <c r="BU48" s="170"/>
      <c r="BV48" s="271" t="str">
        <f t="shared" si="47"/>
        <v xml:space="preserve">                                                                                                                                                                                                                                                                                                                                                                                                                </v>
      </c>
      <c r="BW48" s="218" t="s">
        <v>245</v>
      </c>
      <c r="BX48" s="174"/>
      <c r="BY48" s="218" t="str">
        <f t="shared" si="68"/>
        <v>-</v>
      </c>
      <c r="BZ48" s="60"/>
      <c r="CA48" s="174"/>
      <c r="CB48" s="271" t="str">
        <f t="shared" si="48"/>
        <v xml:space="preserve">                                                                                                                                                                                                                                                                                                                                                                                                                </v>
      </c>
      <c r="CC48" s="218" t="str">
        <f t="shared" si="69"/>
        <v>-</v>
      </c>
      <c r="CD48" s="174"/>
      <c r="CE48" s="92" t="str">
        <f t="shared" si="82"/>
        <v>OK</v>
      </c>
      <c r="CF48" s="60"/>
      <c r="CG48" s="174" t="s">
        <v>190</v>
      </c>
      <c r="CH48" s="271" t="str">
        <f t="shared" si="49"/>
        <v xml:space="preserve">申込受付中。                                                                                                                                                                                                                                                                                                                                                                                                    </v>
      </c>
      <c r="CI48" s="218" t="str">
        <f t="shared" si="70"/>
        <v>-</v>
      </c>
      <c r="CJ48" s="174" t="s">
        <v>1</v>
      </c>
      <c r="CK48" s="92" t="str">
        <f t="shared" si="83"/>
        <v>OK</v>
      </c>
      <c r="CL48" s="60"/>
      <c r="CM48" s="174"/>
      <c r="CN48" s="271" t="str">
        <f t="shared" si="50"/>
        <v xml:space="preserve">                                                                                                                                                                                                                                                                                                                                                                                                                </v>
      </c>
      <c r="CO48" s="218" t="s">
        <v>245</v>
      </c>
      <c r="CP48" s="174"/>
      <c r="CQ48" s="218" t="str">
        <f t="shared" si="71"/>
        <v>-</v>
      </c>
      <c r="CR48" s="60"/>
      <c r="CS48" s="174"/>
      <c r="CT48" s="271" t="str">
        <f t="shared" si="51"/>
        <v xml:space="preserve">                                                                                                                                                                                                                                                                                                                                                                                                                </v>
      </c>
      <c r="CU48" s="218" t="str">
        <f t="shared" si="72"/>
        <v>-</v>
      </c>
      <c r="CV48" s="174"/>
      <c r="CW48" s="92" t="s">
        <v>593</v>
      </c>
      <c r="CX48" s="60"/>
      <c r="CY48" s="174"/>
      <c r="CZ48" s="271" t="str">
        <f t="shared" si="52"/>
        <v xml:space="preserve">                                                                                                                                                                                                                                                                                                                                                                                                                </v>
      </c>
      <c r="DA48" s="218" t="str">
        <f t="shared" si="73"/>
        <v>-</v>
      </c>
      <c r="DB48" s="174"/>
      <c r="DC48" s="92" t="s">
        <v>593</v>
      </c>
    </row>
    <row r="49" spans="2:107" s="26" customFormat="1" ht="63.75">
      <c r="B49" s="65">
        <f t="shared" si="61"/>
        <v>42</v>
      </c>
      <c r="C49" s="7"/>
      <c r="D49" s="7"/>
      <c r="E49" s="7"/>
      <c r="F49" s="22" t="s">
        <v>148</v>
      </c>
      <c r="G49" s="16"/>
      <c r="H49" s="13"/>
      <c r="I49" s="8"/>
      <c r="J49" s="8"/>
      <c r="K49" s="8"/>
      <c r="L49" s="8"/>
      <c r="M49" s="418" t="s">
        <v>448</v>
      </c>
      <c r="N49" s="1"/>
      <c r="O49" s="57"/>
      <c r="P49" s="95">
        <f t="shared" si="75"/>
        <v>25</v>
      </c>
      <c r="Q49" s="115">
        <v>400</v>
      </c>
      <c r="R49" s="21" t="str">
        <f t="shared" si="79"/>
        <v>NX</v>
      </c>
      <c r="S49" s="98" t="s">
        <v>149</v>
      </c>
      <c r="T49" s="96"/>
      <c r="U49" s="21" t="s">
        <v>435</v>
      </c>
      <c r="V49" s="10"/>
      <c r="W49" s="25">
        <v>3</v>
      </c>
      <c r="X49" s="1" t="s">
        <v>150</v>
      </c>
      <c r="Y49" s="1">
        <v>1</v>
      </c>
      <c r="Z49" s="1">
        <v>400</v>
      </c>
      <c r="AA49" s="8" t="s">
        <v>129</v>
      </c>
      <c r="AB49" s="8" t="s">
        <v>257</v>
      </c>
      <c r="AC49" s="12"/>
      <c r="AD49" s="60"/>
      <c r="AE49" s="174"/>
      <c r="AF49" s="91" t="str">
        <f t="shared" si="40"/>
        <v xml:space="preserve">                                                                                                                                                                                                                                                                                                                                                                                                                </v>
      </c>
      <c r="AG49" s="218" t="str">
        <f t="shared" si="38"/>
        <v>-</v>
      </c>
      <c r="AH49" s="174"/>
      <c r="AI49" s="92" t="str">
        <f t="shared" si="84"/>
        <v>OK</v>
      </c>
      <c r="AJ49" s="60"/>
      <c r="AK49" s="174"/>
      <c r="AL49" s="91" t="str">
        <f t="shared" si="41"/>
        <v xml:space="preserve">                                                                                                                                                                                                                                                                                                                                                                                                                </v>
      </c>
      <c r="AM49" s="218" t="str">
        <f t="shared" si="62"/>
        <v>-</v>
      </c>
      <c r="AN49" s="174"/>
      <c r="AO49" s="92" t="str">
        <f t="shared" si="81"/>
        <v>OK</v>
      </c>
      <c r="AP49" s="60"/>
      <c r="AQ49" s="170" t="s">
        <v>703</v>
      </c>
      <c r="AR49" s="91" t="str">
        <f t="shared" si="42"/>
        <v xml:space="preserve">                                                                                                                                                                                                                                                                                                                                                                                                                </v>
      </c>
      <c r="AS49" s="218" t="str">
        <f t="shared" si="63"/>
        <v>OK</v>
      </c>
      <c r="AT49" s="174"/>
      <c r="AU49" s="218" t="str">
        <f t="shared" si="39"/>
        <v>-</v>
      </c>
      <c r="AV49" s="60"/>
      <c r="AW49" s="174"/>
      <c r="AX49" s="91" t="str">
        <f t="shared" si="43"/>
        <v xml:space="preserve">                                                                                                                                                                                                                                                                                                                                                                                                                </v>
      </c>
      <c r="AY49" s="218" t="str">
        <f t="shared" si="64"/>
        <v>-</v>
      </c>
      <c r="AZ49" s="174"/>
      <c r="BA49" s="478" t="s">
        <v>594</v>
      </c>
      <c r="BB49" s="60"/>
      <c r="BC49" s="174"/>
      <c r="BD49" s="91" t="str">
        <f t="shared" si="44"/>
        <v xml:space="preserve">                                                                                                                                                                                                                                                                                                                                                                                                                </v>
      </c>
      <c r="BE49" s="218" t="str">
        <f t="shared" si="65"/>
        <v>-</v>
      </c>
      <c r="BF49" s="174"/>
      <c r="BG49" s="478" t="s">
        <v>594</v>
      </c>
      <c r="BH49" s="60"/>
      <c r="BI49" s="170" t="s">
        <v>703</v>
      </c>
      <c r="BJ49" s="91" t="str">
        <f t="shared" si="45"/>
        <v xml:space="preserve">                                                                                                                                                                                                                                                                                                                                                                                                                </v>
      </c>
      <c r="BK49" s="218" t="str">
        <f t="shared" si="5"/>
        <v>OK</v>
      </c>
      <c r="BL49" s="174"/>
      <c r="BM49" s="478" t="s">
        <v>594</v>
      </c>
      <c r="BN49" s="60"/>
      <c r="BO49" s="174"/>
      <c r="BP49" s="91" t="str">
        <f t="shared" si="46"/>
        <v xml:space="preserve">                                                                                                                                                                                                                                                                                                                                                                                                                </v>
      </c>
      <c r="BQ49" s="218" t="str">
        <f t="shared" si="66"/>
        <v>-</v>
      </c>
      <c r="BR49" s="174"/>
      <c r="BS49" s="478" t="s">
        <v>594</v>
      </c>
      <c r="BT49" s="60"/>
      <c r="BU49" s="170"/>
      <c r="BV49" s="91" t="str">
        <f t="shared" si="47"/>
        <v xml:space="preserve">                                                                                                                                                                                                                                                                                                                                                                                                                </v>
      </c>
      <c r="BW49" s="218" t="s">
        <v>245</v>
      </c>
      <c r="BX49" s="174"/>
      <c r="BY49" s="218" t="str">
        <f t="shared" si="68"/>
        <v>-</v>
      </c>
      <c r="BZ49" s="60"/>
      <c r="CA49" s="174"/>
      <c r="CB49" s="91" t="str">
        <f t="shared" si="48"/>
        <v xml:space="preserve">                                                                                                                                                                                                                                                                                                                                                                                                                </v>
      </c>
      <c r="CC49" s="218" t="str">
        <f t="shared" si="69"/>
        <v>-</v>
      </c>
      <c r="CD49" s="174"/>
      <c r="CE49" s="92" t="str">
        <f t="shared" si="82"/>
        <v>OK</v>
      </c>
      <c r="CF49" s="60"/>
      <c r="CG49" s="174"/>
      <c r="CH49" s="91" t="str">
        <f t="shared" si="49"/>
        <v xml:space="preserve">                                                                                                                                                                                                                                                                                                                                                                                                                </v>
      </c>
      <c r="CI49" s="218" t="str">
        <f t="shared" si="70"/>
        <v>-</v>
      </c>
      <c r="CJ49" s="174"/>
      <c r="CK49" s="92" t="str">
        <f t="shared" si="83"/>
        <v>OK</v>
      </c>
      <c r="CL49" s="60"/>
      <c r="CM49" s="174"/>
      <c r="CN49" s="91" t="str">
        <f t="shared" si="50"/>
        <v xml:space="preserve">                                                                                                                                                                                                                                                                                                                                                                                                                </v>
      </c>
      <c r="CO49" s="218" t="s">
        <v>245</v>
      </c>
      <c r="CP49" s="174"/>
      <c r="CQ49" s="218" t="str">
        <f t="shared" si="71"/>
        <v>-</v>
      </c>
      <c r="CR49" s="60"/>
      <c r="CS49" s="174"/>
      <c r="CT49" s="91" t="str">
        <f t="shared" si="51"/>
        <v xml:space="preserve">                                                                                                                                                                                                                                                                                                                                                                                                                </v>
      </c>
      <c r="CU49" s="218" t="str">
        <f t="shared" si="72"/>
        <v>-</v>
      </c>
      <c r="CV49" s="174"/>
      <c r="CW49" s="92" t="s">
        <v>593</v>
      </c>
      <c r="CX49" s="60"/>
      <c r="CY49" s="174"/>
      <c r="CZ49" s="91" t="str">
        <f t="shared" si="52"/>
        <v xml:space="preserve">                                                                                                                                                                                                                                                                                                                                                                                                                </v>
      </c>
      <c r="DA49" s="218" t="str">
        <f t="shared" si="73"/>
        <v>-</v>
      </c>
      <c r="DB49" s="174"/>
      <c r="DC49" s="92" t="s">
        <v>593</v>
      </c>
    </row>
    <row r="50" spans="2:107" s="26" customFormat="1">
      <c r="B50" s="65">
        <f t="shared" si="61"/>
        <v>43</v>
      </c>
      <c r="C50" s="7"/>
      <c r="D50" s="7"/>
      <c r="E50" s="7"/>
      <c r="F50" s="22" t="s">
        <v>151</v>
      </c>
      <c r="G50" s="16"/>
      <c r="H50" s="13"/>
      <c r="I50" s="8"/>
      <c r="J50" s="8"/>
      <c r="K50" s="8"/>
      <c r="L50" s="8"/>
      <c r="M50" s="11" t="s">
        <v>152</v>
      </c>
      <c r="N50" s="1"/>
      <c r="O50" s="57"/>
      <c r="P50" s="95">
        <f t="shared" si="75"/>
        <v>26</v>
      </c>
      <c r="Q50" s="115">
        <v>400</v>
      </c>
      <c r="R50" s="21" t="str">
        <f t="shared" si="79"/>
        <v>NX</v>
      </c>
      <c r="S50" s="98" t="s">
        <v>153</v>
      </c>
      <c r="T50" s="96"/>
      <c r="U50" s="21" t="s">
        <v>435</v>
      </c>
      <c r="V50" s="10"/>
      <c r="W50" s="25">
        <v>3</v>
      </c>
      <c r="X50" s="1" t="s">
        <v>154</v>
      </c>
      <c r="Y50" s="1">
        <v>1</v>
      </c>
      <c r="Z50" s="1">
        <v>400</v>
      </c>
      <c r="AA50" s="8" t="s">
        <v>129</v>
      </c>
      <c r="AB50" s="8" t="s">
        <v>257</v>
      </c>
      <c r="AC50" s="12"/>
      <c r="AD50" s="60"/>
      <c r="AE50" s="169"/>
      <c r="AF50" s="91" t="str">
        <f t="shared" si="40"/>
        <v xml:space="preserve">                                                                                                                                                                                                                                                                                                                                                                                                                </v>
      </c>
      <c r="AG50" s="218" t="str">
        <f t="shared" si="38"/>
        <v>-</v>
      </c>
      <c r="AH50" s="169"/>
      <c r="AI50" s="92" t="str">
        <f t="shared" si="84"/>
        <v>OK</v>
      </c>
      <c r="AJ50" s="60"/>
      <c r="AK50" s="174"/>
      <c r="AL50" s="91" t="str">
        <f t="shared" si="41"/>
        <v xml:space="preserve">                                                                                                                                                                                                                                                                                                                                                                                                                </v>
      </c>
      <c r="AM50" s="218" t="str">
        <f t="shared" si="62"/>
        <v>-</v>
      </c>
      <c r="AN50" s="169"/>
      <c r="AO50" s="92" t="str">
        <f t="shared" si="81"/>
        <v>OK</v>
      </c>
      <c r="AP50" s="60"/>
      <c r="AQ50" s="170" t="s">
        <v>703</v>
      </c>
      <c r="AR50" s="91" t="str">
        <f t="shared" si="42"/>
        <v xml:space="preserve">                                                                                                                                                                                                                                                                                                                                                                                                                </v>
      </c>
      <c r="AS50" s="218" t="str">
        <f t="shared" si="63"/>
        <v>OK</v>
      </c>
      <c r="AT50" s="169"/>
      <c r="AU50" s="218" t="str">
        <f t="shared" si="39"/>
        <v>-</v>
      </c>
      <c r="AV50" s="60"/>
      <c r="AW50" s="169"/>
      <c r="AX50" s="91" t="str">
        <f t="shared" si="43"/>
        <v xml:space="preserve">                                                                                                                                                                                                                                                                                                                                                                                                                </v>
      </c>
      <c r="AY50" s="218" t="str">
        <f t="shared" si="64"/>
        <v>-</v>
      </c>
      <c r="AZ50" s="169"/>
      <c r="BA50" s="478" t="s">
        <v>594</v>
      </c>
      <c r="BB50" s="60"/>
      <c r="BC50" s="169"/>
      <c r="BD50" s="91" t="str">
        <f t="shared" si="44"/>
        <v xml:space="preserve">                                                                                                                                                                                                                                                                                                                                                                                                                </v>
      </c>
      <c r="BE50" s="218" t="str">
        <f t="shared" si="65"/>
        <v>-</v>
      </c>
      <c r="BF50" s="169"/>
      <c r="BG50" s="478" t="s">
        <v>594</v>
      </c>
      <c r="BH50" s="60"/>
      <c r="BI50" s="170" t="s">
        <v>703</v>
      </c>
      <c r="BJ50" s="91" t="str">
        <f t="shared" si="45"/>
        <v xml:space="preserve">                                                                                                                                                                                                                                                                                                                                                                                                                </v>
      </c>
      <c r="BK50" s="218" t="str">
        <f t="shared" si="5"/>
        <v>OK</v>
      </c>
      <c r="BL50" s="169"/>
      <c r="BM50" s="478" t="s">
        <v>594</v>
      </c>
      <c r="BN50" s="60"/>
      <c r="BO50" s="169"/>
      <c r="BP50" s="91" t="str">
        <f t="shared" si="46"/>
        <v xml:space="preserve">                                                                                                                                                                                                                                                                                                                                                                                                                </v>
      </c>
      <c r="BQ50" s="218" t="str">
        <f t="shared" si="66"/>
        <v>-</v>
      </c>
      <c r="BR50" s="169"/>
      <c r="BS50" s="478" t="s">
        <v>594</v>
      </c>
      <c r="BT50" s="60"/>
      <c r="BU50" s="172"/>
      <c r="BV50" s="91" t="str">
        <f t="shared" si="47"/>
        <v xml:space="preserve">                                                                                                                                                                                                                                                                                                                                                                                                                </v>
      </c>
      <c r="BW50" s="218" t="s">
        <v>245</v>
      </c>
      <c r="BX50" s="169"/>
      <c r="BY50" s="218" t="str">
        <f t="shared" si="68"/>
        <v>-</v>
      </c>
      <c r="BZ50" s="60"/>
      <c r="CA50" s="169"/>
      <c r="CB50" s="91" t="str">
        <f t="shared" si="48"/>
        <v xml:space="preserve">                                                                                                                                                                                                                                                                                                                                                                                                                </v>
      </c>
      <c r="CC50" s="218" t="str">
        <f t="shared" si="69"/>
        <v>-</v>
      </c>
      <c r="CD50" s="169"/>
      <c r="CE50" s="92" t="str">
        <f t="shared" si="82"/>
        <v>OK</v>
      </c>
      <c r="CF50" s="60"/>
      <c r="CG50" s="169"/>
      <c r="CH50" s="91" t="str">
        <f t="shared" si="49"/>
        <v xml:space="preserve">                                                                                                                                                                                                                                                                                                                                                                                                                </v>
      </c>
      <c r="CI50" s="218" t="str">
        <f t="shared" si="70"/>
        <v>-</v>
      </c>
      <c r="CJ50" s="169"/>
      <c r="CK50" s="92" t="str">
        <f t="shared" si="83"/>
        <v>OK</v>
      </c>
      <c r="CL50" s="60"/>
      <c r="CM50" s="169"/>
      <c r="CN50" s="91" t="str">
        <f t="shared" si="50"/>
        <v xml:space="preserve">                                                                                                                                                                                                                                                                                                                                                                                                                </v>
      </c>
      <c r="CO50" s="218" t="s">
        <v>245</v>
      </c>
      <c r="CP50" s="169"/>
      <c r="CQ50" s="218" t="str">
        <f t="shared" si="71"/>
        <v>-</v>
      </c>
      <c r="CR50" s="60"/>
      <c r="CS50" s="169"/>
      <c r="CT50" s="91" t="str">
        <f t="shared" si="51"/>
        <v xml:space="preserve">                                                                                                                                                                                                                                                                                                                                                                                                                </v>
      </c>
      <c r="CU50" s="218" t="str">
        <f t="shared" si="72"/>
        <v>-</v>
      </c>
      <c r="CV50" s="169"/>
      <c r="CW50" s="92" t="s">
        <v>593</v>
      </c>
      <c r="CX50" s="60"/>
      <c r="CY50" s="169"/>
      <c r="CZ50" s="91" t="str">
        <f t="shared" si="52"/>
        <v xml:space="preserve">                                                                                                                                                                                                                                                                                                                                                                                                                </v>
      </c>
      <c r="DA50" s="218" t="str">
        <f t="shared" si="73"/>
        <v>-</v>
      </c>
      <c r="DB50" s="169"/>
      <c r="DC50" s="92" t="s">
        <v>593</v>
      </c>
    </row>
    <row r="51" spans="2:107" s="26" customFormat="1" ht="76.5">
      <c r="B51" s="65">
        <f t="shared" si="61"/>
        <v>44</v>
      </c>
      <c r="C51" s="7"/>
      <c r="D51" s="7"/>
      <c r="E51" s="7"/>
      <c r="F51" s="22" t="s">
        <v>155</v>
      </c>
      <c r="G51" s="16"/>
      <c r="H51" s="13"/>
      <c r="I51" s="8"/>
      <c r="J51" s="8"/>
      <c r="K51" s="8"/>
      <c r="L51" s="8"/>
      <c r="M51" s="11" t="s">
        <v>449</v>
      </c>
      <c r="N51" s="1"/>
      <c r="O51" s="57"/>
      <c r="P51" s="95">
        <f t="shared" si="75"/>
        <v>27</v>
      </c>
      <c r="Q51" s="115">
        <v>400</v>
      </c>
      <c r="R51" s="21" t="str">
        <f t="shared" si="79"/>
        <v>NX</v>
      </c>
      <c r="S51" s="98" t="s">
        <v>156</v>
      </c>
      <c r="T51" s="96"/>
      <c r="U51" s="21" t="s">
        <v>435</v>
      </c>
      <c r="V51" s="10"/>
      <c r="W51" s="25">
        <v>3</v>
      </c>
      <c r="X51" s="1" t="s">
        <v>157</v>
      </c>
      <c r="Y51" s="1">
        <v>1</v>
      </c>
      <c r="Z51" s="1">
        <v>400</v>
      </c>
      <c r="AA51" s="8" t="s">
        <v>129</v>
      </c>
      <c r="AB51" s="8" t="s">
        <v>257</v>
      </c>
      <c r="AC51" s="12"/>
      <c r="AD51" s="60"/>
      <c r="AE51" s="169"/>
      <c r="AF51" s="91" t="str">
        <f t="shared" si="40"/>
        <v xml:space="preserve">                                                                                                                                                                                                                                                                                                                                                                                                                </v>
      </c>
      <c r="AG51" s="218" t="str">
        <f t="shared" si="38"/>
        <v>-</v>
      </c>
      <c r="AH51" s="169"/>
      <c r="AI51" s="92" t="str">
        <f t="shared" si="84"/>
        <v>OK</v>
      </c>
      <c r="AJ51" s="60"/>
      <c r="AK51" s="174"/>
      <c r="AL51" s="91" t="str">
        <f t="shared" si="41"/>
        <v xml:space="preserve">                                                                                                                                                                                                                                                                                                                                                                                                                </v>
      </c>
      <c r="AM51" s="218" t="str">
        <f t="shared" si="62"/>
        <v>-</v>
      </c>
      <c r="AN51" s="169"/>
      <c r="AO51" s="92" t="str">
        <f t="shared" si="81"/>
        <v>OK</v>
      </c>
      <c r="AP51" s="60"/>
      <c r="AQ51" s="170" t="s">
        <v>703</v>
      </c>
      <c r="AR51" s="91" t="str">
        <f t="shared" si="42"/>
        <v xml:space="preserve">                                                                                                                                                                                                                                                                                                                                                                                                                </v>
      </c>
      <c r="AS51" s="218" t="str">
        <f t="shared" si="63"/>
        <v>OK</v>
      </c>
      <c r="AT51" s="169"/>
      <c r="AU51" s="218" t="str">
        <f t="shared" si="39"/>
        <v>-</v>
      </c>
      <c r="AV51" s="60"/>
      <c r="AW51" s="169"/>
      <c r="AX51" s="91" t="str">
        <f t="shared" si="43"/>
        <v xml:space="preserve">                                                                                                                                                                                                                                                                                                                                                                                                                </v>
      </c>
      <c r="AY51" s="218" t="str">
        <f t="shared" si="64"/>
        <v>-</v>
      </c>
      <c r="AZ51" s="169"/>
      <c r="BA51" s="478" t="s">
        <v>594</v>
      </c>
      <c r="BB51" s="60"/>
      <c r="BC51" s="169"/>
      <c r="BD51" s="91" t="str">
        <f t="shared" si="44"/>
        <v xml:space="preserve">                                                                                                                                                                                                                                                                                                                                                                                                                </v>
      </c>
      <c r="BE51" s="218" t="str">
        <f t="shared" si="65"/>
        <v>-</v>
      </c>
      <c r="BF51" s="169"/>
      <c r="BG51" s="478" t="s">
        <v>594</v>
      </c>
      <c r="BH51" s="60"/>
      <c r="BI51" s="170" t="s">
        <v>703</v>
      </c>
      <c r="BJ51" s="91" t="str">
        <f t="shared" si="45"/>
        <v xml:space="preserve">                                                                                                                                                                                                                                                                                                                                                                                                                </v>
      </c>
      <c r="BK51" s="218" t="str">
        <f t="shared" si="5"/>
        <v>OK</v>
      </c>
      <c r="BL51" s="169"/>
      <c r="BM51" s="478" t="s">
        <v>594</v>
      </c>
      <c r="BN51" s="60"/>
      <c r="BO51" s="169"/>
      <c r="BP51" s="91" t="str">
        <f t="shared" si="46"/>
        <v xml:space="preserve">                                                                                                                                                                                                                                                                                                                                                                                                                </v>
      </c>
      <c r="BQ51" s="218" t="str">
        <f t="shared" si="66"/>
        <v>-</v>
      </c>
      <c r="BR51" s="169"/>
      <c r="BS51" s="478" t="s">
        <v>594</v>
      </c>
      <c r="BT51" s="60"/>
      <c r="BU51" s="172"/>
      <c r="BV51" s="91" t="str">
        <f t="shared" si="47"/>
        <v xml:space="preserve">                                                                                                                                                                                                                                                                                                                                                                                                                </v>
      </c>
      <c r="BW51" s="218" t="s">
        <v>245</v>
      </c>
      <c r="BX51" s="169"/>
      <c r="BY51" s="218" t="str">
        <f t="shared" si="68"/>
        <v>-</v>
      </c>
      <c r="BZ51" s="60"/>
      <c r="CA51" s="169"/>
      <c r="CB51" s="91" t="str">
        <f t="shared" si="48"/>
        <v xml:space="preserve">                                                                                                                                                                                                                                                                                                                                                                                                                </v>
      </c>
      <c r="CC51" s="218" t="str">
        <f t="shared" si="69"/>
        <v>-</v>
      </c>
      <c r="CD51" s="169"/>
      <c r="CE51" s="92" t="str">
        <f t="shared" si="82"/>
        <v>OK</v>
      </c>
      <c r="CF51" s="60"/>
      <c r="CG51" s="169"/>
      <c r="CH51" s="91" t="str">
        <f t="shared" si="49"/>
        <v xml:space="preserve">                                                                                                                                                                                                                                                                                                                                                                                                                </v>
      </c>
      <c r="CI51" s="218" t="str">
        <f t="shared" si="70"/>
        <v>-</v>
      </c>
      <c r="CJ51" s="169"/>
      <c r="CK51" s="92" t="str">
        <f t="shared" si="83"/>
        <v>OK</v>
      </c>
      <c r="CL51" s="60"/>
      <c r="CM51" s="169"/>
      <c r="CN51" s="91" t="str">
        <f t="shared" si="50"/>
        <v xml:space="preserve">                                                                                                                                                                                                                                                                                                                                                                                                                </v>
      </c>
      <c r="CO51" s="218" t="s">
        <v>245</v>
      </c>
      <c r="CP51" s="169"/>
      <c r="CQ51" s="218" t="str">
        <f t="shared" si="71"/>
        <v>-</v>
      </c>
      <c r="CR51" s="60"/>
      <c r="CS51" s="169"/>
      <c r="CT51" s="91" t="str">
        <f t="shared" si="51"/>
        <v xml:space="preserve">                                                                                                                                                                                                                                                                                                                                                                                                                </v>
      </c>
      <c r="CU51" s="218" t="str">
        <f t="shared" si="72"/>
        <v>-</v>
      </c>
      <c r="CV51" s="169"/>
      <c r="CW51" s="92" t="s">
        <v>593</v>
      </c>
      <c r="CX51" s="60"/>
      <c r="CY51" s="169"/>
      <c r="CZ51" s="91" t="str">
        <f t="shared" si="52"/>
        <v xml:space="preserve">                                                                                                                                                                                                                                                                                                                                                                                                                </v>
      </c>
      <c r="DA51" s="218" t="str">
        <f t="shared" si="73"/>
        <v>-</v>
      </c>
      <c r="DB51" s="169"/>
      <c r="DC51" s="92" t="s">
        <v>593</v>
      </c>
    </row>
    <row r="52" spans="2:107" s="26" customFormat="1">
      <c r="B52" s="65">
        <f t="shared" si="61"/>
        <v>45</v>
      </c>
      <c r="C52" s="7"/>
      <c r="D52" s="7"/>
      <c r="E52" s="7"/>
      <c r="F52" s="22" t="s">
        <v>158</v>
      </c>
      <c r="G52" s="16"/>
      <c r="H52" s="13"/>
      <c r="I52" s="8"/>
      <c r="J52" s="8"/>
      <c r="K52" s="8"/>
      <c r="L52" s="8"/>
      <c r="M52" s="11" t="s">
        <v>152</v>
      </c>
      <c r="N52" s="1"/>
      <c r="O52" s="57"/>
      <c r="P52" s="95">
        <f t="shared" si="75"/>
        <v>28</v>
      </c>
      <c r="Q52" s="115">
        <v>400</v>
      </c>
      <c r="R52" s="21" t="str">
        <f t="shared" si="79"/>
        <v>NX</v>
      </c>
      <c r="S52" s="98" t="s">
        <v>159</v>
      </c>
      <c r="T52" s="96"/>
      <c r="U52" s="21" t="s">
        <v>435</v>
      </c>
      <c r="V52" s="10"/>
      <c r="W52" s="25">
        <v>3</v>
      </c>
      <c r="X52" s="1" t="s">
        <v>160</v>
      </c>
      <c r="Y52" s="1">
        <v>1</v>
      </c>
      <c r="Z52" s="1">
        <v>400</v>
      </c>
      <c r="AA52" s="8" t="s">
        <v>129</v>
      </c>
      <c r="AB52" s="8" t="s">
        <v>257</v>
      </c>
      <c r="AC52" s="12"/>
      <c r="AD52" s="60"/>
      <c r="AE52" s="169"/>
      <c r="AF52" s="91" t="str">
        <f t="shared" si="40"/>
        <v xml:space="preserve">                                                                                                                                                                                                                                                                                                                                                                                                                </v>
      </c>
      <c r="AG52" s="218" t="str">
        <f t="shared" si="38"/>
        <v>-</v>
      </c>
      <c r="AH52" s="169"/>
      <c r="AI52" s="92" t="str">
        <f t="shared" si="84"/>
        <v>OK</v>
      </c>
      <c r="AJ52" s="60"/>
      <c r="AK52" s="174"/>
      <c r="AL52" s="91" t="str">
        <f t="shared" si="41"/>
        <v xml:space="preserve">                                                                                                                                                                                                                                                                                                                                                                                                                </v>
      </c>
      <c r="AM52" s="218" t="str">
        <f t="shared" si="62"/>
        <v>-</v>
      </c>
      <c r="AN52" s="169"/>
      <c r="AO52" s="92" t="str">
        <f t="shared" si="81"/>
        <v>OK</v>
      </c>
      <c r="AP52" s="60"/>
      <c r="AQ52" s="170" t="s">
        <v>703</v>
      </c>
      <c r="AR52" s="91" t="str">
        <f t="shared" si="42"/>
        <v xml:space="preserve">                                                                                                                                                                                                                                                                                                                                                                                                                </v>
      </c>
      <c r="AS52" s="218" t="str">
        <f t="shared" si="63"/>
        <v>OK</v>
      </c>
      <c r="AT52" s="169"/>
      <c r="AU52" s="218" t="str">
        <f t="shared" si="39"/>
        <v>-</v>
      </c>
      <c r="AV52" s="60"/>
      <c r="AW52" s="169"/>
      <c r="AX52" s="91" t="str">
        <f t="shared" si="43"/>
        <v xml:space="preserve">                                                                                                                                                                                                                                                                                                                                                                                                                </v>
      </c>
      <c r="AY52" s="218" t="str">
        <f t="shared" si="64"/>
        <v>-</v>
      </c>
      <c r="AZ52" s="169"/>
      <c r="BA52" s="478" t="s">
        <v>594</v>
      </c>
      <c r="BB52" s="60"/>
      <c r="BC52" s="169"/>
      <c r="BD52" s="91" t="str">
        <f t="shared" si="44"/>
        <v xml:space="preserve">                                                                                                                                                                                                                                                                                                                                                                                                                </v>
      </c>
      <c r="BE52" s="218" t="str">
        <f t="shared" si="65"/>
        <v>-</v>
      </c>
      <c r="BF52" s="169"/>
      <c r="BG52" s="478" t="s">
        <v>594</v>
      </c>
      <c r="BH52" s="60"/>
      <c r="BI52" s="170" t="s">
        <v>703</v>
      </c>
      <c r="BJ52" s="91" t="str">
        <f t="shared" si="45"/>
        <v xml:space="preserve">                                                                                                                                                                                                                                                                                                                                                                                                                </v>
      </c>
      <c r="BK52" s="218" t="str">
        <f t="shared" si="5"/>
        <v>OK</v>
      </c>
      <c r="BL52" s="169"/>
      <c r="BM52" s="478" t="s">
        <v>594</v>
      </c>
      <c r="BN52" s="60"/>
      <c r="BO52" s="169"/>
      <c r="BP52" s="91" t="str">
        <f t="shared" si="46"/>
        <v xml:space="preserve">                                                                                                                                                                                                                                                                                                                                                                                                                </v>
      </c>
      <c r="BQ52" s="218" t="str">
        <f t="shared" si="66"/>
        <v>-</v>
      </c>
      <c r="BR52" s="169"/>
      <c r="BS52" s="478" t="s">
        <v>594</v>
      </c>
      <c r="BT52" s="60"/>
      <c r="BU52" s="172"/>
      <c r="BV52" s="91" t="str">
        <f t="shared" si="47"/>
        <v xml:space="preserve">                                                                                                                                                                                                                                                                                                                                                                                                                </v>
      </c>
      <c r="BW52" s="218" t="s">
        <v>245</v>
      </c>
      <c r="BX52" s="169"/>
      <c r="BY52" s="218" t="str">
        <f t="shared" si="68"/>
        <v>-</v>
      </c>
      <c r="BZ52" s="60"/>
      <c r="CA52" s="169"/>
      <c r="CB52" s="91" t="str">
        <f t="shared" si="48"/>
        <v xml:space="preserve">                                                                                                                                                                                                                                                                                                                                                                                                                </v>
      </c>
      <c r="CC52" s="218" t="str">
        <f t="shared" si="69"/>
        <v>-</v>
      </c>
      <c r="CD52" s="169"/>
      <c r="CE52" s="92" t="str">
        <f t="shared" si="82"/>
        <v>OK</v>
      </c>
      <c r="CF52" s="60"/>
      <c r="CG52" s="169"/>
      <c r="CH52" s="91" t="str">
        <f t="shared" si="49"/>
        <v xml:space="preserve">                                                                                                                                                                                                                                                                                                                                                                                                                </v>
      </c>
      <c r="CI52" s="218" t="str">
        <f t="shared" si="70"/>
        <v>-</v>
      </c>
      <c r="CJ52" s="169"/>
      <c r="CK52" s="92" t="str">
        <f t="shared" si="83"/>
        <v>OK</v>
      </c>
      <c r="CL52" s="60"/>
      <c r="CM52" s="169"/>
      <c r="CN52" s="91" t="str">
        <f t="shared" si="50"/>
        <v xml:space="preserve">                                                                                                                                                                                                                                                                                                                                                                                                                </v>
      </c>
      <c r="CO52" s="218" t="s">
        <v>245</v>
      </c>
      <c r="CP52" s="169"/>
      <c r="CQ52" s="218" t="str">
        <f t="shared" si="71"/>
        <v>-</v>
      </c>
      <c r="CR52" s="60"/>
      <c r="CS52" s="169"/>
      <c r="CT52" s="91" t="str">
        <f t="shared" si="51"/>
        <v xml:space="preserve">                                                                                                                                                                                                                                                                                                                                                                                                                </v>
      </c>
      <c r="CU52" s="218" t="str">
        <f t="shared" si="72"/>
        <v>-</v>
      </c>
      <c r="CV52" s="169"/>
      <c r="CW52" s="92" t="s">
        <v>593</v>
      </c>
      <c r="CX52" s="60"/>
      <c r="CY52" s="169"/>
      <c r="CZ52" s="91" t="str">
        <f t="shared" si="52"/>
        <v xml:space="preserve">                                                                                                                                                                                                                                                                                                                                                                                                                </v>
      </c>
      <c r="DA52" s="218" t="str">
        <f t="shared" si="73"/>
        <v>-</v>
      </c>
      <c r="DB52" s="169"/>
      <c r="DC52" s="92" t="s">
        <v>593</v>
      </c>
    </row>
    <row r="53" spans="2:107" s="26" customFormat="1">
      <c r="B53" s="65">
        <f t="shared" si="61"/>
        <v>46</v>
      </c>
      <c r="C53" s="7"/>
      <c r="D53" s="7"/>
      <c r="E53" s="7"/>
      <c r="F53" s="22" t="s">
        <v>161</v>
      </c>
      <c r="G53" s="16"/>
      <c r="H53" s="13"/>
      <c r="I53" s="8"/>
      <c r="J53" s="8"/>
      <c r="K53" s="8"/>
      <c r="L53" s="8"/>
      <c r="M53" s="11" t="s">
        <v>152</v>
      </c>
      <c r="N53" s="1"/>
      <c r="O53" s="57"/>
      <c r="P53" s="95">
        <f t="shared" si="75"/>
        <v>29</v>
      </c>
      <c r="Q53" s="115">
        <v>400</v>
      </c>
      <c r="R53" s="21" t="str">
        <f t="shared" si="79"/>
        <v>NX</v>
      </c>
      <c r="S53" s="98" t="s">
        <v>162</v>
      </c>
      <c r="T53" s="96"/>
      <c r="U53" s="21" t="s">
        <v>435</v>
      </c>
      <c r="V53" s="10"/>
      <c r="W53" s="25">
        <v>3</v>
      </c>
      <c r="X53" s="1" t="s">
        <v>163</v>
      </c>
      <c r="Y53" s="1">
        <v>1</v>
      </c>
      <c r="Z53" s="1">
        <v>400</v>
      </c>
      <c r="AA53" s="8" t="s">
        <v>129</v>
      </c>
      <c r="AB53" s="8" t="s">
        <v>257</v>
      </c>
      <c r="AC53" s="12"/>
      <c r="AD53" s="60"/>
      <c r="AE53" s="169"/>
      <c r="AF53" s="91" t="str">
        <f t="shared" si="40"/>
        <v xml:space="preserve">                                                                                                                                                                                                                                                                                                                                                                                                                </v>
      </c>
      <c r="AG53" s="218" t="str">
        <f t="shared" si="38"/>
        <v>-</v>
      </c>
      <c r="AH53" s="169"/>
      <c r="AI53" s="92" t="str">
        <f t="shared" si="84"/>
        <v>OK</v>
      </c>
      <c r="AJ53" s="60"/>
      <c r="AK53" s="174"/>
      <c r="AL53" s="91" t="str">
        <f t="shared" si="41"/>
        <v xml:space="preserve">                                                                                                                                                                                                                                                                                                                                                                                                                </v>
      </c>
      <c r="AM53" s="218" t="str">
        <f t="shared" si="62"/>
        <v>-</v>
      </c>
      <c r="AN53" s="169"/>
      <c r="AO53" s="92" t="str">
        <f t="shared" si="81"/>
        <v>OK</v>
      </c>
      <c r="AP53" s="60"/>
      <c r="AQ53" s="170" t="s">
        <v>703</v>
      </c>
      <c r="AR53" s="91" t="str">
        <f t="shared" si="42"/>
        <v xml:space="preserve">                                                                                                                                                                                                                                                                                                                                                                                                                </v>
      </c>
      <c r="AS53" s="218" t="str">
        <f t="shared" si="63"/>
        <v>OK</v>
      </c>
      <c r="AT53" s="169"/>
      <c r="AU53" s="218" t="str">
        <f t="shared" si="39"/>
        <v>-</v>
      </c>
      <c r="AV53" s="60"/>
      <c r="AW53" s="169"/>
      <c r="AX53" s="91" t="str">
        <f t="shared" si="43"/>
        <v xml:space="preserve">                                                                                                                                                                                                                                                                                                                                                                                                                </v>
      </c>
      <c r="AY53" s="218" t="str">
        <f t="shared" si="64"/>
        <v>-</v>
      </c>
      <c r="AZ53" s="169"/>
      <c r="BA53" s="478" t="s">
        <v>594</v>
      </c>
      <c r="BB53" s="60"/>
      <c r="BC53" s="169"/>
      <c r="BD53" s="91" t="str">
        <f t="shared" si="44"/>
        <v xml:space="preserve">                                                                                                                                                                                                                                                                                                                                                                                                                </v>
      </c>
      <c r="BE53" s="218" t="str">
        <f t="shared" si="65"/>
        <v>-</v>
      </c>
      <c r="BF53" s="169"/>
      <c r="BG53" s="478" t="s">
        <v>594</v>
      </c>
      <c r="BH53" s="60"/>
      <c r="BI53" s="170" t="s">
        <v>703</v>
      </c>
      <c r="BJ53" s="91" t="str">
        <f t="shared" si="45"/>
        <v xml:space="preserve">                                                                                                                                                                                                                                                                                                                                                                                                                </v>
      </c>
      <c r="BK53" s="218" t="str">
        <f t="shared" si="5"/>
        <v>OK</v>
      </c>
      <c r="BL53" s="169"/>
      <c r="BM53" s="478" t="s">
        <v>594</v>
      </c>
      <c r="BN53" s="60"/>
      <c r="BO53" s="169"/>
      <c r="BP53" s="91" t="str">
        <f t="shared" si="46"/>
        <v xml:space="preserve">                                                                                                                                                                                                                                                                                                                                                                                                                </v>
      </c>
      <c r="BQ53" s="218" t="str">
        <f t="shared" si="66"/>
        <v>-</v>
      </c>
      <c r="BR53" s="169"/>
      <c r="BS53" s="478" t="s">
        <v>594</v>
      </c>
      <c r="BT53" s="60"/>
      <c r="BU53" s="172"/>
      <c r="BV53" s="91" t="str">
        <f t="shared" si="47"/>
        <v xml:space="preserve">                                                                                                                                                                                                                                                                                                                                                                                                                </v>
      </c>
      <c r="BW53" s="218" t="s">
        <v>245</v>
      </c>
      <c r="BX53" s="169"/>
      <c r="BY53" s="218" t="str">
        <f t="shared" si="68"/>
        <v>-</v>
      </c>
      <c r="BZ53" s="60"/>
      <c r="CA53" s="169"/>
      <c r="CB53" s="91" t="str">
        <f t="shared" si="48"/>
        <v xml:space="preserve">                                                                                                                                                                                                                                                                                                                                                                                                                </v>
      </c>
      <c r="CC53" s="218" t="str">
        <f t="shared" si="69"/>
        <v>-</v>
      </c>
      <c r="CD53" s="169"/>
      <c r="CE53" s="92" t="str">
        <f t="shared" si="82"/>
        <v>OK</v>
      </c>
      <c r="CF53" s="60"/>
      <c r="CG53" s="169"/>
      <c r="CH53" s="91" t="str">
        <f t="shared" si="49"/>
        <v xml:space="preserve">                                                                                                                                                                                                                                                                                                                                                                                                                </v>
      </c>
      <c r="CI53" s="218" t="str">
        <f t="shared" si="70"/>
        <v>-</v>
      </c>
      <c r="CJ53" s="169"/>
      <c r="CK53" s="92" t="str">
        <f t="shared" si="83"/>
        <v>OK</v>
      </c>
      <c r="CL53" s="60"/>
      <c r="CM53" s="169"/>
      <c r="CN53" s="91" t="str">
        <f t="shared" si="50"/>
        <v xml:space="preserve">                                                                                                                                                                                                                                                                                                                                                                                                                </v>
      </c>
      <c r="CO53" s="218" t="s">
        <v>245</v>
      </c>
      <c r="CP53" s="169"/>
      <c r="CQ53" s="218" t="str">
        <f t="shared" si="71"/>
        <v>-</v>
      </c>
      <c r="CR53" s="60"/>
      <c r="CS53" s="169"/>
      <c r="CT53" s="91" t="str">
        <f t="shared" si="51"/>
        <v xml:space="preserve">                                                                                                                                                                                                                                                                                                                                                                                                                </v>
      </c>
      <c r="CU53" s="218" t="str">
        <f t="shared" si="72"/>
        <v>-</v>
      </c>
      <c r="CV53" s="169"/>
      <c r="CW53" s="92" t="s">
        <v>593</v>
      </c>
      <c r="CX53" s="60"/>
      <c r="CY53" s="169"/>
      <c r="CZ53" s="91" t="str">
        <f t="shared" si="52"/>
        <v xml:space="preserve">                                                                                                                                                                                                                                                                                                                                                                                                                </v>
      </c>
      <c r="DA53" s="218" t="str">
        <f t="shared" si="73"/>
        <v>-</v>
      </c>
      <c r="DB53" s="169"/>
      <c r="DC53" s="92" t="s">
        <v>593</v>
      </c>
    </row>
    <row r="54" spans="2:107" s="26" customFormat="1" ht="89.25">
      <c r="B54" s="65">
        <f t="shared" si="61"/>
        <v>47</v>
      </c>
      <c r="C54" s="7"/>
      <c r="D54" s="7"/>
      <c r="E54" s="7"/>
      <c r="F54" s="22" t="s">
        <v>164</v>
      </c>
      <c r="G54" s="16"/>
      <c r="H54" s="13"/>
      <c r="I54" s="8"/>
      <c r="J54" s="8"/>
      <c r="K54" s="8"/>
      <c r="L54" s="8"/>
      <c r="M54" s="11" t="s">
        <v>450</v>
      </c>
      <c r="N54" s="1"/>
      <c r="O54" s="57"/>
      <c r="P54" s="95">
        <f t="shared" si="75"/>
        <v>30</v>
      </c>
      <c r="Q54" s="115">
        <v>1</v>
      </c>
      <c r="R54" s="21" t="str">
        <f t="shared" si="79"/>
        <v>X</v>
      </c>
      <c r="S54" s="98" t="s">
        <v>165</v>
      </c>
      <c r="T54" s="96"/>
      <c r="U54" s="21" t="s">
        <v>435</v>
      </c>
      <c r="V54" s="10"/>
      <c r="W54" s="25">
        <v>3</v>
      </c>
      <c r="X54" s="1" t="s">
        <v>303</v>
      </c>
      <c r="Y54" s="1">
        <v>1</v>
      </c>
      <c r="Z54" s="1">
        <v>1</v>
      </c>
      <c r="AA54" s="8" t="s">
        <v>114</v>
      </c>
      <c r="AB54" s="8" t="s">
        <v>21</v>
      </c>
      <c r="AC54" s="104"/>
      <c r="AD54" s="60"/>
      <c r="AE54" s="174"/>
      <c r="AF54" s="61" t="str">
        <f t="shared" si="40"/>
        <v xml:space="preserve"> </v>
      </c>
      <c r="AG54" s="218" t="str">
        <f t="shared" si="38"/>
        <v>-</v>
      </c>
      <c r="AH54" s="174"/>
      <c r="AI54" s="92" t="str">
        <f t="shared" si="84"/>
        <v>OK</v>
      </c>
      <c r="AJ54" s="60"/>
      <c r="AK54" s="174"/>
      <c r="AL54" s="61" t="str">
        <f t="shared" si="41"/>
        <v xml:space="preserve"> </v>
      </c>
      <c r="AM54" s="218" t="str">
        <f t="shared" si="62"/>
        <v>-</v>
      </c>
      <c r="AN54" s="174"/>
      <c r="AO54" s="92" t="str">
        <f t="shared" si="81"/>
        <v>OK</v>
      </c>
      <c r="AP54" s="60"/>
      <c r="AQ54" s="170" t="s">
        <v>38</v>
      </c>
      <c r="AR54" s="61" t="str">
        <f t="shared" si="42"/>
        <v xml:space="preserve"> </v>
      </c>
      <c r="AS54" s="218" t="str">
        <f t="shared" si="63"/>
        <v>OK</v>
      </c>
      <c r="AT54" s="174"/>
      <c r="AU54" s="218" t="str">
        <f t="shared" si="39"/>
        <v>-</v>
      </c>
      <c r="AV54" s="60"/>
      <c r="AW54" s="174"/>
      <c r="AX54" s="61" t="str">
        <f t="shared" si="43"/>
        <v xml:space="preserve"> </v>
      </c>
      <c r="AY54" s="218" t="str">
        <f t="shared" si="64"/>
        <v>-</v>
      </c>
      <c r="AZ54" s="174"/>
      <c r="BA54" s="478" t="s">
        <v>594</v>
      </c>
      <c r="BB54" s="60"/>
      <c r="BC54" s="174" t="s">
        <v>33</v>
      </c>
      <c r="BD54" s="61" t="str">
        <f t="shared" si="44"/>
        <v>1</v>
      </c>
      <c r="BE54" s="218" t="str">
        <f t="shared" si="65"/>
        <v>-</v>
      </c>
      <c r="BF54" s="174" t="s">
        <v>33</v>
      </c>
      <c r="BG54" s="478" t="s">
        <v>594</v>
      </c>
      <c r="BH54" s="60"/>
      <c r="BI54" s="170" t="s">
        <v>38</v>
      </c>
      <c r="BJ54" s="61" t="str">
        <f t="shared" si="45"/>
        <v xml:space="preserve"> </v>
      </c>
      <c r="BK54" s="218" t="str">
        <f t="shared" si="5"/>
        <v>OK</v>
      </c>
      <c r="BL54" s="174"/>
      <c r="BM54" s="478" t="s">
        <v>594</v>
      </c>
      <c r="BN54" s="60"/>
      <c r="BO54" s="174" t="s">
        <v>33</v>
      </c>
      <c r="BP54" s="61" t="str">
        <f t="shared" si="46"/>
        <v>1</v>
      </c>
      <c r="BQ54" s="218" t="str">
        <f t="shared" si="66"/>
        <v>-</v>
      </c>
      <c r="BR54" s="174" t="s">
        <v>33</v>
      </c>
      <c r="BS54" s="478" t="s">
        <v>594</v>
      </c>
      <c r="BT54" s="60"/>
      <c r="BU54" s="170"/>
      <c r="BV54" s="61" t="str">
        <f t="shared" si="47"/>
        <v xml:space="preserve"> </v>
      </c>
      <c r="BW54" s="218" t="s">
        <v>245</v>
      </c>
      <c r="BX54" s="174"/>
      <c r="BY54" s="218" t="str">
        <f t="shared" si="68"/>
        <v>-</v>
      </c>
      <c r="BZ54" s="60"/>
      <c r="CA54" s="174"/>
      <c r="CB54" s="61" t="str">
        <f t="shared" si="48"/>
        <v xml:space="preserve"> </v>
      </c>
      <c r="CC54" s="218" t="str">
        <f t="shared" si="69"/>
        <v>-</v>
      </c>
      <c r="CD54" s="174"/>
      <c r="CE54" s="92" t="str">
        <f t="shared" si="82"/>
        <v>OK</v>
      </c>
      <c r="CF54" s="60"/>
      <c r="CG54" s="174"/>
      <c r="CH54" s="61" t="str">
        <f t="shared" si="49"/>
        <v xml:space="preserve"> </v>
      </c>
      <c r="CI54" s="218" t="str">
        <f t="shared" si="70"/>
        <v>-</v>
      </c>
      <c r="CJ54" s="174"/>
      <c r="CK54" s="92" t="str">
        <f t="shared" si="83"/>
        <v>OK</v>
      </c>
      <c r="CL54" s="60"/>
      <c r="CM54" s="174"/>
      <c r="CN54" s="61" t="str">
        <f t="shared" si="50"/>
        <v xml:space="preserve"> </v>
      </c>
      <c r="CO54" s="218" t="s">
        <v>245</v>
      </c>
      <c r="CP54" s="174"/>
      <c r="CQ54" s="218" t="str">
        <f t="shared" si="71"/>
        <v>-</v>
      </c>
      <c r="CR54" s="60"/>
      <c r="CS54" s="174"/>
      <c r="CT54" s="61" t="str">
        <f t="shared" si="51"/>
        <v xml:space="preserve"> </v>
      </c>
      <c r="CU54" s="218" t="str">
        <f t="shared" si="72"/>
        <v>-</v>
      </c>
      <c r="CV54" s="174"/>
      <c r="CW54" s="92" t="s">
        <v>593</v>
      </c>
      <c r="CX54" s="60"/>
      <c r="CY54" s="174"/>
      <c r="CZ54" s="61" t="str">
        <f t="shared" si="52"/>
        <v xml:space="preserve"> </v>
      </c>
      <c r="DA54" s="218" t="str">
        <f t="shared" si="73"/>
        <v>-</v>
      </c>
      <c r="DB54" s="174"/>
      <c r="DC54" s="92" t="s">
        <v>593</v>
      </c>
    </row>
    <row r="55" spans="2:107" s="26" customFormat="1">
      <c r="B55" s="65">
        <f t="shared" si="61"/>
        <v>48</v>
      </c>
      <c r="C55" s="7"/>
      <c r="D55" s="7"/>
      <c r="E55" s="7"/>
      <c r="F55" s="22" t="s">
        <v>166</v>
      </c>
      <c r="G55" s="16"/>
      <c r="H55" s="13"/>
      <c r="I55" s="8"/>
      <c r="J55" s="8"/>
      <c r="K55" s="8"/>
      <c r="L55" s="8"/>
      <c r="M55" s="11"/>
      <c r="N55" s="1"/>
      <c r="O55" s="57"/>
      <c r="P55" s="95">
        <f t="shared" si="75"/>
        <v>31</v>
      </c>
      <c r="Q55" s="115">
        <v>128</v>
      </c>
      <c r="R55" s="21" t="str">
        <f t="shared" si="79"/>
        <v>X</v>
      </c>
      <c r="S55" s="98" t="s">
        <v>167</v>
      </c>
      <c r="T55" s="96"/>
      <c r="U55" s="21" t="s">
        <v>435</v>
      </c>
      <c r="V55" s="10"/>
      <c r="W55" s="25">
        <v>3</v>
      </c>
      <c r="X55" s="1" t="s">
        <v>304</v>
      </c>
      <c r="Y55" s="1">
        <v>1</v>
      </c>
      <c r="Z55" s="1">
        <v>128</v>
      </c>
      <c r="AA55" s="8" t="s">
        <v>114</v>
      </c>
      <c r="AB55" s="8" t="s">
        <v>21</v>
      </c>
      <c r="AC55" s="12"/>
      <c r="AD55" s="60"/>
      <c r="AE55" s="169"/>
      <c r="AF55" s="61" t="str">
        <f t="shared" si="40"/>
        <v xml:space="preserve">                                                                                                                                </v>
      </c>
      <c r="AG55" s="218" t="str">
        <f t="shared" si="38"/>
        <v>-</v>
      </c>
      <c r="AH55" s="169"/>
      <c r="AI55" s="92" t="str">
        <f t="shared" si="84"/>
        <v>OK</v>
      </c>
      <c r="AJ55" s="60"/>
      <c r="AK55" s="174"/>
      <c r="AL55" s="61" t="str">
        <f t="shared" si="41"/>
        <v xml:space="preserve">                                                                                                                                </v>
      </c>
      <c r="AM55" s="218" t="str">
        <f t="shared" si="62"/>
        <v>-</v>
      </c>
      <c r="AN55" s="169"/>
      <c r="AO55" s="92" t="str">
        <f t="shared" si="81"/>
        <v>OK</v>
      </c>
      <c r="AP55" s="60"/>
      <c r="AQ55" s="170" t="s">
        <v>704</v>
      </c>
      <c r="AR55" s="61" t="str">
        <f t="shared" si="42"/>
        <v xml:space="preserve">                                                                                                                                </v>
      </c>
      <c r="AS55" s="218" t="str">
        <f t="shared" si="63"/>
        <v>OK</v>
      </c>
      <c r="AT55" s="169"/>
      <c r="AU55" s="218" t="str">
        <f t="shared" si="39"/>
        <v>-</v>
      </c>
      <c r="AV55" s="60"/>
      <c r="AW55" s="169"/>
      <c r="AX55" s="61" t="str">
        <f t="shared" si="43"/>
        <v xml:space="preserve">                                                                                                                                </v>
      </c>
      <c r="AY55" s="218" t="str">
        <f t="shared" si="64"/>
        <v>-</v>
      </c>
      <c r="AZ55" s="169"/>
      <c r="BA55" s="478" t="s">
        <v>594</v>
      </c>
      <c r="BB55" s="60"/>
      <c r="BC55" s="169"/>
      <c r="BD55" s="61" t="str">
        <f t="shared" si="44"/>
        <v xml:space="preserve">                                                                                                                                </v>
      </c>
      <c r="BE55" s="218" t="str">
        <f t="shared" si="65"/>
        <v>-</v>
      </c>
      <c r="BF55" s="169"/>
      <c r="BG55" s="478" t="s">
        <v>594</v>
      </c>
      <c r="BH55" s="60"/>
      <c r="BI55" s="170" t="s">
        <v>704</v>
      </c>
      <c r="BJ55" s="61" t="str">
        <f t="shared" si="45"/>
        <v xml:space="preserve">                                                                                                                                </v>
      </c>
      <c r="BK55" s="218" t="str">
        <f t="shared" si="5"/>
        <v>OK</v>
      </c>
      <c r="BL55" s="169"/>
      <c r="BM55" s="478" t="s">
        <v>594</v>
      </c>
      <c r="BN55" s="60"/>
      <c r="BO55" s="169"/>
      <c r="BP55" s="61" t="str">
        <f t="shared" si="46"/>
        <v xml:space="preserve">                                                                                                                                </v>
      </c>
      <c r="BQ55" s="218" t="str">
        <f t="shared" si="66"/>
        <v>-</v>
      </c>
      <c r="BR55" s="169"/>
      <c r="BS55" s="478" t="s">
        <v>594</v>
      </c>
      <c r="BT55" s="60"/>
      <c r="BU55" s="172"/>
      <c r="BV55" s="61" t="str">
        <f t="shared" si="47"/>
        <v xml:space="preserve">                                                                                                                                </v>
      </c>
      <c r="BW55" s="218" t="s">
        <v>245</v>
      </c>
      <c r="BX55" s="169"/>
      <c r="BY55" s="218" t="str">
        <f t="shared" si="68"/>
        <v>-</v>
      </c>
      <c r="BZ55" s="60"/>
      <c r="CA55" s="169"/>
      <c r="CB55" s="61" t="str">
        <f t="shared" si="48"/>
        <v xml:space="preserve">                                                                                                                                </v>
      </c>
      <c r="CC55" s="218" t="str">
        <f t="shared" si="69"/>
        <v>-</v>
      </c>
      <c r="CD55" s="169"/>
      <c r="CE55" s="92" t="str">
        <f t="shared" si="82"/>
        <v>OK</v>
      </c>
      <c r="CF55" s="60"/>
      <c r="CG55" s="169"/>
      <c r="CH55" s="61" t="str">
        <f t="shared" si="49"/>
        <v xml:space="preserve">                                                                                                                                </v>
      </c>
      <c r="CI55" s="218" t="str">
        <f t="shared" si="70"/>
        <v>-</v>
      </c>
      <c r="CJ55" s="169"/>
      <c r="CK55" s="92" t="str">
        <f t="shared" si="83"/>
        <v>OK</v>
      </c>
      <c r="CL55" s="60"/>
      <c r="CM55" s="169"/>
      <c r="CN55" s="61" t="str">
        <f t="shared" si="50"/>
        <v xml:space="preserve">                                                                                                                                </v>
      </c>
      <c r="CO55" s="218" t="s">
        <v>245</v>
      </c>
      <c r="CP55" s="169"/>
      <c r="CQ55" s="218" t="str">
        <f t="shared" si="71"/>
        <v>-</v>
      </c>
      <c r="CR55" s="60"/>
      <c r="CS55" s="169"/>
      <c r="CT55" s="61" t="str">
        <f t="shared" si="51"/>
        <v xml:space="preserve">                                                                                                                                </v>
      </c>
      <c r="CU55" s="218" t="str">
        <f t="shared" si="72"/>
        <v>-</v>
      </c>
      <c r="CV55" s="169"/>
      <c r="CW55" s="92" t="s">
        <v>593</v>
      </c>
      <c r="CX55" s="60"/>
      <c r="CY55" s="169"/>
      <c r="CZ55" s="61" t="str">
        <f t="shared" si="52"/>
        <v xml:space="preserve">                                                                                                                                </v>
      </c>
      <c r="DA55" s="218" t="str">
        <f t="shared" si="73"/>
        <v>-</v>
      </c>
      <c r="DB55" s="169"/>
      <c r="DC55" s="92" t="s">
        <v>593</v>
      </c>
    </row>
    <row r="56" spans="2:107" s="26" customFormat="1" ht="114.75">
      <c r="B56" s="65">
        <f t="shared" si="61"/>
        <v>49</v>
      </c>
      <c r="C56" s="7"/>
      <c r="D56" s="7"/>
      <c r="E56" s="7"/>
      <c r="F56" s="22" t="s">
        <v>168</v>
      </c>
      <c r="G56" s="16"/>
      <c r="H56" s="13"/>
      <c r="I56" s="8"/>
      <c r="J56" s="8"/>
      <c r="K56" s="8"/>
      <c r="L56" s="8"/>
      <c r="M56" s="11" t="s">
        <v>399</v>
      </c>
      <c r="N56" s="1"/>
      <c r="O56" s="57"/>
      <c r="P56" s="95">
        <f t="shared" si="75"/>
        <v>32</v>
      </c>
      <c r="Q56" s="115">
        <v>1</v>
      </c>
      <c r="R56" s="21" t="str">
        <f t="shared" si="79"/>
        <v>X</v>
      </c>
      <c r="S56" s="98" t="s">
        <v>169</v>
      </c>
      <c r="T56" s="96"/>
      <c r="U56" s="21" t="s">
        <v>435</v>
      </c>
      <c r="V56" s="10"/>
      <c r="W56" s="25">
        <v>3</v>
      </c>
      <c r="X56" s="1" t="s">
        <v>305</v>
      </c>
      <c r="Y56" s="1">
        <v>1</v>
      </c>
      <c r="Z56" s="1">
        <v>1</v>
      </c>
      <c r="AA56" s="8" t="s">
        <v>114</v>
      </c>
      <c r="AB56" s="8" t="s">
        <v>21</v>
      </c>
      <c r="AC56" s="104"/>
      <c r="AD56" s="60"/>
      <c r="AE56" s="174"/>
      <c r="AF56" s="61" t="str">
        <f t="shared" si="40"/>
        <v xml:space="preserve"> </v>
      </c>
      <c r="AG56" s="218" t="str">
        <f t="shared" si="38"/>
        <v>-</v>
      </c>
      <c r="AH56" s="174"/>
      <c r="AI56" s="92" t="str">
        <f t="shared" si="84"/>
        <v>OK</v>
      </c>
      <c r="AJ56" s="60"/>
      <c r="AK56" s="174"/>
      <c r="AL56" s="61" t="str">
        <f t="shared" si="41"/>
        <v xml:space="preserve"> </v>
      </c>
      <c r="AM56" s="218" t="str">
        <f t="shared" si="62"/>
        <v>-</v>
      </c>
      <c r="AN56" s="174"/>
      <c r="AO56" s="92" t="str">
        <f t="shared" si="81"/>
        <v>OK</v>
      </c>
      <c r="AP56" s="60"/>
      <c r="AQ56" s="170" t="s">
        <v>38</v>
      </c>
      <c r="AR56" s="61" t="str">
        <f t="shared" si="42"/>
        <v xml:space="preserve"> </v>
      </c>
      <c r="AS56" s="218" t="str">
        <f t="shared" si="63"/>
        <v>OK</v>
      </c>
      <c r="AT56" s="174"/>
      <c r="AU56" s="218" t="str">
        <f t="shared" si="39"/>
        <v>-</v>
      </c>
      <c r="AV56" s="60"/>
      <c r="AW56" s="174" t="s">
        <v>33</v>
      </c>
      <c r="AX56" s="61" t="str">
        <f t="shared" si="43"/>
        <v>1</v>
      </c>
      <c r="AY56" s="218" t="str">
        <f t="shared" si="64"/>
        <v>-</v>
      </c>
      <c r="AZ56" s="174" t="s">
        <v>33</v>
      </c>
      <c r="BA56" s="478" t="s">
        <v>594</v>
      </c>
      <c r="BB56" s="60"/>
      <c r="BC56" s="174" t="s">
        <v>33</v>
      </c>
      <c r="BD56" s="61" t="str">
        <f t="shared" si="44"/>
        <v>1</v>
      </c>
      <c r="BE56" s="218" t="str">
        <f t="shared" si="65"/>
        <v>-</v>
      </c>
      <c r="BF56" s="174" t="s">
        <v>33</v>
      </c>
      <c r="BG56" s="478" t="s">
        <v>594</v>
      </c>
      <c r="BH56" s="60"/>
      <c r="BI56" s="170" t="s">
        <v>33</v>
      </c>
      <c r="BJ56" s="61" t="str">
        <f t="shared" si="45"/>
        <v>1</v>
      </c>
      <c r="BK56" s="218" t="str">
        <f t="shared" si="5"/>
        <v>OK</v>
      </c>
      <c r="BL56" s="174" t="s">
        <v>33</v>
      </c>
      <c r="BM56" s="478" t="s">
        <v>594</v>
      </c>
      <c r="BN56" s="60"/>
      <c r="BO56" s="174" t="s">
        <v>33</v>
      </c>
      <c r="BP56" s="61" t="str">
        <f t="shared" si="46"/>
        <v>1</v>
      </c>
      <c r="BQ56" s="218" t="str">
        <f t="shared" si="66"/>
        <v>-</v>
      </c>
      <c r="BR56" s="174" t="s">
        <v>33</v>
      </c>
      <c r="BS56" s="478" t="s">
        <v>594</v>
      </c>
      <c r="BT56" s="60"/>
      <c r="BU56" s="170"/>
      <c r="BV56" s="61" t="str">
        <f t="shared" si="47"/>
        <v xml:space="preserve"> </v>
      </c>
      <c r="BW56" s="218" t="s">
        <v>245</v>
      </c>
      <c r="BX56" s="174"/>
      <c r="BY56" s="218" t="str">
        <f t="shared" si="68"/>
        <v>-</v>
      </c>
      <c r="BZ56" s="60"/>
      <c r="CA56" s="174"/>
      <c r="CB56" s="61" t="str">
        <f t="shared" si="48"/>
        <v xml:space="preserve"> </v>
      </c>
      <c r="CC56" s="218" t="str">
        <f t="shared" si="69"/>
        <v>-</v>
      </c>
      <c r="CD56" s="174"/>
      <c r="CE56" s="92" t="str">
        <f t="shared" si="82"/>
        <v>OK</v>
      </c>
      <c r="CF56" s="60"/>
      <c r="CG56" s="174"/>
      <c r="CH56" s="61" t="str">
        <f t="shared" si="49"/>
        <v xml:space="preserve"> </v>
      </c>
      <c r="CI56" s="218" t="str">
        <f t="shared" si="70"/>
        <v>-</v>
      </c>
      <c r="CJ56" s="174"/>
      <c r="CK56" s="92" t="str">
        <f t="shared" si="83"/>
        <v>OK</v>
      </c>
      <c r="CL56" s="60"/>
      <c r="CM56" s="174"/>
      <c r="CN56" s="61" t="str">
        <f t="shared" si="50"/>
        <v xml:space="preserve"> </v>
      </c>
      <c r="CO56" s="218" t="s">
        <v>245</v>
      </c>
      <c r="CP56" s="174"/>
      <c r="CQ56" s="218" t="str">
        <f t="shared" si="71"/>
        <v>-</v>
      </c>
      <c r="CR56" s="60"/>
      <c r="CS56" s="174"/>
      <c r="CT56" s="61" t="str">
        <f t="shared" si="51"/>
        <v xml:space="preserve"> </v>
      </c>
      <c r="CU56" s="218" t="str">
        <f t="shared" si="72"/>
        <v>-</v>
      </c>
      <c r="CV56" s="174"/>
      <c r="CW56" s="92" t="s">
        <v>593</v>
      </c>
      <c r="CX56" s="60"/>
      <c r="CY56" s="174"/>
      <c r="CZ56" s="61" t="str">
        <f t="shared" si="52"/>
        <v xml:space="preserve"> </v>
      </c>
      <c r="DA56" s="218" t="str">
        <f t="shared" si="73"/>
        <v>-</v>
      </c>
      <c r="DB56" s="174"/>
      <c r="DC56" s="92" t="s">
        <v>593</v>
      </c>
    </row>
    <row r="57" spans="2:107" s="26" customFormat="1" ht="127.5">
      <c r="B57" s="65">
        <f t="shared" si="61"/>
        <v>50</v>
      </c>
      <c r="C57" s="7"/>
      <c r="D57" s="7"/>
      <c r="E57" s="7"/>
      <c r="F57" s="22" t="s">
        <v>170</v>
      </c>
      <c r="G57" s="16"/>
      <c r="H57" s="13"/>
      <c r="I57" s="8"/>
      <c r="J57" s="8" t="s">
        <v>426</v>
      </c>
      <c r="K57" s="8"/>
      <c r="L57" s="8"/>
      <c r="M57" s="418" t="s">
        <v>451</v>
      </c>
      <c r="N57" s="1"/>
      <c r="O57" s="57"/>
      <c r="P57" s="95">
        <f t="shared" si="75"/>
        <v>33</v>
      </c>
      <c r="Q57" s="115">
        <v>1</v>
      </c>
      <c r="R57" s="21" t="str">
        <f t="shared" si="79"/>
        <v>X</v>
      </c>
      <c r="S57" s="98" t="s">
        <v>171</v>
      </c>
      <c r="T57" s="96"/>
      <c r="U57" s="21" t="s">
        <v>435</v>
      </c>
      <c r="V57" s="10"/>
      <c r="W57" s="25">
        <v>3</v>
      </c>
      <c r="X57" s="1" t="s">
        <v>306</v>
      </c>
      <c r="Y57" s="1">
        <v>1</v>
      </c>
      <c r="Z57" s="1">
        <v>1</v>
      </c>
      <c r="AA57" s="8" t="s">
        <v>114</v>
      </c>
      <c r="AB57" s="8" t="s">
        <v>21</v>
      </c>
      <c r="AC57" s="104"/>
      <c r="AD57" s="60"/>
      <c r="AE57" s="174" t="s">
        <v>33</v>
      </c>
      <c r="AF57" s="61" t="str">
        <f t="shared" si="40"/>
        <v>1</v>
      </c>
      <c r="AG57" s="218" t="str">
        <f t="shared" si="38"/>
        <v>-</v>
      </c>
      <c r="AH57" s="174" t="s">
        <v>33</v>
      </c>
      <c r="AI57" s="92" t="str">
        <f t="shared" si="84"/>
        <v>OK</v>
      </c>
      <c r="AJ57" s="60"/>
      <c r="AK57" s="174" t="s">
        <v>33</v>
      </c>
      <c r="AL57" s="61" t="str">
        <f t="shared" si="41"/>
        <v>1</v>
      </c>
      <c r="AM57" s="218" t="str">
        <f t="shared" si="62"/>
        <v>-</v>
      </c>
      <c r="AN57" s="174" t="s">
        <v>33</v>
      </c>
      <c r="AO57" s="92" t="str">
        <f t="shared" si="81"/>
        <v>OK</v>
      </c>
      <c r="AP57" s="60"/>
      <c r="AQ57" s="170" t="s">
        <v>33</v>
      </c>
      <c r="AR57" s="61" t="str">
        <f t="shared" si="42"/>
        <v>1</v>
      </c>
      <c r="AS57" s="218" t="str">
        <f>IF(OR(AQ$8="判定対象外",AR$8="判定対象外",AR57="-"),"-",IF(AQ57=AR57,"OK","NG"))</f>
        <v>OK</v>
      </c>
      <c r="AT57" s="174" t="s">
        <v>33</v>
      </c>
      <c r="AU57" s="218" t="str">
        <f t="shared" si="39"/>
        <v>-</v>
      </c>
      <c r="AV57" s="60"/>
      <c r="AW57" s="174" t="s">
        <v>33</v>
      </c>
      <c r="AX57" s="61" t="str">
        <f t="shared" si="43"/>
        <v>1</v>
      </c>
      <c r="AY57" s="218" t="str">
        <f t="shared" si="64"/>
        <v>-</v>
      </c>
      <c r="AZ57" s="174" t="s">
        <v>33</v>
      </c>
      <c r="BA57" s="478" t="s">
        <v>594</v>
      </c>
      <c r="BB57" s="60"/>
      <c r="BC57" s="174" t="s">
        <v>33</v>
      </c>
      <c r="BD57" s="61" t="str">
        <f t="shared" si="44"/>
        <v>1</v>
      </c>
      <c r="BE57" s="218" t="str">
        <f t="shared" si="65"/>
        <v>-</v>
      </c>
      <c r="BF57" s="174" t="s">
        <v>33</v>
      </c>
      <c r="BG57" s="478" t="s">
        <v>594</v>
      </c>
      <c r="BH57" s="60"/>
      <c r="BI57" s="170" t="s">
        <v>33</v>
      </c>
      <c r="BJ57" s="61" t="str">
        <f t="shared" si="45"/>
        <v>1</v>
      </c>
      <c r="BK57" s="218" t="str">
        <f t="shared" ref="BK57:BK66" si="85">IF(OR(BI$8="判定対象外",BJ$8="判定対象外",BJ57="-"),"-",IF(BI57=BJ57,"OK","NG"))</f>
        <v>OK</v>
      </c>
      <c r="BL57" s="174" t="s">
        <v>33</v>
      </c>
      <c r="BM57" s="478" t="s">
        <v>594</v>
      </c>
      <c r="BN57" s="60"/>
      <c r="BO57" s="174" t="s">
        <v>33</v>
      </c>
      <c r="BP57" s="61" t="str">
        <f t="shared" si="46"/>
        <v>1</v>
      </c>
      <c r="BQ57" s="218" t="str">
        <f t="shared" si="66"/>
        <v>-</v>
      </c>
      <c r="BR57" s="174" t="s">
        <v>33</v>
      </c>
      <c r="BS57" s="478" t="s">
        <v>594</v>
      </c>
      <c r="BT57" s="60"/>
      <c r="BU57" s="170"/>
      <c r="BV57" s="61" t="str">
        <f t="shared" si="47"/>
        <v xml:space="preserve"> </v>
      </c>
      <c r="BW57" s="218" t="s">
        <v>245</v>
      </c>
      <c r="BX57" s="174"/>
      <c r="BY57" s="218" t="str">
        <f t="shared" si="68"/>
        <v>-</v>
      </c>
      <c r="BZ57" s="60"/>
      <c r="CA57" s="174"/>
      <c r="CB57" s="61" t="str">
        <f t="shared" si="48"/>
        <v xml:space="preserve"> </v>
      </c>
      <c r="CC57" s="218" t="str">
        <f t="shared" si="69"/>
        <v>-</v>
      </c>
      <c r="CD57" s="174"/>
      <c r="CE57" s="92" t="str">
        <f t="shared" si="82"/>
        <v>OK</v>
      </c>
      <c r="CF57" s="60"/>
      <c r="CG57" s="174" t="s">
        <v>33</v>
      </c>
      <c r="CH57" s="61" t="str">
        <f t="shared" si="49"/>
        <v>1</v>
      </c>
      <c r="CI57" s="218" t="str">
        <f t="shared" si="70"/>
        <v>-</v>
      </c>
      <c r="CJ57" s="174" t="s">
        <v>33</v>
      </c>
      <c r="CK57" s="92" t="str">
        <f t="shared" si="83"/>
        <v>OK</v>
      </c>
      <c r="CL57" s="60"/>
      <c r="CM57" s="174"/>
      <c r="CN57" s="61" t="str">
        <f t="shared" si="50"/>
        <v xml:space="preserve"> </v>
      </c>
      <c r="CO57" s="218" t="s">
        <v>245</v>
      </c>
      <c r="CP57" s="174"/>
      <c r="CQ57" s="218" t="str">
        <f t="shared" si="71"/>
        <v>-</v>
      </c>
      <c r="CR57" s="60"/>
      <c r="CS57" s="174"/>
      <c r="CT57" s="61" t="str">
        <f t="shared" si="51"/>
        <v xml:space="preserve"> </v>
      </c>
      <c r="CU57" s="218" t="str">
        <f t="shared" si="72"/>
        <v>-</v>
      </c>
      <c r="CV57" s="174"/>
      <c r="CW57" s="92" t="s">
        <v>593</v>
      </c>
      <c r="CX57" s="60"/>
      <c r="CY57" s="174"/>
      <c r="CZ57" s="61" t="str">
        <f t="shared" si="52"/>
        <v xml:space="preserve"> </v>
      </c>
      <c r="DA57" s="218" t="str">
        <f t="shared" si="73"/>
        <v>-</v>
      </c>
      <c r="DB57" s="174"/>
      <c r="DC57" s="92" t="s">
        <v>593</v>
      </c>
    </row>
    <row r="58" spans="2:107" s="26" customFormat="1" ht="334.5" customHeight="1">
      <c r="B58" s="65">
        <f t="shared" si="61"/>
        <v>51</v>
      </c>
      <c r="C58" s="7"/>
      <c r="D58" s="7"/>
      <c r="E58" s="54"/>
      <c r="F58" s="113" t="s">
        <v>452</v>
      </c>
      <c r="G58" s="67"/>
      <c r="H58" s="62"/>
      <c r="I58" s="8"/>
      <c r="J58" s="8" t="s">
        <v>426</v>
      </c>
      <c r="K58" s="8"/>
      <c r="L58" s="8"/>
      <c r="M58" s="415" t="s">
        <v>453</v>
      </c>
      <c r="N58" s="16"/>
      <c r="O58" s="57"/>
      <c r="P58" s="95">
        <f t="shared" si="75"/>
        <v>34</v>
      </c>
      <c r="Q58" s="115">
        <v>2</v>
      </c>
      <c r="R58" s="21" t="str">
        <f t="shared" si="79"/>
        <v>X</v>
      </c>
      <c r="S58" s="98" t="s">
        <v>172</v>
      </c>
      <c r="T58" s="96"/>
      <c r="U58" s="21" t="s">
        <v>435</v>
      </c>
      <c r="V58" s="10"/>
      <c r="W58" s="25">
        <v>3</v>
      </c>
      <c r="X58" s="1" t="s">
        <v>308</v>
      </c>
      <c r="Y58" s="1">
        <v>2</v>
      </c>
      <c r="Z58" s="1">
        <v>2</v>
      </c>
      <c r="AA58" s="8" t="s">
        <v>261</v>
      </c>
      <c r="AB58" s="8" t="s">
        <v>257</v>
      </c>
      <c r="AC58" s="68"/>
      <c r="AD58" s="60"/>
      <c r="AE58" s="174" t="s">
        <v>669</v>
      </c>
      <c r="AF58" s="273" t="str">
        <f t="shared" si="40"/>
        <v>K1</v>
      </c>
      <c r="AG58" s="218" t="str">
        <f t="shared" si="38"/>
        <v>-</v>
      </c>
      <c r="AH58" s="174" t="s">
        <v>595</v>
      </c>
      <c r="AI58" s="92" t="str">
        <f t="shared" si="84"/>
        <v>OK</v>
      </c>
      <c r="AJ58" s="60"/>
      <c r="AK58" s="174" t="s">
        <v>680</v>
      </c>
      <c r="AL58" s="273" t="str">
        <f t="shared" si="41"/>
        <v>K2</v>
      </c>
      <c r="AM58" s="218" t="str">
        <f t="shared" si="62"/>
        <v>-</v>
      </c>
      <c r="AN58" s="174" t="s">
        <v>600</v>
      </c>
      <c r="AO58" s="92" t="str">
        <f t="shared" si="81"/>
        <v>OK</v>
      </c>
      <c r="AP58" s="60"/>
      <c r="AQ58" s="170" t="s">
        <v>669</v>
      </c>
      <c r="AR58" s="273" t="str">
        <f t="shared" si="42"/>
        <v>K1</v>
      </c>
      <c r="AS58" s="218" t="str">
        <f t="shared" si="63"/>
        <v>OK</v>
      </c>
      <c r="AT58" s="174" t="s">
        <v>595</v>
      </c>
      <c r="AU58" s="218" t="str">
        <f t="shared" si="39"/>
        <v>-</v>
      </c>
      <c r="AV58" s="60"/>
      <c r="AW58" s="174" t="s">
        <v>61</v>
      </c>
      <c r="AX58" s="273" t="str">
        <f t="shared" si="43"/>
        <v>00</v>
      </c>
      <c r="AY58" s="218" t="str">
        <f t="shared" si="64"/>
        <v>-</v>
      </c>
      <c r="AZ58" s="174" t="s">
        <v>61</v>
      </c>
      <c r="BA58" s="92" t="str">
        <f>IF(EXACT(AW58,AZ58),"OK","NG")</f>
        <v>OK</v>
      </c>
      <c r="BB58" s="60"/>
      <c r="BC58" s="174" t="s">
        <v>102</v>
      </c>
      <c r="BD58" s="273" t="str">
        <f t="shared" si="44"/>
        <v>01</v>
      </c>
      <c r="BE58" s="218" t="str">
        <f t="shared" si="65"/>
        <v>-</v>
      </c>
      <c r="BF58" s="174" t="s">
        <v>102</v>
      </c>
      <c r="BG58" s="92" t="str">
        <f>IF(EXACT(BC58,BF58),"OK","NG")</f>
        <v>OK</v>
      </c>
      <c r="BH58" s="60"/>
      <c r="BI58" s="170" t="s">
        <v>61</v>
      </c>
      <c r="BJ58" s="273" t="str">
        <f t="shared" si="45"/>
        <v>00</v>
      </c>
      <c r="BK58" s="218" t="str">
        <f t="shared" si="85"/>
        <v>OK</v>
      </c>
      <c r="BL58" s="174" t="s">
        <v>61</v>
      </c>
      <c r="BM58" s="92" t="str">
        <f>IF(EXACT(BI58,BL58),"OK","NG")</f>
        <v>OK</v>
      </c>
      <c r="BN58" s="60"/>
      <c r="BO58" s="174" t="s">
        <v>102</v>
      </c>
      <c r="BP58" s="273" t="str">
        <f t="shared" si="46"/>
        <v>01</v>
      </c>
      <c r="BQ58" s="218" t="str">
        <f t="shared" si="66"/>
        <v>-</v>
      </c>
      <c r="BR58" s="174" t="s">
        <v>102</v>
      </c>
      <c r="BS58" s="92" t="str">
        <f>IF(EXACT(BO58,BR58),"OK","NG")</f>
        <v>OK</v>
      </c>
      <c r="BT58" s="60"/>
      <c r="BU58" s="170"/>
      <c r="BV58" s="273" t="str">
        <f t="shared" si="47"/>
        <v xml:space="preserve">  </v>
      </c>
      <c r="BW58" s="218" t="s">
        <v>245</v>
      </c>
      <c r="BX58" s="174"/>
      <c r="BY58" s="218" t="str">
        <f t="shared" si="68"/>
        <v>-</v>
      </c>
      <c r="BZ58" s="60"/>
      <c r="CA58" s="174"/>
      <c r="CB58" s="273" t="str">
        <f t="shared" si="48"/>
        <v xml:space="preserve">  </v>
      </c>
      <c r="CC58" s="218" t="str">
        <f t="shared" si="69"/>
        <v>-</v>
      </c>
      <c r="CD58" s="174"/>
      <c r="CE58" s="92" t="str">
        <f t="shared" si="82"/>
        <v>OK</v>
      </c>
      <c r="CF58" s="60"/>
      <c r="CG58" s="174" t="s">
        <v>680</v>
      </c>
      <c r="CH58" s="273" t="str">
        <f t="shared" si="49"/>
        <v>K2</v>
      </c>
      <c r="CI58" s="218" t="str">
        <f t="shared" si="70"/>
        <v>-</v>
      </c>
      <c r="CJ58" s="174" t="s">
        <v>680</v>
      </c>
      <c r="CK58" s="92" t="str">
        <f t="shared" si="83"/>
        <v>OK</v>
      </c>
      <c r="CL58" s="60"/>
      <c r="CM58" s="174"/>
      <c r="CN58" s="273" t="str">
        <f t="shared" si="50"/>
        <v xml:space="preserve">  </v>
      </c>
      <c r="CO58" s="218" t="s">
        <v>245</v>
      </c>
      <c r="CP58" s="174"/>
      <c r="CQ58" s="218" t="str">
        <f t="shared" si="71"/>
        <v>-</v>
      </c>
      <c r="CR58" s="60"/>
      <c r="CS58" s="174"/>
      <c r="CT58" s="273" t="str">
        <f t="shared" si="51"/>
        <v xml:space="preserve">  </v>
      </c>
      <c r="CU58" s="218" t="str">
        <f t="shared" si="72"/>
        <v>-</v>
      </c>
      <c r="CV58" s="174"/>
      <c r="CW58" s="92" t="s">
        <v>593</v>
      </c>
      <c r="CX58" s="60"/>
      <c r="CY58" s="174"/>
      <c r="CZ58" s="273" t="str">
        <f t="shared" si="52"/>
        <v xml:space="preserve">  </v>
      </c>
      <c r="DA58" s="218" t="str">
        <f t="shared" si="73"/>
        <v>-</v>
      </c>
      <c r="DB58" s="174"/>
      <c r="DC58" s="92" t="s">
        <v>593</v>
      </c>
    </row>
    <row r="59" spans="2:107" s="26" customFormat="1" ht="25.5">
      <c r="B59" s="65">
        <f t="shared" si="61"/>
        <v>52</v>
      </c>
      <c r="C59" s="7"/>
      <c r="D59" s="7"/>
      <c r="E59" s="54"/>
      <c r="F59" s="66" t="s">
        <v>173</v>
      </c>
      <c r="G59" s="67"/>
      <c r="H59" s="62"/>
      <c r="I59" s="8"/>
      <c r="J59" s="8"/>
      <c r="K59" s="8"/>
      <c r="L59" s="8"/>
      <c r="M59" s="11" t="s">
        <v>354</v>
      </c>
      <c r="N59" s="16"/>
      <c r="O59" s="57"/>
      <c r="P59" s="95">
        <f t="shared" ref="P59:P66" si="86">P58+1</f>
        <v>35</v>
      </c>
      <c r="Q59" s="115">
        <v>7</v>
      </c>
      <c r="R59" s="21" t="str">
        <f t="shared" ref="R59:R64" si="87">IF(AA59="M","NX",AA59)</f>
        <v>X</v>
      </c>
      <c r="S59" s="98" t="s">
        <v>174</v>
      </c>
      <c r="T59" s="96"/>
      <c r="U59" s="21" t="s">
        <v>257</v>
      </c>
      <c r="V59" s="10"/>
      <c r="W59" s="25">
        <v>3</v>
      </c>
      <c r="X59" s="1" t="s">
        <v>309</v>
      </c>
      <c r="Y59" s="1">
        <v>7</v>
      </c>
      <c r="Z59" s="1">
        <v>7</v>
      </c>
      <c r="AA59" s="8" t="s">
        <v>261</v>
      </c>
      <c r="AB59" s="8" t="s">
        <v>257</v>
      </c>
      <c r="AC59" s="105"/>
      <c r="AD59" s="60"/>
      <c r="AE59" s="169"/>
      <c r="AF59" s="61" t="str">
        <f t="shared" si="40"/>
        <v xml:space="preserve">       </v>
      </c>
      <c r="AG59" s="218" t="str">
        <f t="shared" si="38"/>
        <v>-</v>
      </c>
      <c r="AH59" s="169"/>
      <c r="AI59" s="92" t="str">
        <f t="shared" si="84"/>
        <v>OK</v>
      </c>
      <c r="AJ59" s="60"/>
      <c r="AK59" s="174"/>
      <c r="AL59" s="61" t="str">
        <f t="shared" si="41"/>
        <v xml:space="preserve">       </v>
      </c>
      <c r="AM59" s="218" t="str">
        <f t="shared" si="62"/>
        <v>-</v>
      </c>
      <c r="AN59" s="169"/>
      <c r="AO59" s="92" t="str">
        <f t="shared" si="81"/>
        <v>OK</v>
      </c>
      <c r="AP59" s="60"/>
      <c r="AQ59" s="170" t="s">
        <v>705</v>
      </c>
      <c r="AR59" s="61" t="str">
        <f t="shared" si="42"/>
        <v xml:space="preserve">       </v>
      </c>
      <c r="AS59" s="218" t="str">
        <f t="shared" si="63"/>
        <v>OK</v>
      </c>
      <c r="AT59" s="169"/>
      <c r="AU59" s="218" t="str">
        <f t="shared" si="39"/>
        <v>-</v>
      </c>
      <c r="AV59" s="60"/>
      <c r="AW59" s="169"/>
      <c r="AX59" s="61" t="str">
        <f t="shared" si="43"/>
        <v xml:space="preserve">       </v>
      </c>
      <c r="AY59" s="218" t="str">
        <f t="shared" si="64"/>
        <v>-</v>
      </c>
      <c r="AZ59" s="169"/>
      <c r="BA59" s="478" t="s">
        <v>594</v>
      </c>
      <c r="BB59" s="60"/>
      <c r="BC59" s="169"/>
      <c r="BD59" s="61" t="str">
        <f t="shared" si="44"/>
        <v xml:space="preserve">       </v>
      </c>
      <c r="BE59" s="218" t="str">
        <f t="shared" si="65"/>
        <v>-</v>
      </c>
      <c r="BF59" s="169"/>
      <c r="BG59" s="478" t="s">
        <v>594</v>
      </c>
      <c r="BH59" s="60"/>
      <c r="BI59" s="170" t="s">
        <v>705</v>
      </c>
      <c r="BJ59" s="61" t="str">
        <f t="shared" si="45"/>
        <v xml:space="preserve">       </v>
      </c>
      <c r="BK59" s="218" t="str">
        <f t="shared" si="85"/>
        <v>OK</v>
      </c>
      <c r="BL59" s="169"/>
      <c r="BM59" s="478" t="s">
        <v>594</v>
      </c>
      <c r="BN59" s="60"/>
      <c r="BO59" s="169"/>
      <c r="BP59" s="61" t="str">
        <f t="shared" si="46"/>
        <v xml:space="preserve">       </v>
      </c>
      <c r="BQ59" s="218" t="str">
        <f t="shared" si="66"/>
        <v>-</v>
      </c>
      <c r="BR59" s="169"/>
      <c r="BS59" s="478" t="s">
        <v>594</v>
      </c>
      <c r="BT59" s="60"/>
      <c r="BU59" s="172"/>
      <c r="BV59" s="61" t="str">
        <f t="shared" si="47"/>
        <v xml:space="preserve">       </v>
      </c>
      <c r="BW59" s="218" t="s">
        <v>245</v>
      </c>
      <c r="BX59" s="169"/>
      <c r="BY59" s="218" t="str">
        <f t="shared" si="68"/>
        <v>-</v>
      </c>
      <c r="BZ59" s="60"/>
      <c r="CA59" s="169"/>
      <c r="CB59" s="61" t="str">
        <f t="shared" si="48"/>
        <v xml:space="preserve">       </v>
      </c>
      <c r="CC59" s="218" t="str">
        <f t="shared" si="69"/>
        <v>-</v>
      </c>
      <c r="CD59" s="169"/>
      <c r="CE59" s="92" t="str">
        <f t="shared" si="82"/>
        <v>OK</v>
      </c>
      <c r="CF59" s="60"/>
      <c r="CG59" s="169"/>
      <c r="CH59" s="61" t="str">
        <f t="shared" si="49"/>
        <v xml:space="preserve">       </v>
      </c>
      <c r="CI59" s="218" t="str">
        <f t="shared" si="70"/>
        <v>-</v>
      </c>
      <c r="CJ59" s="169"/>
      <c r="CK59" s="92" t="str">
        <f t="shared" si="83"/>
        <v>OK</v>
      </c>
      <c r="CL59" s="60"/>
      <c r="CM59" s="169"/>
      <c r="CN59" s="61" t="str">
        <f t="shared" si="50"/>
        <v xml:space="preserve">       </v>
      </c>
      <c r="CO59" s="218" t="s">
        <v>245</v>
      </c>
      <c r="CP59" s="169"/>
      <c r="CQ59" s="218" t="str">
        <f t="shared" si="71"/>
        <v>-</v>
      </c>
      <c r="CR59" s="60"/>
      <c r="CS59" s="169"/>
      <c r="CT59" s="61" t="str">
        <f t="shared" si="51"/>
        <v xml:space="preserve">       </v>
      </c>
      <c r="CU59" s="218" t="str">
        <f t="shared" si="72"/>
        <v>-</v>
      </c>
      <c r="CV59" s="169"/>
      <c r="CW59" s="92" t="s">
        <v>593</v>
      </c>
      <c r="CX59" s="60"/>
      <c r="CY59" s="169"/>
      <c r="CZ59" s="61" t="str">
        <f t="shared" si="52"/>
        <v xml:space="preserve">       </v>
      </c>
      <c r="DA59" s="218" t="str">
        <f t="shared" si="73"/>
        <v>-</v>
      </c>
      <c r="DB59" s="169"/>
      <c r="DC59" s="92" t="s">
        <v>593</v>
      </c>
    </row>
    <row r="60" spans="2:107" s="81" customFormat="1" ht="25.5">
      <c r="B60" s="65">
        <f t="shared" si="61"/>
        <v>53</v>
      </c>
      <c r="C60" s="69"/>
      <c r="D60" s="69"/>
      <c r="E60" s="70"/>
      <c r="F60" s="71" t="s">
        <v>355</v>
      </c>
      <c r="G60" s="72"/>
      <c r="H60" s="73"/>
      <c r="I60" s="74"/>
      <c r="J60" s="74"/>
      <c r="K60" s="75"/>
      <c r="L60" s="75"/>
      <c r="M60" s="84" t="s">
        <v>354</v>
      </c>
      <c r="N60" s="76"/>
      <c r="O60" s="77"/>
      <c r="P60" s="95">
        <f t="shared" si="86"/>
        <v>36</v>
      </c>
      <c r="Q60" s="119">
        <v>10</v>
      </c>
      <c r="R60" s="21" t="str">
        <f t="shared" si="87"/>
        <v>X</v>
      </c>
      <c r="S60" s="98" t="s">
        <v>175</v>
      </c>
      <c r="T60" s="106"/>
      <c r="U60" s="21" t="s">
        <v>257</v>
      </c>
      <c r="V60" s="77"/>
      <c r="W60" s="78">
        <v>3</v>
      </c>
      <c r="X60" s="56" t="s">
        <v>176</v>
      </c>
      <c r="Y60" s="56">
        <v>10</v>
      </c>
      <c r="Z60" s="56">
        <v>10</v>
      </c>
      <c r="AA60" s="74" t="s">
        <v>114</v>
      </c>
      <c r="AB60" s="74" t="s">
        <v>21</v>
      </c>
      <c r="AC60" s="105"/>
      <c r="AD60" s="79"/>
      <c r="AE60" s="481"/>
      <c r="AF60" s="80" t="str">
        <f t="shared" si="40"/>
        <v xml:space="preserve">          </v>
      </c>
      <c r="AG60" s="218" t="str">
        <f t="shared" si="38"/>
        <v>-</v>
      </c>
      <c r="AH60" s="274"/>
      <c r="AI60" s="92" t="str">
        <f t="shared" si="84"/>
        <v>OK</v>
      </c>
      <c r="AJ60" s="79"/>
      <c r="AK60" s="487"/>
      <c r="AL60" s="80" t="str">
        <f t="shared" si="41"/>
        <v xml:space="preserve">          </v>
      </c>
      <c r="AM60" s="218" t="str">
        <f t="shared" si="62"/>
        <v>-</v>
      </c>
      <c r="AN60" s="274"/>
      <c r="AO60" s="92" t="str">
        <f t="shared" si="81"/>
        <v>OK</v>
      </c>
      <c r="AP60" s="79"/>
      <c r="AQ60" s="508" t="s">
        <v>706</v>
      </c>
      <c r="AR60" s="80" t="str">
        <f t="shared" si="42"/>
        <v xml:space="preserve">          </v>
      </c>
      <c r="AS60" s="218" t="str">
        <f t="shared" si="63"/>
        <v>OK</v>
      </c>
      <c r="AT60" s="274"/>
      <c r="AU60" s="218" t="str">
        <f t="shared" si="39"/>
        <v>-</v>
      </c>
      <c r="AV60" s="79"/>
      <c r="AW60" s="481"/>
      <c r="AX60" s="80" t="str">
        <f t="shared" si="43"/>
        <v xml:space="preserve">          </v>
      </c>
      <c r="AY60" s="218" t="str">
        <f t="shared" si="64"/>
        <v>-</v>
      </c>
      <c r="AZ60" s="274"/>
      <c r="BA60" s="478" t="s">
        <v>594</v>
      </c>
      <c r="BB60" s="79"/>
      <c r="BC60" s="481"/>
      <c r="BD60" s="80" t="str">
        <f t="shared" si="44"/>
        <v xml:space="preserve">          </v>
      </c>
      <c r="BE60" s="218" t="str">
        <f t="shared" si="65"/>
        <v>-</v>
      </c>
      <c r="BF60" s="274"/>
      <c r="BG60" s="478" t="s">
        <v>594</v>
      </c>
      <c r="BH60" s="79"/>
      <c r="BI60" s="508" t="s">
        <v>706</v>
      </c>
      <c r="BJ60" s="80" t="str">
        <f t="shared" si="45"/>
        <v xml:space="preserve">          </v>
      </c>
      <c r="BK60" s="218" t="str">
        <f t="shared" si="85"/>
        <v>OK</v>
      </c>
      <c r="BL60" s="274"/>
      <c r="BM60" s="478" t="s">
        <v>594</v>
      </c>
      <c r="BN60" s="79"/>
      <c r="BO60" s="481"/>
      <c r="BP60" s="80" t="str">
        <f t="shared" si="46"/>
        <v xml:space="preserve">          </v>
      </c>
      <c r="BQ60" s="218" t="str">
        <f t="shared" si="66"/>
        <v>-</v>
      </c>
      <c r="BR60" s="274"/>
      <c r="BS60" s="478" t="s">
        <v>594</v>
      </c>
      <c r="BT60" s="79"/>
      <c r="BU60" s="512"/>
      <c r="BV60" s="80" t="str">
        <f t="shared" si="47"/>
        <v xml:space="preserve">          </v>
      </c>
      <c r="BW60" s="218" t="s">
        <v>245</v>
      </c>
      <c r="BX60" s="274"/>
      <c r="BY60" s="218" t="str">
        <f t="shared" si="68"/>
        <v>-</v>
      </c>
      <c r="BZ60" s="79"/>
      <c r="CA60" s="481"/>
      <c r="CB60" s="80" t="str">
        <f t="shared" si="48"/>
        <v xml:space="preserve">          </v>
      </c>
      <c r="CC60" s="218" t="str">
        <f t="shared" si="69"/>
        <v>-</v>
      </c>
      <c r="CD60" s="274"/>
      <c r="CE60" s="92" t="str">
        <f t="shared" si="82"/>
        <v>OK</v>
      </c>
      <c r="CF60" s="79"/>
      <c r="CG60" s="481"/>
      <c r="CH60" s="80" t="str">
        <f t="shared" si="49"/>
        <v xml:space="preserve">          </v>
      </c>
      <c r="CI60" s="218" t="str">
        <f t="shared" si="70"/>
        <v>-</v>
      </c>
      <c r="CJ60" s="274"/>
      <c r="CK60" s="92" t="str">
        <f t="shared" si="83"/>
        <v>OK</v>
      </c>
      <c r="CL60" s="79"/>
      <c r="CM60" s="481"/>
      <c r="CN60" s="80" t="str">
        <f t="shared" si="50"/>
        <v xml:space="preserve">          </v>
      </c>
      <c r="CO60" s="218" t="s">
        <v>245</v>
      </c>
      <c r="CP60" s="274"/>
      <c r="CQ60" s="218" t="str">
        <f t="shared" si="71"/>
        <v>-</v>
      </c>
      <c r="CR60" s="79"/>
      <c r="CS60" s="481"/>
      <c r="CT60" s="80" t="str">
        <f t="shared" si="51"/>
        <v xml:space="preserve">          </v>
      </c>
      <c r="CU60" s="218" t="str">
        <f t="shared" si="72"/>
        <v>-</v>
      </c>
      <c r="CV60" s="274"/>
      <c r="CW60" s="92" t="s">
        <v>593</v>
      </c>
      <c r="CX60" s="79"/>
      <c r="CY60" s="481"/>
      <c r="CZ60" s="80" t="str">
        <f t="shared" si="52"/>
        <v xml:space="preserve">          </v>
      </c>
      <c r="DA60" s="218" t="str">
        <f t="shared" si="73"/>
        <v>-</v>
      </c>
      <c r="DB60" s="274"/>
      <c r="DC60" s="92" t="s">
        <v>593</v>
      </c>
    </row>
    <row r="61" spans="2:107" s="81" customFormat="1" ht="25.5">
      <c r="B61" s="65">
        <f t="shared" si="61"/>
        <v>54</v>
      </c>
      <c r="C61" s="69"/>
      <c r="D61" s="69"/>
      <c r="E61" s="69"/>
      <c r="F61" s="82" t="s">
        <v>177</v>
      </c>
      <c r="G61" s="14"/>
      <c r="H61" s="83"/>
      <c r="I61" s="74"/>
      <c r="J61" s="74"/>
      <c r="K61" s="75"/>
      <c r="L61" s="75"/>
      <c r="M61" s="84" t="s">
        <v>354</v>
      </c>
      <c r="N61" s="76"/>
      <c r="O61" s="77"/>
      <c r="P61" s="95">
        <f t="shared" si="86"/>
        <v>37</v>
      </c>
      <c r="Q61" s="119">
        <v>3</v>
      </c>
      <c r="R61" s="21" t="str">
        <f t="shared" si="87"/>
        <v>X</v>
      </c>
      <c r="S61" s="98" t="s">
        <v>178</v>
      </c>
      <c r="T61" s="106"/>
      <c r="U61" s="21" t="s">
        <v>257</v>
      </c>
      <c r="V61" s="77"/>
      <c r="W61" s="78">
        <v>3</v>
      </c>
      <c r="X61" s="56" t="s">
        <v>179</v>
      </c>
      <c r="Y61" s="56">
        <v>3</v>
      </c>
      <c r="Z61" s="56">
        <v>3</v>
      </c>
      <c r="AA61" s="74" t="s">
        <v>114</v>
      </c>
      <c r="AB61" s="74" t="s">
        <v>21</v>
      </c>
      <c r="AC61" s="105"/>
      <c r="AD61" s="79"/>
      <c r="AE61" s="481"/>
      <c r="AF61" s="80" t="str">
        <f t="shared" si="40"/>
        <v xml:space="preserve">   </v>
      </c>
      <c r="AG61" s="218" t="str">
        <f t="shared" si="38"/>
        <v>-</v>
      </c>
      <c r="AH61" s="274"/>
      <c r="AI61" s="92" t="str">
        <f t="shared" si="84"/>
        <v>OK</v>
      </c>
      <c r="AJ61" s="79"/>
      <c r="AK61" s="487"/>
      <c r="AL61" s="80" t="str">
        <f t="shared" si="41"/>
        <v xml:space="preserve">   </v>
      </c>
      <c r="AM61" s="218" t="str">
        <f t="shared" si="62"/>
        <v>-</v>
      </c>
      <c r="AN61" s="274"/>
      <c r="AO61" s="92" t="str">
        <f t="shared" si="81"/>
        <v>OK</v>
      </c>
      <c r="AP61" s="79"/>
      <c r="AQ61" s="508" t="s">
        <v>707</v>
      </c>
      <c r="AR61" s="80" t="str">
        <f t="shared" si="42"/>
        <v xml:space="preserve">   </v>
      </c>
      <c r="AS61" s="218" t="str">
        <f t="shared" si="63"/>
        <v>OK</v>
      </c>
      <c r="AT61" s="274"/>
      <c r="AU61" s="218" t="str">
        <f t="shared" si="39"/>
        <v>-</v>
      </c>
      <c r="AV61" s="79"/>
      <c r="AW61" s="481"/>
      <c r="AX61" s="80" t="str">
        <f t="shared" si="43"/>
        <v xml:space="preserve">   </v>
      </c>
      <c r="AY61" s="218" t="str">
        <f t="shared" si="64"/>
        <v>-</v>
      </c>
      <c r="AZ61" s="274"/>
      <c r="BA61" s="478" t="s">
        <v>594</v>
      </c>
      <c r="BB61" s="79"/>
      <c r="BC61" s="481"/>
      <c r="BD61" s="80" t="str">
        <f t="shared" si="44"/>
        <v xml:space="preserve">   </v>
      </c>
      <c r="BE61" s="218" t="str">
        <f t="shared" si="65"/>
        <v>-</v>
      </c>
      <c r="BF61" s="274"/>
      <c r="BG61" s="478" t="s">
        <v>594</v>
      </c>
      <c r="BH61" s="79"/>
      <c r="BI61" s="508" t="s">
        <v>707</v>
      </c>
      <c r="BJ61" s="80" t="str">
        <f t="shared" si="45"/>
        <v xml:space="preserve">   </v>
      </c>
      <c r="BK61" s="218" t="str">
        <f t="shared" si="85"/>
        <v>OK</v>
      </c>
      <c r="BL61" s="274"/>
      <c r="BM61" s="478" t="s">
        <v>594</v>
      </c>
      <c r="BN61" s="79"/>
      <c r="BO61" s="481"/>
      <c r="BP61" s="80" t="str">
        <f t="shared" si="46"/>
        <v xml:space="preserve">   </v>
      </c>
      <c r="BQ61" s="218" t="str">
        <f t="shared" si="66"/>
        <v>-</v>
      </c>
      <c r="BR61" s="274"/>
      <c r="BS61" s="478" t="s">
        <v>594</v>
      </c>
      <c r="BT61" s="79"/>
      <c r="BU61" s="512"/>
      <c r="BV61" s="80" t="str">
        <f t="shared" si="47"/>
        <v xml:space="preserve">   </v>
      </c>
      <c r="BW61" s="218" t="s">
        <v>245</v>
      </c>
      <c r="BX61" s="274"/>
      <c r="BY61" s="218" t="str">
        <f t="shared" si="68"/>
        <v>-</v>
      </c>
      <c r="BZ61" s="79"/>
      <c r="CA61" s="481"/>
      <c r="CB61" s="80" t="str">
        <f t="shared" si="48"/>
        <v xml:space="preserve">   </v>
      </c>
      <c r="CC61" s="218" t="str">
        <f t="shared" si="69"/>
        <v>-</v>
      </c>
      <c r="CD61" s="274"/>
      <c r="CE61" s="92" t="str">
        <f t="shared" si="82"/>
        <v>OK</v>
      </c>
      <c r="CF61" s="79"/>
      <c r="CG61" s="481"/>
      <c r="CH61" s="80" t="str">
        <f t="shared" si="49"/>
        <v xml:space="preserve">   </v>
      </c>
      <c r="CI61" s="218" t="str">
        <f t="shared" si="70"/>
        <v>-</v>
      </c>
      <c r="CJ61" s="274"/>
      <c r="CK61" s="92" t="str">
        <f t="shared" si="83"/>
        <v>OK</v>
      </c>
      <c r="CL61" s="79"/>
      <c r="CM61" s="481"/>
      <c r="CN61" s="80" t="str">
        <f t="shared" si="50"/>
        <v xml:space="preserve">   </v>
      </c>
      <c r="CO61" s="218" t="s">
        <v>245</v>
      </c>
      <c r="CP61" s="274"/>
      <c r="CQ61" s="218" t="str">
        <f t="shared" si="71"/>
        <v>-</v>
      </c>
      <c r="CR61" s="79"/>
      <c r="CS61" s="481"/>
      <c r="CT61" s="80" t="str">
        <f t="shared" si="51"/>
        <v xml:space="preserve">   </v>
      </c>
      <c r="CU61" s="218" t="str">
        <f t="shared" si="72"/>
        <v>-</v>
      </c>
      <c r="CV61" s="274"/>
      <c r="CW61" s="92" t="s">
        <v>593</v>
      </c>
      <c r="CX61" s="79"/>
      <c r="CY61" s="481"/>
      <c r="CZ61" s="80" t="str">
        <f t="shared" si="52"/>
        <v xml:space="preserve">   </v>
      </c>
      <c r="DA61" s="218" t="str">
        <f t="shared" si="73"/>
        <v>-</v>
      </c>
      <c r="DB61" s="274"/>
      <c r="DC61" s="92" t="s">
        <v>593</v>
      </c>
    </row>
    <row r="62" spans="2:107" s="81" customFormat="1" ht="25.5">
      <c r="B62" s="65">
        <f t="shared" si="61"/>
        <v>55</v>
      </c>
      <c r="C62" s="69"/>
      <c r="D62" s="69"/>
      <c r="E62" s="69"/>
      <c r="F62" s="82" t="s">
        <v>180</v>
      </c>
      <c r="G62" s="14"/>
      <c r="H62" s="83"/>
      <c r="I62" s="74"/>
      <c r="J62" s="74"/>
      <c r="K62" s="75"/>
      <c r="L62" s="75"/>
      <c r="M62" s="84" t="s">
        <v>354</v>
      </c>
      <c r="N62" s="76"/>
      <c r="O62" s="77"/>
      <c r="P62" s="95">
        <f t="shared" si="86"/>
        <v>38</v>
      </c>
      <c r="Q62" s="119">
        <v>2</v>
      </c>
      <c r="R62" s="21" t="str">
        <f t="shared" si="87"/>
        <v>X</v>
      </c>
      <c r="S62" s="98" t="s">
        <v>181</v>
      </c>
      <c r="T62" s="106"/>
      <c r="U62" s="21" t="s">
        <v>257</v>
      </c>
      <c r="V62" s="77"/>
      <c r="W62" s="78">
        <v>3</v>
      </c>
      <c r="X62" s="56" t="s">
        <v>182</v>
      </c>
      <c r="Y62" s="56">
        <v>2</v>
      </c>
      <c r="Z62" s="56">
        <v>2</v>
      </c>
      <c r="AA62" s="74" t="s">
        <v>114</v>
      </c>
      <c r="AB62" s="74" t="s">
        <v>21</v>
      </c>
      <c r="AC62" s="105"/>
      <c r="AD62" s="79"/>
      <c r="AE62" s="481"/>
      <c r="AF62" s="80" t="str">
        <f t="shared" si="40"/>
        <v xml:space="preserve">  </v>
      </c>
      <c r="AG62" s="218" t="str">
        <f t="shared" si="38"/>
        <v>-</v>
      </c>
      <c r="AH62" s="274"/>
      <c r="AI62" s="92" t="str">
        <f t="shared" si="84"/>
        <v>OK</v>
      </c>
      <c r="AJ62" s="79"/>
      <c r="AK62" s="487"/>
      <c r="AL62" s="80" t="str">
        <f t="shared" si="41"/>
        <v xml:space="preserve">  </v>
      </c>
      <c r="AM62" s="218" t="str">
        <f t="shared" si="62"/>
        <v>-</v>
      </c>
      <c r="AN62" s="274"/>
      <c r="AO62" s="92" t="str">
        <f t="shared" si="81"/>
        <v>OK</v>
      </c>
      <c r="AP62" s="79"/>
      <c r="AQ62" s="508" t="s">
        <v>698</v>
      </c>
      <c r="AR62" s="80" t="str">
        <f t="shared" si="42"/>
        <v xml:space="preserve">  </v>
      </c>
      <c r="AS62" s="218" t="str">
        <f t="shared" si="63"/>
        <v>OK</v>
      </c>
      <c r="AT62" s="274"/>
      <c r="AU62" s="218" t="str">
        <f t="shared" si="39"/>
        <v>-</v>
      </c>
      <c r="AV62" s="79"/>
      <c r="AW62" s="481"/>
      <c r="AX62" s="80" t="str">
        <f t="shared" si="43"/>
        <v xml:space="preserve">  </v>
      </c>
      <c r="AY62" s="218" t="str">
        <f t="shared" si="64"/>
        <v>-</v>
      </c>
      <c r="AZ62" s="274"/>
      <c r="BA62" s="478" t="s">
        <v>594</v>
      </c>
      <c r="BB62" s="79"/>
      <c r="BC62" s="481"/>
      <c r="BD62" s="80" t="str">
        <f t="shared" si="44"/>
        <v xml:space="preserve">  </v>
      </c>
      <c r="BE62" s="218" t="str">
        <f t="shared" si="65"/>
        <v>-</v>
      </c>
      <c r="BF62" s="274"/>
      <c r="BG62" s="478" t="s">
        <v>594</v>
      </c>
      <c r="BH62" s="79"/>
      <c r="BI62" s="508" t="s">
        <v>698</v>
      </c>
      <c r="BJ62" s="80" t="str">
        <f t="shared" si="45"/>
        <v xml:space="preserve">  </v>
      </c>
      <c r="BK62" s="218" t="str">
        <f t="shared" si="85"/>
        <v>OK</v>
      </c>
      <c r="BL62" s="274"/>
      <c r="BM62" s="478" t="s">
        <v>594</v>
      </c>
      <c r="BN62" s="79"/>
      <c r="BO62" s="481"/>
      <c r="BP62" s="80" t="str">
        <f t="shared" si="46"/>
        <v xml:space="preserve">  </v>
      </c>
      <c r="BQ62" s="218" t="str">
        <f t="shared" si="66"/>
        <v>-</v>
      </c>
      <c r="BR62" s="274"/>
      <c r="BS62" s="478" t="s">
        <v>594</v>
      </c>
      <c r="BT62" s="79"/>
      <c r="BU62" s="512"/>
      <c r="BV62" s="80" t="str">
        <f t="shared" si="47"/>
        <v xml:space="preserve">  </v>
      </c>
      <c r="BW62" s="218" t="s">
        <v>245</v>
      </c>
      <c r="BX62" s="274"/>
      <c r="BY62" s="218" t="str">
        <f t="shared" si="68"/>
        <v>-</v>
      </c>
      <c r="BZ62" s="79"/>
      <c r="CA62" s="481"/>
      <c r="CB62" s="80" t="str">
        <f t="shared" si="48"/>
        <v xml:space="preserve">  </v>
      </c>
      <c r="CC62" s="218" t="str">
        <f t="shared" si="69"/>
        <v>-</v>
      </c>
      <c r="CD62" s="274"/>
      <c r="CE62" s="92" t="str">
        <f t="shared" si="82"/>
        <v>OK</v>
      </c>
      <c r="CF62" s="79"/>
      <c r="CG62" s="481"/>
      <c r="CH62" s="80" t="str">
        <f t="shared" si="49"/>
        <v xml:space="preserve">  </v>
      </c>
      <c r="CI62" s="218" t="str">
        <f t="shared" si="70"/>
        <v>-</v>
      </c>
      <c r="CJ62" s="274"/>
      <c r="CK62" s="92" t="str">
        <f t="shared" si="83"/>
        <v>OK</v>
      </c>
      <c r="CL62" s="79"/>
      <c r="CM62" s="481"/>
      <c r="CN62" s="80" t="str">
        <f t="shared" si="50"/>
        <v xml:space="preserve">  </v>
      </c>
      <c r="CO62" s="218" t="s">
        <v>245</v>
      </c>
      <c r="CP62" s="274"/>
      <c r="CQ62" s="218" t="str">
        <f t="shared" si="71"/>
        <v>-</v>
      </c>
      <c r="CR62" s="79"/>
      <c r="CS62" s="481"/>
      <c r="CT62" s="80" t="str">
        <f t="shared" si="51"/>
        <v xml:space="preserve">  </v>
      </c>
      <c r="CU62" s="218" t="str">
        <f t="shared" si="72"/>
        <v>-</v>
      </c>
      <c r="CV62" s="274"/>
      <c r="CW62" s="92" t="s">
        <v>593</v>
      </c>
      <c r="CX62" s="79"/>
      <c r="CY62" s="481"/>
      <c r="CZ62" s="80" t="str">
        <f t="shared" si="52"/>
        <v xml:space="preserve">  </v>
      </c>
      <c r="DA62" s="218" t="str">
        <f t="shared" si="73"/>
        <v>-</v>
      </c>
      <c r="DB62" s="274"/>
      <c r="DC62" s="92" t="s">
        <v>593</v>
      </c>
    </row>
    <row r="63" spans="2:107" s="81" customFormat="1" ht="51.75" customHeight="1">
      <c r="B63" s="65">
        <f t="shared" si="61"/>
        <v>56</v>
      </c>
      <c r="C63" s="69"/>
      <c r="D63" s="69"/>
      <c r="E63" s="69"/>
      <c r="F63" s="233" t="s">
        <v>183</v>
      </c>
      <c r="G63" s="234"/>
      <c r="H63" s="235"/>
      <c r="I63" s="74"/>
      <c r="J63" s="74"/>
      <c r="K63" s="75"/>
      <c r="L63" s="75"/>
      <c r="M63" s="84" t="s">
        <v>184</v>
      </c>
      <c r="N63" s="76"/>
      <c r="O63" s="77"/>
      <c r="P63" s="95">
        <f t="shared" si="86"/>
        <v>39</v>
      </c>
      <c r="Q63" s="119">
        <v>5</v>
      </c>
      <c r="R63" s="21" t="str">
        <f t="shared" si="87"/>
        <v>X</v>
      </c>
      <c r="S63" s="98" t="s">
        <v>185</v>
      </c>
      <c r="T63" s="106"/>
      <c r="U63" s="21" t="s">
        <v>257</v>
      </c>
      <c r="V63" s="77"/>
      <c r="W63" s="78">
        <v>3</v>
      </c>
      <c r="X63" s="56" t="s">
        <v>310</v>
      </c>
      <c r="Y63" s="56">
        <v>5</v>
      </c>
      <c r="Z63" s="56">
        <v>5</v>
      </c>
      <c r="AA63" s="74" t="s">
        <v>114</v>
      </c>
      <c r="AB63" s="74" t="s">
        <v>21</v>
      </c>
      <c r="AC63" s="85"/>
      <c r="AD63" s="79"/>
      <c r="AE63" s="487" t="s">
        <v>670</v>
      </c>
      <c r="AF63" s="80" t="str">
        <f t="shared" si="40"/>
        <v>03960</v>
      </c>
      <c r="AG63" s="218" t="str">
        <f t="shared" si="38"/>
        <v>-</v>
      </c>
      <c r="AH63" s="487" t="s">
        <v>656</v>
      </c>
      <c r="AI63" s="92" t="str">
        <f t="shared" si="84"/>
        <v>OK</v>
      </c>
      <c r="AJ63" s="79"/>
      <c r="AK63" s="487" t="s">
        <v>670</v>
      </c>
      <c r="AL63" s="80" t="str">
        <f t="shared" si="41"/>
        <v>03960</v>
      </c>
      <c r="AM63" s="218" t="str">
        <f t="shared" si="62"/>
        <v>-</v>
      </c>
      <c r="AN63" s="487" t="s">
        <v>656</v>
      </c>
      <c r="AO63" s="92" t="str">
        <f t="shared" si="81"/>
        <v>OK</v>
      </c>
      <c r="AP63" s="79"/>
      <c r="AQ63" s="508" t="s">
        <v>708</v>
      </c>
      <c r="AR63" s="80" t="str">
        <f t="shared" si="42"/>
        <v xml:space="preserve">     </v>
      </c>
      <c r="AS63" s="218" t="str">
        <f t="shared" si="63"/>
        <v>OK</v>
      </c>
      <c r="AT63" s="274"/>
      <c r="AU63" s="218" t="str">
        <f t="shared" si="39"/>
        <v>-</v>
      </c>
      <c r="AV63" s="79"/>
      <c r="AW63" s="481"/>
      <c r="AX63" s="80" t="str">
        <f t="shared" si="43"/>
        <v xml:space="preserve">     </v>
      </c>
      <c r="AY63" s="218" t="str">
        <f t="shared" si="64"/>
        <v>-</v>
      </c>
      <c r="AZ63" s="274"/>
      <c r="BA63" s="478" t="s">
        <v>594</v>
      </c>
      <c r="BB63" s="79"/>
      <c r="BC63" s="481"/>
      <c r="BD63" s="80" t="str">
        <f t="shared" si="44"/>
        <v xml:space="preserve">     </v>
      </c>
      <c r="BE63" s="218" t="str">
        <f t="shared" si="65"/>
        <v>-</v>
      </c>
      <c r="BF63" s="274"/>
      <c r="BG63" s="478" t="s">
        <v>594</v>
      </c>
      <c r="BH63" s="79"/>
      <c r="BI63" s="508" t="s">
        <v>708</v>
      </c>
      <c r="BJ63" s="80" t="str">
        <f t="shared" si="45"/>
        <v xml:space="preserve">     </v>
      </c>
      <c r="BK63" s="218" t="str">
        <f t="shared" si="85"/>
        <v>OK</v>
      </c>
      <c r="BL63" s="274"/>
      <c r="BM63" s="478" t="s">
        <v>594</v>
      </c>
      <c r="BN63" s="79"/>
      <c r="BO63" s="481"/>
      <c r="BP63" s="80" t="str">
        <f t="shared" si="46"/>
        <v xml:space="preserve">     </v>
      </c>
      <c r="BQ63" s="218" t="str">
        <f t="shared" si="66"/>
        <v>-</v>
      </c>
      <c r="BR63" s="274"/>
      <c r="BS63" s="478" t="s">
        <v>594</v>
      </c>
      <c r="BT63" s="79"/>
      <c r="BU63" s="512"/>
      <c r="BV63" s="80" t="str">
        <f t="shared" si="47"/>
        <v xml:space="preserve">     </v>
      </c>
      <c r="BW63" s="218" t="s">
        <v>245</v>
      </c>
      <c r="BX63" s="274"/>
      <c r="BY63" s="218" t="str">
        <f t="shared" si="68"/>
        <v>-</v>
      </c>
      <c r="BZ63" s="79"/>
      <c r="CA63" s="481"/>
      <c r="CB63" s="80" t="str">
        <f t="shared" si="48"/>
        <v xml:space="preserve">     </v>
      </c>
      <c r="CC63" s="218" t="str">
        <f t="shared" si="69"/>
        <v>-</v>
      </c>
      <c r="CD63" s="274"/>
      <c r="CE63" s="92" t="str">
        <f t="shared" si="82"/>
        <v>OK</v>
      </c>
      <c r="CF63" s="79"/>
      <c r="CG63" s="481"/>
      <c r="CH63" s="80" t="str">
        <f t="shared" si="49"/>
        <v xml:space="preserve">     </v>
      </c>
      <c r="CI63" s="218" t="str">
        <f t="shared" si="70"/>
        <v>-</v>
      </c>
      <c r="CJ63" s="274"/>
      <c r="CK63" s="92" t="str">
        <f t="shared" si="83"/>
        <v>OK</v>
      </c>
      <c r="CL63" s="79"/>
      <c r="CM63" s="481"/>
      <c r="CN63" s="80" t="str">
        <f t="shared" si="50"/>
        <v xml:space="preserve">     </v>
      </c>
      <c r="CO63" s="218" t="s">
        <v>245</v>
      </c>
      <c r="CP63" s="274"/>
      <c r="CQ63" s="218" t="str">
        <f t="shared" si="71"/>
        <v>-</v>
      </c>
      <c r="CR63" s="79"/>
      <c r="CS63" s="481"/>
      <c r="CT63" s="80" t="str">
        <f t="shared" si="51"/>
        <v xml:space="preserve">     </v>
      </c>
      <c r="CU63" s="218" t="str">
        <f t="shared" si="72"/>
        <v>-</v>
      </c>
      <c r="CV63" s="274"/>
      <c r="CW63" s="92" t="s">
        <v>593</v>
      </c>
      <c r="CX63" s="79"/>
      <c r="CY63" s="481"/>
      <c r="CZ63" s="80" t="str">
        <f t="shared" si="52"/>
        <v xml:space="preserve">     </v>
      </c>
      <c r="DA63" s="218" t="str">
        <f t="shared" si="73"/>
        <v>-</v>
      </c>
      <c r="DB63" s="274"/>
      <c r="DC63" s="92" t="s">
        <v>593</v>
      </c>
    </row>
    <row r="64" spans="2:107" s="81" customFormat="1" ht="51.75" customHeight="1">
      <c r="B64" s="65">
        <f t="shared" si="61"/>
        <v>57</v>
      </c>
      <c r="C64" s="69"/>
      <c r="D64" s="69"/>
      <c r="E64" s="69"/>
      <c r="F64" s="233" t="s">
        <v>186</v>
      </c>
      <c r="G64" s="234"/>
      <c r="H64" s="235"/>
      <c r="I64" s="74"/>
      <c r="J64" s="74"/>
      <c r="K64" s="75"/>
      <c r="L64" s="75"/>
      <c r="M64" s="84" t="s">
        <v>187</v>
      </c>
      <c r="N64" s="76"/>
      <c r="O64" s="77"/>
      <c r="P64" s="95">
        <f t="shared" si="86"/>
        <v>40</v>
      </c>
      <c r="Q64" s="119">
        <v>64</v>
      </c>
      <c r="R64" s="21" t="str">
        <f t="shared" si="87"/>
        <v>NX</v>
      </c>
      <c r="S64" s="98" t="s">
        <v>188</v>
      </c>
      <c r="T64" s="106"/>
      <c r="U64" s="21" t="s">
        <v>257</v>
      </c>
      <c r="V64" s="77" t="s">
        <v>311</v>
      </c>
      <c r="W64" s="78">
        <v>3</v>
      </c>
      <c r="X64" s="56" t="s">
        <v>312</v>
      </c>
      <c r="Y64" s="56">
        <v>1</v>
      </c>
      <c r="Z64" s="56">
        <v>64</v>
      </c>
      <c r="AA64" s="74" t="s">
        <v>300</v>
      </c>
      <c r="AB64" s="74" t="s">
        <v>21</v>
      </c>
      <c r="AC64" s="85" t="s">
        <v>311</v>
      </c>
      <c r="AD64" s="79"/>
      <c r="AE64" s="487" t="s">
        <v>671</v>
      </c>
      <c r="AF64" s="80" t="str">
        <f t="shared" si="40"/>
        <v xml:space="preserve">日本ネットワークイネイブラー株式会社                            </v>
      </c>
      <c r="AG64" s="218" t="str">
        <f t="shared" si="38"/>
        <v>-</v>
      </c>
      <c r="AH64" s="481" t="s">
        <v>596</v>
      </c>
      <c r="AI64" s="92" t="str">
        <f t="shared" si="84"/>
        <v>OK</v>
      </c>
      <c r="AJ64" s="79"/>
      <c r="AK64" s="487" t="s">
        <v>671</v>
      </c>
      <c r="AL64" s="80" t="str">
        <f t="shared" si="41"/>
        <v xml:space="preserve">日本ネットワークイネイブラー株式会社                            </v>
      </c>
      <c r="AM64" s="218" t="str">
        <f t="shared" si="62"/>
        <v>-</v>
      </c>
      <c r="AN64" s="481" t="s">
        <v>596</v>
      </c>
      <c r="AO64" s="92" t="str">
        <f t="shared" si="81"/>
        <v>OK</v>
      </c>
      <c r="AP64" s="79"/>
      <c r="AQ64" s="508" t="s">
        <v>709</v>
      </c>
      <c r="AR64" s="80" t="str">
        <f t="shared" si="42"/>
        <v xml:space="preserve">                                                                </v>
      </c>
      <c r="AS64" s="218" t="str">
        <f t="shared" si="63"/>
        <v>OK</v>
      </c>
      <c r="AT64" s="481"/>
      <c r="AU64" s="218" t="str">
        <f t="shared" si="39"/>
        <v>-</v>
      </c>
      <c r="AV64" s="79"/>
      <c r="AW64" s="481"/>
      <c r="AX64" s="80" t="str">
        <f t="shared" si="43"/>
        <v xml:space="preserve">                                                                </v>
      </c>
      <c r="AY64" s="218" t="str">
        <f t="shared" si="64"/>
        <v>-</v>
      </c>
      <c r="AZ64" s="274"/>
      <c r="BA64" s="478" t="s">
        <v>594</v>
      </c>
      <c r="BB64" s="79"/>
      <c r="BC64" s="481"/>
      <c r="BD64" s="80" t="str">
        <f t="shared" si="44"/>
        <v xml:space="preserve">                                                                </v>
      </c>
      <c r="BE64" s="218" t="str">
        <f t="shared" si="65"/>
        <v>-</v>
      </c>
      <c r="BF64" s="274"/>
      <c r="BG64" s="478" t="s">
        <v>594</v>
      </c>
      <c r="BH64" s="79"/>
      <c r="BI64" s="508" t="s">
        <v>709</v>
      </c>
      <c r="BJ64" s="80" t="str">
        <f t="shared" si="45"/>
        <v xml:space="preserve">                                                                </v>
      </c>
      <c r="BK64" s="218" t="str">
        <f t="shared" si="85"/>
        <v>OK</v>
      </c>
      <c r="BL64" s="274"/>
      <c r="BM64" s="478" t="s">
        <v>594</v>
      </c>
      <c r="BN64" s="79"/>
      <c r="BO64" s="481"/>
      <c r="BP64" s="80" t="str">
        <f t="shared" si="46"/>
        <v xml:space="preserve">                                                                </v>
      </c>
      <c r="BQ64" s="218" t="str">
        <f t="shared" si="66"/>
        <v>-</v>
      </c>
      <c r="BR64" s="274"/>
      <c r="BS64" s="478" t="s">
        <v>594</v>
      </c>
      <c r="BT64" s="79"/>
      <c r="BU64" s="512"/>
      <c r="BV64" s="80" t="str">
        <f t="shared" si="47"/>
        <v xml:space="preserve">                                                                </v>
      </c>
      <c r="BW64" s="218" t="s">
        <v>245</v>
      </c>
      <c r="BX64" s="481"/>
      <c r="BY64" s="218" t="str">
        <f t="shared" si="68"/>
        <v>-</v>
      </c>
      <c r="BZ64" s="79"/>
      <c r="CA64" s="481"/>
      <c r="CB64" s="80" t="str">
        <f t="shared" si="48"/>
        <v xml:space="preserve">                                                                </v>
      </c>
      <c r="CC64" s="218" t="str">
        <f t="shared" si="69"/>
        <v>-</v>
      </c>
      <c r="CD64" s="481"/>
      <c r="CE64" s="92" t="str">
        <f t="shared" si="82"/>
        <v>OK</v>
      </c>
      <c r="CF64" s="79"/>
      <c r="CG64" s="481"/>
      <c r="CH64" s="80" t="str">
        <f t="shared" si="49"/>
        <v xml:space="preserve">                                                                </v>
      </c>
      <c r="CI64" s="218" t="str">
        <f t="shared" si="70"/>
        <v>-</v>
      </c>
      <c r="CJ64" s="481"/>
      <c r="CK64" s="92" t="str">
        <f t="shared" si="83"/>
        <v>OK</v>
      </c>
      <c r="CL64" s="79"/>
      <c r="CM64" s="481"/>
      <c r="CN64" s="80" t="str">
        <f t="shared" si="50"/>
        <v xml:space="preserve">                                                                </v>
      </c>
      <c r="CO64" s="218" t="s">
        <v>245</v>
      </c>
      <c r="CP64" s="481"/>
      <c r="CQ64" s="218" t="str">
        <f t="shared" si="71"/>
        <v>-</v>
      </c>
      <c r="CR64" s="79"/>
      <c r="CS64" s="481"/>
      <c r="CT64" s="80" t="str">
        <f t="shared" si="51"/>
        <v xml:space="preserve">                                                                </v>
      </c>
      <c r="CU64" s="218" t="str">
        <f t="shared" si="72"/>
        <v>-</v>
      </c>
      <c r="CV64" s="274"/>
      <c r="CW64" s="92" t="s">
        <v>593</v>
      </c>
      <c r="CX64" s="79"/>
      <c r="CY64" s="481"/>
      <c r="CZ64" s="80" t="str">
        <f t="shared" si="52"/>
        <v xml:space="preserve">                                                                </v>
      </c>
      <c r="DA64" s="218" t="str">
        <f t="shared" si="73"/>
        <v>-</v>
      </c>
      <c r="DB64" s="274"/>
      <c r="DC64" s="92" t="s">
        <v>593</v>
      </c>
    </row>
    <row r="65" spans="1:107" s="81" customFormat="1" ht="92.25" customHeight="1">
      <c r="B65" s="65">
        <f t="shared" si="61"/>
        <v>58</v>
      </c>
      <c r="C65" s="69"/>
      <c r="D65" s="69"/>
      <c r="E65" s="69"/>
      <c r="F65" s="82" t="s">
        <v>356</v>
      </c>
      <c r="G65" s="14"/>
      <c r="H65" s="83"/>
      <c r="I65" s="74"/>
      <c r="J65" s="74"/>
      <c r="K65" s="75"/>
      <c r="L65" s="75"/>
      <c r="M65" s="84" t="s">
        <v>222</v>
      </c>
      <c r="N65" s="76"/>
      <c r="O65" s="77"/>
      <c r="P65" s="95">
        <f t="shared" si="86"/>
        <v>41</v>
      </c>
      <c r="Q65" s="119">
        <v>7</v>
      </c>
      <c r="R65" s="21" t="s">
        <v>261</v>
      </c>
      <c r="S65" s="98" t="s">
        <v>313</v>
      </c>
      <c r="T65" s="106"/>
      <c r="U65" s="21" t="s">
        <v>257</v>
      </c>
      <c r="V65" s="77"/>
      <c r="W65" s="78">
        <v>3</v>
      </c>
      <c r="X65" s="56" t="s">
        <v>314</v>
      </c>
      <c r="Y65" s="56">
        <v>7</v>
      </c>
      <c r="Z65" s="56">
        <v>7</v>
      </c>
      <c r="AA65" s="74" t="s">
        <v>261</v>
      </c>
      <c r="AB65" s="74" t="s">
        <v>21</v>
      </c>
      <c r="AC65" s="85"/>
      <c r="AD65" s="79"/>
      <c r="AE65" s="487"/>
      <c r="AF65" s="80" t="str">
        <f t="shared" si="40"/>
        <v xml:space="preserve">       </v>
      </c>
      <c r="AG65" s="218" t="str">
        <f t="shared" si="38"/>
        <v>-</v>
      </c>
      <c r="AH65" s="404"/>
      <c r="AI65" s="406" t="str">
        <f t="shared" si="84"/>
        <v>OK</v>
      </c>
      <c r="AJ65" s="79"/>
      <c r="AK65" s="487"/>
      <c r="AL65" s="80" t="str">
        <f t="shared" si="41"/>
        <v xml:space="preserve">       </v>
      </c>
      <c r="AM65" s="218" t="str">
        <f t="shared" si="62"/>
        <v>-</v>
      </c>
      <c r="AN65" s="404"/>
      <c r="AO65" s="406" t="str">
        <f t="shared" si="81"/>
        <v>OK</v>
      </c>
      <c r="AP65" s="79"/>
      <c r="AQ65" s="508" t="s">
        <v>705</v>
      </c>
      <c r="AR65" s="80" t="str">
        <f t="shared" si="42"/>
        <v xml:space="preserve">       </v>
      </c>
      <c r="AS65" s="218" t="str">
        <f t="shared" si="63"/>
        <v>OK</v>
      </c>
      <c r="AT65" s="404"/>
      <c r="AU65" s="218" t="str">
        <f t="shared" si="39"/>
        <v>-</v>
      </c>
      <c r="AV65" s="79"/>
      <c r="AW65" s="487" t="s">
        <v>373</v>
      </c>
      <c r="AX65" s="80" t="str">
        <f t="shared" si="43"/>
        <v>1234567</v>
      </c>
      <c r="AY65" s="218" t="str">
        <f t="shared" si="64"/>
        <v>-</v>
      </c>
      <c r="AZ65" s="381" t="s">
        <v>373</v>
      </c>
      <c r="BA65" s="478" t="s">
        <v>594</v>
      </c>
      <c r="BB65" s="79"/>
      <c r="BC65" s="487" t="s">
        <v>373</v>
      </c>
      <c r="BD65" s="80" t="str">
        <f t="shared" si="44"/>
        <v>1234567</v>
      </c>
      <c r="BE65" s="218" t="str">
        <f t="shared" si="65"/>
        <v>-</v>
      </c>
      <c r="BF65" s="381" t="s">
        <v>373</v>
      </c>
      <c r="BG65" s="478" t="s">
        <v>594</v>
      </c>
      <c r="BH65" s="79"/>
      <c r="BI65" s="508" t="s">
        <v>373</v>
      </c>
      <c r="BJ65" s="80" t="str">
        <f t="shared" si="45"/>
        <v>1234567</v>
      </c>
      <c r="BK65" s="218" t="str">
        <f t="shared" si="85"/>
        <v>OK</v>
      </c>
      <c r="BL65" s="381" t="s">
        <v>373</v>
      </c>
      <c r="BM65" s="478" t="s">
        <v>594</v>
      </c>
      <c r="BN65" s="79"/>
      <c r="BO65" s="487" t="s">
        <v>373</v>
      </c>
      <c r="BP65" s="80" t="str">
        <f t="shared" si="46"/>
        <v>1234567</v>
      </c>
      <c r="BQ65" s="218" t="str">
        <f t="shared" si="66"/>
        <v>-</v>
      </c>
      <c r="BR65" s="381" t="s">
        <v>373</v>
      </c>
      <c r="BS65" s="478" t="s">
        <v>594</v>
      </c>
      <c r="BT65" s="79"/>
      <c r="BU65" s="508"/>
      <c r="BV65" s="80" t="str">
        <f t="shared" si="47"/>
        <v xml:space="preserve">       </v>
      </c>
      <c r="BW65" s="218" t="s">
        <v>245</v>
      </c>
      <c r="BX65" s="404"/>
      <c r="BY65" s="218" t="str">
        <f t="shared" si="68"/>
        <v>-</v>
      </c>
      <c r="BZ65" s="79"/>
      <c r="CA65" s="487"/>
      <c r="CB65" s="80" t="str">
        <f t="shared" si="48"/>
        <v xml:space="preserve">       </v>
      </c>
      <c r="CC65" s="218" t="str">
        <f t="shared" si="69"/>
        <v>-</v>
      </c>
      <c r="CD65" s="404"/>
      <c r="CE65" s="406" t="str">
        <f t="shared" si="82"/>
        <v>OK</v>
      </c>
      <c r="CF65" s="79"/>
      <c r="CG65" s="487"/>
      <c r="CH65" s="80" t="str">
        <f t="shared" si="49"/>
        <v xml:space="preserve">       </v>
      </c>
      <c r="CI65" s="218" t="str">
        <f t="shared" si="70"/>
        <v>-</v>
      </c>
      <c r="CJ65" s="404"/>
      <c r="CK65" s="406" t="str">
        <f t="shared" si="83"/>
        <v>OK</v>
      </c>
      <c r="CL65" s="79"/>
      <c r="CM65" s="487"/>
      <c r="CN65" s="80" t="str">
        <f t="shared" si="50"/>
        <v xml:space="preserve">       </v>
      </c>
      <c r="CO65" s="218" t="s">
        <v>245</v>
      </c>
      <c r="CP65" s="404"/>
      <c r="CQ65" s="218" t="str">
        <f t="shared" si="71"/>
        <v>-</v>
      </c>
      <c r="CR65" s="79"/>
      <c r="CS65" s="487"/>
      <c r="CT65" s="80" t="str">
        <f t="shared" si="51"/>
        <v xml:space="preserve">       </v>
      </c>
      <c r="CU65" s="218" t="str">
        <f t="shared" si="72"/>
        <v>-</v>
      </c>
      <c r="CV65" s="381"/>
      <c r="CW65" s="92" t="s">
        <v>593</v>
      </c>
      <c r="CX65" s="79"/>
      <c r="CY65" s="487"/>
      <c r="CZ65" s="80" t="str">
        <f t="shared" si="52"/>
        <v xml:space="preserve">       </v>
      </c>
      <c r="DA65" s="218" t="str">
        <f t="shared" si="73"/>
        <v>-</v>
      </c>
      <c r="DB65" s="381"/>
      <c r="DC65" s="92" t="s">
        <v>593</v>
      </c>
    </row>
    <row r="66" spans="1:107" s="81" customFormat="1" ht="127.9" thickBot="1">
      <c r="A66" s="221"/>
      <c r="B66" s="241">
        <f t="shared" si="61"/>
        <v>59</v>
      </c>
      <c r="C66" s="236"/>
      <c r="D66" s="236"/>
      <c r="E66" s="236"/>
      <c r="F66" s="242" t="s">
        <v>315</v>
      </c>
      <c r="G66" s="250"/>
      <c r="H66" s="251"/>
      <c r="I66" s="237"/>
      <c r="J66" s="237"/>
      <c r="K66" s="237"/>
      <c r="L66" s="237"/>
      <c r="M66" s="391" t="s">
        <v>357</v>
      </c>
      <c r="N66" s="399"/>
      <c r="O66" s="400"/>
      <c r="P66" s="279">
        <f t="shared" si="86"/>
        <v>42</v>
      </c>
      <c r="Q66" s="410">
        <v>1</v>
      </c>
      <c r="R66" s="37">
        <v>9</v>
      </c>
      <c r="S66" s="410" t="s">
        <v>316</v>
      </c>
      <c r="T66" s="142"/>
      <c r="U66" s="141" t="s">
        <v>257</v>
      </c>
      <c r="V66" s="238"/>
      <c r="W66" s="191" t="str">
        <f>IF(C66&lt;&gt;"","0",IF(D66&lt;&gt;"","1",IF(E66&lt;&gt;"","2",IF(F66&lt;&gt;"","3",IF(G66&lt;&gt;"","4",IF(H66&lt;&gt;"","5"))))))</f>
        <v>3</v>
      </c>
      <c r="X66" s="144" t="s">
        <v>317</v>
      </c>
      <c r="Y66" s="144">
        <v>1</v>
      </c>
      <c r="Z66" s="144">
        <v>1</v>
      </c>
      <c r="AA66" s="239">
        <v>9</v>
      </c>
      <c r="AB66" s="137" t="s">
        <v>257</v>
      </c>
      <c r="AC66" s="240"/>
      <c r="AD66" s="216"/>
      <c r="AE66" s="396" t="s">
        <v>33</v>
      </c>
      <c r="AF66" s="382" t="str">
        <f t="shared" si="40"/>
        <v>1</v>
      </c>
      <c r="AG66" s="231" t="str">
        <f t="shared" si="38"/>
        <v>-</v>
      </c>
      <c r="AH66" s="394">
        <v>1</v>
      </c>
      <c r="AI66" s="395" t="str">
        <f t="shared" si="84"/>
        <v>OK</v>
      </c>
      <c r="AJ66" s="216"/>
      <c r="AK66" s="396"/>
      <c r="AL66" s="382" t="str">
        <f t="shared" si="41"/>
        <v xml:space="preserve"> </v>
      </c>
      <c r="AM66" s="231" t="str">
        <f t="shared" si="62"/>
        <v>-</v>
      </c>
      <c r="AN66" s="394"/>
      <c r="AO66" s="395" t="str">
        <f t="shared" si="81"/>
        <v>OK</v>
      </c>
      <c r="AP66" s="216"/>
      <c r="AQ66" s="509" t="s">
        <v>368</v>
      </c>
      <c r="AR66" s="485" t="str">
        <f t="shared" si="42"/>
        <v>0</v>
      </c>
      <c r="AS66" s="231" t="str">
        <f t="shared" si="63"/>
        <v>OK</v>
      </c>
      <c r="AT66" s="484" t="s">
        <v>611</v>
      </c>
      <c r="AU66" s="231" t="str">
        <f t="shared" si="39"/>
        <v>-</v>
      </c>
      <c r="AV66" s="216"/>
      <c r="AW66" s="396" t="s">
        <v>374</v>
      </c>
      <c r="AX66" s="382" t="str">
        <f t="shared" si="43"/>
        <v>5</v>
      </c>
      <c r="AY66" s="231" t="str">
        <f t="shared" si="64"/>
        <v>-</v>
      </c>
      <c r="AZ66" s="396" t="s">
        <v>374</v>
      </c>
      <c r="BA66" s="479" t="s">
        <v>245</v>
      </c>
      <c r="BB66" s="216"/>
      <c r="BC66" s="396" t="s">
        <v>374</v>
      </c>
      <c r="BD66" s="382" t="str">
        <f t="shared" si="44"/>
        <v>5</v>
      </c>
      <c r="BE66" s="231" t="str">
        <f t="shared" si="65"/>
        <v>-</v>
      </c>
      <c r="BF66" s="396" t="s">
        <v>401</v>
      </c>
      <c r="BG66" s="479" t="s">
        <v>245</v>
      </c>
      <c r="BH66" s="216"/>
      <c r="BI66" s="509" t="s">
        <v>374</v>
      </c>
      <c r="BJ66" s="485" t="str">
        <f t="shared" si="45"/>
        <v>5</v>
      </c>
      <c r="BK66" s="231" t="str">
        <f t="shared" si="85"/>
        <v>OK</v>
      </c>
      <c r="BL66" s="396" t="s">
        <v>374</v>
      </c>
      <c r="BM66" s="479" t="s">
        <v>245</v>
      </c>
      <c r="BN66" s="216"/>
      <c r="BO66" s="396" t="s">
        <v>374</v>
      </c>
      <c r="BP66" s="382" t="str">
        <f t="shared" si="46"/>
        <v>5</v>
      </c>
      <c r="BQ66" s="231" t="str">
        <f t="shared" si="66"/>
        <v>-</v>
      </c>
      <c r="BR66" s="396" t="s">
        <v>401</v>
      </c>
      <c r="BS66" s="479" t="s">
        <v>245</v>
      </c>
      <c r="BT66" s="216"/>
      <c r="BU66" s="509"/>
      <c r="BV66" s="485" t="str">
        <f t="shared" si="47"/>
        <v xml:space="preserve"> </v>
      </c>
      <c r="BW66" s="231" t="s">
        <v>245</v>
      </c>
      <c r="BX66" s="484"/>
      <c r="BY66" s="231" t="str">
        <f t="shared" si="68"/>
        <v>-</v>
      </c>
      <c r="BZ66" s="216"/>
      <c r="CA66" s="396"/>
      <c r="CB66" s="382" t="str">
        <f t="shared" si="48"/>
        <v xml:space="preserve"> </v>
      </c>
      <c r="CC66" s="231" t="str">
        <f t="shared" si="69"/>
        <v>-</v>
      </c>
      <c r="CD66" s="394"/>
      <c r="CE66" s="395" t="str">
        <f t="shared" si="82"/>
        <v>OK</v>
      </c>
      <c r="CF66" s="216"/>
      <c r="CG66" s="396" t="s">
        <v>374</v>
      </c>
      <c r="CH66" s="382" t="str">
        <f t="shared" si="49"/>
        <v>5</v>
      </c>
      <c r="CI66" s="231" t="str">
        <f t="shared" si="70"/>
        <v>-</v>
      </c>
      <c r="CJ66" s="484" t="s">
        <v>374</v>
      </c>
      <c r="CK66" s="395" t="str">
        <f t="shared" si="83"/>
        <v>OK</v>
      </c>
      <c r="CL66" s="216"/>
      <c r="CM66" s="396"/>
      <c r="CN66" s="485" t="str">
        <f t="shared" si="50"/>
        <v xml:space="preserve"> </v>
      </c>
      <c r="CO66" s="231" t="s">
        <v>245</v>
      </c>
      <c r="CP66" s="484"/>
      <c r="CQ66" s="231" t="str">
        <f t="shared" si="71"/>
        <v>-</v>
      </c>
      <c r="CR66" s="216"/>
      <c r="CS66" s="396"/>
      <c r="CT66" s="382" t="str">
        <f t="shared" si="51"/>
        <v xml:space="preserve"> </v>
      </c>
      <c r="CU66" s="231" t="str">
        <f t="shared" si="72"/>
        <v>-</v>
      </c>
      <c r="CV66" s="396"/>
      <c r="CW66" s="395" t="s">
        <v>593</v>
      </c>
      <c r="CX66" s="216"/>
      <c r="CY66" s="396"/>
      <c r="CZ66" s="382" t="str">
        <f t="shared" si="52"/>
        <v xml:space="preserve"> </v>
      </c>
      <c r="DA66" s="231" t="str">
        <f t="shared" si="73"/>
        <v>-</v>
      </c>
      <c r="DB66" s="396"/>
      <c r="DC66" s="395" t="s">
        <v>593</v>
      </c>
    </row>
    <row r="67" spans="1:107" s="26" customFormat="1" ht="18.75" customHeight="1" thickTop="1">
      <c r="B67" s="252">
        <f t="shared" si="61"/>
        <v>60</v>
      </c>
      <c r="C67" s="253"/>
      <c r="D67" s="253"/>
      <c r="E67" s="254" t="s">
        <v>439</v>
      </c>
      <c r="F67" s="254"/>
      <c r="G67" s="254"/>
      <c r="H67" s="87"/>
      <c r="I67" s="88" t="s">
        <v>31</v>
      </c>
      <c r="J67" s="88" t="s">
        <v>426</v>
      </c>
      <c r="K67" s="88"/>
      <c r="L67" s="88"/>
      <c r="M67" s="89" t="s">
        <v>352</v>
      </c>
      <c r="N67" s="287"/>
      <c r="O67" s="288"/>
      <c r="P67" s="183"/>
      <c r="Q67" s="121"/>
      <c r="R67" s="107"/>
      <c r="S67" s="289"/>
      <c r="T67" s="287"/>
      <c r="U67" s="107"/>
      <c r="V67" s="290"/>
      <c r="W67" s="25" t="str">
        <f>IF(C67&lt;&gt;"","0",IF(D67&lt;&gt;"","1",IF(E67&lt;&gt;"","2",IF(F67&lt;&gt;"","3",IF(G67&lt;&gt;"","4",IF(H67&lt;&gt;"","5"))))))</f>
        <v>2</v>
      </c>
      <c r="X67" s="1" t="s">
        <v>122</v>
      </c>
      <c r="Y67" s="1"/>
      <c r="Z67" s="1"/>
      <c r="AA67" s="8"/>
      <c r="AB67" s="8" t="s">
        <v>257</v>
      </c>
      <c r="AC67" s="63"/>
      <c r="AD67" s="60"/>
      <c r="AE67" s="169"/>
      <c r="AF67" s="101" t="str">
        <f t="shared" si="40"/>
        <v/>
      </c>
      <c r="AG67" s="218" t="str">
        <f t="shared" ref="AG67:AG96" si="88">IF(OR(AE$8="判定対象外",AF$8="判定対象外",AF67="-"),"-",IF(AE67=AF67,"OK","NG"))</f>
        <v>-</v>
      </c>
      <c r="AH67" s="169"/>
      <c r="AI67" s="92" t="str">
        <f>IF(EXACT(AE67,AH67),"OK","NG")</f>
        <v>OK</v>
      </c>
      <c r="AJ67" s="60"/>
      <c r="AK67" s="169"/>
      <c r="AL67" s="101" t="str">
        <f t="shared" si="41"/>
        <v/>
      </c>
      <c r="AM67" s="218" t="str">
        <f t="shared" si="62"/>
        <v>-</v>
      </c>
      <c r="AN67" s="169"/>
      <c r="AO67" s="92" t="str">
        <f t="shared" si="81"/>
        <v>OK</v>
      </c>
      <c r="AP67" s="60"/>
      <c r="AQ67" s="172"/>
      <c r="AR67" s="101" t="str">
        <f t="shared" si="42"/>
        <v/>
      </c>
      <c r="AS67" s="218" t="s">
        <v>245</v>
      </c>
      <c r="AT67" s="61"/>
      <c r="AU67" s="218" t="str">
        <f t="shared" si="39"/>
        <v>-</v>
      </c>
      <c r="AV67" s="60"/>
      <c r="AW67" s="169"/>
      <c r="AX67" s="101" t="str">
        <f t="shared" si="43"/>
        <v/>
      </c>
      <c r="AY67" s="218" t="str">
        <f t="shared" si="64"/>
        <v>-</v>
      </c>
      <c r="AZ67" s="169"/>
      <c r="BA67" s="92" t="str">
        <f>IF(EXACT(AW67,AZ67),"OK","NG")</f>
        <v>OK</v>
      </c>
      <c r="BB67" s="60"/>
      <c r="BC67" s="169"/>
      <c r="BD67" s="101" t="str">
        <f t="shared" si="44"/>
        <v/>
      </c>
      <c r="BE67" s="218" t="str">
        <f t="shared" si="65"/>
        <v>-</v>
      </c>
      <c r="BF67" s="169"/>
      <c r="BG67" s="92" t="str">
        <f>IF(EXACT(BC67,BF67),"OK","NG")</f>
        <v>OK</v>
      </c>
      <c r="BH67" s="60"/>
      <c r="BI67" s="172"/>
      <c r="BJ67" s="101" t="str">
        <f t="shared" si="45"/>
        <v/>
      </c>
      <c r="BK67" s="218" t="s">
        <v>245</v>
      </c>
      <c r="BL67" s="169"/>
      <c r="BM67" s="92" t="str">
        <f>IF(EXACT(BI67,BL67),"OK","NG")</f>
        <v>OK</v>
      </c>
      <c r="BN67" s="60"/>
      <c r="BO67" s="169"/>
      <c r="BP67" s="101" t="str">
        <f t="shared" si="46"/>
        <v/>
      </c>
      <c r="BQ67" s="218" t="str">
        <f t="shared" si="66"/>
        <v>-</v>
      </c>
      <c r="BR67" s="169"/>
      <c r="BS67" s="92" t="str">
        <f>IF(EXACT(BO67,BR67),"OK","NG")</f>
        <v>OK</v>
      </c>
      <c r="BT67" s="60"/>
      <c r="BU67" s="172"/>
      <c r="BV67" s="101" t="str">
        <f t="shared" si="47"/>
        <v/>
      </c>
      <c r="BW67" s="218" t="s">
        <v>245</v>
      </c>
      <c r="BX67" s="61"/>
      <c r="BY67" s="218" t="str">
        <f t="shared" si="68"/>
        <v>-</v>
      </c>
      <c r="BZ67" s="60"/>
      <c r="CA67" s="169"/>
      <c r="CB67" s="101" t="str">
        <f t="shared" si="48"/>
        <v/>
      </c>
      <c r="CC67" s="218" t="str">
        <f t="shared" si="69"/>
        <v>-</v>
      </c>
      <c r="CD67" s="169"/>
      <c r="CE67" s="92" t="str">
        <f t="shared" si="82"/>
        <v>OK</v>
      </c>
      <c r="CF67" s="60"/>
      <c r="CG67" s="169"/>
      <c r="CH67" s="101" t="str">
        <f t="shared" si="49"/>
        <v/>
      </c>
      <c r="CI67" s="218" t="str">
        <f t="shared" si="70"/>
        <v>-</v>
      </c>
      <c r="CJ67" s="169"/>
      <c r="CK67" s="92" t="str">
        <f t="shared" si="83"/>
        <v>OK</v>
      </c>
      <c r="CL67" s="60"/>
      <c r="CM67" s="169"/>
      <c r="CN67" s="101" t="str">
        <f t="shared" si="50"/>
        <v/>
      </c>
      <c r="CO67" s="218" t="s">
        <v>245</v>
      </c>
      <c r="CP67" s="61"/>
      <c r="CQ67" s="218" t="str">
        <f t="shared" si="71"/>
        <v>-</v>
      </c>
      <c r="CR67" s="60"/>
      <c r="CS67" s="169"/>
      <c r="CT67" s="101" t="str">
        <f t="shared" si="51"/>
        <v/>
      </c>
      <c r="CU67" s="218" t="str">
        <f t="shared" si="72"/>
        <v>-</v>
      </c>
      <c r="CV67" s="169"/>
      <c r="CW67" s="92" t="s">
        <v>593</v>
      </c>
      <c r="CX67" s="60"/>
      <c r="CY67" s="169"/>
      <c r="CZ67" s="101" t="str">
        <f t="shared" si="52"/>
        <v/>
      </c>
      <c r="DA67" s="218" t="str">
        <f t="shared" si="73"/>
        <v>-</v>
      </c>
      <c r="DB67" s="169"/>
      <c r="DC67" s="92" t="s">
        <v>593</v>
      </c>
    </row>
    <row r="68" spans="1:107" s="26" customFormat="1" ht="63.75">
      <c r="B68" s="2">
        <f t="shared" si="61"/>
        <v>61</v>
      </c>
      <c r="C68" s="129"/>
      <c r="D68" s="7"/>
      <c r="E68" s="7"/>
      <c r="F68" s="112" t="s">
        <v>92</v>
      </c>
      <c r="G68" s="16"/>
      <c r="H68" s="13"/>
      <c r="I68" s="6"/>
      <c r="J68" s="6"/>
      <c r="K68" s="6"/>
      <c r="L68" s="8"/>
      <c r="M68" s="23" t="s">
        <v>296</v>
      </c>
      <c r="N68" s="1"/>
      <c r="O68" s="57"/>
      <c r="P68" s="95">
        <f>P66+1</f>
        <v>43</v>
      </c>
      <c r="Q68" s="117">
        <v>2</v>
      </c>
      <c r="R68" s="21" t="str">
        <f t="shared" ref="R68:R74" si="89">IF(AA68="M","NX",AA68)</f>
        <v>X</v>
      </c>
      <c r="S68" s="98" t="s">
        <v>440</v>
      </c>
      <c r="T68" s="96"/>
      <c r="U68" s="21" t="s">
        <v>435</v>
      </c>
      <c r="V68" s="118" t="s">
        <v>199</v>
      </c>
      <c r="W68" s="25" t="str">
        <f>IF(C68&lt;&gt;"","0",IF(D68&lt;&gt;"","1",IF(E68&lt;&gt;"","2",IF(F68&lt;&gt;"","3",IF(G68&lt;&gt;"","4",IF(H68&lt;&gt;"","5"))))))</f>
        <v>3</v>
      </c>
      <c r="X68" s="5" t="s">
        <v>297</v>
      </c>
      <c r="Y68" s="58">
        <v>2</v>
      </c>
      <c r="Z68" s="58">
        <v>2</v>
      </c>
      <c r="AA68" s="59" t="s">
        <v>114</v>
      </c>
      <c r="AB68" s="59" t="s">
        <v>21</v>
      </c>
      <c r="AC68" s="12"/>
      <c r="AD68" s="60"/>
      <c r="AE68" s="174"/>
      <c r="AF68" s="273" t="str">
        <f t="shared" si="40"/>
        <v xml:space="preserve">  </v>
      </c>
      <c r="AG68" s="218" t="str">
        <f t="shared" si="88"/>
        <v>-</v>
      </c>
      <c r="AH68" s="174"/>
      <c r="AI68" s="92" t="str">
        <f>IF(EXACT(AE68,AH68),"OK","NG")</f>
        <v>OK</v>
      </c>
      <c r="AJ68" s="60"/>
      <c r="AK68" s="174"/>
      <c r="AL68" s="273" t="str">
        <f t="shared" si="41"/>
        <v xml:space="preserve">  </v>
      </c>
      <c r="AM68" s="218" t="str">
        <f t="shared" si="62"/>
        <v>-</v>
      </c>
      <c r="AN68" s="174"/>
      <c r="AO68" s="92" t="str">
        <f t="shared" si="81"/>
        <v>OK</v>
      </c>
      <c r="AP68" s="60"/>
      <c r="AQ68" s="170"/>
      <c r="AR68" s="273" t="str">
        <f t="shared" si="42"/>
        <v xml:space="preserve">  </v>
      </c>
      <c r="AS68" s="218" t="s">
        <v>245</v>
      </c>
      <c r="AT68" s="273"/>
      <c r="AU68" s="218" t="str">
        <f t="shared" si="39"/>
        <v>-</v>
      </c>
      <c r="AV68" s="60"/>
      <c r="AW68" s="174" t="s">
        <v>102</v>
      </c>
      <c r="AX68" s="273" t="str">
        <f t="shared" si="43"/>
        <v>01</v>
      </c>
      <c r="AY68" s="218" t="str">
        <f t="shared" si="64"/>
        <v>-</v>
      </c>
      <c r="AZ68" s="174" t="s">
        <v>102</v>
      </c>
      <c r="BA68" s="478" t="s">
        <v>594</v>
      </c>
      <c r="BB68" s="60"/>
      <c r="BC68" s="174" t="s">
        <v>102</v>
      </c>
      <c r="BD68" s="273" t="str">
        <f t="shared" si="44"/>
        <v>01</v>
      </c>
      <c r="BE68" s="218" t="str">
        <f t="shared" si="65"/>
        <v>-</v>
      </c>
      <c r="BF68" s="174" t="s">
        <v>102</v>
      </c>
      <c r="BG68" s="478" t="s">
        <v>594</v>
      </c>
      <c r="BH68" s="60"/>
      <c r="BI68" s="170" t="s">
        <v>102</v>
      </c>
      <c r="BJ68" s="273" t="str">
        <f t="shared" si="45"/>
        <v>01</v>
      </c>
      <c r="BK68" s="218" t="s">
        <v>245</v>
      </c>
      <c r="BL68" s="174" t="s">
        <v>102</v>
      </c>
      <c r="BM68" s="478" t="s">
        <v>594</v>
      </c>
      <c r="BN68" s="60"/>
      <c r="BO68" s="174" t="s">
        <v>102</v>
      </c>
      <c r="BP68" s="273" t="str">
        <f t="shared" si="46"/>
        <v>01</v>
      </c>
      <c r="BQ68" s="218" t="str">
        <f t="shared" si="66"/>
        <v>-</v>
      </c>
      <c r="BR68" s="174" t="s">
        <v>102</v>
      </c>
      <c r="BS68" s="478" t="s">
        <v>594</v>
      </c>
      <c r="BT68" s="60"/>
      <c r="BU68" s="170"/>
      <c r="BV68" s="273" t="str">
        <f t="shared" si="47"/>
        <v xml:space="preserve">  </v>
      </c>
      <c r="BW68" s="218" t="s">
        <v>245</v>
      </c>
      <c r="BX68" s="273"/>
      <c r="BY68" s="218" t="str">
        <f t="shared" si="68"/>
        <v>-</v>
      </c>
      <c r="BZ68" s="60"/>
      <c r="CA68" s="174"/>
      <c r="CB68" s="273" t="str">
        <f t="shared" si="48"/>
        <v xml:space="preserve">  </v>
      </c>
      <c r="CC68" s="218" t="str">
        <f t="shared" si="69"/>
        <v>-</v>
      </c>
      <c r="CD68" s="174"/>
      <c r="CE68" s="92" t="str">
        <f t="shared" si="82"/>
        <v>OK</v>
      </c>
      <c r="CF68" s="60"/>
      <c r="CG68" s="174"/>
      <c r="CH68" s="273" t="str">
        <f t="shared" si="49"/>
        <v xml:space="preserve">  </v>
      </c>
      <c r="CI68" s="218" t="str">
        <f t="shared" si="70"/>
        <v>-</v>
      </c>
      <c r="CJ68" s="174"/>
      <c r="CK68" s="92" t="str">
        <f t="shared" si="83"/>
        <v>OK</v>
      </c>
      <c r="CL68" s="60"/>
      <c r="CM68" s="174"/>
      <c r="CN68" s="273" t="str">
        <f t="shared" si="50"/>
        <v xml:space="preserve">  </v>
      </c>
      <c r="CO68" s="218" t="s">
        <v>245</v>
      </c>
      <c r="CP68" s="273"/>
      <c r="CQ68" s="218" t="str">
        <f t="shared" si="71"/>
        <v>-</v>
      </c>
      <c r="CR68" s="60"/>
      <c r="CS68" s="174"/>
      <c r="CT68" s="273" t="str">
        <f t="shared" si="51"/>
        <v xml:space="preserve">  </v>
      </c>
      <c r="CU68" s="218" t="str">
        <f t="shared" si="72"/>
        <v>-</v>
      </c>
      <c r="CV68" s="174"/>
      <c r="CW68" s="92" t="s">
        <v>593</v>
      </c>
      <c r="CX68" s="60"/>
      <c r="CY68" s="174"/>
      <c r="CZ68" s="273" t="str">
        <f t="shared" si="52"/>
        <v xml:space="preserve">  </v>
      </c>
      <c r="DA68" s="218" t="str">
        <f t="shared" si="73"/>
        <v>-</v>
      </c>
      <c r="DB68" s="174"/>
      <c r="DC68" s="92" t="s">
        <v>593</v>
      </c>
    </row>
    <row r="69" spans="1:107" s="26" customFormat="1" ht="293.25">
      <c r="B69" s="2">
        <f t="shared" si="61"/>
        <v>62</v>
      </c>
      <c r="C69" s="7"/>
      <c r="D69" s="7"/>
      <c r="E69" s="7"/>
      <c r="F69" s="112" t="s">
        <v>424</v>
      </c>
      <c r="G69" s="16"/>
      <c r="H69" s="13"/>
      <c r="I69" s="8"/>
      <c r="J69" s="8" t="s">
        <v>426</v>
      </c>
      <c r="K69" s="8"/>
      <c r="L69" s="8"/>
      <c r="M69" s="414" t="s">
        <v>756</v>
      </c>
      <c r="N69" s="11"/>
      <c r="O69" s="57"/>
      <c r="P69" s="95">
        <f>P68+1</f>
        <v>44</v>
      </c>
      <c r="Q69" s="115">
        <v>2</v>
      </c>
      <c r="R69" s="21" t="str">
        <f t="shared" si="89"/>
        <v>X</v>
      </c>
      <c r="S69" s="98" t="s">
        <v>442</v>
      </c>
      <c r="T69" s="96"/>
      <c r="U69" s="21" t="s">
        <v>443</v>
      </c>
      <c r="V69" s="10"/>
      <c r="W69" s="25">
        <v>3</v>
      </c>
      <c r="X69" s="1" t="s">
        <v>288</v>
      </c>
      <c r="Y69" s="1">
        <v>2</v>
      </c>
      <c r="Z69" s="1">
        <v>2</v>
      </c>
      <c r="AA69" s="8" t="s">
        <v>114</v>
      </c>
      <c r="AB69" s="8" t="s">
        <v>21</v>
      </c>
      <c r="AC69" s="12"/>
      <c r="AD69" s="60"/>
      <c r="AE69" s="174"/>
      <c r="AF69" s="273" t="str">
        <f t="shared" si="40"/>
        <v xml:space="preserve">  </v>
      </c>
      <c r="AG69" s="218" t="str">
        <f t="shared" si="88"/>
        <v>-</v>
      </c>
      <c r="AH69" s="174"/>
      <c r="AI69" s="92" t="str">
        <f t="shared" si="84"/>
        <v>OK</v>
      </c>
      <c r="AJ69" s="60"/>
      <c r="AK69" s="174"/>
      <c r="AL69" s="273" t="str">
        <f t="shared" si="41"/>
        <v xml:space="preserve">  </v>
      </c>
      <c r="AM69" s="218" t="str">
        <f t="shared" si="62"/>
        <v>-</v>
      </c>
      <c r="AN69" s="174"/>
      <c r="AO69" s="92" t="str">
        <f t="shared" ref="AO69:AO100" si="90">IF(EXACT(AK69,AN69),"OK","NG")</f>
        <v>OK</v>
      </c>
      <c r="AP69" s="60"/>
      <c r="AQ69" s="170"/>
      <c r="AR69" s="273" t="str">
        <f t="shared" si="42"/>
        <v xml:space="preserve">  </v>
      </c>
      <c r="AS69" s="218" t="s">
        <v>245</v>
      </c>
      <c r="AT69" s="273"/>
      <c r="AU69" s="218" t="str">
        <f t="shared" si="39"/>
        <v>-</v>
      </c>
      <c r="AV69" s="60"/>
      <c r="AW69" s="174" t="s">
        <v>123</v>
      </c>
      <c r="AX69" s="273" t="str">
        <f t="shared" si="43"/>
        <v>11</v>
      </c>
      <c r="AY69" s="218" t="str">
        <f t="shared" si="64"/>
        <v>-</v>
      </c>
      <c r="AZ69" s="174" t="s">
        <v>123</v>
      </c>
      <c r="BA69" s="92" t="str">
        <f>IF(EXACT(AW69,AZ69),"OK","NG")</f>
        <v>OK</v>
      </c>
      <c r="BB69" s="60"/>
      <c r="BC69" s="174" t="s">
        <v>61</v>
      </c>
      <c r="BD69" s="273" t="str">
        <f t="shared" si="44"/>
        <v>00</v>
      </c>
      <c r="BE69" s="218" t="str">
        <f t="shared" si="65"/>
        <v>-</v>
      </c>
      <c r="BF69" s="174" t="s">
        <v>61</v>
      </c>
      <c r="BG69" s="92" t="str">
        <f>IF(EXACT(BC69,BF69),"OK","NG")</f>
        <v>OK</v>
      </c>
      <c r="BH69" s="60"/>
      <c r="BI69" s="170" t="s">
        <v>123</v>
      </c>
      <c r="BJ69" s="273" t="str">
        <f t="shared" si="45"/>
        <v>11</v>
      </c>
      <c r="BK69" s="218" t="s">
        <v>245</v>
      </c>
      <c r="BL69" s="174" t="s">
        <v>123</v>
      </c>
      <c r="BM69" s="92" t="str">
        <f>IF(EXACT(BI69,BL69),"OK","NG")</f>
        <v>OK</v>
      </c>
      <c r="BN69" s="60"/>
      <c r="BO69" s="174" t="s">
        <v>61</v>
      </c>
      <c r="BP69" s="273" t="str">
        <f t="shared" si="46"/>
        <v>00</v>
      </c>
      <c r="BQ69" s="218" t="str">
        <f t="shared" si="66"/>
        <v>-</v>
      </c>
      <c r="BR69" s="174" t="s">
        <v>61</v>
      </c>
      <c r="BS69" s="92" t="str">
        <f>IF(EXACT(BO69,BR69),"OK","NG")</f>
        <v>OK</v>
      </c>
      <c r="BT69" s="60"/>
      <c r="BU69" s="170"/>
      <c r="BV69" s="273" t="str">
        <f t="shared" si="47"/>
        <v xml:space="preserve">  </v>
      </c>
      <c r="BW69" s="218" t="s">
        <v>245</v>
      </c>
      <c r="BX69" s="273"/>
      <c r="BY69" s="218" t="str">
        <f t="shared" si="68"/>
        <v>-</v>
      </c>
      <c r="BZ69" s="60"/>
      <c r="CA69" s="174"/>
      <c r="CB69" s="273" t="str">
        <f t="shared" si="48"/>
        <v xml:space="preserve">  </v>
      </c>
      <c r="CC69" s="218" t="str">
        <f t="shared" si="69"/>
        <v>-</v>
      </c>
      <c r="CD69" s="174"/>
      <c r="CE69" s="92" t="str">
        <f t="shared" ref="CE69:CE100" si="91">IF(EXACT(CA69,CD69),"OK","NG")</f>
        <v>OK</v>
      </c>
      <c r="CF69" s="60"/>
      <c r="CG69" s="174"/>
      <c r="CH69" s="273" t="str">
        <f t="shared" si="49"/>
        <v xml:space="preserve">  </v>
      </c>
      <c r="CI69" s="218" t="str">
        <f t="shared" si="70"/>
        <v>-</v>
      </c>
      <c r="CJ69" s="174"/>
      <c r="CK69" s="92" t="str">
        <f t="shared" ref="CK69:CK100" si="92">IF(EXACT(CG69,CJ69),"OK","NG")</f>
        <v>OK</v>
      </c>
      <c r="CL69" s="60"/>
      <c r="CM69" s="174"/>
      <c r="CN69" s="273" t="str">
        <f t="shared" si="50"/>
        <v xml:space="preserve">  </v>
      </c>
      <c r="CO69" s="218" t="s">
        <v>245</v>
      </c>
      <c r="CP69" s="273"/>
      <c r="CQ69" s="218" t="str">
        <f t="shared" si="71"/>
        <v>-</v>
      </c>
      <c r="CR69" s="60"/>
      <c r="CS69" s="174"/>
      <c r="CT69" s="273" t="str">
        <f t="shared" si="51"/>
        <v xml:space="preserve">  </v>
      </c>
      <c r="CU69" s="218" t="str">
        <f t="shared" si="72"/>
        <v>-</v>
      </c>
      <c r="CV69" s="174"/>
      <c r="CW69" s="92" t="s">
        <v>593</v>
      </c>
      <c r="CX69" s="60"/>
      <c r="CY69" s="174"/>
      <c r="CZ69" s="273" t="str">
        <f t="shared" si="52"/>
        <v xml:space="preserve">  </v>
      </c>
      <c r="DA69" s="218" t="str">
        <f t="shared" si="73"/>
        <v>-</v>
      </c>
      <c r="DB69" s="174"/>
      <c r="DC69" s="92" t="s">
        <v>593</v>
      </c>
    </row>
    <row r="70" spans="1:107" s="26" customFormat="1">
      <c r="B70" s="2">
        <f t="shared" si="61"/>
        <v>63</v>
      </c>
      <c r="C70" s="7"/>
      <c r="D70" s="7"/>
      <c r="E70" s="7"/>
      <c r="F70" s="22" t="s">
        <v>353</v>
      </c>
      <c r="G70" s="16"/>
      <c r="H70" s="13"/>
      <c r="I70" s="8"/>
      <c r="J70" s="8"/>
      <c r="K70" s="8"/>
      <c r="L70" s="8"/>
      <c r="M70" s="417" t="s">
        <v>220</v>
      </c>
      <c r="N70" s="11"/>
      <c r="O70" s="57"/>
      <c r="P70" s="95">
        <f t="shared" ref="P70:P91" si="93">P69+1</f>
        <v>45</v>
      </c>
      <c r="Q70" s="115">
        <v>2</v>
      </c>
      <c r="R70" s="21" t="str">
        <f t="shared" si="89"/>
        <v>X</v>
      </c>
      <c r="S70" s="98" t="s">
        <v>124</v>
      </c>
      <c r="T70" s="96"/>
      <c r="U70" s="21" t="s">
        <v>257</v>
      </c>
      <c r="V70" s="10"/>
      <c r="W70" s="25">
        <v>3</v>
      </c>
      <c r="X70" s="1" t="s">
        <v>125</v>
      </c>
      <c r="Y70" s="1">
        <v>2</v>
      </c>
      <c r="Z70" s="1">
        <v>2</v>
      </c>
      <c r="AA70" s="8" t="s">
        <v>114</v>
      </c>
      <c r="AB70" s="8" t="s">
        <v>21</v>
      </c>
      <c r="AC70" s="12"/>
      <c r="AD70" s="60"/>
      <c r="AE70" s="169"/>
      <c r="AF70" s="61" t="str">
        <f t="shared" si="40"/>
        <v xml:space="preserve">  </v>
      </c>
      <c r="AG70" s="218" t="str">
        <f t="shared" si="88"/>
        <v>-</v>
      </c>
      <c r="AH70" s="169"/>
      <c r="AI70" s="92" t="str">
        <f t="shared" si="84"/>
        <v>OK</v>
      </c>
      <c r="AJ70" s="60"/>
      <c r="AK70" s="169"/>
      <c r="AL70" s="61" t="str">
        <f t="shared" si="41"/>
        <v xml:space="preserve">  </v>
      </c>
      <c r="AM70" s="218" t="str">
        <f t="shared" si="62"/>
        <v>-</v>
      </c>
      <c r="AN70" s="169"/>
      <c r="AO70" s="92" t="str">
        <f t="shared" si="90"/>
        <v>OK</v>
      </c>
      <c r="AP70" s="60"/>
      <c r="AQ70" s="172"/>
      <c r="AR70" s="61" t="str">
        <f t="shared" si="42"/>
        <v xml:space="preserve">  </v>
      </c>
      <c r="AS70" s="218" t="s">
        <v>593</v>
      </c>
      <c r="AT70" s="61"/>
      <c r="AU70" s="218" t="str">
        <f t="shared" si="39"/>
        <v>-</v>
      </c>
      <c r="AV70" s="60"/>
      <c r="AW70" s="169"/>
      <c r="AX70" s="61" t="str">
        <f t="shared" si="43"/>
        <v xml:space="preserve">  </v>
      </c>
      <c r="AY70" s="218" t="str">
        <f t="shared" si="64"/>
        <v>-</v>
      </c>
      <c r="AZ70" s="169"/>
      <c r="BA70" s="92" t="str">
        <f>IF(EXACT(AW70,AZ70),"OK","NG")</f>
        <v>OK</v>
      </c>
      <c r="BB70" s="60"/>
      <c r="BC70" s="169"/>
      <c r="BD70" s="61" t="str">
        <f t="shared" si="44"/>
        <v xml:space="preserve">  </v>
      </c>
      <c r="BE70" s="218" t="str">
        <f t="shared" si="65"/>
        <v>-</v>
      </c>
      <c r="BF70" s="169"/>
      <c r="BG70" s="92" t="str">
        <f>IF(EXACT(BC70,BF70),"OK","NG")</f>
        <v>OK</v>
      </c>
      <c r="BH70" s="60"/>
      <c r="BI70" s="170" t="s">
        <v>698</v>
      </c>
      <c r="BJ70" s="61" t="str">
        <f t="shared" si="45"/>
        <v xml:space="preserve">  </v>
      </c>
      <c r="BK70" s="218" t="s">
        <v>593</v>
      </c>
      <c r="BL70" s="169"/>
      <c r="BM70" s="92" t="str">
        <f>IF(EXACT(BI70,BL70),"OK","NG")</f>
        <v>NG</v>
      </c>
      <c r="BN70" s="60"/>
      <c r="BO70" s="169"/>
      <c r="BP70" s="61" t="str">
        <f t="shared" si="46"/>
        <v xml:space="preserve">  </v>
      </c>
      <c r="BQ70" s="218" t="str">
        <f t="shared" si="66"/>
        <v>-</v>
      </c>
      <c r="BR70" s="169"/>
      <c r="BS70" s="92" t="str">
        <f>IF(EXACT(BO70,BR70),"OK","NG")</f>
        <v>OK</v>
      </c>
      <c r="BT70" s="60"/>
      <c r="BU70" s="172"/>
      <c r="BV70" s="61" t="str">
        <f t="shared" si="47"/>
        <v xml:space="preserve">  </v>
      </c>
      <c r="BW70" s="218" t="s">
        <v>593</v>
      </c>
      <c r="BX70" s="61"/>
      <c r="BY70" s="218" t="str">
        <f t="shared" si="68"/>
        <v>-</v>
      </c>
      <c r="BZ70" s="60"/>
      <c r="CA70" s="169"/>
      <c r="CB70" s="61" t="str">
        <f t="shared" si="48"/>
        <v xml:space="preserve">  </v>
      </c>
      <c r="CC70" s="218" t="str">
        <f t="shared" si="69"/>
        <v>-</v>
      </c>
      <c r="CD70" s="169"/>
      <c r="CE70" s="92" t="str">
        <f t="shared" si="91"/>
        <v>OK</v>
      </c>
      <c r="CF70" s="60"/>
      <c r="CG70" s="169"/>
      <c r="CH70" s="61" t="str">
        <f t="shared" si="49"/>
        <v xml:space="preserve">  </v>
      </c>
      <c r="CI70" s="218" t="str">
        <f t="shared" si="70"/>
        <v>-</v>
      </c>
      <c r="CJ70" s="169"/>
      <c r="CK70" s="92" t="str">
        <f t="shared" si="92"/>
        <v>OK</v>
      </c>
      <c r="CL70" s="60"/>
      <c r="CM70" s="169"/>
      <c r="CN70" s="61" t="str">
        <f t="shared" si="50"/>
        <v xml:space="preserve">  </v>
      </c>
      <c r="CO70" s="218" t="s">
        <v>593</v>
      </c>
      <c r="CP70" s="61"/>
      <c r="CQ70" s="218" t="str">
        <f t="shared" si="71"/>
        <v>-</v>
      </c>
      <c r="CR70" s="60"/>
      <c r="CS70" s="169"/>
      <c r="CT70" s="61" t="str">
        <f t="shared" si="51"/>
        <v xml:space="preserve">  </v>
      </c>
      <c r="CU70" s="218" t="str">
        <f t="shared" si="72"/>
        <v>-</v>
      </c>
      <c r="CV70" s="169"/>
      <c r="CW70" s="92" t="s">
        <v>593</v>
      </c>
      <c r="CX70" s="60"/>
      <c r="CY70" s="169"/>
      <c r="CZ70" s="61" t="str">
        <f t="shared" si="52"/>
        <v xml:space="preserve">  </v>
      </c>
      <c r="DA70" s="218" t="str">
        <f t="shared" si="73"/>
        <v>-</v>
      </c>
      <c r="DB70" s="169"/>
      <c r="DC70" s="92" t="s">
        <v>593</v>
      </c>
    </row>
    <row r="71" spans="1:107" s="26" customFormat="1">
      <c r="B71" s="2">
        <f t="shared" si="61"/>
        <v>64</v>
      </c>
      <c r="C71" s="7"/>
      <c r="D71" s="7"/>
      <c r="E71" s="7"/>
      <c r="F71" s="22" t="s">
        <v>126</v>
      </c>
      <c r="G71" s="16"/>
      <c r="H71" s="13"/>
      <c r="I71" s="8"/>
      <c r="J71" s="8" t="s">
        <v>269</v>
      </c>
      <c r="K71" s="8"/>
      <c r="L71" s="8"/>
      <c r="M71" s="1" t="s">
        <v>127</v>
      </c>
      <c r="N71" s="1"/>
      <c r="O71" s="57"/>
      <c r="P71" s="95">
        <f t="shared" si="93"/>
        <v>46</v>
      </c>
      <c r="Q71" s="115">
        <v>255</v>
      </c>
      <c r="R71" s="21" t="str">
        <f t="shared" si="89"/>
        <v>NX</v>
      </c>
      <c r="S71" s="98" t="s">
        <v>128</v>
      </c>
      <c r="T71" s="96"/>
      <c r="U71" s="21" t="s">
        <v>257</v>
      </c>
      <c r="V71" s="10"/>
      <c r="W71" s="25">
        <v>3</v>
      </c>
      <c r="X71" s="1" t="s">
        <v>298</v>
      </c>
      <c r="Y71" s="1">
        <v>1</v>
      </c>
      <c r="Z71" s="1">
        <v>255</v>
      </c>
      <c r="AA71" s="8" t="s">
        <v>129</v>
      </c>
      <c r="AB71" s="8" t="s">
        <v>21</v>
      </c>
      <c r="AC71" s="12"/>
      <c r="AD71" s="60"/>
      <c r="AE71" s="174"/>
      <c r="AF71" s="228" t="str">
        <f t="shared" si="40"/>
        <v xml:space="preserve">                                                                                                                                                                                                                                                               </v>
      </c>
      <c r="AG71" s="218" t="str">
        <f t="shared" si="88"/>
        <v>-</v>
      </c>
      <c r="AH71" s="174"/>
      <c r="AI71" s="92" t="str">
        <f t="shared" si="84"/>
        <v>OK</v>
      </c>
      <c r="AJ71" s="60"/>
      <c r="AK71" s="174"/>
      <c r="AL71" s="228" t="str">
        <f t="shared" si="41"/>
        <v xml:space="preserve">                                                                                                                                                                                                                                                               </v>
      </c>
      <c r="AM71" s="218" t="str">
        <f t="shared" si="62"/>
        <v>-</v>
      </c>
      <c r="AN71" s="174"/>
      <c r="AO71" s="92" t="str">
        <f t="shared" si="90"/>
        <v>OK</v>
      </c>
      <c r="AP71" s="60"/>
      <c r="AQ71" s="170"/>
      <c r="AR71" s="228" t="str">
        <f t="shared" si="42"/>
        <v xml:space="preserve">                                                                                                                                                                                                                                                               </v>
      </c>
      <c r="AS71" s="218" t="s">
        <v>593</v>
      </c>
      <c r="AT71" s="228"/>
      <c r="AU71" s="218" t="str">
        <f t="shared" si="39"/>
        <v>-</v>
      </c>
      <c r="AV71" s="60"/>
      <c r="AW71" s="174" t="s">
        <v>329</v>
      </c>
      <c r="AX71" s="228" t="str">
        <f t="shared" si="43"/>
        <v xml:space="preserve">ａｕひかり ちゅら マンション                                                                                                                                                                                                                                   </v>
      </c>
      <c r="AY71" s="218" t="str">
        <f t="shared" si="64"/>
        <v>-</v>
      </c>
      <c r="AZ71" s="174" t="s">
        <v>329</v>
      </c>
      <c r="BA71" s="92" t="str">
        <f>IF(EXACT(AW71,AZ71),"OK","NG")</f>
        <v>OK</v>
      </c>
      <c r="BB71" s="60"/>
      <c r="BC71" s="174" t="s">
        <v>375</v>
      </c>
      <c r="BD71" s="228" t="str">
        <f t="shared" si="44"/>
        <v xml:space="preserve">ａｕひかり ホーム                                                                                                                                                                                                                                              </v>
      </c>
      <c r="BE71" s="218" t="str">
        <f t="shared" si="65"/>
        <v>-</v>
      </c>
      <c r="BF71" s="174" t="s">
        <v>375</v>
      </c>
      <c r="BG71" s="92" t="str">
        <f>IF(EXACT(BC71,BF71),"OK","NG")</f>
        <v>OK</v>
      </c>
      <c r="BH71" s="60"/>
      <c r="BI71" s="170" t="s">
        <v>731</v>
      </c>
      <c r="BJ71" s="228" t="str">
        <f t="shared" si="45"/>
        <v xml:space="preserve">ａｕひかり ちゅら マンション                                                                                                                                                                                                                                   </v>
      </c>
      <c r="BK71" s="218" t="s">
        <v>593</v>
      </c>
      <c r="BL71" s="174" t="s">
        <v>329</v>
      </c>
      <c r="BM71" s="92" t="str">
        <f>IF(EXACT(BI71,BL71),"OK","NG")</f>
        <v>NG</v>
      </c>
      <c r="BN71" s="60"/>
      <c r="BO71" s="174" t="s">
        <v>375</v>
      </c>
      <c r="BP71" s="228" t="str">
        <f t="shared" si="46"/>
        <v xml:space="preserve">ａｕひかり ホーム                                                                                                                                                                                                                                              </v>
      </c>
      <c r="BQ71" s="218" t="str">
        <f t="shared" si="66"/>
        <v>-</v>
      </c>
      <c r="BR71" s="174" t="s">
        <v>375</v>
      </c>
      <c r="BS71" s="92" t="str">
        <f>IF(EXACT(BO71,BR71),"OK","NG")</f>
        <v>OK</v>
      </c>
      <c r="BT71" s="60"/>
      <c r="BU71" s="170"/>
      <c r="BV71" s="228" t="str">
        <f t="shared" si="47"/>
        <v xml:space="preserve">                                                                                                                                                                                                                                                               </v>
      </c>
      <c r="BW71" s="218" t="s">
        <v>593</v>
      </c>
      <c r="BX71" s="228"/>
      <c r="BY71" s="218" t="str">
        <f t="shared" si="68"/>
        <v>-</v>
      </c>
      <c r="BZ71" s="60"/>
      <c r="CA71" s="174"/>
      <c r="CB71" s="228" t="str">
        <f t="shared" si="48"/>
        <v xml:space="preserve">                                                                                                                                                                                                                                                               </v>
      </c>
      <c r="CC71" s="218" t="str">
        <f t="shared" si="69"/>
        <v>-</v>
      </c>
      <c r="CD71" s="174"/>
      <c r="CE71" s="92" t="str">
        <f t="shared" si="91"/>
        <v>OK</v>
      </c>
      <c r="CF71" s="60"/>
      <c r="CG71" s="174"/>
      <c r="CH71" s="228" t="str">
        <f t="shared" si="49"/>
        <v xml:space="preserve">                                                                                                                                                                                                                                                               </v>
      </c>
      <c r="CI71" s="218" t="str">
        <f t="shared" si="70"/>
        <v>-</v>
      </c>
      <c r="CJ71" s="174"/>
      <c r="CK71" s="92" t="str">
        <f t="shared" si="92"/>
        <v>OK</v>
      </c>
      <c r="CL71" s="60"/>
      <c r="CM71" s="174"/>
      <c r="CN71" s="228" t="str">
        <f t="shared" si="50"/>
        <v xml:space="preserve">                                                                                                                                                                                                                                                               </v>
      </c>
      <c r="CO71" s="218" t="s">
        <v>593</v>
      </c>
      <c r="CP71" s="228"/>
      <c r="CQ71" s="218" t="str">
        <f t="shared" si="71"/>
        <v>-</v>
      </c>
      <c r="CR71" s="60"/>
      <c r="CS71" s="174"/>
      <c r="CT71" s="228" t="str">
        <f t="shared" si="51"/>
        <v xml:space="preserve">                                                                                                                                                                                                                                                               </v>
      </c>
      <c r="CU71" s="218" t="str">
        <f t="shared" si="72"/>
        <v>-</v>
      </c>
      <c r="CV71" s="174"/>
      <c r="CW71" s="92" t="s">
        <v>593</v>
      </c>
      <c r="CX71" s="60"/>
      <c r="CY71" s="174"/>
      <c r="CZ71" s="228" t="str">
        <f t="shared" si="52"/>
        <v xml:space="preserve">                                                                                                                                                                                                                                                               </v>
      </c>
      <c r="DA71" s="218" t="str">
        <f t="shared" si="73"/>
        <v>-</v>
      </c>
      <c r="DB71" s="174"/>
      <c r="DC71" s="92" t="s">
        <v>593</v>
      </c>
    </row>
    <row r="72" spans="1:107" s="26" customFormat="1">
      <c r="B72" s="19">
        <f t="shared" si="61"/>
        <v>65</v>
      </c>
      <c r="C72" s="7"/>
      <c r="D72" s="7"/>
      <c r="E72" s="7"/>
      <c r="F72" s="3" t="s">
        <v>130</v>
      </c>
      <c r="G72" s="3"/>
      <c r="H72" s="4"/>
      <c r="I72" s="6"/>
      <c r="J72" s="6"/>
      <c r="K72" s="6"/>
      <c r="L72" s="6"/>
      <c r="M72" s="23" t="s">
        <v>131</v>
      </c>
      <c r="N72" s="5"/>
      <c r="O72" s="55"/>
      <c r="P72" s="95">
        <f t="shared" si="93"/>
        <v>47</v>
      </c>
      <c r="Q72" s="116">
        <v>256</v>
      </c>
      <c r="R72" s="21" t="str">
        <f t="shared" si="89"/>
        <v>NX</v>
      </c>
      <c r="S72" s="98" t="s">
        <v>132</v>
      </c>
      <c r="T72" s="96"/>
      <c r="U72" s="21" t="s">
        <v>435</v>
      </c>
      <c r="V72" s="10"/>
      <c r="W72" s="28">
        <v>3</v>
      </c>
      <c r="X72" s="5" t="s">
        <v>299</v>
      </c>
      <c r="Y72" s="5">
        <v>1</v>
      </c>
      <c r="Z72" s="5">
        <v>256</v>
      </c>
      <c r="AA72" s="6" t="s">
        <v>300</v>
      </c>
      <c r="AB72" s="6" t="s">
        <v>257</v>
      </c>
      <c r="AC72" s="64"/>
      <c r="AD72" s="60"/>
      <c r="AE72" s="169"/>
      <c r="AF72" s="61" t="str">
        <f t="shared" si="40"/>
        <v xml:space="preserve">                                                                                                                                                                                                                                                                </v>
      </c>
      <c r="AG72" s="218" t="str">
        <f t="shared" si="88"/>
        <v>-</v>
      </c>
      <c r="AH72" s="169"/>
      <c r="AI72" s="92" t="str">
        <f t="shared" si="84"/>
        <v>OK</v>
      </c>
      <c r="AJ72" s="60"/>
      <c r="AK72" s="169"/>
      <c r="AL72" s="61" t="str">
        <f t="shared" si="41"/>
        <v xml:space="preserve">                                                                                                                                                                                                                                                                </v>
      </c>
      <c r="AM72" s="218" t="str">
        <f t="shared" si="62"/>
        <v>-</v>
      </c>
      <c r="AN72" s="169"/>
      <c r="AO72" s="92" t="str">
        <f t="shared" si="90"/>
        <v>OK</v>
      </c>
      <c r="AP72" s="60"/>
      <c r="AQ72" s="172"/>
      <c r="AR72" s="61" t="str">
        <f t="shared" si="42"/>
        <v xml:space="preserve">                                                                                                                                                                                                                                                                </v>
      </c>
      <c r="AS72" s="218" t="s">
        <v>593</v>
      </c>
      <c r="AT72" s="61"/>
      <c r="AU72" s="218" t="str">
        <f t="shared" si="39"/>
        <v>-</v>
      </c>
      <c r="AV72" s="60"/>
      <c r="AW72" s="169"/>
      <c r="AX72" s="61" t="str">
        <f t="shared" si="43"/>
        <v xml:space="preserve">                                                                                                                                                                                                                                                                </v>
      </c>
      <c r="AY72" s="218" t="str">
        <f t="shared" si="64"/>
        <v>-</v>
      </c>
      <c r="AZ72" s="169"/>
      <c r="BA72" s="92" t="str">
        <f>IF(EXACT(AW72,AZ72),"OK","NG")</f>
        <v>OK</v>
      </c>
      <c r="BB72" s="60"/>
      <c r="BC72" s="169"/>
      <c r="BD72" s="61" t="str">
        <f t="shared" si="44"/>
        <v xml:space="preserve">                                                                                                                                                                                                                                                                </v>
      </c>
      <c r="BE72" s="218" t="str">
        <f t="shared" si="65"/>
        <v>-</v>
      </c>
      <c r="BF72" s="169"/>
      <c r="BG72" s="92" t="str">
        <f>IF(EXACT(BC72,BF72),"OK","NG")</f>
        <v>OK</v>
      </c>
      <c r="BH72" s="60"/>
      <c r="BI72" s="170" t="s">
        <v>700</v>
      </c>
      <c r="BJ72" s="61" t="str">
        <f t="shared" si="45"/>
        <v xml:space="preserve">                                                                                                                                                                                                                                                                </v>
      </c>
      <c r="BK72" s="218" t="s">
        <v>593</v>
      </c>
      <c r="BL72" s="169"/>
      <c r="BM72" s="92" t="str">
        <f>IF(EXACT(BI72,BL72),"OK","NG")</f>
        <v>NG</v>
      </c>
      <c r="BN72" s="60"/>
      <c r="BO72" s="169"/>
      <c r="BP72" s="61" t="str">
        <f t="shared" si="46"/>
        <v xml:space="preserve">                                                                                                                                                                                                                                                                </v>
      </c>
      <c r="BQ72" s="218" t="str">
        <f t="shared" si="66"/>
        <v>-</v>
      </c>
      <c r="BR72" s="169"/>
      <c r="BS72" s="92" t="str">
        <f>IF(EXACT(BO72,BR72),"OK","NG")</f>
        <v>OK</v>
      </c>
      <c r="BT72" s="60"/>
      <c r="BU72" s="172"/>
      <c r="BV72" s="61" t="str">
        <f t="shared" si="47"/>
        <v xml:space="preserve">                                                                                                                                                                                                                                                                </v>
      </c>
      <c r="BW72" s="218" t="s">
        <v>593</v>
      </c>
      <c r="BX72" s="61"/>
      <c r="BY72" s="218" t="str">
        <f t="shared" si="68"/>
        <v>-</v>
      </c>
      <c r="BZ72" s="60"/>
      <c r="CA72" s="169"/>
      <c r="CB72" s="61" t="str">
        <f t="shared" si="48"/>
        <v xml:space="preserve">                                                                                                                                                                                                                                                                </v>
      </c>
      <c r="CC72" s="218" t="str">
        <f t="shared" si="69"/>
        <v>-</v>
      </c>
      <c r="CD72" s="169"/>
      <c r="CE72" s="92" t="str">
        <f t="shared" si="91"/>
        <v>OK</v>
      </c>
      <c r="CF72" s="60"/>
      <c r="CG72" s="169"/>
      <c r="CH72" s="61" t="str">
        <f t="shared" si="49"/>
        <v xml:space="preserve">                                                                                                                                                                                                                                                                </v>
      </c>
      <c r="CI72" s="218" t="str">
        <f t="shared" si="70"/>
        <v>-</v>
      </c>
      <c r="CJ72" s="169"/>
      <c r="CK72" s="92" t="str">
        <f t="shared" si="92"/>
        <v>OK</v>
      </c>
      <c r="CL72" s="60"/>
      <c r="CM72" s="169"/>
      <c r="CN72" s="61" t="str">
        <f t="shared" si="50"/>
        <v xml:space="preserve">                                                                                                                                                                                                                                                                </v>
      </c>
      <c r="CO72" s="218" t="s">
        <v>593</v>
      </c>
      <c r="CP72" s="61"/>
      <c r="CQ72" s="218" t="str">
        <f t="shared" si="71"/>
        <v>-</v>
      </c>
      <c r="CR72" s="60"/>
      <c r="CS72" s="169"/>
      <c r="CT72" s="61" t="str">
        <f t="shared" si="51"/>
        <v xml:space="preserve">                                                                                                                                                                                                                                                                </v>
      </c>
      <c r="CU72" s="218" t="str">
        <f t="shared" si="72"/>
        <v>-</v>
      </c>
      <c r="CV72" s="169"/>
      <c r="CW72" s="92" t="s">
        <v>593</v>
      </c>
      <c r="CX72" s="60"/>
      <c r="CY72" s="169"/>
      <c r="CZ72" s="61" t="str">
        <f t="shared" si="52"/>
        <v xml:space="preserve">                                                                                                                                                                                                                                                                </v>
      </c>
      <c r="DA72" s="218" t="str">
        <f t="shared" si="73"/>
        <v>-</v>
      </c>
      <c r="DB72" s="169"/>
      <c r="DC72" s="92" t="s">
        <v>593</v>
      </c>
    </row>
    <row r="73" spans="1:107" s="26" customFormat="1" ht="63.75">
      <c r="B73" s="2">
        <f t="shared" si="61"/>
        <v>66</v>
      </c>
      <c r="C73" s="7"/>
      <c r="D73" s="7"/>
      <c r="E73" s="7"/>
      <c r="F73" s="22" t="s">
        <v>133</v>
      </c>
      <c r="G73" s="16"/>
      <c r="H73" s="13"/>
      <c r="I73" s="8"/>
      <c r="J73" s="8"/>
      <c r="K73" s="8"/>
      <c r="L73" s="8"/>
      <c r="M73" s="11" t="s">
        <v>444</v>
      </c>
      <c r="N73" s="1"/>
      <c r="O73" s="57"/>
      <c r="P73" s="95">
        <f t="shared" si="93"/>
        <v>48</v>
      </c>
      <c r="Q73" s="115">
        <v>256</v>
      </c>
      <c r="R73" s="21" t="str">
        <f t="shared" si="89"/>
        <v>NX</v>
      </c>
      <c r="S73" s="98" t="s">
        <v>134</v>
      </c>
      <c r="T73" s="96"/>
      <c r="U73" s="21" t="s">
        <v>435</v>
      </c>
      <c r="V73" s="10"/>
      <c r="W73" s="25">
        <v>3</v>
      </c>
      <c r="X73" s="1" t="s">
        <v>135</v>
      </c>
      <c r="Y73" s="1">
        <v>1</v>
      </c>
      <c r="Z73" s="1">
        <v>256</v>
      </c>
      <c r="AA73" s="8" t="s">
        <v>129</v>
      </c>
      <c r="AB73" s="8" t="s">
        <v>257</v>
      </c>
      <c r="AC73" s="12"/>
      <c r="AD73" s="60"/>
      <c r="AE73" s="174"/>
      <c r="AF73" s="273" t="str">
        <f t="shared" si="40"/>
        <v xml:space="preserve">                                                                                                                                                                                                                                                                </v>
      </c>
      <c r="AG73" s="218" t="str">
        <f t="shared" si="88"/>
        <v>-</v>
      </c>
      <c r="AH73" s="174"/>
      <c r="AI73" s="92" t="str">
        <f t="shared" si="84"/>
        <v>OK</v>
      </c>
      <c r="AJ73" s="60"/>
      <c r="AK73" s="174"/>
      <c r="AL73" s="273" t="str">
        <f t="shared" si="41"/>
        <v xml:space="preserve">                                                                                                                                                                                                                                                                </v>
      </c>
      <c r="AM73" s="218" t="str">
        <f t="shared" si="62"/>
        <v>-</v>
      </c>
      <c r="AN73" s="174"/>
      <c r="AO73" s="92" t="str">
        <f t="shared" si="90"/>
        <v>OK</v>
      </c>
      <c r="AP73" s="60"/>
      <c r="AQ73" s="170"/>
      <c r="AR73" s="273" t="str">
        <f t="shared" si="42"/>
        <v xml:space="preserve">                                                                                                                                                                                                                                                                </v>
      </c>
      <c r="AS73" s="218" t="s">
        <v>593</v>
      </c>
      <c r="AT73" s="273"/>
      <c r="AU73" s="218" t="str">
        <f t="shared" si="39"/>
        <v>-</v>
      </c>
      <c r="AV73" s="60"/>
      <c r="AW73" s="174" t="s">
        <v>330</v>
      </c>
      <c r="AX73" s="273" t="str">
        <f t="shared" si="43"/>
        <v xml:space="preserve">インターネット/TV                                                                                                                                                                                                                                               </v>
      </c>
      <c r="AY73" s="218" t="str">
        <f t="shared" si="64"/>
        <v>-</v>
      </c>
      <c r="AZ73" s="174" t="s">
        <v>330</v>
      </c>
      <c r="BA73" s="478" t="s">
        <v>594</v>
      </c>
      <c r="BB73" s="60"/>
      <c r="BC73" s="174" t="s">
        <v>330</v>
      </c>
      <c r="BD73" s="273" t="str">
        <f t="shared" si="44"/>
        <v xml:space="preserve">インターネット/TV                                                                                                                                                                                                                                               </v>
      </c>
      <c r="BE73" s="218" t="str">
        <f t="shared" si="65"/>
        <v>-</v>
      </c>
      <c r="BF73" s="174" t="s">
        <v>330</v>
      </c>
      <c r="BG73" s="478" t="s">
        <v>594</v>
      </c>
      <c r="BH73" s="60"/>
      <c r="BI73" s="170" t="s">
        <v>728</v>
      </c>
      <c r="BJ73" s="273" t="str">
        <f t="shared" si="45"/>
        <v xml:space="preserve">インターネット/TV                                                                                                                                                                                                                                               </v>
      </c>
      <c r="BK73" s="218" t="s">
        <v>593</v>
      </c>
      <c r="BL73" s="174" t="s">
        <v>330</v>
      </c>
      <c r="BM73" s="478" t="s">
        <v>594</v>
      </c>
      <c r="BN73" s="60"/>
      <c r="BO73" s="174" t="s">
        <v>330</v>
      </c>
      <c r="BP73" s="273" t="str">
        <f t="shared" si="46"/>
        <v xml:space="preserve">インターネット/TV                                                                                                                                                                                                                                               </v>
      </c>
      <c r="BQ73" s="218" t="str">
        <f t="shared" si="66"/>
        <v>-</v>
      </c>
      <c r="BR73" s="174" t="s">
        <v>330</v>
      </c>
      <c r="BS73" s="478" t="s">
        <v>594</v>
      </c>
      <c r="BT73" s="60"/>
      <c r="BU73" s="170"/>
      <c r="BV73" s="273" t="str">
        <f t="shared" si="47"/>
        <v xml:space="preserve">                                                                                                                                                                                                                                                                </v>
      </c>
      <c r="BW73" s="218" t="s">
        <v>593</v>
      </c>
      <c r="BX73" s="273"/>
      <c r="BY73" s="218" t="str">
        <f t="shared" si="68"/>
        <v>-</v>
      </c>
      <c r="BZ73" s="60"/>
      <c r="CA73" s="174"/>
      <c r="CB73" s="273" t="str">
        <f t="shared" si="48"/>
        <v xml:space="preserve">                                                                                                                                                                                                                                                                </v>
      </c>
      <c r="CC73" s="218" t="str">
        <f t="shared" si="69"/>
        <v>-</v>
      </c>
      <c r="CD73" s="174"/>
      <c r="CE73" s="92" t="str">
        <f t="shared" si="91"/>
        <v>OK</v>
      </c>
      <c r="CF73" s="60"/>
      <c r="CG73" s="174"/>
      <c r="CH73" s="273" t="str">
        <f t="shared" si="49"/>
        <v xml:space="preserve">                                                                                                                                                                                                                                                                </v>
      </c>
      <c r="CI73" s="218" t="str">
        <f t="shared" si="70"/>
        <v>-</v>
      </c>
      <c r="CJ73" s="174"/>
      <c r="CK73" s="92" t="str">
        <f t="shared" si="92"/>
        <v>OK</v>
      </c>
      <c r="CL73" s="60"/>
      <c r="CM73" s="174"/>
      <c r="CN73" s="273" t="str">
        <f t="shared" si="50"/>
        <v xml:space="preserve">                                                                                                                                                                                                                                                                </v>
      </c>
      <c r="CO73" s="218" t="s">
        <v>593</v>
      </c>
      <c r="CP73" s="273"/>
      <c r="CQ73" s="218" t="str">
        <f t="shared" si="71"/>
        <v>-</v>
      </c>
      <c r="CR73" s="60"/>
      <c r="CS73" s="174"/>
      <c r="CT73" s="273" t="str">
        <f t="shared" si="51"/>
        <v xml:space="preserve">                                                                                                                                                                                                                                                                </v>
      </c>
      <c r="CU73" s="218" t="str">
        <f t="shared" si="72"/>
        <v>-</v>
      </c>
      <c r="CV73" s="174"/>
      <c r="CW73" s="92" t="s">
        <v>593</v>
      </c>
      <c r="CX73" s="60"/>
      <c r="CY73" s="174"/>
      <c r="CZ73" s="273" t="str">
        <f t="shared" si="52"/>
        <v xml:space="preserve">                                                                                                                                                                                                                                                                </v>
      </c>
      <c r="DA73" s="218" t="str">
        <f t="shared" si="73"/>
        <v>-</v>
      </c>
      <c r="DB73" s="174"/>
      <c r="DC73" s="92" t="s">
        <v>593</v>
      </c>
    </row>
    <row r="74" spans="1:107" s="26" customFormat="1" ht="63.75">
      <c r="B74" s="2">
        <f t="shared" si="61"/>
        <v>67</v>
      </c>
      <c r="C74" s="7"/>
      <c r="D74" s="7"/>
      <c r="E74" s="7"/>
      <c r="F74" s="22" t="s">
        <v>136</v>
      </c>
      <c r="G74" s="16"/>
      <c r="H74" s="13"/>
      <c r="I74" s="8"/>
      <c r="J74" s="8"/>
      <c r="K74" s="8"/>
      <c r="L74" s="8"/>
      <c r="M74" s="11" t="s">
        <v>445</v>
      </c>
      <c r="N74" s="1"/>
      <c r="O74" s="57"/>
      <c r="P74" s="95">
        <f t="shared" si="93"/>
        <v>49</v>
      </c>
      <c r="Q74" s="115">
        <v>256</v>
      </c>
      <c r="R74" s="21" t="str">
        <f t="shared" si="89"/>
        <v>NX</v>
      </c>
      <c r="S74" s="98" t="s">
        <v>137</v>
      </c>
      <c r="T74" s="96"/>
      <c r="U74" s="21" t="s">
        <v>435</v>
      </c>
      <c r="V74" s="10"/>
      <c r="W74" s="25">
        <v>3</v>
      </c>
      <c r="X74" s="1" t="s">
        <v>138</v>
      </c>
      <c r="Y74" s="1">
        <v>1</v>
      </c>
      <c r="Z74" s="1">
        <v>256</v>
      </c>
      <c r="AA74" s="8" t="s">
        <v>129</v>
      </c>
      <c r="AB74" s="8" t="s">
        <v>257</v>
      </c>
      <c r="AC74" s="12"/>
      <c r="AD74" s="60"/>
      <c r="AE74" s="174"/>
      <c r="AF74" s="273" t="str">
        <f t="shared" si="40"/>
        <v xml:space="preserve">                                                                                                                                                                                                                                                                </v>
      </c>
      <c r="AG74" s="218" t="str">
        <f t="shared" si="88"/>
        <v>-</v>
      </c>
      <c r="AH74" s="174"/>
      <c r="AI74" s="92" t="str">
        <f t="shared" si="84"/>
        <v>OK</v>
      </c>
      <c r="AJ74" s="60"/>
      <c r="AK74" s="174"/>
      <c r="AL74" s="273" t="str">
        <f t="shared" si="41"/>
        <v xml:space="preserve">                                                                                                                                                                                                                                                                </v>
      </c>
      <c r="AM74" s="218" t="str">
        <f t="shared" si="62"/>
        <v>-</v>
      </c>
      <c r="AN74" s="174"/>
      <c r="AO74" s="92" t="str">
        <f t="shared" si="90"/>
        <v>OK</v>
      </c>
      <c r="AP74" s="60"/>
      <c r="AQ74" s="170"/>
      <c r="AR74" s="273" t="str">
        <f t="shared" si="42"/>
        <v xml:space="preserve">                                                                                                                                                                                                                                                                </v>
      </c>
      <c r="AS74" s="218" t="s">
        <v>593</v>
      </c>
      <c r="AT74" s="273"/>
      <c r="AU74" s="218" t="str">
        <f t="shared" si="39"/>
        <v>-</v>
      </c>
      <c r="AV74" s="60"/>
      <c r="AW74" s="174" t="s">
        <v>324</v>
      </c>
      <c r="AX74" s="273" t="str">
        <f t="shared" si="43"/>
        <v xml:space="preserve">電話                                                                                                                                                                                                                                                            </v>
      </c>
      <c r="AY74" s="218" t="str">
        <f t="shared" si="64"/>
        <v>-</v>
      </c>
      <c r="AZ74" s="174" t="s">
        <v>324</v>
      </c>
      <c r="BA74" s="478" t="s">
        <v>594</v>
      </c>
      <c r="BB74" s="60"/>
      <c r="BC74" s="174" t="s">
        <v>324</v>
      </c>
      <c r="BD74" s="273" t="str">
        <f t="shared" si="44"/>
        <v xml:space="preserve">電話                                                                                                                                                                                                                                                            </v>
      </c>
      <c r="BE74" s="218" t="str">
        <f t="shared" si="65"/>
        <v>-</v>
      </c>
      <c r="BF74" s="174" t="s">
        <v>324</v>
      </c>
      <c r="BG74" s="478" t="s">
        <v>594</v>
      </c>
      <c r="BH74" s="60"/>
      <c r="BI74" s="170" t="s">
        <v>729</v>
      </c>
      <c r="BJ74" s="273" t="str">
        <f t="shared" si="45"/>
        <v xml:space="preserve">電話                                                                                                                                                                                                                                                            </v>
      </c>
      <c r="BK74" s="218" t="s">
        <v>593</v>
      </c>
      <c r="BL74" s="174" t="s">
        <v>324</v>
      </c>
      <c r="BM74" s="478" t="s">
        <v>594</v>
      </c>
      <c r="BN74" s="60"/>
      <c r="BO74" s="174" t="s">
        <v>324</v>
      </c>
      <c r="BP74" s="273" t="str">
        <f t="shared" si="46"/>
        <v xml:space="preserve">電話                                                                                                                                                                                                                                                            </v>
      </c>
      <c r="BQ74" s="218" t="str">
        <f t="shared" si="66"/>
        <v>-</v>
      </c>
      <c r="BR74" s="174" t="s">
        <v>324</v>
      </c>
      <c r="BS74" s="478" t="s">
        <v>594</v>
      </c>
      <c r="BT74" s="60"/>
      <c r="BU74" s="170"/>
      <c r="BV74" s="273" t="str">
        <f t="shared" si="47"/>
        <v xml:space="preserve">                                                                                                                                                                                                                                                                </v>
      </c>
      <c r="BW74" s="218" t="s">
        <v>593</v>
      </c>
      <c r="BX74" s="273"/>
      <c r="BY74" s="218" t="str">
        <f t="shared" si="68"/>
        <v>-</v>
      </c>
      <c r="BZ74" s="60"/>
      <c r="CA74" s="174"/>
      <c r="CB74" s="273" t="str">
        <f t="shared" si="48"/>
        <v xml:space="preserve">                                                                                                                                                                                                                                                                </v>
      </c>
      <c r="CC74" s="218" t="str">
        <f t="shared" si="69"/>
        <v>-</v>
      </c>
      <c r="CD74" s="174"/>
      <c r="CE74" s="92" t="str">
        <f t="shared" si="91"/>
        <v>OK</v>
      </c>
      <c r="CF74" s="60"/>
      <c r="CG74" s="174"/>
      <c r="CH74" s="273" t="str">
        <f t="shared" si="49"/>
        <v xml:space="preserve">                                                                                                                                                                                                                                                                </v>
      </c>
      <c r="CI74" s="218" t="str">
        <f t="shared" si="70"/>
        <v>-</v>
      </c>
      <c r="CJ74" s="174"/>
      <c r="CK74" s="92" t="str">
        <f t="shared" si="92"/>
        <v>OK</v>
      </c>
      <c r="CL74" s="60"/>
      <c r="CM74" s="174"/>
      <c r="CN74" s="273" t="str">
        <f t="shared" si="50"/>
        <v xml:space="preserve">                                                                                                                                                                                                                                                                </v>
      </c>
      <c r="CO74" s="218" t="s">
        <v>593</v>
      </c>
      <c r="CP74" s="273"/>
      <c r="CQ74" s="218" t="str">
        <f t="shared" si="71"/>
        <v>-</v>
      </c>
      <c r="CR74" s="60"/>
      <c r="CS74" s="174"/>
      <c r="CT74" s="273" t="str">
        <f t="shared" si="51"/>
        <v xml:space="preserve">                                                                                                                                                                                                                                                                </v>
      </c>
      <c r="CU74" s="218" t="str">
        <f t="shared" si="72"/>
        <v>-</v>
      </c>
      <c r="CV74" s="174"/>
      <c r="CW74" s="92" t="s">
        <v>593</v>
      </c>
      <c r="CX74" s="60"/>
      <c r="CY74" s="174"/>
      <c r="CZ74" s="273" t="str">
        <f t="shared" si="52"/>
        <v xml:space="preserve">                                                                                                                                                                                                                                                                </v>
      </c>
      <c r="DA74" s="218" t="str">
        <f t="shared" si="73"/>
        <v>-</v>
      </c>
      <c r="DB74" s="174"/>
      <c r="DC74" s="92" t="s">
        <v>593</v>
      </c>
    </row>
    <row r="75" spans="1:107" s="26" customFormat="1" ht="69" customHeight="1">
      <c r="B75" s="19">
        <f t="shared" si="61"/>
        <v>68</v>
      </c>
      <c r="C75" s="7"/>
      <c r="D75" s="7"/>
      <c r="E75" s="7"/>
      <c r="F75" s="112" t="s">
        <v>446</v>
      </c>
      <c r="G75" s="16"/>
      <c r="H75" s="13"/>
      <c r="I75" s="8"/>
      <c r="J75" s="8" t="s">
        <v>426</v>
      </c>
      <c r="K75" s="8"/>
      <c r="L75" s="8"/>
      <c r="M75" s="11" t="s">
        <v>301</v>
      </c>
      <c r="N75" s="1"/>
      <c r="O75" s="57"/>
      <c r="P75" s="95">
        <f t="shared" si="93"/>
        <v>50</v>
      </c>
      <c r="Q75" s="115">
        <v>1</v>
      </c>
      <c r="R75" s="21" t="s">
        <v>418</v>
      </c>
      <c r="S75" s="98" t="s">
        <v>139</v>
      </c>
      <c r="T75" s="96"/>
      <c r="U75" s="21" t="s">
        <v>435</v>
      </c>
      <c r="V75" s="10"/>
      <c r="W75" s="25">
        <v>3</v>
      </c>
      <c r="X75" s="1" t="s">
        <v>140</v>
      </c>
      <c r="Y75" s="1">
        <v>1</v>
      </c>
      <c r="Z75" s="1">
        <v>1</v>
      </c>
      <c r="AA75" s="8">
        <v>9</v>
      </c>
      <c r="AB75" s="8" t="s">
        <v>21</v>
      </c>
      <c r="AC75" s="12"/>
      <c r="AD75" s="60"/>
      <c r="AE75" s="174"/>
      <c r="AF75" s="61" t="str">
        <f t="shared" si="40"/>
        <v xml:space="preserve"> </v>
      </c>
      <c r="AG75" s="218" t="str">
        <f t="shared" si="88"/>
        <v>-</v>
      </c>
      <c r="AH75" s="174"/>
      <c r="AI75" s="92" t="str">
        <f t="shared" si="84"/>
        <v>OK</v>
      </c>
      <c r="AJ75" s="60"/>
      <c r="AK75" s="174"/>
      <c r="AL75" s="61" t="str">
        <f t="shared" si="41"/>
        <v xml:space="preserve"> </v>
      </c>
      <c r="AM75" s="218" t="str">
        <f t="shared" si="62"/>
        <v>-</v>
      </c>
      <c r="AN75" s="174"/>
      <c r="AO75" s="92" t="str">
        <f t="shared" si="90"/>
        <v>OK</v>
      </c>
      <c r="AP75" s="60"/>
      <c r="AQ75" s="170"/>
      <c r="AR75" s="61" t="str">
        <f t="shared" si="42"/>
        <v xml:space="preserve"> </v>
      </c>
      <c r="AS75" s="218" t="s">
        <v>593</v>
      </c>
      <c r="AT75" s="61"/>
      <c r="AU75" s="218" t="str">
        <f t="shared" si="39"/>
        <v>-</v>
      </c>
      <c r="AV75" s="60"/>
      <c r="AW75" s="174" t="s">
        <v>33</v>
      </c>
      <c r="AX75" s="61" t="str">
        <f t="shared" si="43"/>
        <v>1</v>
      </c>
      <c r="AY75" s="218" t="str">
        <f t="shared" si="64"/>
        <v>-</v>
      </c>
      <c r="AZ75" s="174" t="s">
        <v>33</v>
      </c>
      <c r="BA75" s="478" t="s">
        <v>594</v>
      </c>
      <c r="BB75" s="60"/>
      <c r="BC75" s="174" t="s">
        <v>33</v>
      </c>
      <c r="BD75" s="61" t="str">
        <f t="shared" si="44"/>
        <v>1</v>
      </c>
      <c r="BE75" s="218" t="str">
        <f t="shared" si="65"/>
        <v>-</v>
      </c>
      <c r="BF75" s="174" t="s">
        <v>33</v>
      </c>
      <c r="BG75" s="478" t="s">
        <v>594</v>
      </c>
      <c r="BH75" s="60"/>
      <c r="BI75" s="170" t="s">
        <v>33</v>
      </c>
      <c r="BJ75" s="61" t="str">
        <f t="shared" si="45"/>
        <v>1</v>
      </c>
      <c r="BK75" s="218" t="s">
        <v>593</v>
      </c>
      <c r="BL75" s="174" t="s">
        <v>33</v>
      </c>
      <c r="BM75" s="478" t="s">
        <v>594</v>
      </c>
      <c r="BN75" s="60"/>
      <c r="BO75" s="174" t="s">
        <v>33</v>
      </c>
      <c r="BP75" s="61" t="str">
        <f t="shared" si="46"/>
        <v>1</v>
      </c>
      <c r="BQ75" s="218" t="str">
        <f t="shared" si="66"/>
        <v>-</v>
      </c>
      <c r="BR75" s="174" t="s">
        <v>33</v>
      </c>
      <c r="BS75" s="478" t="s">
        <v>594</v>
      </c>
      <c r="BT75" s="60"/>
      <c r="BU75" s="170"/>
      <c r="BV75" s="61" t="str">
        <f t="shared" si="47"/>
        <v xml:space="preserve"> </v>
      </c>
      <c r="BW75" s="218" t="s">
        <v>593</v>
      </c>
      <c r="BX75" s="61"/>
      <c r="BY75" s="218" t="str">
        <f t="shared" si="68"/>
        <v>-</v>
      </c>
      <c r="BZ75" s="60"/>
      <c r="CA75" s="174"/>
      <c r="CB75" s="61" t="str">
        <f t="shared" si="48"/>
        <v xml:space="preserve"> </v>
      </c>
      <c r="CC75" s="218" t="str">
        <f t="shared" si="69"/>
        <v>-</v>
      </c>
      <c r="CD75" s="174"/>
      <c r="CE75" s="92" t="str">
        <f t="shared" si="91"/>
        <v>OK</v>
      </c>
      <c r="CF75" s="60"/>
      <c r="CG75" s="174"/>
      <c r="CH75" s="61" t="str">
        <f t="shared" si="49"/>
        <v xml:space="preserve"> </v>
      </c>
      <c r="CI75" s="218" t="str">
        <f t="shared" si="70"/>
        <v>-</v>
      </c>
      <c r="CJ75" s="174"/>
      <c r="CK75" s="92" t="str">
        <f t="shared" si="92"/>
        <v>OK</v>
      </c>
      <c r="CL75" s="60"/>
      <c r="CM75" s="174"/>
      <c r="CN75" s="61" t="str">
        <f t="shared" si="50"/>
        <v xml:space="preserve"> </v>
      </c>
      <c r="CO75" s="218" t="s">
        <v>593</v>
      </c>
      <c r="CP75" s="61"/>
      <c r="CQ75" s="218" t="str">
        <f t="shared" si="71"/>
        <v>-</v>
      </c>
      <c r="CR75" s="60"/>
      <c r="CS75" s="174"/>
      <c r="CT75" s="61" t="str">
        <f t="shared" si="51"/>
        <v xml:space="preserve"> </v>
      </c>
      <c r="CU75" s="218" t="str">
        <f t="shared" si="72"/>
        <v>-</v>
      </c>
      <c r="CV75" s="174"/>
      <c r="CW75" s="92" t="s">
        <v>593</v>
      </c>
      <c r="CX75" s="60"/>
      <c r="CY75" s="174"/>
      <c r="CZ75" s="61" t="str">
        <f t="shared" si="52"/>
        <v xml:space="preserve"> </v>
      </c>
      <c r="DA75" s="218" t="str">
        <f t="shared" si="73"/>
        <v>-</v>
      </c>
      <c r="DB75" s="174"/>
      <c r="DC75" s="92" t="s">
        <v>593</v>
      </c>
    </row>
    <row r="76" spans="1:107" s="26" customFormat="1" ht="114.75">
      <c r="B76" s="2">
        <f t="shared" si="61"/>
        <v>69</v>
      </c>
      <c r="C76" s="7"/>
      <c r="D76" s="7"/>
      <c r="E76" s="7"/>
      <c r="F76" s="22" t="s">
        <v>141</v>
      </c>
      <c r="G76" s="16"/>
      <c r="H76" s="13"/>
      <c r="I76" s="8"/>
      <c r="J76" s="8"/>
      <c r="K76" s="8"/>
      <c r="L76" s="8"/>
      <c r="M76" s="418" t="s">
        <v>221</v>
      </c>
      <c r="N76" s="1"/>
      <c r="O76" s="57"/>
      <c r="P76" s="95">
        <f t="shared" si="93"/>
        <v>51</v>
      </c>
      <c r="Q76" s="115">
        <v>1</v>
      </c>
      <c r="R76" s="21" t="s">
        <v>418</v>
      </c>
      <c r="S76" s="98" t="s">
        <v>142</v>
      </c>
      <c r="T76" s="96"/>
      <c r="U76" s="21" t="s">
        <v>435</v>
      </c>
      <c r="V76" s="10"/>
      <c r="W76" s="25">
        <v>3</v>
      </c>
      <c r="X76" s="1" t="s">
        <v>20</v>
      </c>
      <c r="Y76" s="1">
        <v>1</v>
      </c>
      <c r="Z76" s="1">
        <v>1</v>
      </c>
      <c r="AA76" s="8">
        <v>9</v>
      </c>
      <c r="AB76" s="8" t="s">
        <v>21</v>
      </c>
      <c r="AC76" s="103"/>
      <c r="AD76" s="60"/>
      <c r="AE76" s="174"/>
      <c r="AF76" s="61" t="str">
        <f t="shared" si="40"/>
        <v xml:space="preserve"> </v>
      </c>
      <c r="AG76" s="218" t="str">
        <f t="shared" si="88"/>
        <v>-</v>
      </c>
      <c r="AH76" s="174"/>
      <c r="AI76" s="92" t="str">
        <f t="shared" si="84"/>
        <v>OK</v>
      </c>
      <c r="AJ76" s="60"/>
      <c r="AK76" s="174"/>
      <c r="AL76" s="61" t="str">
        <f t="shared" si="41"/>
        <v xml:space="preserve"> </v>
      </c>
      <c r="AM76" s="218" t="str">
        <f t="shared" si="62"/>
        <v>-</v>
      </c>
      <c r="AN76" s="174"/>
      <c r="AO76" s="92" t="str">
        <f t="shared" si="90"/>
        <v>OK</v>
      </c>
      <c r="AP76" s="60"/>
      <c r="AQ76" s="170"/>
      <c r="AR76" s="61" t="str">
        <f t="shared" si="42"/>
        <v xml:space="preserve"> </v>
      </c>
      <c r="AS76" s="218" t="s">
        <v>593</v>
      </c>
      <c r="AT76" s="61"/>
      <c r="AU76" s="218" t="str">
        <f t="shared" ref="AU76:AU139" si="94">IF(OR(AS$8="判定対象外",AT$8="判定対象外",AT76="-"),"-",IF(AS76=AT76,"OK","NG"))</f>
        <v>-</v>
      </c>
      <c r="AV76" s="60"/>
      <c r="AW76" s="174" t="s">
        <v>33</v>
      </c>
      <c r="AX76" s="61" t="str">
        <f t="shared" si="43"/>
        <v>1</v>
      </c>
      <c r="AY76" s="218" t="str">
        <f t="shared" si="64"/>
        <v>-</v>
      </c>
      <c r="AZ76" s="174" t="s">
        <v>33</v>
      </c>
      <c r="BA76" s="478" t="s">
        <v>594</v>
      </c>
      <c r="BB76" s="60"/>
      <c r="BC76" s="174" t="s">
        <v>33</v>
      </c>
      <c r="BD76" s="61" t="str">
        <f t="shared" si="44"/>
        <v>1</v>
      </c>
      <c r="BE76" s="218" t="str">
        <f t="shared" si="65"/>
        <v>-</v>
      </c>
      <c r="BF76" s="174" t="s">
        <v>33</v>
      </c>
      <c r="BG76" s="478" t="s">
        <v>594</v>
      </c>
      <c r="BH76" s="60"/>
      <c r="BI76" s="170" t="s">
        <v>33</v>
      </c>
      <c r="BJ76" s="61" t="str">
        <f t="shared" si="45"/>
        <v>1</v>
      </c>
      <c r="BK76" s="218" t="s">
        <v>593</v>
      </c>
      <c r="BL76" s="174" t="s">
        <v>33</v>
      </c>
      <c r="BM76" s="478" t="s">
        <v>594</v>
      </c>
      <c r="BN76" s="60"/>
      <c r="BO76" s="174" t="s">
        <v>33</v>
      </c>
      <c r="BP76" s="61" t="str">
        <f t="shared" si="46"/>
        <v>1</v>
      </c>
      <c r="BQ76" s="218" t="str">
        <f t="shared" si="66"/>
        <v>-</v>
      </c>
      <c r="BR76" s="174" t="s">
        <v>33</v>
      </c>
      <c r="BS76" s="478" t="s">
        <v>594</v>
      </c>
      <c r="BT76" s="60"/>
      <c r="BU76" s="170"/>
      <c r="BV76" s="61" t="str">
        <f t="shared" si="47"/>
        <v xml:space="preserve"> </v>
      </c>
      <c r="BW76" s="218" t="s">
        <v>593</v>
      </c>
      <c r="BX76" s="61"/>
      <c r="BY76" s="218" t="str">
        <f t="shared" si="68"/>
        <v>-</v>
      </c>
      <c r="BZ76" s="60"/>
      <c r="CA76" s="174"/>
      <c r="CB76" s="61" t="str">
        <f t="shared" si="48"/>
        <v xml:space="preserve"> </v>
      </c>
      <c r="CC76" s="218" t="str">
        <f t="shared" si="69"/>
        <v>-</v>
      </c>
      <c r="CD76" s="174"/>
      <c r="CE76" s="92" t="str">
        <f t="shared" si="91"/>
        <v>OK</v>
      </c>
      <c r="CF76" s="60"/>
      <c r="CG76" s="174"/>
      <c r="CH76" s="61" t="str">
        <f t="shared" si="49"/>
        <v xml:space="preserve"> </v>
      </c>
      <c r="CI76" s="218" t="str">
        <f t="shared" si="70"/>
        <v>-</v>
      </c>
      <c r="CJ76" s="174"/>
      <c r="CK76" s="92" t="str">
        <f t="shared" si="92"/>
        <v>OK</v>
      </c>
      <c r="CL76" s="60"/>
      <c r="CM76" s="174"/>
      <c r="CN76" s="61" t="str">
        <f t="shared" si="50"/>
        <v xml:space="preserve"> </v>
      </c>
      <c r="CO76" s="218" t="s">
        <v>593</v>
      </c>
      <c r="CP76" s="61"/>
      <c r="CQ76" s="218" t="str">
        <f t="shared" si="71"/>
        <v>-</v>
      </c>
      <c r="CR76" s="60"/>
      <c r="CS76" s="174"/>
      <c r="CT76" s="61" t="str">
        <f t="shared" si="51"/>
        <v xml:space="preserve"> </v>
      </c>
      <c r="CU76" s="218" t="str">
        <f t="shared" si="72"/>
        <v>-</v>
      </c>
      <c r="CV76" s="174"/>
      <c r="CW76" s="92" t="s">
        <v>593</v>
      </c>
      <c r="CX76" s="60"/>
      <c r="CY76" s="174"/>
      <c r="CZ76" s="61" t="str">
        <f t="shared" si="52"/>
        <v xml:space="preserve"> </v>
      </c>
      <c r="DA76" s="218" t="str">
        <f t="shared" si="73"/>
        <v>-</v>
      </c>
      <c r="DB76" s="174"/>
      <c r="DC76" s="92" t="s">
        <v>593</v>
      </c>
    </row>
    <row r="77" spans="1:107" s="26" customFormat="1" ht="124.5" customHeight="1">
      <c r="B77" s="65">
        <f t="shared" si="61"/>
        <v>70</v>
      </c>
      <c r="C77" s="7"/>
      <c r="D77" s="7"/>
      <c r="E77" s="7"/>
      <c r="F77" s="112" t="s">
        <v>143</v>
      </c>
      <c r="G77" s="16"/>
      <c r="H77" s="13"/>
      <c r="I77" s="8"/>
      <c r="J77" s="8"/>
      <c r="K77" s="8"/>
      <c r="L77" s="8"/>
      <c r="M77" s="11" t="s">
        <v>447</v>
      </c>
      <c r="N77" s="1"/>
      <c r="O77" s="57"/>
      <c r="P77" s="95">
        <f t="shared" si="93"/>
        <v>52</v>
      </c>
      <c r="Q77" s="115">
        <v>1</v>
      </c>
      <c r="R77" s="21" t="str">
        <f t="shared" ref="R77:R93" si="95">IF(AA77="M","NX",AA77)</f>
        <v>X</v>
      </c>
      <c r="S77" s="98" t="s">
        <v>189</v>
      </c>
      <c r="T77" s="96"/>
      <c r="U77" s="21" t="s">
        <v>435</v>
      </c>
      <c r="V77" s="10"/>
      <c r="W77" s="25">
        <v>3</v>
      </c>
      <c r="X77" s="1" t="s">
        <v>302</v>
      </c>
      <c r="Y77" s="1">
        <v>1</v>
      </c>
      <c r="Z77" s="1">
        <v>1</v>
      </c>
      <c r="AA77" s="8" t="s">
        <v>261</v>
      </c>
      <c r="AB77" s="8" t="s">
        <v>257</v>
      </c>
      <c r="AC77" s="12"/>
      <c r="AD77" s="60"/>
      <c r="AE77" s="174"/>
      <c r="AF77" s="61" t="str">
        <f t="shared" ref="AF77:AF140" si="96">IF(AH77="-","-",AH77&amp;REPT(IF($R77="N","　",IF($R77="9","0"," ")),$Z77-LENB(AH77)))</f>
        <v xml:space="preserve"> </v>
      </c>
      <c r="AG77" s="218" t="str">
        <f t="shared" si="88"/>
        <v>-</v>
      </c>
      <c r="AH77" s="174"/>
      <c r="AI77" s="92" t="str">
        <f t="shared" si="84"/>
        <v>OK</v>
      </c>
      <c r="AJ77" s="60"/>
      <c r="AK77" s="174"/>
      <c r="AL77" s="61" t="str">
        <f t="shared" ref="AL77:AL140" si="97">IF(AN77="-","-",AN77&amp;REPT(IF($R77="N","　",IF($R77="9","0"," ")),$Z77-LENB(AN77)))</f>
        <v xml:space="preserve"> </v>
      </c>
      <c r="AM77" s="218" t="str">
        <f t="shared" si="62"/>
        <v>-</v>
      </c>
      <c r="AN77" s="174"/>
      <c r="AO77" s="92" t="str">
        <f t="shared" si="90"/>
        <v>OK</v>
      </c>
      <c r="AP77" s="60"/>
      <c r="AQ77" s="170"/>
      <c r="AR77" s="61" t="str">
        <f t="shared" ref="AR77:AR140" si="98">IF(AT77="-","-",AT77&amp;REPT(IF($R77="N","　",IF($R77="9","0"," ")),$Z77-LENB(AT77)))</f>
        <v xml:space="preserve"> </v>
      </c>
      <c r="AS77" s="218" t="s">
        <v>593</v>
      </c>
      <c r="AT77" s="61"/>
      <c r="AU77" s="218" t="str">
        <f t="shared" si="94"/>
        <v>-</v>
      </c>
      <c r="AV77" s="60"/>
      <c r="AW77" s="174" t="s">
        <v>33</v>
      </c>
      <c r="AX77" s="61" t="str">
        <f t="shared" ref="AX77:AX140" si="99">IF(AZ77="-","-",AZ77&amp;REPT(IF($R77="N","　",IF($R77="9","0"," ")),$Z77-LENB(AZ77)))</f>
        <v>1</v>
      </c>
      <c r="AY77" s="218" t="str">
        <f t="shared" si="64"/>
        <v>-</v>
      </c>
      <c r="AZ77" s="174" t="s">
        <v>33</v>
      </c>
      <c r="BA77" s="478" t="s">
        <v>594</v>
      </c>
      <c r="BB77" s="60"/>
      <c r="BC77" s="174" t="s">
        <v>33</v>
      </c>
      <c r="BD77" s="61" t="str">
        <f t="shared" ref="BD77:BD140" si="100">IF(BF77="-","-",BF77&amp;REPT(IF($R77="N","　",IF($R77="9","0"," ")),$Z77-LENB(BF77)))</f>
        <v>1</v>
      </c>
      <c r="BE77" s="218" t="str">
        <f t="shared" si="65"/>
        <v>-</v>
      </c>
      <c r="BF77" s="174" t="s">
        <v>33</v>
      </c>
      <c r="BG77" s="478" t="s">
        <v>594</v>
      </c>
      <c r="BH77" s="60"/>
      <c r="BI77" s="170" t="s">
        <v>33</v>
      </c>
      <c r="BJ77" s="61" t="str">
        <f t="shared" ref="BJ77:BJ140" si="101">IF(BL77="-","-",BL77&amp;REPT(IF($R77="N","　",IF($R77="9","0"," ")),$Z77-LENB(BL77)))</f>
        <v>1</v>
      </c>
      <c r="BK77" s="218" t="s">
        <v>593</v>
      </c>
      <c r="BL77" s="174" t="s">
        <v>33</v>
      </c>
      <c r="BM77" s="478" t="s">
        <v>594</v>
      </c>
      <c r="BN77" s="60"/>
      <c r="BO77" s="174" t="s">
        <v>33</v>
      </c>
      <c r="BP77" s="61" t="str">
        <f t="shared" ref="BP77:BP140" si="102">IF(BR77="-","-",BR77&amp;REPT(IF($R77="N","　",IF($R77="9","0"," ")),$Z77-LENB(BR77)))</f>
        <v>1</v>
      </c>
      <c r="BQ77" s="218" t="str">
        <f t="shared" si="66"/>
        <v>-</v>
      </c>
      <c r="BR77" s="174" t="s">
        <v>33</v>
      </c>
      <c r="BS77" s="478" t="s">
        <v>594</v>
      </c>
      <c r="BT77" s="60"/>
      <c r="BU77" s="170"/>
      <c r="BV77" s="61" t="str">
        <f t="shared" ref="BV77:BV140" si="103">IF(BX77="-","-",BX77&amp;REPT(IF($R77="N","　",IF($R77="9","0"," ")),$Z77-LENB(BX77)))</f>
        <v xml:space="preserve"> </v>
      </c>
      <c r="BW77" s="218" t="s">
        <v>593</v>
      </c>
      <c r="BX77" s="61"/>
      <c r="BY77" s="218" t="str">
        <f t="shared" si="68"/>
        <v>-</v>
      </c>
      <c r="BZ77" s="60"/>
      <c r="CA77" s="174"/>
      <c r="CB77" s="61" t="str">
        <f t="shared" ref="CB77:CB140" si="104">IF(CD77="-","-",CD77&amp;REPT(IF($R77="N","　",IF($R77="9","0"," ")),$Z77-LENB(CD77)))</f>
        <v xml:space="preserve"> </v>
      </c>
      <c r="CC77" s="218" t="str">
        <f t="shared" si="69"/>
        <v>-</v>
      </c>
      <c r="CD77" s="174"/>
      <c r="CE77" s="92" t="str">
        <f t="shared" si="91"/>
        <v>OK</v>
      </c>
      <c r="CF77" s="60"/>
      <c r="CG77" s="174"/>
      <c r="CH77" s="61" t="str">
        <f t="shared" ref="CH77:CH140" si="105">IF(CJ77="-","-",CJ77&amp;REPT(IF($R77="N","　",IF($R77="9","0"," ")),$Z77-LENB(CJ77)))</f>
        <v xml:space="preserve"> </v>
      </c>
      <c r="CI77" s="218" t="str">
        <f t="shared" si="70"/>
        <v>-</v>
      </c>
      <c r="CJ77" s="174"/>
      <c r="CK77" s="92" t="str">
        <f t="shared" si="92"/>
        <v>OK</v>
      </c>
      <c r="CL77" s="60"/>
      <c r="CM77" s="174"/>
      <c r="CN77" s="61" t="str">
        <f t="shared" ref="CN77:CN140" si="106">IF(CP77="-","-",CP77&amp;REPT(IF($R77="N","　",IF($R77="9","0"," ")),$Z77-LENB(CP77)))</f>
        <v xml:space="preserve"> </v>
      </c>
      <c r="CO77" s="218" t="s">
        <v>593</v>
      </c>
      <c r="CP77" s="61"/>
      <c r="CQ77" s="218" t="str">
        <f t="shared" si="71"/>
        <v>-</v>
      </c>
      <c r="CR77" s="60"/>
      <c r="CS77" s="174"/>
      <c r="CT77" s="61" t="str">
        <f t="shared" ref="CT77:CT140" si="107">IF(CV77="-","-",CV77&amp;REPT(IF($R77="N","　",IF($R77="9","0"," ")),$Z77-LENB(CV77)))</f>
        <v xml:space="preserve"> </v>
      </c>
      <c r="CU77" s="218" t="str">
        <f t="shared" si="72"/>
        <v>-</v>
      </c>
      <c r="CV77" s="174"/>
      <c r="CW77" s="92" t="s">
        <v>593</v>
      </c>
      <c r="CX77" s="60"/>
      <c r="CY77" s="174"/>
      <c r="CZ77" s="61" t="str">
        <f t="shared" ref="CZ77:CZ140" si="108">IF(DB77="-","-",DB77&amp;REPT(IF($R77="N","　",IF($R77="9","0"," ")),$Z77-LENB(DB77)))</f>
        <v xml:space="preserve"> </v>
      </c>
      <c r="DA77" s="218" t="str">
        <f t="shared" si="73"/>
        <v>-</v>
      </c>
      <c r="DB77" s="174"/>
      <c r="DC77" s="92" t="s">
        <v>593</v>
      </c>
    </row>
    <row r="78" spans="1:107" s="26" customFormat="1">
      <c r="B78" s="65">
        <f t="shared" si="61"/>
        <v>71</v>
      </c>
      <c r="C78" s="7"/>
      <c r="D78" s="7"/>
      <c r="E78" s="7"/>
      <c r="F78" s="22" t="s">
        <v>144</v>
      </c>
      <c r="G78" s="16"/>
      <c r="H78" s="13"/>
      <c r="I78" s="8"/>
      <c r="J78" s="8"/>
      <c r="K78" s="8"/>
      <c r="L78" s="8"/>
      <c r="M78" s="418" t="s">
        <v>145</v>
      </c>
      <c r="N78" s="1"/>
      <c r="O78" s="57"/>
      <c r="P78" s="95">
        <f t="shared" si="93"/>
        <v>53</v>
      </c>
      <c r="Q78" s="115">
        <v>400</v>
      </c>
      <c r="R78" s="21" t="str">
        <f t="shared" si="95"/>
        <v>NX</v>
      </c>
      <c r="S78" s="98" t="s">
        <v>146</v>
      </c>
      <c r="T78" s="96"/>
      <c r="U78" s="21" t="s">
        <v>435</v>
      </c>
      <c r="V78" s="10"/>
      <c r="W78" s="25">
        <v>3</v>
      </c>
      <c r="X78" s="1" t="s">
        <v>147</v>
      </c>
      <c r="Y78" s="1">
        <v>1</v>
      </c>
      <c r="Z78" s="1">
        <v>400</v>
      </c>
      <c r="AA78" s="8" t="s">
        <v>129</v>
      </c>
      <c r="AB78" s="8" t="s">
        <v>257</v>
      </c>
      <c r="AC78" s="12"/>
      <c r="AD78" s="60"/>
      <c r="AE78" s="174"/>
      <c r="AF78" s="271" t="str">
        <f t="shared" si="96"/>
        <v xml:space="preserve">                                                                                                                                                                                                                                                                                                                                                                                                                </v>
      </c>
      <c r="AG78" s="218" t="str">
        <f t="shared" si="88"/>
        <v>-</v>
      </c>
      <c r="AH78" s="174"/>
      <c r="AI78" s="92" t="str">
        <f t="shared" si="84"/>
        <v>OK</v>
      </c>
      <c r="AJ78" s="60"/>
      <c r="AK78" s="174"/>
      <c r="AL78" s="271" t="str">
        <f t="shared" si="97"/>
        <v xml:space="preserve">                                                                                                                                                                                                                                                                                                                                                                                                                </v>
      </c>
      <c r="AM78" s="218" t="str">
        <f t="shared" si="62"/>
        <v>-</v>
      </c>
      <c r="AN78" s="174"/>
      <c r="AO78" s="92" t="str">
        <f t="shared" si="90"/>
        <v>OK</v>
      </c>
      <c r="AP78" s="60"/>
      <c r="AQ78" s="170"/>
      <c r="AR78" s="271" t="str">
        <f t="shared" si="98"/>
        <v xml:space="preserve">                                                                                                                                                                                                                                                                                                                                                                                                                </v>
      </c>
      <c r="AS78" s="218" t="s">
        <v>593</v>
      </c>
      <c r="AT78" s="271"/>
      <c r="AU78" s="218" t="str">
        <f t="shared" si="94"/>
        <v>-</v>
      </c>
      <c r="AV78" s="60"/>
      <c r="AW78" s="174" t="s">
        <v>190</v>
      </c>
      <c r="AX78" s="271" t="str">
        <f t="shared" si="99"/>
        <v xml:space="preserve">申込受付中。                                                                                                                                                                                                                                                                                                                                                                                                    </v>
      </c>
      <c r="AY78" s="218" t="str">
        <f t="shared" si="64"/>
        <v>-</v>
      </c>
      <c r="AZ78" s="174" t="s">
        <v>190</v>
      </c>
      <c r="BA78" s="478" t="s">
        <v>594</v>
      </c>
      <c r="BB78" s="60"/>
      <c r="BC78" s="174" t="s">
        <v>190</v>
      </c>
      <c r="BD78" s="271" t="str">
        <f t="shared" si="100"/>
        <v xml:space="preserve">申込受付中。                                                                                                                                                                                                                                                                                                                                                                                                    </v>
      </c>
      <c r="BE78" s="218" t="str">
        <f t="shared" si="65"/>
        <v>-</v>
      </c>
      <c r="BF78" s="174" t="s">
        <v>190</v>
      </c>
      <c r="BG78" s="478" t="s">
        <v>594</v>
      </c>
      <c r="BH78" s="60"/>
      <c r="BI78" s="170" t="s">
        <v>730</v>
      </c>
      <c r="BJ78" s="271" t="str">
        <f t="shared" si="101"/>
        <v xml:space="preserve">申込受付中。                                                                                                                                                                                                                                                                                                                                                                                                    </v>
      </c>
      <c r="BK78" s="218" t="s">
        <v>593</v>
      </c>
      <c r="BL78" s="174" t="s">
        <v>190</v>
      </c>
      <c r="BM78" s="478" t="s">
        <v>594</v>
      </c>
      <c r="BN78" s="60"/>
      <c r="BO78" s="174" t="s">
        <v>190</v>
      </c>
      <c r="BP78" s="271" t="str">
        <f t="shared" si="102"/>
        <v xml:space="preserve">申込受付中。                                                                                                                                                                                                                                                                                                                                                                                                    </v>
      </c>
      <c r="BQ78" s="218" t="str">
        <f t="shared" si="66"/>
        <v>-</v>
      </c>
      <c r="BR78" s="174" t="s">
        <v>190</v>
      </c>
      <c r="BS78" s="478" t="s">
        <v>594</v>
      </c>
      <c r="BT78" s="60"/>
      <c r="BU78" s="170"/>
      <c r="BV78" s="271" t="str">
        <f t="shared" si="103"/>
        <v xml:space="preserve">                                                                                                                                                                                                                                                                                                                                                                                                                </v>
      </c>
      <c r="BW78" s="218" t="s">
        <v>593</v>
      </c>
      <c r="BX78" s="271"/>
      <c r="BY78" s="218" t="str">
        <f t="shared" si="68"/>
        <v>-</v>
      </c>
      <c r="BZ78" s="60"/>
      <c r="CA78" s="174"/>
      <c r="CB78" s="271" t="str">
        <f t="shared" si="104"/>
        <v xml:space="preserve">                                                                                                                                                                                                                                                                                                                                                                                                                </v>
      </c>
      <c r="CC78" s="218" t="str">
        <f t="shared" si="69"/>
        <v>-</v>
      </c>
      <c r="CD78" s="174"/>
      <c r="CE78" s="92" t="str">
        <f t="shared" si="91"/>
        <v>OK</v>
      </c>
      <c r="CF78" s="60"/>
      <c r="CG78" s="174"/>
      <c r="CH78" s="271" t="str">
        <f t="shared" si="105"/>
        <v xml:space="preserve">                                                                                                                                                                                                                                                                                                                                                                                                                </v>
      </c>
      <c r="CI78" s="218" t="str">
        <f t="shared" si="70"/>
        <v>-</v>
      </c>
      <c r="CJ78" s="174"/>
      <c r="CK78" s="92" t="str">
        <f t="shared" si="92"/>
        <v>OK</v>
      </c>
      <c r="CL78" s="60"/>
      <c r="CM78" s="174"/>
      <c r="CN78" s="271" t="str">
        <f t="shared" si="106"/>
        <v xml:space="preserve">                                                                                                                                                                                                                                                                                                                                                                                                                </v>
      </c>
      <c r="CO78" s="218" t="s">
        <v>593</v>
      </c>
      <c r="CP78" s="271"/>
      <c r="CQ78" s="218" t="str">
        <f t="shared" si="71"/>
        <v>-</v>
      </c>
      <c r="CR78" s="60"/>
      <c r="CS78" s="174"/>
      <c r="CT78" s="271" t="str">
        <f t="shared" si="107"/>
        <v xml:space="preserve">                                                                                                                                                                                                                                                                                                                                                                                                                </v>
      </c>
      <c r="CU78" s="218" t="str">
        <f t="shared" si="72"/>
        <v>-</v>
      </c>
      <c r="CV78" s="174"/>
      <c r="CW78" s="92" t="s">
        <v>593</v>
      </c>
      <c r="CX78" s="60"/>
      <c r="CY78" s="174"/>
      <c r="CZ78" s="271" t="str">
        <f t="shared" si="108"/>
        <v xml:space="preserve">                                                                                                                                                                                                                                                                                                                                                                                                                </v>
      </c>
      <c r="DA78" s="218" t="str">
        <f t="shared" si="73"/>
        <v>-</v>
      </c>
      <c r="DB78" s="174"/>
      <c r="DC78" s="92" t="s">
        <v>593</v>
      </c>
    </row>
    <row r="79" spans="1:107" s="26" customFormat="1" ht="63.75">
      <c r="B79" s="65">
        <f t="shared" si="61"/>
        <v>72</v>
      </c>
      <c r="C79" s="7"/>
      <c r="D79" s="7"/>
      <c r="E79" s="7"/>
      <c r="F79" s="22" t="s">
        <v>148</v>
      </c>
      <c r="G79" s="16"/>
      <c r="H79" s="13"/>
      <c r="I79" s="8"/>
      <c r="J79" s="8"/>
      <c r="K79" s="8"/>
      <c r="L79" s="8"/>
      <c r="M79" s="418" t="s">
        <v>448</v>
      </c>
      <c r="N79" s="1"/>
      <c r="O79" s="57"/>
      <c r="P79" s="95">
        <f t="shared" si="93"/>
        <v>54</v>
      </c>
      <c r="Q79" s="115">
        <v>400</v>
      </c>
      <c r="R79" s="21" t="str">
        <f t="shared" si="95"/>
        <v>NX</v>
      </c>
      <c r="S79" s="98" t="s">
        <v>149</v>
      </c>
      <c r="T79" s="96"/>
      <c r="U79" s="21" t="s">
        <v>435</v>
      </c>
      <c r="V79" s="10"/>
      <c r="W79" s="25">
        <v>3</v>
      </c>
      <c r="X79" s="1" t="s">
        <v>150</v>
      </c>
      <c r="Y79" s="1">
        <v>1</v>
      </c>
      <c r="Z79" s="1">
        <v>400</v>
      </c>
      <c r="AA79" s="8" t="s">
        <v>129</v>
      </c>
      <c r="AB79" s="8" t="s">
        <v>257</v>
      </c>
      <c r="AC79" s="12"/>
      <c r="AD79" s="60"/>
      <c r="AE79" s="174"/>
      <c r="AF79" s="91" t="str">
        <f t="shared" si="96"/>
        <v xml:space="preserve">                                                                                                                                                                                                                                                                                                                                                                                                                </v>
      </c>
      <c r="AG79" s="218" t="str">
        <f t="shared" si="88"/>
        <v>-</v>
      </c>
      <c r="AH79" s="174"/>
      <c r="AI79" s="92" t="str">
        <f t="shared" si="84"/>
        <v>OK</v>
      </c>
      <c r="AJ79" s="60"/>
      <c r="AK79" s="174"/>
      <c r="AL79" s="91" t="str">
        <f t="shared" si="97"/>
        <v xml:space="preserve">                                                                                                                                                                                                                                                                                                                                                                                                                </v>
      </c>
      <c r="AM79" s="218" t="str">
        <f t="shared" si="62"/>
        <v>-</v>
      </c>
      <c r="AN79" s="174"/>
      <c r="AO79" s="92" t="str">
        <f t="shared" si="90"/>
        <v>OK</v>
      </c>
      <c r="AP79" s="60"/>
      <c r="AQ79" s="170"/>
      <c r="AR79" s="91" t="str">
        <f t="shared" si="98"/>
        <v xml:space="preserve">                                                                                                                                                                                                                                                                                                                                                                                                                </v>
      </c>
      <c r="AS79" s="218" t="s">
        <v>593</v>
      </c>
      <c r="AT79" s="91"/>
      <c r="AU79" s="218" t="str">
        <f t="shared" si="94"/>
        <v>-</v>
      </c>
      <c r="AV79" s="60"/>
      <c r="AW79" s="174"/>
      <c r="AX79" s="91" t="str">
        <f t="shared" si="99"/>
        <v xml:space="preserve">                                                                                                                                                                                                                                                                                                                                                                                                                </v>
      </c>
      <c r="AY79" s="218" t="str">
        <f t="shared" si="64"/>
        <v>-</v>
      </c>
      <c r="AZ79" s="174"/>
      <c r="BA79" s="478" t="s">
        <v>594</v>
      </c>
      <c r="BB79" s="60"/>
      <c r="BC79" s="174" t="s">
        <v>376</v>
      </c>
      <c r="BD79" s="91" t="str">
        <f t="shared" si="100"/>
        <v xml:space="preserve">※エリア判定には補足住所での確認が必要です。\⇒　提供不可エリアが有る場合のみ、一覧を表示します。                                                                                                                                                                                                                                                                                                               </v>
      </c>
      <c r="BE79" s="218" t="str">
        <f t="shared" si="65"/>
        <v>-</v>
      </c>
      <c r="BF79" s="174" t="s">
        <v>376</v>
      </c>
      <c r="BG79" s="478" t="s">
        <v>594</v>
      </c>
      <c r="BH79" s="60"/>
      <c r="BI79" s="170" t="s">
        <v>703</v>
      </c>
      <c r="BJ79" s="91" t="str">
        <f t="shared" si="101"/>
        <v xml:space="preserve">                                                                                                                                                                                                                                                                                                                                                                                                                </v>
      </c>
      <c r="BK79" s="218" t="s">
        <v>593</v>
      </c>
      <c r="BL79" s="174"/>
      <c r="BM79" s="478" t="s">
        <v>594</v>
      </c>
      <c r="BN79" s="60"/>
      <c r="BO79" s="174" t="s">
        <v>376</v>
      </c>
      <c r="BP79" s="91" t="str">
        <f t="shared" si="102"/>
        <v xml:space="preserve">※エリア判定には補足住所での確認が必要です。\⇒　提供不可エリアが有る場合のみ、一覧を表示します。                                                                                                                                                                                                                                                                                                               </v>
      </c>
      <c r="BQ79" s="218" t="str">
        <f t="shared" si="66"/>
        <v>-</v>
      </c>
      <c r="BR79" s="174" t="s">
        <v>376</v>
      </c>
      <c r="BS79" s="478" t="s">
        <v>594</v>
      </c>
      <c r="BT79" s="60"/>
      <c r="BU79" s="170"/>
      <c r="BV79" s="91" t="str">
        <f t="shared" si="103"/>
        <v xml:space="preserve">                                                                                                                                                                                                                                                                                                                                                                                                                </v>
      </c>
      <c r="BW79" s="218" t="s">
        <v>593</v>
      </c>
      <c r="BX79" s="91"/>
      <c r="BY79" s="218" t="str">
        <f t="shared" si="68"/>
        <v>-</v>
      </c>
      <c r="BZ79" s="60"/>
      <c r="CA79" s="174"/>
      <c r="CB79" s="91" t="str">
        <f t="shared" si="104"/>
        <v xml:space="preserve">                                                                                                                                                                                                                                                                                                                                                                                                                </v>
      </c>
      <c r="CC79" s="218" t="str">
        <f t="shared" si="69"/>
        <v>-</v>
      </c>
      <c r="CD79" s="174"/>
      <c r="CE79" s="92" t="str">
        <f t="shared" si="91"/>
        <v>OK</v>
      </c>
      <c r="CF79" s="60"/>
      <c r="CG79" s="174"/>
      <c r="CH79" s="91" t="str">
        <f t="shared" si="105"/>
        <v xml:space="preserve">                                                                                                                                                                                                                                                                                                                                                                                                                </v>
      </c>
      <c r="CI79" s="218" t="str">
        <f t="shared" si="70"/>
        <v>-</v>
      </c>
      <c r="CJ79" s="174"/>
      <c r="CK79" s="92" t="str">
        <f t="shared" si="92"/>
        <v>OK</v>
      </c>
      <c r="CL79" s="60"/>
      <c r="CM79" s="174"/>
      <c r="CN79" s="91" t="str">
        <f t="shared" si="106"/>
        <v xml:space="preserve">                                                                                                                                                                                                                                                                                                                                                                                                                </v>
      </c>
      <c r="CO79" s="218" t="s">
        <v>593</v>
      </c>
      <c r="CP79" s="91"/>
      <c r="CQ79" s="218" t="str">
        <f t="shared" si="71"/>
        <v>-</v>
      </c>
      <c r="CR79" s="60"/>
      <c r="CS79" s="174"/>
      <c r="CT79" s="91" t="str">
        <f t="shared" si="107"/>
        <v xml:space="preserve">                                                                                                                                                                                                                                                                                                                                                                                                                </v>
      </c>
      <c r="CU79" s="218" t="str">
        <f t="shared" si="72"/>
        <v>-</v>
      </c>
      <c r="CV79" s="174"/>
      <c r="CW79" s="92" t="s">
        <v>593</v>
      </c>
      <c r="CX79" s="60"/>
      <c r="CY79" s="174"/>
      <c r="CZ79" s="91" t="str">
        <f t="shared" si="108"/>
        <v xml:space="preserve">                                                                                                                                                                                                                                                                                                                                                                                                                </v>
      </c>
      <c r="DA79" s="218" t="str">
        <f t="shared" si="73"/>
        <v>-</v>
      </c>
      <c r="DB79" s="174"/>
      <c r="DC79" s="92" t="s">
        <v>593</v>
      </c>
    </row>
    <row r="80" spans="1:107" s="26" customFormat="1">
      <c r="B80" s="65">
        <f t="shared" si="61"/>
        <v>73</v>
      </c>
      <c r="C80" s="7"/>
      <c r="D80" s="7"/>
      <c r="E80" s="7"/>
      <c r="F80" s="22" t="s">
        <v>151</v>
      </c>
      <c r="G80" s="16"/>
      <c r="H80" s="13"/>
      <c r="I80" s="8"/>
      <c r="J80" s="8"/>
      <c r="K80" s="8"/>
      <c r="L80" s="8"/>
      <c r="M80" s="11" t="s">
        <v>152</v>
      </c>
      <c r="N80" s="1"/>
      <c r="O80" s="57"/>
      <c r="P80" s="95">
        <f t="shared" si="93"/>
        <v>55</v>
      </c>
      <c r="Q80" s="115">
        <v>400</v>
      </c>
      <c r="R80" s="21" t="str">
        <f t="shared" si="95"/>
        <v>NX</v>
      </c>
      <c r="S80" s="98" t="s">
        <v>153</v>
      </c>
      <c r="T80" s="96"/>
      <c r="U80" s="21" t="s">
        <v>435</v>
      </c>
      <c r="V80" s="10"/>
      <c r="W80" s="25">
        <v>3</v>
      </c>
      <c r="X80" s="1" t="s">
        <v>154</v>
      </c>
      <c r="Y80" s="1">
        <v>1</v>
      </c>
      <c r="Z80" s="1">
        <v>400</v>
      </c>
      <c r="AA80" s="8" t="s">
        <v>129</v>
      </c>
      <c r="AB80" s="8" t="s">
        <v>257</v>
      </c>
      <c r="AC80" s="12"/>
      <c r="AD80" s="60"/>
      <c r="AE80" s="169"/>
      <c r="AF80" s="91" t="str">
        <f t="shared" si="96"/>
        <v xml:space="preserve">                                                                                                                                                                                                                                                                                                                                                                                                                </v>
      </c>
      <c r="AG80" s="218" t="str">
        <f t="shared" si="88"/>
        <v>-</v>
      </c>
      <c r="AH80" s="169"/>
      <c r="AI80" s="92" t="str">
        <f t="shared" si="84"/>
        <v>OK</v>
      </c>
      <c r="AJ80" s="60"/>
      <c r="AK80" s="169"/>
      <c r="AL80" s="91" t="str">
        <f t="shared" si="97"/>
        <v xml:space="preserve">                                                                                                                                                                                                                                                                                                                                                                                                                </v>
      </c>
      <c r="AM80" s="218" t="str">
        <f t="shared" si="62"/>
        <v>-</v>
      </c>
      <c r="AN80" s="169"/>
      <c r="AO80" s="92" t="str">
        <f t="shared" si="90"/>
        <v>OK</v>
      </c>
      <c r="AP80" s="60"/>
      <c r="AQ80" s="172"/>
      <c r="AR80" s="91" t="str">
        <f t="shared" si="98"/>
        <v xml:space="preserve">                                                                                                                                                                                                                                                                                                                                                                                                                </v>
      </c>
      <c r="AS80" s="218" t="s">
        <v>593</v>
      </c>
      <c r="AT80" s="91"/>
      <c r="AU80" s="218" t="str">
        <f t="shared" si="94"/>
        <v>-</v>
      </c>
      <c r="AV80" s="60"/>
      <c r="AW80" s="169"/>
      <c r="AX80" s="91" t="str">
        <f t="shared" si="99"/>
        <v xml:space="preserve">                                                                                                                                                                                                                                                                                                                                                                                                                </v>
      </c>
      <c r="AY80" s="218" t="str">
        <f t="shared" si="64"/>
        <v>-</v>
      </c>
      <c r="AZ80" s="169"/>
      <c r="BA80" s="478" t="s">
        <v>594</v>
      </c>
      <c r="BB80" s="60"/>
      <c r="BC80" s="169"/>
      <c r="BD80" s="91" t="str">
        <f t="shared" si="100"/>
        <v xml:space="preserve">                                                                                                                                                                                                                                                                                                                                                                                                                </v>
      </c>
      <c r="BE80" s="218" t="str">
        <f t="shared" si="65"/>
        <v>-</v>
      </c>
      <c r="BF80" s="169"/>
      <c r="BG80" s="478" t="s">
        <v>594</v>
      </c>
      <c r="BH80" s="60"/>
      <c r="BI80" s="170" t="s">
        <v>703</v>
      </c>
      <c r="BJ80" s="91" t="str">
        <f t="shared" si="101"/>
        <v xml:space="preserve">                                                                                                                                                                                                                                                                                                                                                                                                                </v>
      </c>
      <c r="BK80" s="218" t="s">
        <v>593</v>
      </c>
      <c r="BL80" s="169"/>
      <c r="BM80" s="478" t="s">
        <v>594</v>
      </c>
      <c r="BN80" s="60"/>
      <c r="BO80" s="169"/>
      <c r="BP80" s="91" t="str">
        <f t="shared" si="102"/>
        <v xml:space="preserve">                                                                                                                                                                                                                                                                                                                                                                                                                </v>
      </c>
      <c r="BQ80" s="218" t="str">
        <f t="shared" si="66"/>
        <v>-</v>
      </c>
      <c r="BR80" s="169"/>
      <c r="BS80" s="478" t="s">
        <v>594</v>
      </c>
      <c r="BT80" s="60"/>
      <c r="BU80" s="172"/>
      <c r="BV80" s="91" t="str">
        <f t="shared" si="103"/>
        <v xml:space="preserve">                                                                                                                                                                                                                                                                                                                                                                                                                </v>
      </c>
      <c r="BW80" s="218" t="s">
        <v>593</v>
      </c>
      <c r="BX80" s="91"/>
      <c r="BY80" s="218" t="str">
        <f t="shared" si="68"/>
        <v>-</v>
      </c>
      <c r="BZ80" s="60"/>
      <c r="CA80" s="169"/>
      <c r="CB80" s="91" t="str">
        <f t="shared" si="104"/>
        <v xml:space="preserve">                                                                                                                                                                                                                                                                                                                                                                                                                </v>
      </c>
      <c r="CC80" s="218" t="str">
        <f t="shared" si="69"/>
        <v>-</v>
      </c>
      <c r="CD80" s="169"/>
      <c r="CE80" s="92" t="str">
        <f t="shared" si="91"/>
        <v>OK</v>
      </c>
      <c r="CF80" s="60"/>
      <c r="CG80" s="169"/>
      <c r="CH80" s="91" t="str">
        <f t="shared" si="105"/>
        <v xml:space="preserve">                                                                                                                                                                                                                                                                                                                                                                                                                </v>
      </c>
      <c r="CI80" s="218" t="str">
        <f t="shared" si="70"/>
        <v>-</v>
      </c>
      <c r="CJ80" s="169"/>
      <c r="CK80" s="92" t="str">
        <f t="shared" si="92"/>
        <v>OK</v>
      </c>
      <c r="CL80" s="60"/>
      <c r="CM80" s="169"/>
      <c r="CN80" s="91" t="str">
        <f t="shared" si="106"/>
        <v xml:space="preserve">                                                                                                                                                                                                                                                                                                                                                                                                                </v>
      </c>
      <c r="CO80" s="218" t="s">
        <v>593</v>
      </c>
      <c r="CP80" s="91"/>
      <c r="CQ80" s="218" t="str">
        <f t="shared" si="71"/>
        <v>-</v>
      </c>
      <c r="CR80" s="60"/>
      <c r="CS80" s="169"/>
      <c r="CT80" s="91" t="str">
        <f t="shared" si="107"/>
        <v xml:space="preserve">                                                                                                                                                                                                                                                                                                                                                                                                                </v>
      </c>
      <c r="CU80" s="218" t="str">
        <f t="shared" si="72"/>
        <v>-</v>
      </c>
      <c r="CV80" s="169"/>
      <c r="CW80" s="92" t="s">
        <v>593</v>
      </c>
      <c r="CX80" s="60"/>
      <c r="CY80" s="169"/>
      <c r="CZ80" s="91" t="str">
        <f t="shared" si="108"/>
        <v xml:space="preserve">                                                                                                                                                                                                                                                                                                                                                                                                                </v>
      </c>
      <c r="DA80" s="218" t="str">
        <f t="shared" si="73"/>
        <v>-</v>
      </c>
      <c r="DB80" s="169"/>
      <c r="DC80" s="92" t="s">
        <v>593</v>
      </c>
    </row>
    <row r="81" spans="1:107" s="26" customFormat="1" ht="76.5">
      <c r="B81" s="65">
        <f t="shared" si="61"/>
        <v>74</v>
      </c>
      <c r="C81" s="7"/>
      <c r="D81" s="7"/>
      <c r="E81" s="7"/>
      <c r="F81" s="22" t="s">
        <v>155</v>
      </c>
      <c r="G81" s="16"/>
      <c r="H81" s="13"/>
      <c r="I81" s="8"/>
      <c r="J81" s="8"/>
      <c r="K81" s="8"/>
      <c r="L81" s="8"/>
      <c r="M81" s="11" t="s">
        <v>449</v>
      </c>
      <c r="N81" s="1"/>
      <c r="O81" s="57"/>
      <c r="P81" s="95">
        <f t="shared" si="93"/>
        <v>56</v>
      </c>
      <c r="Q81" s="115">
        <v>400</v>
      </c>
      <c r="R81" s="21" t="str">
        <f t="shared" si="95"/>
        <v>NX</v>
      </c>
      <c r="S81" s="98" t="s">
        <v>156</v>
      </c>
      <c r="T81" s="96"/>
      <c r="U81" s="21" t="s">
        <v>435</v>
      </c>
      <c r="V81" s="10"/>
      <c r="W81" s="25">
        <v>3</v>
      </c>
      <c r="X81" s="1" t="s">
        <v>157</v>
      </c>
      <c r="Y81" s="1">
        <v>1</v>
      </c>
      <c r="Z81" s="1">
        <v>400</v>
      </c>
      <c r="AA81" s="8" t="s">
        <v>129</v>
      </c>
      <c r="AB81" s="8" t="s">
        <v>257</v>
      </c>
      <c r="AC81" s="12"/>
      <c r="AD81" s="60"/>
      <c r="AE81" s="169"/>
      <c r="AF81" s="91" t="str">
        <f t="shared" si="96"/>
        <v xml:space="preserve">                                                                                                                                                                                                                                                                                                                                                                                                                </v>
      </c>
      <c r="AG81" s="218" t="str">
        <f t="shared" si="88"/>
        <v>-</v>
      </c>
      <c r="AH81" s="169"/>
      <c r="AI81" s="92" t="str">
        <f t="shared" si="84"/>
        <v>OK</v>
      </c>
      <c r="AJ81" s="60"/>
      <c r="AK81" s="169"/>
      <c r="AL81" s="91" t="str">
        <f t="shared" si="97"/>
        <v xml:space="preserve">                                                                                                                                                                                                                                                                                                                                                                                                                </v>
      </c>
      <c r="AM81" s="218" t="str">
        <f t="shared" si="62"/>
        <v>-</v>
      </c>
      <c r="AN81" s="169"/>
      <c r="AO81" s="92" t="str">
        <f t="shared" si="90"/>
        <v>OK</v>
      </c>
      <c r="AP81" s="60"/>
      <c r="AQ81" s="172"/>
      <c r="AR81" s="91" t="str">
        <f t="shared" si="98"/>
        <v xml:space="preserve">                                                                                                                                                                                                                                                                                                                                                                                                                </v>
      </c>
      <c r="AS81" s="218" t="s">
        <v>593</v>
      </c>
      <c r="AT81" s="91"/>
      <c r="AU81" s="218" t="str">
        <f t="shared" si="94"/>
        <v>-</v>
      </c>
      <c r="AV81" s="60"/>
      <c r="AW81" s="169"/>
      <c r="AX81" s="91" t="str">
        <f t="shared" si="99"/>
        <v xml:space="preserve">                                                                                                                                                                                                                                                                                                                                                                                                                </v>
      </c>
      <c r="AY81" s="218" t="str">
        <f t="shared" si="64"/>
        <v>-</v>
      </c>
      <c r="AZ81" s="169"/>
      <c r="BA81" s="478" t="s">
        <v>594</v>
      </c>
      <c r="BB81" s="60"/>
      <c r="BC81" s="169"/>
      <c r="BD81" s="91" t="str">
        <f t="shared" si="100"/>
        <v xml:space="preserve">                                                                                                                                                                                                                                                                                                                                                                                                                </v>
      </c>
      <c r="BE81" s="218" t="str">
        <f t="shared" si="65"/>
        <v>-</v>
      </c>
      <c r="BF81" s="169"/>
      <c r="BG81" s="478" t="s">
        <v>594</v>
      </c>
      <c r="BH81" s="60"/>
      <c r="BI81" s="170" t="s">
        <v>703</v>
      </c>
      <c r="BJ81" s="91" t="str">
        <f t="shared" si="101"/>
        <v xml:space="preserve">                                                                                                                                                                                                                                                                                                                                                                                                                </v>
      </c>
      <c r="BK81" s="218" t="s">
        <v>593</v>
      </c>
      <c r="BL81" s="169"/>
      <c r="BM81" s="478" t="s">
        <v>594</v>
      </c>
      <c r="BN81" s="60"/>
      <c r="BO81" s="169"/>
      <c r="BP81" s="91" t="str">
        <f t="shared" si="102"/>
        <v xml:space="preserve">                                                                                                                                                                                                                                                                                                                                                                                                                </v>
      </c>
      <c r="BQ81" s="218" t="str">
        <f t="shared" si="66"/>
        <v>-</v>
      </c>
      <c r="BR81" s="169"/>
      <c r="BS81" s="478" t="s">
        <v>594</v>
      </c>
      <c r="BT81" s="60"/>
      <c r="BU81" s="172"/>
      <c r="BV81" s="91" t="str">
        <f t="shared" si="103"/>
        <v xml:space="preserve">                                                                                                                                                                                                                                                                                                                                                                                                                </v>
      </c>
      <c r="BW81" s="218" t="s">
        <v>593</v>
      </c>
      <c r="BX81" s="91"/>
      <c r="BY81" s="218" t="str">
        <f t="shared" si="68"/>
        <v>-</v>
      </c>
      <c r="BZ81" s="60"/>
      <c r="CA81" s="169"/>
      <c r="CB81" s="91" t="str">
        <f t="shared" si="104"/>
        <v xml:space="preserve">                                                                                                                                                                                                                                                                                                                                                                                                                </v>
      </c>
      <c r="CC81" s="218" t="str">
        <f t="shared" si="69"/>
        <v>-</v>
      </c>
      <c r="CD81" s="169"/>
      <c r="CE81" s="92" t="str">
        <f t="shared" si="91"/>
        <v>OK</v>
      </c>
      <c r="CF81" s="60"/>
      <c r="CG81" s="169"/>
      <c r="CH81" s="91" t="str">
        <f t="shared" si="105"/>
        <v xml:space="preserve">                                                                                                                                                                                                                                                                                                                                                                                                                </v>
      </c>
      <c r="CI81" s="218" t="str">
        <f t="shared" si="70"/>
        <v>-</v>
      </c>
      <c r="CJ81" s="169"/>
      <c r="CK81" s="92" t="str">
        <f t="shared" si="92"/>
        <v>OK</v>
      </c>
      <c r="CL81" s="60"/>
      <c r="CM81" s="169"/>
      <c r="CN81" s="91" t="str">
        <f t="shared" si="106"/>
        <v xml:space="preserve">                                                                                                                                                                                                                                                                                                                                                                                                                </v>
      </c>
      <c r="CO81" s="218" t="s">
        <v>593</v>
      </c>
      <c r="CP81" s="91"/>
      <c r="CQ81" s="218" t="str">
        <f t="shared" si="71"/>
        <v>-</v>
      </c>
      <c r="CR81" s="60"/>
      <c r="CS81" s="169"/>
      <c r="CT81" s="91" t="str">
        <f t="shared" si="107"/>
        <v xml:space="preserve">                                                                                                                                                                                                                                                                                                                                                                                                                </v>
      </c>
      <c r="CU81" s="218" t="str">
        <f t="shared" si="72"/>
        <v>-</v>
      </c>
      <c r="CV81" s="169"/>
      <c r="CW81" s="92" t="s">
        <v>593</v>
      </c>
      <c r="CX81" s="60"/>
      <c r="CY81" s="169"/>
      <c r="CZ81" s="91" t="str">
        <f t="shared" si="108"/>
        <v xml:space="preserve">                                                                                                                                                                                                                                                                                                                                                                                                                </v>
      </c>
      <c r="DA81" s="218" t="str">
        <f t="shared" si="73"/>
        <v>-</v>
      </c>
      <c r="DB81" s="169"/>
      <c r="DC81" s="92" t="s">
        <v>593</v>
      </c>
    </row>
    <row r="82" spans="1:107" s="26" customFormat="1">
      <c r="B82" s="65">
        <f t="shared" si="61"/>
        <v>75</v>
      </c>
      <c r="C82" s="7"/>
      <c r="D82" s="7"/>
      <c r="E82" s="7"/>
      <c r="F82" s="22" t="s">
        <v>158</v>
      </c>
      <c r="G82" s="16"/>
      <c r="H82" s="13"/>
      <c r="I82" s="8"/>
      <c r="J82" s="8"/>
      <c r="K82" s="8"/>
      <c r="L82" s="8"/>
      <c r="M82" s="11" t="s">
        <v>152</v>
      </c>
      <c r="N82" s="1"/>
      <c r="O82" s="57"/>
      <c r="P82" s="95">
        <f t="shared" si="93"/>
        <v>57</v>
      </c>
      <c r="Q82" s="115">
        <v>400</v>
      </c>
      <c r="R82" s="21" t="str">
        <f t="shared" si="95"/>
        <v>NX</v>
      </c>
      <c r="S82" s="98" t="s">
        <v>159</v>
      </c>
      <c r="T82" s="96"/>
      <c r="U82" s="21" t="s">
        <v>435</v>
      </c>
      <c r="V82" s="10"/>
      <c r="W82" s="25">
        <v>3</v>
      </c>
      <c r="X82" s="1" t="s">
        <v>160</v>
      </c>
      <c r="Y82" s="1">
        <v>1</v>
      </c>
      <c r="Z82" s="1">
        <v>400</v>
      </c>
      <c r="AA82" s="8" t="s">
        <v>129</v>
      </c>
      <c r="AB82" s="8" t="s">
        <v>257</v>
      </c>
      <c r="AC82" s="12"/>
      <c r="AD82" s="60"/>
      <c r="AE82" s="169"/>
      <c r="AF82" s="91" t="str">
        <f t="shared" si="96"/>
        <v xml:space="preserve">                                                                                                                                                                                                                                                                                                                                                                                                                </v>
      </c>
      <c r="AG82" s="218" t="str">
        <f t="shared" si="88"/>
        <v>-</v>
      </c>
      <c r="AH82" s="169"/>
      <c r="AI82" s="92" t="str">
        <f t="shared" si="84"/>
        <v>OK</v>
      </c>
      <c r="AJ82" s="60"/>
      <c r="AK82" s="169"/>
      <c r="AL82" s="91" t="str">
        <f t="shared" si="97"/>
        <v xml:space="preserve">                                                                                                                                                                                                                                                                                                                                                                                                                </v>
      </c>
      <c r="AM82" s="218" t="str">
        <f t="shared" si="62"/>
        <v>-</v>
      </c>
      <c r="AN82" s="169"/>
      <c r="AO82" s="92" t="str">
        <f t="shared" si="90"/>
        <v>OK</v>
      </c>
      <c r="AP82" s="60"/>
      <c r="AQ82" s="172"/>
      <c r="AR82" s="91" t="str">
        <f t="shared" si="98"/>
        <v xml:space="preserve">                                                                                                                                                                                                                                                                                                                                                                                                                </v>
      </c>
      <c r="AS82" s="218" t="s">
        <v>593</v>
      </c>
      <c r="AT82" s="91"/>
      <c r="AU82" s="218" t="str">
        <f t="shared" si="94"/>
        <v>-</v>
      </c>
      <c r="AV82" s="60"/>
      <c r="AW82" s="169"/>
      <c r="AX82" s="91" t="str">
        <f t="shared" si="99"/>
        <v xml:space="preserve">                                                                                                                                                                                                                                                                                                                                                                                                                </v>
      </c>
      <c r="AY82" s="218" t="str">
        <f t="shared" si="64"/>
        <v>-</v>
      </c>
      <c r="AZ82" s="169"/>
      <c r="BA82" s="478" t="s">
        <v>594</v>
      </c>
      <c r="BB82" s="60"/>
      <c r="BC82" s="169"/>
      <c r="BD82" s="91" t="str">
        <f t="shared" si="100"/>
        <v xml:space="preserve">                                                                                                                                                                                                                                                                                                                                                                                                                </v>
      </c>
      <c r="BE82" s="218" t="str">
        <f t="shared" si="65"/>
        <v>-</v>
      </c>
      <c r="BF82" s="169"/>
      <c r="BG82" s="478" t="s">
        <v>594</v>
      </c>
      <c r="BH82" s="60"/>
      <c r="BI82" s="170" t="s">
        <v>703</v>
      </c>
      <c r="BJ82" s="91" t="str">
        <f t="shared" si="101"/>
        <v xml:space="preserve">                                                                                                                                                                                                                                                                                                                                                                                                                </v>
      </c>
      <c r="BK82" s="218" t="s">
        <v>593</v>
      </c>
      <c r="BL82" s="169"/>
      <c r="BM82" s="478" t="s">
        <v>594</v>
      </c>
      <c r="BN82" s="60"/>
      <c r="BO82" s="169"/>
      <c r="BP82" s="91" t="str">
        <f t="shared" si="102"/>
        <v xml:space="preserve">                                                                                                                                                                                                                                                                                                                                                                                                                </v>
      </c>
      <c r="BQ82" s="218" t="str">
        <f t="shared" si="66"/>
        <v>-</v>
      </c>
      <c r="BR82" s="169"/>
      <c r="BS82" s="478" t="s">
        <v>594</v>
      </c>
      <c r="BT82" s="60"/>
      <c r="BU82" s="172"/>
      <c r="BV82" s="91" t="str">
        <f t="shared" si="103"/>
        <v xml:space="preserve">                                                                                                                                                                                                                                                                                                                                                                                                                </v>
      </c>
      <c r="BW82" s="218" t="s">
        <v>593</v>
      </c>
      <c r="BX82" s="91"/>
      <c r="BY82" s="218" t="str">
        <f t="shared" si="68"/>
        <v>-</v>
      </c>
      <c r="BZ82" s="60"/>
      <c r="CA82" s="169"/>
      <c r="CB82" s="91" t="str">
        <f t="shared" si="104"/>
        <v xml:space="preserve">                                                                                                                                                                                                                                                                                                                                                                                                                </v>
      </c>
      <c r="CC82" s="218" t="str">
        <f t="shared" si="69"/>
        <v>-</v>
      </c>
      <c r="CD82" s="169"/>
      <c r="CE82" s="92" t="str">
        <f t="shared" si="91"/>
        <v>OK</v>
      </c>
      <c r="CF82" s="60"/>
      <c r="CG82" s="169"/>
      <c r="CH82" s="91" t="str">
        <f t="shared" si="105"/>
        <v xml:space="preserve">                                                                                                                                                                                                                                                                                                                                                                                                                </v>
      </c>
      <c r="CI82" s="218" t="str">
        <f t="shared" si="70"/>
        <v>-</v>
      </c>
      <c r="CJ82" s="169"/>
      <c r="CK82" s="92" t="str">
        <f t="shared" si="92"/>
        <v>OK</v>
      </c>
      <c r="CL82" s="60"/>
      <c r="CM82" s="169"/>
      <c r="CN82" s="91" t="str">
        <f t="shared" si="106"/>
        <v xml:space="preserve">                                                                                                                                                                                                                                                                                                                                                                                                                </v>
      </c>
      <c r="CO82" s="218" t="s">
        <v>593</v>
      </c>
      <c r="CP82" s="91"/>
      <c r="CQ82" s="218" t="str">
        <f t="shared" si="71"/>
        <v>-</v>
      </c>
      <c r="CR82" s="60"/>
      <c r="CS82" s="169"/>
      <c r="CT82" s="91" t="str">
        <f t="shared" si="107"/>
        <v xml:space="preserve">                                                                                                                                                                                                                                                                                                                                                                                                                </v>
      </c>
      <c r="CU82" s="218" t="str">
        <f t="shared" si="72"/>
        <v>-</v>
      </c>
      <c r="CV82" s="169"/>
      <c r="CW82" s="92" t="s">
        <v>593</v>
      </c>
      <c r="CX82" s="60"/>
      <c r="CY82" s="169"/>
      <c r="CZ82" s="91" t="str">
        <f t="shared" si="108"/>
        <v xml:space="preserve">                                                                                                                                                                                                                                                                                                                                                                                                                </v>
      </c>
      <c r="DA82" s="218" t="str">
        <f t="shared" si="73"/>
        <v>-</v>
      </c>
      <c r="DB82" s="169"/>
      <c r="DC82" s="92" t="s">
        <v>593</v>
      </c>
    </row>
    <row r="83" spans="1:107" s="26" customFormat="1">
      <c r="B83" s="65">
        <f t="shared" si="61"/>
        <v>76</v>
      </c>
      <c r="C83" s="7"/>
      <c r="D83" s="7"/>
      <c r="E83" s="7"/>
      <c r="F83" s="22" t="s">
        <v>161</v>
      </c>
      <c r="G83" s="16"/>
      <c r="H83" s="13"/>
      <c r="I83" s="8"/>
      <c r="J83" s="8"/>
      <c r="K83" s="8"/>
      <c r="L83" s="8"/>
      <c r="M83" s="11" t="s">
        <v>152</v>
      </c>
      <c r="N83" s="1"/>
      <c r="O83" s="57"/>
      <c r="P83" s="95">
        <f t="shared" si="93"/>
        <v>58</v>
      </c>
      <c r="Q83" s="115">
        <v>400</v>
      </c>
      <c r="R83" s="21" t="str">
        <f t="shared" si="95"/>
        <v>NX</v>
      </c>
      <c r="S83" s="98" t="s">
        <v>162</v>
      </c>
      <c r="T83" s="96"/>
      <c r="U83" s="21" t="s">
        <v>435</v>
      </c>
      <c r="V83" s="10"/>
      <c r="W83" s="25">
        <v>3</v>
      </c>
      <c r="X83" s="1" t="s">
        <v>163</v>
      </c>
      <c r="Y83" s="1">
        <v>1</v>
      </c>
      <c r="Z83" s="1">
        <v>400</v>
      </c>
      <c r="AA83" s="8" t="s">
        <v>129</v>
      </c>
      <c r="AB83" s="8" t="s">
        <v>257</v>
      </c>
      <c r="AC83" s="12"/>
      <c r="AD83" s="60"/>
      <c r="AE83" s="169"/>
      <c r="AF83" s="91" t="str">
        <f t="shared" si="96"/>
        <v xml:space="preserve">                                                                                                                                                                                                                                                                                                                                                                                                                </v>
      </c>
      <c r="AG83" s="218" t="str">
        <f t="shared" si="88"/>
        <v>-</v>
      </c>
      <c r="AH83" s="169"/>
      <c r="AI83" s="92" t="str">
        <f t="shared" si="84"/>
        <v>OK</v>
      </c>
      <c r="AJ83" s="60"/>
      <c r="AK83" s="169"/>
      <c r="AL83" s="91" t="str">
        <f t="shared" si="97"/>
        <v xml:space="preserve">                                                                                                                                                                                                                                                                                                                                                                                                                </v>
      </c>
      <c r="AM83" s="218" t="str">
        <f t="shared" si="62"/>
        <v>-</v>
      </c>
      <c r="AN83" s="169"/>
      <c r="AO83" s="92" t="str">
        <f t="shared" si="90"/>
        <v>OK</v>
      </c>
      <c r="AP83" s="60"/>
      <c r="AQ83" s="172"/>
      <c r="AR83" s="91" t="str">
        <f t="shared" si="98"/>
        <v xml:space="preserve">                                                                                                                                                                                                                                                                                                                                                                                                                </v>
      </c>
      <c r="AS83" s="218" t="s">
        <v>593</v>
      </c>
      <c r="AT83" s="91"/>
      <c r="AU83" s="218" t="str">
        <f t="shared" si="94"/>
        <v>-</v>
      </c>
      <c r="AV83" s="60"/>
      <c r="AW83" s="169"/>
      <c r="AX83" s="91" t="str">
        <f t="shared" si="99"/>
        <v xml:space="preserve">                                                                                                                                                                                                                                                                                                                                                                                                                </v>
      </c>
      <c r="AY83" s="218" t="str">
        <f t="shared" si="64"/>
        <v>-</v>
      </c>
      <c r="AZ83" s="169"/>
      <c r="BA83" s="478" t="s">
        <v>594</v>
      </c>
      <c r="BB83" s="60"/>
      <c r="BC83" s="169"/>
      <c r="BD83" s="91" t="str">
        <f t="shared" si="100"/>
        <v xml:space="preserve">                                                                                                                                                                                                                                                                                                                                                                                                                </v>
      </c>
      <c r="BE83" s="218" t="str">
        <f t="shared" si="65"/>
        <v>-</v>
      </c>
      <c r="BF83" s="169"/>
      <c r="BG83" s="478" t="s">
        <v>594</v>
      </c>
      <c r="BH83" s="60"/>
      <c r="BI83" s="170" t="s">
        <v>703</v>
      </c>
      <c r="BJ83" s="91" t="str">
        <f t="shared" si="101"/>
        <v xml:space="preserve">                                                                                                                                                                                                                                                                                                                                                                                                                </v>
      </c>
      <c r="BK83" s="218" t="s">
        <v>593</v>
      </c>
      <c r="BL83" s="169"/>
      <c r="BM83" s="478" t="s">
        <v>594</v>
      </c>
      <c r="BN83" s="60"/>
      <c r="BO83" s="169"/>
      <c r="BP83" s="91" t="str">
        <f t="shared" si="102"/>
        <v xml:space="preserve">                                                                                                                                                                                                                                                                                                                                                                                                                </v>
      </c>
      <c r="BQ83" s="218" t="str">
        <f t="shared" si="66"/>
        <v>-</v>
      </c>
      <c r="BR83" s="169"/>
      <c r="BS83" s="478" t="s">
        <v>594</v>
      </c>
      <c r="BT83" s="60"/>
      <c r="BU83" s="172"/>
      <c r="BV83" s="91" t="str">
        <f t="shared" si="103"/>
        <v xml:space="preserve">                                                                                                                                                                                                                                                                                                                                                                                                                </v>
      </c>
      <c r="BW83" s="218" t="s">
        <v>593</v>
      </c>
      <c r="BX83" s="91"/>
      <c r="BY83" s="218" t="str">
        <f t="shared" si="68"/>
        <v>-</v>
      </c>
      <c r="BZ83" s="60"/>
      <c r="CA83" s="169"/>
      <c r="CB83" s="91" t="str">
        <f t="shared" si="104"/>
        <v xml:space="preserve">                                                                                                                                                                                                                                                                                                                                                                                                                </v>
      </c>
      <c r="CC83" s="218" t="str">
        <f t="shared" si="69"/>
        <v>-</v>
      </c>
      <c r="CD83" s="169"/>
      <c r="CE83" s="92" t="str">
        <f t="shared" si="91"/>
        <v>OK</v>
      </c>
      <c r="CF83" s="60"/>
      <c r="CG83" s="169"/>
      <c r="CH83" s="91" t="str">
        <f t="shared" si="105"/>
        <v xml:space="preserve">                                                                                                                                                                                                                                                                                                                                                                                                                </v>
      </c>
      <c r="CI83" s="218" t="str">
        <f t="shared" si="70"/>
        <v>-</v>
      </c>
      <c r="CJ83" s="169"/>
      <c r="CK83" s="92" t="str">
        <f t="shared" si="92"/>
        <v>OK</v>
      </c>
      <c r="CL83" s="60"/>
      <c r="CM83" s="169"/>
      <c r="CN83" s="91" t="str">
        <f t="shared" si="106"/>
        <v xml:space="preserve">                                                                                                                                                                                                                                                                                                                                                                                                                </v>
      </c>
      <c r="CO83" s="218" t="s">
        <v>593</v>
      </c>
      <c r="CP83" s="91"/>
      <c r="CQ83" s="218" t="str">
        <f t="shared" si="71"/>
        <v>-</v>
      </c>
      <c r="CR83" s="60"/>
      <c r="CS83" s="169"/>
      <c r="CT83" s="91" t="str">
        <f t="shared" si="107"/>
        <v xml:space="preserve">                                                                                                                                                                                                                                                                                                                                                                                                                </v>
      </c>
      <c r="CU83" s="218" t="str">
        <f t="shared" si="72"/>
        <v>-</v>
      </c>
      <c r="CV83" s="169"/>
      <c r="CW83" s="92" t="s">
        <v>593</v>
      </c>
      <c r="CX83" s="60"/>
      <c r="CY83" s="169"/>
      <c r="CZ83" s="91" t="str">
        <f t="shared" si="108"/>
        <v xml:space="preserve">                                                                                                                                                                                                                                                                                                                                                                                                                </v>
      </c>
      <c r="DA83" s="218" t="str">
        <f t="shared" si="73"/>
        <v>-</v>
      </c>
      <c r="DB83" s="169"/>
      <c r="DC83" s="92" t="s">
        <v>593</v>
      </c>
    </row>
    <row r="84" spans="1:107" s="26" customFormat="1" ht="89.25">
      <c r="B84" s="65">
        <f t="shared" si="61"/>
        <v>77</v>
      </c>
      <c r="C84" s="7"/>
      <c r="D84" s="7"/>
      <c r="E84" s="7"/>
      <c r="F84" s="22" t="s">
        <v>164</v>
      </c>
      <c r="G84" s="16"/>
      <c r="H84" s="13"/>
      <c r="I84" s="8"/>
      <c r="J84" s="8"/>
      <c r="K84" s="8"/>
      <c r="L84" s="8"/>
      <c r="M84" s="11" t="s">
        <v>450</v>
      </c>
      <c r="N84" s="1"/>
      <c r="O84" s="57"/>
      <c r="P84" s="95">
        <f t="shared" si="93"/>
        <v>59</v>
      </c>
      <c r="Q84" s="115">
        <v>1</v>
      </c>
      <c r="R84" s="21" t="str">
        <f t="shared" si="95"/>
        <v>X</v>
      </c>
      <c r="S84" s="98" t="s">
        <v>165</v>
      </c>
      <c r="T84" s="96"/>
      <c r="U84" s="21" t="s">
        <v>435</v>
      </c>
      <c r="V84" s="10"/>
      <c r="W84" s="25">
        <v>3</v>
      </c>
      <c r="X84" s="1" t="s">
        <v>303</v>
      </c>
      <c r="Y84" s="1">
        <v>1</v>
      </c>
      <c r="Z84" s="1">
        <v>1</v>
      </c>
      <c r="AA84" s="8" t="s">
        <v>114</v>
      </c>
      <c r="AB84" s="8" t="s">
        <v>21</v>
      </c>
      <c r="AC84" s="104"/>
      <c r="AD84" s="60"/>
      <c r="AE84" s="174"/>
      <c r="AF84" s="61" t="str">
        <f t="shared" si="96"/>
        <v xml:space="preserve"> </v>
      </c>
      <c r="AG84" s="218" t="str">
        <f t="shared" si="88"/>
        <v>-</v>
      </c>
      <c r="AH84" s="174"/>
      <c r="AI84" s="92" t="str">
        <f t="shared" si="84"/>
        <v>OK</v>
      </c>
      <c r="AJ84" s="60"/>
      <c r="AK84" s="174"/>
      <c r="AL84" s="61" t="str">
        <f t="shared" si="97"/>
        <v xml:space="preserve"> </v>
      </c>
      <c r="AM84" s="218" t="str">
        <f t="shared" si="62"/>
        <v>-</v>
      </c>
      <c r="AN84" s="174"/>
      <c r="AO84" s="92" t="str">
        <f t="shared" si="90"/>
        <v>OK</v>
      </c>
      <c r="AP84" s="60"/>
      <c r="AQ84" s="170"/>
      <c r="AR84" s="61" t="str">
        <f t="shared" si="98"/>
        <v xml:space="preserve"> </v>
      </c>
      <c r="AS84" s="218" t="s">
        <v>593</v>
      </c>
      <c r="AT84" s="61"/>
      <c r="AU84" s="218" t="str">
        <f t="shared" si="94"/>
        <v>-</v>
      </c>
      <c r="AV84" s="60"/>
      <c r="AW84" s="174"/>
      <c r="AX84" s="61" t="str">
        <f t="shared" si="99"/>
        <v xml:space="preserve"> </v>
      </c>
      <c r="AY84" s="218" t="str">
        <f t="shared" si="64"/>
        <v>-</v>
      </c>
      <c r="AZ84" s="174"/>
      <c r="BA84" s="478" t="s">
        <v>594</v>
      </c>
      <c r="BB84" s="60"/>
      <c r="BC84" s="174" t="s">
        <v>33</v>
      </c>
      <c r="BD84" s="61" t="str">
        <f t="shared" si="100"/>
        <v>1</v>
      </c>
      <c r="BE84" s="218" t="str">
        <f t="shared" si="65"/>
        <v>-</v>
      </c>
      <c r="BF84" s="174" t="s">
        <v>33</v>
      </c>
      <c r="BG84" s="478" t="s">
        <v>594</v>
      </c>
      <c r="BH84" s="60"/>
      <c r="BI84" s="170" t="s">
        <v>38</v>
      </c>
      <c r="BJ84" s="61" t="str">
        <f t="shared" si="101"/>
        <v xml:space="preserve"> </v>
      </c>
      <c r="BK84" s="218" t="s">
        <v>593</v>
      </c>
      <c r="BL84" s="174"/>
      <c r="BM84" s="478" t="s">
        <v>594</v>
      </c>
      <c r="BN84" s="60"/>
      <c r="BO84" s="174" t="s">
        <v>33</v>
      </c>
      <c r="BP84" s="61" t="str">
        <f t="shared" si="102"/>
        <v>1</v>
      </c>
      <c r="BQ84" s="218" t="str">
        <f t="shared" si="66"/>
        <v>-</v>
      </c>
      <c r="BR84" s="174" t="s">
        <v>33</v>
      </c>
      <c r="BS84" s="478" t="s">
        <v>594</v>
      </c>
      <c r="BT84" s="60"/>
      <c r="BU84" s="170"/>
      <c r="BV84" s="61" t="str">
        <f t="shared" si="103"/>
        <v xml:space="preserve"> </v>
      </c>
      <c r="BW84" s="218" t="s">
        <v>593</v>
      </c>
      <c r="BX84" s="61"/>
      <c r="BY84" s="218" t="str">
        <f t="shared" si="68"/>
        <v>-</v>
      </c>
      <c r="BZ84" s="60"/>
      <c r="CA84" s="174"/>
      <c r="CB84" s="61" t="str">
        <f t="shared" si="104"/>
        <v xml:space="preserve"> </v>
      </c>
      <c r="CC84" s="218" t="str">
        <f t="shared" si="69"/>
        <v>-</v>
      </c>
      <c r="CD84" s="174"/>
      <c r="CE84" s="92" t="str">
        <f t="shared" si="91"/>
        <v>OK</v>
      </c>
      <c r="CF84" s="60"/>
      <c r="CG84" s="174"/>
      <c r="CH84" s="61" t="str">
        <f t="shared" si="105"/>
        <v xml:space="preserve"> </v>
      </c>
      <c r="CI84" s="218" t="str">
        <f t="shared" si="70"/>
        <v>-</v>
      </c>
      <c r="CJ84" s="174"/>
      <c r="CK84" s="92" t="str">
        <f t="shared" si="92"/>
        <v>OK</v>
      </c>
      <c r="CL84" s="60"/>
      <c r="CM84" s="174"/>
      <c r="CN84" s="61" t="str">
        <f t="shared" si="106"/>
        <v xml:space="preserve"> </v>
      </c>
      <c r="CO84" s="218" t="s">
        <v>593</v>
      </c>
      <c r="CP84" s="61"/>
      <c r="CQ84" s="218" t="str">
        <f t="shared" si="71"/>
        <v>-</v>
      </c>
      <c r="CR84" s="60"/>
      <c r="CS84" s="174"/>
      <c r="CT84" s="61" t="str">
        <f t="shared" si="107"/>
        <v xml:space="preserve"> </v>
      </c>
      <c r="CU84" s="218" t="str">
        <f t="shared" si="72"/>
        <v>-</v>
      </c>
      <c r="CV84" s="174"/>
      <c r="CW84" s="92" t="s">
        <v>593</v>
      </c>
      <c r="CX84" s="60"/>
      <c r="CY84" s="174"/>
      <c r="CZ84" s="61" t="str">
        <f t="shared" si="108"/>
        <v xml:space="preserve"> </v>
      </c>
      <c r="DA84" s="218" t="str">
        <f t="shared" si="73"/>
        <v>-</v>
      </c>
      <c r="DB84" s="174"/>
      <c r="DC84" s="92" t="s">
        <v>593</v>
      </c>
    </row>
    <row r="85" spans="1:107" s="26" customFormat="1">
      <c r="B85" s="65">
        <f t="shared" si="61"/>
        <v>78</v>
      </c>
      <c r="C85" s="7"/>
      <c r="D85" s="7"/>
      <c r="E85" s="7"/>
      <c r="F85" s="22" t="s">
        <v>166</v>
      </c>
      <c r="G85" s="16"/>
      <c r="H85" s="13"/>
      <c r="I85" s="8"/>
      <c r="J85" s="8"/>
      <c r="K85" s="8"/>
      <c r="L85" s="8"/>
      <c r="M85" s="11"/>
      <c r="N85" s="1"/>
      <c r="O85" s="57"/>
      <c r="P85" s="95">
        <f t="shared" si="93"/>
        <v>60</v>
      </c>
      <c r="Q85" s="115">
        <v>128</v>
      </c>
      <c r="R85" s="21" t="str">
        <f t="shared" si="95"/>
        <v>X</v>
      </c>
      <c r="S85" s="98" t="s">
        <v>167</v>
      </c>
      <c r="T85" s="96"/>
      <c r="U85" s="21" t="s">
        <v>435</v>
      </c>
      <c r="V85" s="10"/>
      <c r="W85" s="25">
        <v>3</v>
      </c>
      <c r="X85" s="1" t="s">
        <v>304</v>
      </c>
      <c r="Y85" s="1">
        <v>1</v>
      </c>
      <c r="Z85" s="1">
        <v>128</v>
      </c>
      <c r="AA85" s="8" t="s">
        <v>114</v>
      </c>
      <c r="AB85" s="8" t="s">
        <v>21</v>
      </c>
      <c r="AC85" s="12"/>
      <c r="AD85" s="60"/>
      <c r="AE85" s="169"/>
      <c r="AF85" s="61" t="str">
        <f t="shared" si="96"/>
        <v xml:space="preserve">                                                                                                                                </v>
      </c>
      <c r="AG85" s="218" t="str">
        <f t="shared" si="88"/>
        <v>-</v>
      </c>
      <c r="AH85" s="169"/>
      <c r="AI85" s="92" t="str">
        <f t="shared" si="84"/>
        <v>OK</v>
      </c>
      <c r="AJ85" s="60"/>
      <c r="AK85" s="169"/>
      <c r="AL85" s="61" t="str">
        <f t="shared" si="97"/>
        <v xml:space="preserve">                                                                                                                                </v>
      </c>
      <c r="AM85" s="218" t="str">
        <f t="shared" si="62"/>
        <v>-</v>
      </c>
      <c r="AN85" s="169"/>
      <c r="AO85" s="92" t="str">
        <f t="shared" si="90"/>
        <v>OK</v>
      </c>
      <c r="AP85" s="60"/>
      <c r="AQ85" s="172"/>
      <c r="AR85" s="61" t="str">
        <f t="shared" si="98"/>
        <v xml:space="preserve">                                                                                                                                </v>
      </c>
      <c r="AS85" s="218" t="s">
        <v>593</v>
      </c>
      <c r="AT85" s="61"/>
      <c r="AU85" s="218" t="str">
        <f t="shared" si="94"/>
        <v>-</v>
      </c>
      <c r="AV85" s="60"/>
      <c r="AW85" s="169"/>
      <c r="AX85" s="61" t="str">
        <f t="shared" si="99"/>
        <v xml:space="preserve">                                                                                                                                </v>
      </c>
      <c r="AY85" s="218" t="str">
        <f t="shared" si="64"/>
        <v>-</v>
      </c>
      <c r="AZ85" s="169"/>
      <c r="BA85" s="478" t="s">
        <v>594</v>
      </c>
      <c r="BB85" s="60"/>
      <c r="BC85" s="169"/>
      <c r="BD85" s="61" t="str">
        <f t="shared" si="100"/>
        <v xml:space="preserve">                                                                                                                                </v>
      </c>
      <c r="BE85" s="218" t="str">
        <f t="shared" si="65"/>
        <v>-</v>
      </c>
      <c r="BF85" s="169"/>
      <c r="BG85" s="478" t="s">
        <v>594</v>
      </c>
      <c r="BH85" s="60"/>
      <c r="BI85" s="170" t="s">
        <v>704</v>
      </c>
      <c r="BJ85" s="61" t="str">
        <f t="shared" si="101"/>
        <v xml:space="preserve">                                                                                                                                </v>
      </c>
      <c r="BK85" s="218" t="s">
        <v>593</v>
      </c>
      <c r="BL85" s="169"/>
      <c r="BM85" s="478" t="s">
        <v>594</v>
      </c>
      <c r="BN85" s="60"/>
      <c r="BO85" s="169"/>
      <c r="BP85" s="61" t="str">
        <f t="shared" si="102"/>
        <v xml:space="preserve">                                                                                                                                </v>
      </c>
      <c r="BQ85" s="218" t="str">
        <f t="shared" si="66"/>
        <v>-</v>
      </c>
      <c r="BR85" s="169"/>
      <c r="BS85" s="478" t="s">
        <v>594</v>
      </c>
      <c r="BT85" s="60"/>
      <c r="BU85" s="172"/>
      <c r="BV85" s="61" t="str">
        <f t="shared" si="103"/>
        <v xml:space="preserve">                                                                                                                                </v>
      </c>
      <c r="BW85" s="218" t="s">
        <v>593</v>
      </c>
      <c r="BX85" s="61"/>
      <c r="BY85" s="218" t="str">
        <f t="shared" si="68"/>
        <v>-</v>
      </c>
      <c r="BZ85" s="60"/>
      <c r="CA85" s="169"/>
      <c r="CB85" s="61" t="str">
        <f t="shared" si="104"/>
        <v xml:space="preserve">                                                                                                                                </v>
      </c>
      <c r="CC85" s="218" t="str">
        <f t="shared" si="69"/>
        <v>-</v>
      </c>
      <c r="CD85" s="169"/>
      <c r="CE85" s="92" t="str">
        <f t="shared" si="91"/>
        <v>OK</v>
      </c>
      <c r="CF85" s="60"/>
      <c r="CG85" s="169"/>
      <c r="CH85" s="61" t="str">
        <f t="shared" si="105"/>
        <v xml:space="preserve">                                                                                                                                </v>
      </c>
      <c r="CI85" s="218" t="str">
        <f t="shared" si="70"/>
        <v>-</v>
      </c>
      <c r="CJ85" s="169"/>
      <c r="CK85" s="92" t="str">
        <f t="shared" si="92"/>
        <v>OK</v>
      </c>
      <c r="CL85" s="60"/>
      <c r="CM85" s="169"/>
      <c r="CN85" s="61" t="str">
        <f t="shared" si="106"/>
        <v xml:space="preserve">                                                                                                                                </v>
      </c>
      <c r="CO85" s="218" t="s">
        <v>593</v>
      </c>
      <c r="CP85" s="61"/>
      <c r="CQ85" s="218" t="str">
        <f t="shared" si="71"/>
        <v>-</v>
      </c>
      <c r="CR85" s="60"/>
      <c r="CS85" s="169"/>
      <c r="CT85" s="61" t="str">
        <f t="shared" si="107"/>
        <v xml:space="preserve">                                                                                                                                </v>
      </c>
      <c r="CU85" s="218" t="str">
        <f t="shared" si="72"/>
        <v>-</v>
      </c>
      <c r="CV85" s="169"/>
      <c r="CW85" s="92" t="s">
        <v>593</v>
      </c>
      <c r="CX85" s="60"/>
      <c r="CY85" s="169"/>
      <c r="CZ85" s="61" t="str">
        <f t="shared" si="108"/>
        <v xml:space="preserve">                                                                                                                                </v>
      </c>
      <c r="DA85" s="218" t="str">
        <f t="shared" si="73"/>
        <v>-</v>
      </c>
      <c r="DB85" s="169"/>
      <c r="DC85" s="92" t="s">
        <v>593</v>
      </c>
    </row>
    <row r="86" spans="1:107" s="26" customFormat="1" ht="114.75">
      <c r="B86" s="65">
        <f t="shared" si="61"/>
        <v>79</v>
      </c>
      <c r="C86" s="7"/>
      <c r="D86" s="7"/>
      <c r="E86" s="7"/>
      <c r="F86" s="22" t="s">
        <v>168</v>
      </c>
      <c r="G86" s="16"/>
      <c r="H86" s="13"/>
      <c r="I86" s="8"/>
      <c r="J86" s="8"/>
      <c r="K86" s="8"/>
      <c r="L86" s="8"/>
      <c r="M86" s="11" t="s">
        <v>399</v>
      </c>
      <c r="N86" s="1"/>
      <c r="O86" s="57"/>
      <c r="P86" s="95">
        <f t="shared" si="93"/>
        <v>61</v>
      </c>
      <c r="Q86" s="115">
        <v>1</v>
      </c>
      <c r="R86" s="21" t="str">
        <f t="shared" si="95"/>
        <v>X</v>
      </c>
      <c r="S86" s="98" t="s">
        <v>169</v>
      </c>
      <c r="T86" s="96"/>
      <c r="U86" s="21" t="s">
        <v>435</v>
      </c>
      <c r="V86" s="10"/>
      <c r="W86" s="25">
        <v>3</v>
      </c>
      <c r="X86" s="1" t="s">
        <v>305</v>
      </c>
      <c r="Y86" s="1">
        <v>1</v>
      </c>
      <c r="Z86" s="1">
        <v>1</v>
      </c>
      <c r="AA86" s="8" t="s">
        <v>114</v>
      </c>
      <c r="AB86" s="8" t="s">
        <v>21</v>
      </c>
      <c r="AC86" s="104"/>
      <c r="AD86" s="60"/>
      <c r="AE86" s="174"/>
      <c r="AF86" s="61" t="str">
        <f t="shared" si="96"/>
        <v xml:space="preserve"> </v>
      </c>
      <c r="AG86" s="218" t="str">
        <f t="shared" si="88"/>
        <v>-</v>
      </c>
      <c r="AH86" s="174"/>
      <c r="AI86" s="92" t="str">
        <f t="shared" si="84"/>
        <v>OK</v>
      </c>
      <c r="AJ86" s="60"/>
      <c r="AK86" s="174"/>
      <c r="AL86" s="61" t="str">
        <f t="shared" si="97"/>
        <v xml:space="preserve"> </v>
      </c>
      <c r="AM86" s="218" t="str">
        <f t="shared" si="62"/>
        <v>-</v>
      </c>
      <c r="AN86" s="174"/>
      <c r="AO86" s="92" t="str">
        <f t="shared" si="90"/>
        <v>OK</v>
      </c>
      <c r="AP86" s="60"/>
      <c r="AQ86" s="170"/>
      <c r="AR86" s="61" t="str">
        <f t="shared" si="98"/>
        <v xml:space="preserve"> </v>
      </c>
      <c r="AS86" s="218" t="s">
        <v>593</v>
      </c>
      <c r="AT86" s="61"/>
      <c r="AU86" s="218" t="str">
        <f t="shared" si="94"/>
        <v>-</v>
      </c>
      <c r="AV86" s="60"/>
      <c r="AW86" s="174" t="s">
        <v>33</v>
      </c>
      <c r="AX86" s="61" t="str">
        <f t="shared" si="99"/>
        <v>1</v>
      </c>
      <c r="AY86" s="218" t="str">
        <f t="shared" si="64"/>
        <v>-</v>
      </c>
      <c r="AZ86" s="174" t="s">
        <v>33</v>
      </c>
      <c r="BA86" s="478" t="s">
        <v>594</v>
      </c>
      <c r="BB86" s="60"/>
      <c r="BC86" s="174" t="s">
        <v>33</v>
      </c>
      <c r="BD86" s="61" t="str">
        <f t="shared" si="100"/>
        <v>1</v>
      </c>
      <c r="BE86" s="218" t="str">
        <f t="shared" si="65"/>
        <v>-</v>
      </c>
      <c r="BF86" s="174" t="s">
        <v>33</v>
      </c>
      <c r="BG86" s="478" t="s">
        <v>594</v>
      </c>
      <c r="BH86" s="60"/>
      <c r="BI86" s="170" t="s">
        <v>33</v>
      </c>
      <c r="BJ86" s="61" t="str">
        <f t="shared" si="101"/>
        <v>1</v>
      </c>
      <c r="BK86" s="218" t="s">
        <v>593</v>
      </c>
      <c r="BL86" s="174" t="s">
        <v>33</v>
      </c>
      <c r="BM86" s="478" t="s">
        <v>594</v>
      </c>
      <c r="BN86" s="60"/>
      <c r="BO86" s="174" t="s">
        <v>33</v>
      </c>
      <c r="BP86" s="61" t="str">
        <f t="shared" si="102"/>
        <v>1</v>
      </c>
      <c r="BQ86" s="218" t="str">
        <f t="shared" si="66"/>
        <v>-</v>
      </c>
      <c r="BR86" s="174" t="s">
        <v>33</v>
      </c>
      <c r="BS86" s="478" t="s">
        <v>594</v>
      </c>
      <c r="BT86" s="60"/>
      <c r="BU86" s="170"/>
      <c r="BV86" s="61" t="str">
        <f t="shared" si="103"/>
        <v xml:space="preserve"> </v>
      </c>
      <c r="BW86" s="218" t="s">
        <v>593</v>
      </c>
      <c r="BX86" s="61"/>
      <c r="BY86" s="218" t="str">
        <f t="shared" si="68"/>
        <v>-</v>
      </c>
      <c r="BZ86" s="60"/>
      <c r="CA86" s="174"/>
      <c r="CB86" s="61" t="str">
        <f t="shared" si="104"/>
        <v xml:space="preserve"> </v>
      </c>
      <c r="CC86" s="218" t="str">
        <f t="shared" si="69"/>
        <v>-</v>
      </c>
      <c r="CD86" s="174"/>
      <c r="CE86" s="92" t="str">
        <f t="shared" si="91"/>
        <v>OK</v>
      </c>
      <c r="CF86" s="60"/>
      <c r="CG86" s="174"/>
      <c r="CH86" s="61" t="str">
        <f t="shared" si="105"/>
        <v xml:space="preserve"> </v>
      </c>
      <c r="CI86" s="218" t="str">
        <f t="shared" si="70"/>
        <v>-</v>
      </c>
      <c r="CJ86" s="174"/>
      <c r="CK86" s="92" t="str">
        <f t="shared" si="92"/>
        <v>OK</v>
      </c>
      <c r="CL86" s="60"/>
      <c r="CM86" s="174"/>
      <c r="CN86" s="61" t="str">
        <f t="shared" si="106"/>
        <v xml:space="preserve"> </v>
      </c>
      <c r="CO86" s="218" t="s">
        <v>593</v>
      </c>
      <c r="CP86" s="61"/>
      <c r="CQ86" s="218" t="str">
        <f t="shared" si="71"/>
        <v>-</v>
      </c>
      <c r="CR86" s="60"/>
      <c r="CS86" s="174"/>
      <c r="CT86" s="61" t="str">
        <f t="shared" si="107"/>
        <v xml:space="preserve"> </v>
      </c>
      <c r="CU86" s="218" t="str">
        <f t="shared" si="72"/>
        <v>-</v>
      </c>
      <c r="CV86" s="174"/>
      <c r="CW86" s="92" t="s">
        <v>593</v>
      </c>
      <c r="CX86" s="60"/>
      <c r="CY86" s="174"/>
      <c r="CZ86" s="61" t="str">
        <f t="shared" si="108"/>
        <v xml:space="preserve"> </v>
      </c>
      <c r="DA86" s="218" t="str">
        <f t="shared" si="73"/>
        <v>-</v>
      </c>
      <c r="DB86" s="174"/>
      <c r="DC86" s="92" t="s">
        <v>593</v>
      </c>
    </row>
    <row r="87" spans="1:107" s="26" customFormat="1" ht="127.5">
      <c r="B87" s="65">
        <f t="shared" ref="B87:B126" si="109">ROW()-7</f>
        <v>80</v>
      </c>
      <c r="C87" s="7"/>
      <c r="D87" s="7"/>
      <c r="E87" s="7"/>
      <c r="F87" s="22" t="s">
        <v>170</v>
      </c>
      <c r="G87" s="16"/>
      <c r="H87" s="13"/>
      <c r="I87" s="8"/>
      <c r="J87" s="8" t="s">
        <v>426</v>
      </c>
      <c r="K87" s="8"/>
      <c r="L87" s="8"/>
      <c r="M87" s="418" t="s">
        <v>451</v>
      </c>
      <c r="N87" s="1"/>
      <c r="O87" s="57"/>
      <c r="P87" s="95">
        <f t="shared" si="93"/>
        <v>62</v>
      </c>
      <c r="Q87" s="115">
        <v>1</v>
      </c>
      <c r="R87" s="21" t="str">
        <f t="shared" si="95"/>
        <v>X</v>
      </c>
      <c r="S87" s="98" t="s">
        <v>171</v>
      </c>
      <c r="T87" s="96"/>
      <c r="U87" s="21" t="s">
        <v>435</v>
      </c>
      <c r="V87" s="10"/>
      <c r="W87" s="25">
        <v>3</v>
      </c>
      <c r="X87" s="1" t="s">
        <v>306</v>
      </c>
      <c r="Y87" s="1">
        <v>1</v>
      </c>
      <c r="Z87" s="1">
        <v>1</v>
      </c>
      <c r="AA87" s="8" t="s">
        <v>114</v>
      </c>
      <c r="AB87" s="8" t="s">
        <v>21</v>
      </c>
      <c r="AC87" s="104"/>
      <c r="AD87" s="60"/>
      <c r="AE87" s="174"/>
      <c r="AF87" s="61" t="str">
        <f t="shared" si="96"/>
        <v xml:space="preserve"> </v>
      </c>
      <c r="AG87" s="218" t="str">
        <f t="shared" si="88"/>
        <v>-</v>
      </c>
      <c r="AH87" s="174"/>
      <c r="AI87" s="92" t="str">
        <f t="shared" si="84"/>
        <v>OK</v>
      </c>
      <c r="AJ87" s="60"/>
      <c r="AK87" s="174"/>
      <c r="AL87" s="61" t="str">
        <f t="shared" si="97"/>
        <v xml:space="preserve"> </v>
      </c>
      <c r="AM87" s="218" t="str">
        <f t="shared" ref="AM87:AM150" si="110">IF(OR(AK$8="判定対象外",AL$8="判定対象外",AL87="-"),"-",IF(AK87=AL87,"OK","NG"))</f>
        <v>-</v>
      </c>
      <c r="AN87" s="174"/>
      <c r="AO87" s="92" t="str">
        <f t="shared" si="90"/>
        <v>OK</v>
      </c>
      <c r="AP87" s="60"/>
      <c r="AQ87" s="170"/>
      <c r="AR87" s="61" t="str">
        <f t="shared" si="98"/>
        <v xml:space="preserve"> </v>
      </c>
      <c r="AS87" s="218" t="s">
        <v>593</v>
      </c>
      <c r="AT87" s="61"/>
      <c r="AU87" s="218" t="str">
        <f t="shared" si="94"/>
        <v>-</v>
      </c>
      <c r="AV87" s="60"/>
      <c r="AW87" s="174" t="s">
        <v>33</v>
      </c>
      <c r="AX87" s="61" t="str">
        <f t="shared" si="99"/>
        <v>1</v>
      </c>
      <c r="AY87" s="218" t="str">
        <f t="shared" ref="AY87:AY150" si="111">IF(OR(AW$8="判定対象外",AX$8="判定対象外",AX87="-"),"-",IF(AW87=AX87,"OK","NG"))</f>
        <v>-</v>
      </c>
      <c r="AZ87" s="174" t="s">
        <v>33</v>
      </c>
      <c r="BA87" s="478" t="s">
        <v>594</v>
      </c>
      <c r="BB87" s="60"/>
      <c r="BC87" s="174" t="s">
        <v>33</v>
      </c>
      <c r="BD87" s="61" t="str">
        <f t="shared" si="100"/>
        <v>1</v>
      </c>
      <c r="BE87" s="218" t="str">
        <f t="shared" ref="BE87:BE150" si="112">IF(OR(BC$8="判定対象外",BD$8="判定対象外",BD87="-"),"-",IF(BC87=BD87,"OK","NG"))</f>
        <v>-</v>
      </c>
      <c r="BF87" s="174" t="s">
        <v>33</v>
      </c>
      <c r="BG87" s="478" t="s">
        <v>594</v>
      </c>
      <c r="BH87" s="60"/>
      <c r="BI87" s="170" t="s">
        <v>33</v>
      </c>
      <c r="BJ87" s="61" t="str">
        <f t="shared" si="101"/>
        <v>1</v>
      </c>
      <c r="BK87" s="218" t="s">
        <v>593</v>
      </c>
      <c r="BL87" s="174" t="s">
        <v>33</v>
      </c>
      <c r="BM87" s="478" t="s">
        <v>594</v>
      </c>
      <c r="BN87" s="60"/>
      <c r="BO87" s="174" t="s">
        <v>33</v>
      </c>
      <c r="BP87" s="61" t="str">
        <f t="shared" si="102"/>
        <v>1</v>
      </c>
      <c r="BQ87" s="218" t="str">
        <f t="shared" ref="BQ87:BQ150" si="113">IF(OR(BO$8="判定対象外",BP$8="判定対象外",BP87="-"),"-",IF(BO87=BP87,"OK","NG"))</f>
        <v>-</v>
      </c>
      <c r="BR87" s="174" t="s">
        <v>33</v>
      </c>
      <c r="BS87" s="478" t="s">
        <v>594</v>
      </c>
      <c r="BT87" s="60"/>
      <c r="BU87" s="170"/>
      <c r="BV87" s="61" t="str">
        <f t="shared" si="103"/>
        <v xml:space="preserve"> </v>
      </c>
      <c r="BW87" s="218" t="s">
        <v>593</v>
      </c>
      <c r="BX87" s="61"/>
      <c r="BY87" s="218" t="str">
        <f t="shared" ref="BY87:BY150" si="114">IF(OR(BW$8="判定対象外",BX$8="判定対象外",BX87="-"),"-",IF(BW87=BX87,"OK","NG"))</f>
        <v>-</v>
      </c>
      <c r="BZ87" s="60"/>
      <c r="CA87" s="174"/>
      <c r="CB87" s="61" t="str">
        <f t="shared" si="104"/>
        <v xml:space="preserve"> </v>
      </c>
      <c r="CC87" s="218" t="str">
        <f t="shared" ref="CC87:CC150" si="115">IF(OR(CA$8="判定対象外",CB$8="判定対象外",CB87="-"),"-",IF(CA87=CB87,"OK","NG"))</f>
        <v>-</v>
      </c>
      <c r="CD87" s="174"/>
      <c r="CE87" s="92" t="str">
        <f t="shared" si="91"/>
        <v>OK</v>
      </c>
      <c r="CF87" s="60"/>
      <c r="CG87" s="174"/>
      <c r="CH87" s="61" t="str">
        <f t="shared" si="105"/>
        <v xml:space="preserve"> </v>
      </c>
      <c r="CI87" s="218" t="str">
        <f t="shared" ref="CI87:CI150" si="116">IF(OR(CG$8="判定対象外",CH$8="判定対象外",CH87="-"),"-",IF(CG87=CH87,"OK","NG"))</f>
        <v>-</v>
      </c>
      <c r="CJ87" s="174"/>
      <c r="CK87" s="92" t="str">
        <f t="shared" si="92"/>
        <v>OK</v>
      </c>
      <c r="CL87" s="60"/>
      <c r="CM87" s="174"/>
      <c r="CN87" s="61" t="str">
        <f t="shared" si="106"/>
        <v xml:space="preserve"> </v>
      </c>
      <c r="CO87" s="218" t="s">
        <v>593</v>
      </c>
      <c r="CP87" s="61"/>
      <c r="CQ87" s="218" t="str">
        <f t="shared" ref="CQ87:CQ150" si="117">IF(OR(CO$8="判定対象外",CP$8="判定対象外",CP87="-"),"-",IF(CO87=CP87,"OK","NG"))</f>
        <v>-</v>
      </c>
      <c r="CR87" s="60"/>
      <c r="CS87" s="174"/>
      <c r="CT87" s="61" t="str">
        <f t="shared" si="107"/>
        <v xml:space="preserve"> </v>
      </c>
      <c r="CU87" s="218" t="str">
        <f t="shared" ref="CU87:CU150" si="118">IF(OR(CS$8="判定対象外",CT$8="判定対象外",CT87="-"),"-",IF(CS87=CT87,"OK","NG"))</f>
        <v>-</v>
      </c>
      <c r="CV87" s="174"/>
      <c r="CW87" s="92" t="s">
        <v>593</v>
      </c>
      <c r="CX87" s="60"/>
      <c r="CY87" s="174"/>
      <c r="CZ87" s="61" t="str">
        <f t="shared" si="108"/>
        <v xml:space="preserve"> </v>
      </c>
      <c r="DA87" s="218" t="str">
        <f t="shared" ref="DA87:DA150" si="119">IF(OR(CY$8="判定対象外",CZ$8="判定対象外",CZ87="-"),"-",IF(CY87=CZ87,"OK","NG"))</f>
        <v>-</v>
      </c>
      <c r="DB87" s="174"/>
      <c r="DC87" s="92" t="s">
        <v>593</v>
      </c>
    </row>
    <row r="88" spans="1:107" s="26" customFormat="1" ht="331.5" customHeight="1">
      <c r="B88" s="65">
        <f t="shared" si="109"/>
        <v>81</v>
      </c>
      <c r="C88" s="7"/>
      <c r="D88" s="7"/>
      <c r="E88" s="54"/>
      <c r="F88" s="113" t="s">
        <v>452</v>
      </c>
      <c r="G88" s="67"/>
      <c r="H88" s="62"/>
      <c r="I88" s="8"/>
      <c r="J88" s="8" t="s">
        <v>426</v>
      </c>
      <c r="K88" s="8"/>
      <c r="L88" s="8"/>
      <c r="M88" s="415" t="s">
        <v>453</v>
      </c>
      <c r="N88" s="16"/>
      <c r="O88" s="57"/>
      <c r="P88" s="95">
        <f t="shared" si="93"/>
        <v>63</v>
      </c>
      <c r="Q88" s="115">
        <v>2</v>
      </c>
      <c r="R88" s="21" t="str">
        <f t="shared" si="95"/>
        <v>X</v>
      </c>
      <c r="S88" s="98" t="s">
        <v>172</v>
      </c>
      <c r="T88" s="96"/>
      <c r="U88" s="21" t="s">
        <v>435</v>
      </c>
      <c r="V88" s="10"/>
      <c r="W88" s="25">
        <v>3</v>
      </c>
      <c r="X88" s="1" t="s">
        <v>308</v>
      </c>
      <c r="Y88" s="1">
        <v>2</v>
      </c>
      <c r="Z88" s="1">
        <v>2</v>
      </c>
      <c r="AA88" s="8" t="s">
        <v>261</v>
      </c>
      <c r="AB88" s="8" t="s">
        <v>257</v>
      </c>
      <c r="AC88" s="68"/>
      <c r="AD88" s="60"/>
      <c r="AE88" s="174"/>
      <c r="AF88" s="273" t="str">
        <f t="shared" si="96"/>
        <v xml:space="preserve">  </v>
      </c>
      <c r="AG88" s="218" t="str">
        <f t="shared" si="88"/>
        <v>-</v>
      </c>
      <c r="AH88" s="174"/>
      <c r="AI88" s="92" t="str">
        <f t="shared" si="84"/>
        <v>OK</v>
      </c>
      <c r="AJ88" s="60"/>
      <c r="AK88" s="174"/>
      <c r="AL88" s="273" t="str">
        <f t="shared" si="97"/>
        <v xml:space="preserve">  </v>
      </c>
      <c r="AM88" s="218" t="str">
        <f t="shared" si="110"/>
        <v>-</v>
      </c>
      <c r="AN88" s="174"/>
      <c r="AO88" s="92" t="str">
        <f t="shared" si="90"/>
        <v>OK</v>
      </c>
      <c r="AP88" s="60"/>
      <c r="AQ88" s="170"/>
      <c r="AR88" s="273" t="str">
        <f t="shared" si="98"/>
        <v xml:space="preserve">  </v>
      </c>
      <c r="AS88" s="218" t="s">
        <v>593</v>
      </c>
      <c r="AT88" s="273"/>
      <c r="AU88" s="218" t="str">
        <f t="shared" si="94"/>
        <v>-</v>
      </c>
      <c r="AV88" s="60"/>
      <c r="AW88" s="174" t="s">
        <v>193</v>
      </c>
      <c r="AX88" s="273" t="str">
        <f t="shared" si="99"/>
        <v>A2</v>
      </c>
      <c r="AY88" s="218" t="str">
        <f t="shared" si="111"/>
        <v>-</v>
      </c>
      <c r="AZ88" s="174" t="s">
        <v>193</v>
      </c>
      <c r="BA88" s="92" t="str">
        <f>IF(EXACT(AW88,AZ88),"OK","NG")</f>
        <v>OK</v>
      </c>
      <c r="BB88" s="60"/>
      <c r="BC88" s="174" t="s">
        <v>377</v>
      </c>
      <c r="BD88" s="273" t="str">
        <f t="shared" si="100"/>
        <v>07</v>
      </c>
      <c r="BE88" s="218" t="str">
        <f t="shared" si="112"/>
        <v>-</v>
      </c>
      <c r="BF88" s="174" t="s">
        <v>377</v>
      </c>
      <c r="BG88" s="92" t="str">
        <f>IF(EXACT(BC88,BF88),"OK","NG")</f>
        <v>OK</v>
      </c>
      <c r="BH88" s="60"/>
      <c r="BI88" s="170" t="s">
        <v>193</v>
      </c>
      <c r="BJ88" s="273" t="str">
        <f t="shared" si="101"/>
        <v>A2</v>
      </c>
      <c r="BK88" s="218" t="s">
        <v>593</v>
      </c>
      <c r="BL88" s="174" t="s">
        <v>193</v>
      </c>
      <c r="BM88" s="92" t="str">
        <f>IF(EXACT(BI88,BL88),"OK","NG")</f>
        <v>OK</v>
      </c>
      <c r="BN88" s="60"/>
      <c r="BO88" s="174" t="s">
        <v>377</v>
      </c>
      <c r="BP88" s="273" t="str">
        <f t="shared" si="102"/>
        <v>07</v>
      </c>
      <c r="BQ88" s="218" t="str">
        <f t="shared" si="113"/>
        <v>-</v>
      </c>
      <c r="BR88" s="174" t="s">
        <v>377</v>
      </c>
      <c r="BS88" s="92" t="str">
        <f>IF(EXACT(BO88,BR88),"OK","NG")</f>
        <v>OK</v>
      </c>
      <c r="BT88" s="60"/>
      <c r="BU88" s="170"/>
      <c r="BV88" s="273" t="str">
        <f t="shared" si="103"/>
        <v xml:space="preserve">  </v>
      </c>
      <c r="BW88" s="218" t="s">
        <v>593</v>
      </c>
      <c r="BX88" s="273"/>
      <c r="BY88" s="218" t="str">
        <f t="shared" si="114"/>
        <v>-</v>
      </c>
      <c r="BZ88" s="60"/>
      <c r="CA88" s="174"/>
      <c r="CB88" s="273" t="str">
        <f t="shared" si="104"/>
        <v xml:space="preserve">  </v>
      </c>
      <c r="CC88" s="218" t="str">
        <f t="shared" si="115"/>
        <v>-</v>
      </c>
      <c r="CD88" s="174"/>
      <c r="CE88" s="92" t="str">
        <f t="shared" si="91"/>
        <v>OK</v>
      </c>
      <c r="CF88" s="60"/>
      <c r="CG88" s="174"/>
      <c r="CH88" s="273" t="str">
        <f t="shared" si="105"/>
        <v xml:space="preserve">  </v>
      </c>
      <c r="CI88" s="218" t="str">
        <f t="shared" si="116"/>
        <v>-</v>
      </c>
      <c r="CJ88" s="174"/>
      <c r="CK88" s="92" t="str">
        <f t="shared" si="92"/>
        <v>OK</v>
      </c>
      <c r="CL88" s="60"/>
      <c r="CM88" s="174"/>
      <c r="CN88" s="273" t="str">
        <f t="shared" si="106"/>
        <v xml:space="preserve">  </v>
      </c>
      <c r="CO88" s="218" t="s">
        <v>593</v>
      </c>
      <c r="CP88" s="273"/>
      <c r="CQ88" s="218" t="str">
        <f t="shared" si="117"/>
        <v>-</v>
      </c>
      <c r="CR88" s="60"/>
      <c r="CS88" s="174"/>
      <c r="CT88" s="273" t="str">
        <f t="shared" si="107"/>
        <v xml:space="preserve">  </v>
      </c>
      <c r="CU88" s="218" t="str">
        <f t="shared" si="118"/>
        <v>-</v>
      </c>
      <c r="CV88" s="174"/>
      <c r="CW88" s="92" t="s">
        <v>593</v>
      </c>
      <c r="CX88" s="60"/>
      <c r="CY88" s="174"/>
      <c r="CZ88" s="273" t="str">
        <f t="shared" si="108"/>
        <v xml:space="preserve">  </v>
      </c>
      <c r="DA88" s="218" t="str">
        <f t="shared" si="119"/>
        <v>-</v>
      </c>
      <c r="DB88" s="174"/>
      <c r="DC88" s="92" t="s">
        <v>593</v>
      </c>
    </row>
    <row r="89" spans="1:107" s="26" customFormat="1" ht="25.5">
      <c r="B89" s="65">
        <f t="shared" si="109"/>
        <v>82</v>
      </c>
      <c r="C89" s="7"/>
      <c r="D89" s="7"/>
      <c r="E89" s="54"/>
      <c r="F89" s="66" t="s">
        <v>173</v>
      </c>
      <c r="G89" s="67"/>
      <c r="H89" s="62"/>
      <c r="I89" s="8"/>
      <c r="J89" s="8"/>
      <c r="K89" s="8"/>
      <c r="L89" s="8"/>
      <c r="M89" s="11" t="s">
        <v>354</v>
      </c>
      <c r="N89" s="16"/>
      <c r="O89" s="57"/>
      <c r="P89" s="95">
        <f t="shared" si="93"/>
        <v>64</v>
      </c>
      <c r="Q89" s="115">
        <v>7</v>
      </c>
      <c r="R89" s="21" t="str">
        <f t="shared" si="95"/>
        <v>X</v>
      </c>
      <c r="S89" s="98" t="s">
        <v>174</v>
      </c>
      <c r="T89" s="96"/>
      <c r="U89" s="21" t="s">
        <v>257</v>
      </c>
      <c r="V89" s="10"/>
      <c r="W89" s="25">
        <v>3</v>
      </c>
      <c r="X89" s="1" t="s">
        <v>309</v>
      </c>
      <c r="Y89" s="1">
        <v>7</v>
      </c>
      <c r="Z89" s="1">
        <v>7</v>
      </c>
      <c r="AA89" s="8" t="s">
        <v>261</v>
      </c>
      <c r="AB89" s="8" t="s">
        <v>257</v>
      </c>
      <c r="AC89" s="105"/>
      <c r="AD89" s="60"/>
      <c r="AE89" s="169"/>
      <c r="AF89" s="61" t="str">
        <f t="shared" si="96"/>
        <v xml:space="preserve">       </v>
      </c>
      <c r="AG89" s="218" t="str">
        <f t="shared" si="88"/>
        <v>-</v>
      </c>
      <c r="AH89" s="169"/>
      <c r="AI89" s="92" t="str">
        <f t="shared" si="84"/>
        <v>OK</v>
      </c>
      <c r="AJ89" s="60"/>
      <c r="AK89" s="169"/>
      <c r="AL89" s="61" t="str">
        <f t="shared" si="97"/>
        <v xml:space="preserve">       </v>
      </c>
      <c r="AM89" s="218" t="str">
        <f t="shared" si="110"/>
        <v>-</v>
      </c>
      <c r="AN89" s="169"/>
      <c r="AO89" s="92" t="str">
        <f t="shared" si="90"/>
        <v>OK</v>
      </c>
      <c r="AP89" s="60"/>
      <c r="AQ89" s="172"/>
      <c r="AR89" s="61" t="str">
        <f t="shared" si="98"/>
        <v xml:space="preserve">       </v>
      </c>
      <c r="AS89" s="218" t="s">
        <v>593</v>
      </c>
      <c r="AT89" s="61"/>
      <c r="AU89" s="218" t="str">
        <f t="shared" si="94"/>
        <v>-</v>
      </c>
      <c r="AV89" s="60"/>
      <c r="AW89" s="174" t="s">
        <v>331</v>
      </c>
      <c r="AX89" s="61" t="str">
        <f t="shared" si="99"/>
        <v>0000001</v>
      </c>
      <c r="AY89" s="218" t="str">
        <f t="shared" si="111"/>
        <v>-</v>
      </c>
      <c r="AZ89" s="174" t="s">
        <v>331</v>
      </c>
      <c r="BA89" s="478" t="s">
        <v>594</v>
      </c>
      <c r="BB89" s="60"/>
      <c r="BC89" s="169"/>
      <c r="BD89" s="61" t="str">
        <f t="shared" si="100"/>
        <v xml:space="preserve">       </v>
      </c>
      <c r="BE89" s="218" t="str">
        <f t="shared" si="112"/>
        <v>-</v>
      </c>
      <c r="BF89" s="169"/>
      <c r="BG89" s="478" t="s">
        <v>594</v>
      </c>
      <c r="BH89" s="60"/>
      <c r="BI89" s="170" t="s">
        <v>331</v>
      </c>
      <c r="BJ89" s="61" t="str">
        <f t="shared" si="101"/>
        <v>0000001</v>
      </c>
      <c r="BK89" s="218" t="s">
        <v>593</v>
      </c>
      <c r="BL89" s="174" t="s">
        <v>331</v>
      </c>
      <c r="BM89" s="478" t="s">
        <v>594</v>
      </c>
      <c r="BN89" s="60"/>
      <c r="BO89" s="169"/>
      <c r="BP89" s="61" t="str">
        <f t="shared" si="102"/>
        <v xml:space="preserve">       </v>
      </c>
      <c r="BQ89" s="218" t="str">
        <f t="shared" si="113"/>
        <v>-</v>
      </c>
      <c r="BR89" s="169"/>
      <c r="BS89" s="478" t="s">
        <v>594</v>
      </c>
      <c r="BT89" s="60"/>
      <c r="BU89" s="172"/>
      <c r="BV89" s="61" t="str">
        <f t="shared" si="103"/>
        <v xml:space="preserve">       </v>
      </c>
      <c r="BW89" s="218" t="s">
        <v>593</v>
      </c>
      <c r="BX89" s="61"/>
      <c r="BY89" s="218" t="str">
        <f t="shared" si="114"/>
        <v>-</v>
      </c>
      <c r="BZ89" s="60"/>
      <c r="CA89" s="169"/>
      <c r="CB89" s="61" t="str">
        <f t="shared" si="104"/>
        <v xml:space="preserve">       </v>
      </c>
      <c r="CC89" s="218" t="str">
        <f t="shared" si="115"/>
        <v>-</v>
      </c>
      <c r="CD89" s="169"/>
      <c r="CE89" s="92" t="str">
        <f t="shared" si="91"/>
        <v>OK</v>
      </c>
      <c r="CF89" s="60"/>
      <c r="CG89" s="169"/>
      <c r="CH89" s="61" t="str">
        <f t="shared" si="105"/>
        <v xml:space="preserve">       </v>
      </c>
      <c r="CI89" s="218" t="str">
        <f t="shared" si="116"/>
        <v>-</v>
      </c>
      <c r="CJ89" s="169"/>
      <c r="CK89" s="92" t="str">
        <f t="shared" si="92"/>
        <v>OK</v>
      </c>
      <c r="CL89" s="60"/>
      <c r="CM89" s="169"/>
      <c r="CN89" s="61" t="str">
        <f t="shared" si="106"/>
        <v xml:space="preserve">       </v>
      </c>
      <c r="CO89" s="218" t="s">
        <v>593</v>
      </c>
      <c r="CP89" s="61"/>
      <c r="CQ89" s="218" t="str">
        <f t="shared" si="117"/>
        <v>-</v>
      </c>
      <c r="CR89" s="60"/>
      <c r="CS89" s="169"/>
      <c r="CT89" s="61" t="str">
        <f t="shared" si="107"/>
        <v xml:space="preserve">       </v>
      </c>
      <c r="CU89" s="218" t="str">
        <f t="shared" si="118"/>
        <v>-</v>
      </c>
      <c r="CV89" s="174"/>
      <c r="CW89" s="92" t="s">
        <v>593</v>
      </c>
      <c r="CX89" s="60"/>
      <c r="CY89" s="169"/>
      <c r="CZ89" s="61" t="str">
        <f t="shared" si="108"/>
        <v xml:space="preserve">       </v>
      </c>
      <c r="DA89" s="218" t="str">
        <f t="shared" si="119"/>
        <v>-</v>
      </c>
      <c r="DB89" s="174"/>
      <c r="DC89" s="92" t="s">
        <v>593</v>
      </c>
    </row>
    <row r="90" spans="1:107" s="81" customFormat="1" ht="25.5">
      <c r="B90" s="65">
        <f t="shared" si="109"/>
        <v>83</v>
      </c>
      <c r="C90" s="69"/>
      <c r="D90" s="69"/>
      <c r="E90" s="70"/>
      <c r="F90" s="71" t="s">
        <v>355</v>
      </c>
      <c r="G90" s="72"/>
      <c r="H90" s="73"/>
      <c r="I90" s="74"/>
      <c r="J90" s="74"/>
      <c r="K90" s="75"/>
      <c r="L90" s="75"/>
      <c r="M90" s="84" t="s">
        <v>354</v>
      </c>
      <c r="N90" s="76"/>
      <c r="O90" s="77"/>
      <c r="P90" s="95">
        <f t="shared" si="93"/>
        <v>65</v>
      </c>
      <c r="Q90" s="119">
        <v>10</v>
      </c>
      <c r="R90" s="21" t="str">
        <f t="shared" si="95"/>
        <v>X</v>
      </c>
      <c r="S90" s="98" t="s">
        <v>175</v>
      </c>
      <c r="T90" s="106"/>
      <c r="U90" s="21" t="s">
        <v>257</v>
      </c>
      <c r="V90" s="77"/>
      <c r="W90" s="78">
        <v>3</v>
      </c>
      <c r="X90" s="56" t="s">
        <v>176</v>
      </c>
      <c r="Y90" s="56">
        <v>10</v>
      </c>
      <c r="Z90" s="56">
        <v>10</v>
      </c>
      <c r="AA90" s="74" t="s">
        <v>114</v>
      </c>
      <c r="AB90" s="74" t="s">
        <v>21</v>
      </c>
      <c r="AC90" s="105"/>
      <c r="AD90" s="79"/>
      <c r="AE90" s="481"/>
      <c r="AF90" s="80" t="str">
        <f t="shared" si="96"/>
        <v xml:space="preserve">          </v>
      </c>
      <c r="AG90" s="218" t="str">
        <f t="shared" si="88"/>
        <v>-</v>
      </c>
      <c r="AH90" s="274"/>
      <c r="AI90" s="92" t="str">
        <f t="shared" si="84"/>
        <v>OK</v>
      </c>
      <c r="AJ90" s="79"/>
      <c r="AK90" s="481"/>
      <c r="AL90" s="80" t="str">
        <f t="shared" si="97"/>
        <v xml:space="preserve">          </v>
      </c>
      <c r="AM90" s="218" t="str">
        <f t="shared" si="110"/>
        <v>-</v>
      </c>
      <c r="AN90" s="274"/>
      <c r="AO90" s="92" t="str">
        <f t="shared" si="90"/>
        <v>OK</v>
      </c>
      <c r="AP90" s="79"/>
      <c r="AQ90" s="512"/>
      <c r="AR90" s="80" t="str">
        <f t="shared" si="98"/>
        <v xml:space="preserve">          </v>
      </c>
      <c r="AS90" s="218" t="s">
        <v>593</v>
      </c>
      <c r="AT90" s="80"/>
      <c r="AU90" s="218" t="str">
        <f t="shared" si="94"/>
        <v>-</v>
      </c>
      <c r="AV90" s="79"/>
      <c r="AW90" s="487" t="s">
        <v>332</v>
      </c>
      <c r="AX90" s="80" t="str">
        <f t="shared" si="99"/>
        <v>h017065146</v>
      </c>
      <c r="AY90" s="218" t="str">
        <f t="shared" si="111"/>
        <v>-</v>
      </c>
      <c r="AZ90" s="381" t="s">
        <v>332</v>
      </c>
      <c r="BA90" s="478" t="s">
        <v>594</v>
      </c>
      <c r="BB90" s="79"/>
      <c r="BC90" s="481"/>
      <c r="BD90" s="80" t="str">
        <f t="shared" si="100"/>
        <v xml:space="preserve">          </v>
      </c>
      <c r="BE90" s="218" t="str">
        <f t="shared" si="112"/>
        <v>-</v>
      </c>
      <c r="BF90" s="274"/>
      <c r="BG90" s="478" t="s">
        <v>594</v>
      </c>
      <c r="BH90" s="79"/>
      <c r="BI90" s="508" t="s">
        <v>332</v>
      </c>
      <c r="BJ90" s="80" t="str">
        <f t="shared" si="101"/>
        <v>h017065146</v>
      </c>
      <c r="BK90" s="218" t="s">
        <v>593</v>
      </c>
      <c r="BL90" s="381" t="s">
        <v>332</v>
      </c>
      <c r="BM90" s="478" t="s">
        <v>594</v>
      </c>
      <c r="BN90" s="79"/>
      <c r="BO90" s="481"/>
      <c r="BP90" s="80" t="str">
        <f t="shared" si="102"/>
        <v xml:space="preserve">          </v>
      </c>
      <c r="BQ90" s="218" t="str">
        <f t="shared" si="113"/>
        <v>-</v>
      </c>
      <c r="BR90" s="274"/>
      <c r="BS90" s="478" t="s">
        <v>594</v>
      </c>
      <c r="BT90" s="79"/>
      <c r="BU90" s="512"/>
      <c r="BV90" s="80" t="str">
        <f t="shared" si="103"/>
        <v xml:space="preserve">          </v>
      </c>
      <c r="BW90" s="218" t="s">
        <v>593</v>
      </c>
      <c r="BX90" s="80"/>
      <c r="BY90" s="218" t="str">
        <f t="shared" si="114"/>
        <v>-</v>
      </c>
      <c r="BZ90" s="79"/>
      <c r="CA90" s="481"/>
      <c r="CB90" s="80" t="str">
        <f t="shared" si="104"/>
        <v xml:space="preserve">          </v>
      </c>
      <c r="CC90" s="218" t="str">
        <f t="shared" si="115"/>
        <v>-</v>
      </c>
      <c r="CD90" s="274"/>
      <c r="CE90" s="92" t="str">
        <f t="shared" si="91"/>
        <v>OK</v>
      </c>
      <c r="CF90" s="79"/>
      <c r="CG90" s="481"/>
      <c r="CH90" s="80" t="str">
        <f t="shared" si="105"/>
        <v xml:space="preserve">          </v>
      </c>
      <c r="CI90" s="218" t="str">
        <f t="shared" si="116"/>
        <v>-</v>
      </c>
      <c r="CJ90" s="274"/>
      <c r="CK90" s="92" t="str">
        <f t="shared" si="92"/>
        <v>OK</v>
      </c>
      <c r="CL90" s="79"/>
      <c r="CM90" s="481"/>
      <c r="CN90" s="80" t="str">
        <f t="shared" si="106"/>
        <v xml:space="preserve">          </v>
      </c>
      <c r="CO90" s="218" t="s">
        <v>593</v>
      </c>
      <c r="CP90" s="80"/>
      <c r="CQ90" s="218" t="str">
        <f t="shared" si="117"/>
        <v>-</v>
      </c>
      <c r="CR90" s="79"/>
      <c r="CS90" s="481"/>
      <c r="CT90" s="80" t="str">
        <f t="shared" si="107"/>
        <v xml:space="preserve">          </v>
      </c>
      <c r="CU90" s="218" t="str">
        <f t="shared" si="118"/>
        <v>-</v>
      </c>
      <c r="CV90" s="381"/>
      <c r="CW90" s="92" t="s">
        <v>593</v>
      </c>
      <c r="CX90" s="79"/>
      <c r="CY90" s="481"/>
      <c r="CZ90" s="80" t="str">
        <f t="shared" si="108"/>
        <v xml:space="preserve">          </v>
      </c>
      <c r="DA90" s="218" t="str">
        <f t="shared" si="119"/>
        <v>-</v>
      </c>
      <c r="DB90" s="381"/>
      <c r="DC90" s="92" t="s">
        <v>593</v>
      </c>
    </row>
    <row r="91" spans="1:107" s="81" customFormat="1" ht="25.5">
      <c r="B91" s="65">
        <f t="shared" si="109"/>
        <v>84</v>
      </c>
      <c r="C91" s="69"/>
      <c r="D91" s="69"/>
      <c r="E91" s="69"/>
      <c r="F91" s="82" t="s">
        <v>177</v>
      </c>
      <c r="G91" s="14"/>
      <c r="H91" s="83"/>
      <c r="I91" s="74"/>
      <c r="J91" s="74"/>
      <c r="K91" s="75"/>
      <c r="L91" s="75"/>
      <c r="M91" s="84" t="s">
        <v>354</v>
      </c>
      <c r="N91" s="76"/>
      <c r="O91" s="77"/>
      <c r="P91" s="95">
        <f t="shared" si="93"/>
        <v>66</v>
      </c>
      <c r="Q91" s="119">
        <v>3</v>
      </c>
      <c r="R91" s="21" t="str">
        <f t="shared" si="95"/>
        <v>X</v>
      </c>
      <c r="S91" s="98" t="s">
        <v>178</v>
      </c>
      <c r="T91" s="106"/>
      <c r="U91" s="21" t="s">
        <v>257</v>
      </c>
      <c r="V91" s="77"/>
      <c r="W91" s="78">
        <v>3</v>
      </c>
      <c r="X91" s="56" t="s">
        <v>179</v>
      </c>
      <c r="Y91" s="56">
        <v>3</v>
      </c>
      <c r="Z91" s="56">
        <v>3</v>
      </c>
      <c r="AA91" s="74" t="s">
        <v>114</v>
      </c>
      <c r="AB91" s="74" t="s">
        <v>21</v>
      </c>
      <c r="AC91" s="105"/>
      <c r="AD91" s="79"/>
      <c r="AE91" s="481"/>
      <c r="AF91" s="80" t="str">
        <f t="shared" si="96"/>
        <v xml:space="preserve">   </v>
      </c>
      <c r="AG91" s="218" t="str">
        <f t="shared" si="88"/>
        <v>-</v>
      </c>
      <c r="AH91" s="274"/>
      <c r="AI91" s="92" t="str">
        <f t="shared" si="84"/>
        <v>OK</v>
      </c>
      <c r="AJ91" s="79"/>
      <c r="AK91" s="481"/>
      <c r="AL91" s="80" t="str">
        <f t="shared" si="97"/>
        <v xml:space="preserve">   </v>
      </c>
      <c r="AM91" s="218" t="str">
        <f t="shared" si="110"/>
        <v>-</v>
      </c>
      <c r="AN91" s="274"/>
      <c r="AO91" s="92" t="str">
        <f t="shared" si="90"/>
        <v>OK</v>
      </c>
      <c r="AP91" s="79"/>
      <c r="AQ91" s="512"/>
      <c r="AR91" s="80" t="str">
        <f t="shared" si="98"/>
        <v xml:space="preserve">   </v>
      </c>
      <c r="AS91" s="218" t="s">
        <v>593</v>
      </c>
      <c r="AT91" s="80"/>
      <c r="AU91" s="218" t="str">
        <f t="shared" si="94"/>
        <v>-</v>
      </c>
      <c r="AV91" s="79"/>
      <c r="AW91" s="487" t="s">
        <v>386</v>
      </c>
      <c r="AX91" s="80" t="str">
        <f t="shared" si="99"/>
        <v>a01</v>
      </c>
      <c r="AY91" s="218" t="str">
        <f t="shared" si="111"/>
        <v>-</v>
      </c>
      <c r="AZ91" s="381" t="s">
        <v>386</v>
      </c>
      <c r="BA91" s="478" t="s">
        <v>594</v>
      </c>
      <c r="BB91" s="79"/>
      <c r="BC91" s="481"/>
      <c r="BD91" s="80" t="str">
        <f t="shared" si="100"/>
        <v xml:space="preserve">   </v>
      </c>
      <c r="BE91" s="218" t="str">
        <f t="shared" si="112"/>
        <v>-</v>
      </c>
      <c r="BF91" s="274"/>
      <c r="BG91" s="478" t="s">
        <v>594</v>
      </c>
      <c r="BH91" s="79"/>
      <c r="BI91" s="508" t="s">
        <v>386</v>
      </c>
      <c r="BJ91" s="80" t="str">
        <f t="shared" si="101"/>
        <v>a01</v>
      </c>
      <c r="BK91" s="218" t="s">
        <v>593</v>
      </c>
      <c r="BL91" s="381" t="s">
        <v>386</v>
      </c>
      <c r="BM91" s="478" t="s">
        <v>594</v>
      </c>
      <c r="BN91" s="79"/>
      <c r="BO91" s="481"/>
      <c r="BP91" s="80" t="str">
        <f t="shared" si="102"/>
        <v xml:space="preserve">   </v>
      </c>
      <c r="BQ91" s="218" t="str">
        <f t="shared" si="113"/>
        <v>-</v>
      </c>
      <c r="BR91" s="274"/>
      <c r="BS91" s="478" t="s">
        <v>594</v>
      </c>
      <c r="BT91" s="79"/>
      <c r="BU91" s="512"/>
      <c r="BV91" s="80" t="str">
        <f t="shared" si="103"/>
        <v xml:space="preserve">   </v>
      </c>
      <c r="BW91" s="218" t="s">
        <v>593</v>
      </c>
      <c r="BX91" s="80"/>
      <c r="BY91" s="218" t="str">
        <f t="shared" si="114"/>
        <v>-</v>
      </c>
      <c r="BZ91" s="79"/>
      <c r="CA91" s="481"/>
      <c r="CB91" s="80" t="str">
        <f t="shared" si="104"/>
        <v xml:space="preserve">   </v>
      </c>
      <c r="CC91" s="218" t="str">
        <f t="shared" si="115"/>
        <v>-</v>
      </c>
      <c r="CD91" s="274"/>
      <c r="CE91" s="92" t="str">
        <f t="shared" si="91"/>
        <v>OK</v>
      </c>
      <c r="CF91" s="79"/>
      <c r="CG91" s="481"/>
      <c r="CH91" s="80" t="str">
        <f t="shared" si="105"/>
        <v xml:space="preserve">   </v>
      </c>
      <c r="CI91" s="218" t="str">
        <f t="shared" si="116"/>
        <v>-</v>
      </c>
      <c r="CJ91" s="274"/>
      <c r="CK91" s="92" t="str">
        <f t="shared" si="92"/>
        <v>OK</v>
      </c>
      <c r="CL91" s="79"/>
      <c r="CM91" s="481"/>
      <c r="CN91" s="80" t="str">
        <f t="shared" si="106"/>
        <v xml:space="preserve">   </v>
      </c>
      <c r="CO91" s="218" t="s">
        <v>593</v>
      </c>
      <c r="CP91" s="80"/>
      <c r="CQ91" s="218" t="str">
        <f t="shared" si="117"/>
        <v>-</v>
      </c>
      <c r="CR91" s="79"/>
      <c r="CS91" s="481"/>
      <c r="CT91" s="80" t="str">
        <f t="shared" si="107"/>
        <v xml:space="preserve">   </v>
      </c>
      <c r="CU91" s="218" t="str">
        <f t="shared" si="118"/>
        <v>-</v>
      </c>
      <c r="CV91" s="381"/>
      <c r="CW91" s="92" t="s">
        <v>593</v>
      </c>
      <c r="CX91" s="79"/>
      <c r="CY91" s="481"/>
      <c r="CZ91" s="80" t="str">
        <f t="shared" si="108"/>
        <v xml:space="preserve">   </v>
      </c>
      <c r="DA91" s="218" t="str">
        <f t="shared" si="119"/>
        <v>-</v>
      </c>
      <c r="DB91" s="381"/>
      <c r="DC91" s="92" t="s">
        <v>593</v>
      </c>
    </row>
    <row r="92" spans="1:107" s="81" customFormat="1" ht="25.5">
      <c r="B92" s="65">
        <f t="shared" si="109"/>
        <v>85</v>
      </c>
      <c r="C92" s="69"/>
      <c r="D92" s="69"/>
      <c r="E92" s="69"/>
      <c r="F92" s="82" t="s">
        <v>180</v>
      </c>
      <c r="G92" s="14"/>
      <c r="H92" s="83"/>
      <c r="I92" s="74"/>
      <c r="J92" s="74"/>
      <c r="K92" s="75"/>
      <c r="L92" s="75"/>
      <c r="M92" s="84" t="s">
        <v>354</v>
      </c>
      <c r="N92" s="76"/>
      <c r="O92" s="77"/>
      <c r="P92" s="95">
        <f>P91+1</f>
        <v>67</v>
      </c>
      <c r="Q92" s="119">
        <v>2</v>
      </c>
      <c r="R92" s="21" t="str">
        <f t="shared" si="95"/>
        <v>X</v>
      </c>
      <c r="S92" s="98" t="s">
        <v>181</v>
      </c>
      <c r="T92" s="106"/>
      <c r="U92" s="21" t="s">
        <v>257</v>
      </c>
      <c r="V92" s="77"/>
      <c r="W92" s="78">
        <v>3</v>
      </c>
      <c r="X92" s="56" t="s">
        <v>182</v>
      </c>
      <c r="Y92" s="56">
        <v>2</v>
      </c>
      <c r="Z92" s="56">
        <v>2</v>
      </c>
      <c r="AA92" s="74" t="s">
        <v>114</v>
      </c>
      <c r="AB92" s="74" t="s">
        <v>21</v>
      </c>
      <c r="AC92" s="105"/>
      <c r="AD92" s="79"/>
      <c r="AE92" s="481"/>
      <c r="AF92" s="80" t="str">
        <f t="shared" si="96"/>
        <v xml:space="preserve">  </v>
      </c>
      <c r="AG92" s="218" t="str">
        <f t="shared" si="88"/>
        <v>-</v>
      </c>
      <c r="AH92" s="274"/>
      <c r="AI92" s="92" t="str">
        <f t="shared" si="84"/>
        <v>OK</v>
      </c>
      <c r="AJ92" s="79"/>
      <c r="AK92" s="481"/>
      <c r="AL92" s="80" t="str">
        <f t="shared" si="97"/>
        <v xml:space="preserve">  </v>
      </c>
      <c r="AM92" s="218" t="str">
        <f t="shared" si="110"/>
        <v>-</v>
      </c>
      <c r="AN92" s="274"/>
      <c r="AO92" s="92" t="str">
        <f t="shared" si="90"/>
        <v>OK</v>
      </c>
      <c r="AP92" s="79"/>
      <c r="AQ92" s="512"/>
      <c r="AR92" s="80" t="str">
        <f t="shared" si="98"/>
        <v xml:space="preserve">  </v>
      </c>
      <c r="AS92" s="218" t="s">
        <v>593</v>
      </c>
      <c r="AT92" s="80"/>
      <c r="AU92" s="218" t="str">
        <f t="shared" si="94"/>
        <v>-</v>
      </c>
      <c r="AV92" s="79"/>
      <c r="AW92" s="487" t="s">
        <v>61</v>
      </c>
      <c r="AX92" s="80" t="str">
        <f t="shared" si="99"/>
        <v>00</v>
      </c>
      <c r="AY92" s="218" t="str">
        <f t="shared" si="111"/>
        <v>-</v>
      </c>
      <c r="AZ92" s="381" t="s">
        <v>61</v>
      </c>
      <c r="BA92" s="478" t="s">
        <v>594</v>
      </c>
      <c r="BB92" s="79"/>
      <c r="BC92" s="481"/>
      <c r="BD92" s="80" t="str">
        <f t="shared" si="100"/>
        <v xml:space="preserve">  </v>
      </c>
      <c r="BE92" s="218" t="str">
        <f t="shared" si="112"/>
        <v>-</v>
      </c>
      <c r="BF92" s="274"/>
      <c r="BG92" s="478" t="s">
        <v>594</v>
      </c>
      <c r="BH92" s="79"/>
      <c r="BI92" s="508" t="s">
        <v>61</v>
      </c>
      <c r="BJ92" s="80" t="str">
        <f t="shared" si="101"/>
        <v>00</v>
      </c>
      <c r="BK92" s="218" t="s">
        <v>593</v>
      </c>
      <c r="BL92" s="381" t="s">
        <v>61</v>
      </c>
      <c r="BM92" s="478" t="s">
        <v>594</v>
      </c>
      <c r="BN92" s="79"/>
      <c r="BO92" s="481"/>
      <c r="BP92" s="80" t="str">
        <f t="shared" si="102"/>
        <v xml:space="preserve">  </v>
      </c>
      <c r="BQ92" s="218" t="str">
        <f t="shared" si="113"/>
        <v>-</v>
      </c>
      <c r="BR92" s="274"/>
      <c r="BS92" s="478" t="s">
        <v>594</v>
      </c>
      <c r="BT92" s="79"/>
      <c r="BU92" s="512"/>
      <c r="BV92" s="80" t="str">
        <f t="shared" si="103"/>
        <v xml:space="preserve">  </v>
      </c>
      <c r="BW92" s="218" t="s">
        <v>593</v>
      </c>
      <c r="BX92" s="80"/>
      <c r="BY92" s="218" t="str">
        <f t="shared" si="114"/>
        <v>-</v>
      </c>
      <c r="BZ92" s="79"/>
      <c r="CA92" s="481"/>
      <c r="CB92" s="80" t="str">
        <f t="shared" si="104"/>
        <v xml:space="preserve">  </v>
      </c>
      <c r="CC92" s="218" t="str">
        <f t="shared" si="115"/>
        <v>-</v>
      </c>
      <c r="CD92" s="274"/>
      <c r="CE92" s="92" t="str">
        <f t="shared" si="91"/>
        <v>OK</v>
      </c>
      <c r="CF92" s="79"/>
      <c r="CG92" s="481"/>
      <c r="CH92" s="80" t="str">
        <f t="shared" si="105"/>
        <v xml:space="preserve">  </v>
      </c>
      <c r="CI92" s="218" t="str">
        <f t="shared" si="116"/>
        <v>-</v>
      </c>
      <c r="CJ92" s="274"/>
      <c r="CK92" s="92" t="str">
        <f t="shared" si="92"/>
        <v>OK</v>
      </c>
      <c r="CL92" s="79"/>
      <c r="CM92" s="481"/>
      <c r="CN92" s="80" t="str">
        <f t="shared" si="106"/>
        <v xml:space="preserve">  </v>
      </c>
      <c r="CO92" s="218" t="s">
        <v>593</v>
      </c>
      <c r="CP92" s="80"/>
      <c r="CQ92" s="218" t="str">
        <f t="shared" si="117"/>
        <v>-</v>
      </c>
      <c r="CR92" s="79"/>
      <c r="CS92" s="481"/>
      <c r="CT92" s="80" t="str">
        <f t="shared" si="107"/>
        <v xml:space="preserve">  </v>
      </c>
      <c r="CU92" s="218" t="str">
        <f t="shared" si="118"/>
        <v>-</v>
      </c>
      <c r="CV92" s="381"/>
      <c r="CW92" s="92" t="s">
        <v>593</v>
      </c>
      <c r="CX92" s="79"/>
      <c r="CY92" s="481"/>
      <c r="CZ92" s="80" t="str">
        <f t="shared" si="108"/>
        <v xml:space="preserve">  </v>
      </c>
      <c r="DA92" s="218" t="str">
        <f t="shared" si="119"/>
        <v>-</v>
      </c>
      <c r="DB92" s="381"/>
      <c r="DC92" s="92" t="s">
        <v>593</v>
      </c>
    </row>
    <row r="93" spans="1:107" s="81" customFormat="1" ht="51.75" customHeight="1">
      <c r="B93" s="65">
        <f t="shared" si="109"/>
        <v>86</v>
      </c>
      <c r="C93" s="69"/>
      <c r="D93" s="69"/>
      <c r="E93" s="69"/>
      <c r="F93" s="233" t="s">
        <v>183</v>
      </c>
      <c r="G93" s="234"/>
      <c r="H93" s="235"/>
      <c r="I93" s="74"/>
      <c r="J93" s="74"/>
      <c r="K93" s="75"/>
      <c r="L93" s="75"/>
      <c r="M93" s="84" t="s">
        <v>184</v>
      </c>
      <c r="N93" s="76"/>
      <c r="O93" s="77"/>
      <c r="P93" s="95">
        <f>P92+1</f>
        <v>68</v>
      </c>
      <c r="Q93" s="119">
        <v>5</v>
      </c>
      <c r="R93" s="21" t="str">
        <f t="shared" si="95"/>
        <v>X</v>
      </c>
      <c r="S93" s="98" t="s">
        <v>185</v>
      </c>
      <c r="T93" s="106"/>
      <c r="U93" s="21" t="s">
        <v>257</v>
      </c>
      <c r="V93" s="77"/>
      <c r="W93" s="78">
        <v>3</v>
      </c>
      <c r="X93" s="56" t="s">
        <v>310</v>
      </c>
      <c r="Y93" s="56">
        <v>5</v>
      </c>
      <c r="Z93" s="56">
        <v>5</v>
      </c>
      <c r="AA93" s="74" t="s">
        <v>114</v>
      </c>
      <c r="AB93" s="74" t="s">
        <v>21</v>
      </c>
      <c r="AC93" s="85"/>
      <c r="AD93" s="79"/>
      <c r="AE93" s="481"/>
      <c r="AF93" s="80" t="str">
        <f t="shared" si="96"/>
        <v xml:space="preserve">     </v>
      </c>
      <c r="AG93" s="218" t="str">
        <f t="shared" si="88"/>
        <v>-</v>
      </c>
      <c r="AH93" s="274"/>
      <c r="AI93" s="92" t="str">
        <f t="shared" si="84"/>
        <v>OK</v>
      </c>
      <c r="AJ93" s="79"/>
      <c r="AK93" s="481"/>
      <c r="AL93" s="80" t="str">
        <f t="shared" si="97"/>
        <v xml:space="preserve">     </v>
      </c>
      <c r="AM93" s="218" t="str">
        <f t="shared" si="110"/>
        <v>-</v>
      </c>
      <c r="AN93" s="274"/>
      <c r="AO93" s="92" t="str">
        <f t="shared" si="90"/>
        <v>OK</v>
      </c>
      <c r="AP93" s="79"/>
      <c r="AQ93" s="512"/>
      <c r="AR93" s="80" t="str">
        <f t="shared" si="98"/>
        <v xml:space="preserve">     </v>
      </c>
      <c r="AS93" s="218" t="s">
        <v>593</v>
      </c>
      <c r="AT93" s="80"/>
      <c r="AU93" s="218" t="str">
        <f t="shared" si="94"/>
        <v>-</v>
      </c>
      <c r="AV93" s="79"/>
      <c r="AW93" s="481"/>
      <c r="AX93" s="80" t="str">
        <f t="shared" si="99"/>
        <v xml:space="preserve">     </v>
      </c>
      <c r="AY93" s="218" t="str">
        <f t="shared" si="111"/>
        <v>-</v>
      </c>
      <c r="AZ93" s="274"/>
      <c r="BA93" s="478" t="s">
        <v>594</v>
      </c>
      <c r="BB93" s="79"/>
      <c r="BC93" s="481"/>
      <c r="BD93" s="80" t="str">
        <f t="shared" si="100"/>
        <v xml:space="preserve">     </v>
      </c>
      <c r="BE93" s="218" t="str">
        <f t="shared" si="112"/>
        <v>-</v>
      </c>
      <c r="BF93" s="274"/>
      <c r="BG93" s="478" t="s">
        <v>594</v>
      </c>
      <c r="BH93" s="79"/>
      <c r="BI93" s="508" t="s">
        <v>708</v>
      </c>
      <c r="BJ93" s="80" t="str">
        <f t="shared" si="101"/>
        <v xml:space="preserve">     </v>
      </c>
      <c r="BK93" s="218" t="s">
        <v>593</v>
      </c>
      <c r="BL93" s="274"/>
      <c r="BM93" s="478" t="s">
        <v>594</v>
      </c>
      <c r="BN93" s="79"/>
      <c r="BO93" s="481"/>
      <c r="BP93" s="80" t="str">
        <f t="shared" si="102"/>
        <v xml:space="preserve">     </v>
      </c>
      <c r="BQ93" s="218" t="str">
        <f t="shared" si="113"/>
        <v>-</v>
      </c>
      <c r="BR93" s="274"/>
      <c r="BS93" s="478" t="s">
        <v>594</v>
      </c>
      <c r="BT93" s="79"/>
      <c r="BU93" s="512"/>
      <c r="BV93" s="80" t="str">
        <f t="shared" si="103"/>
        <v xml:space="preserve">     </v>
      </c>
      <c r="BW93" s="218" t="s">
        <v>593</v>
      </c>
      <c r="BX93" s="80"/>
      <c r="BY93" s="218" t="str">
        <f t="shared" si="114"/>
        <v>-</v>
      </c>
      <c r="BZ93" s="79"/>
      <c r="CA93" s="481"/>
      <c r="CB93" s="80" t="str">
        <f t="shared" si="104"/>
        <v xml:space="preserve">     </v>
      </c>
      <c r="CC93" s="218" t="str">
        <f t="shared" si="115"/>
        <v>-</v>
      </c>
      <c r="CD93" s="274"/>
      <c r="CE93" s="92" t="str">
        <f t="shared" si="91"/>
        <v>OK</v>
      </c>
      <c r="CF93" s="79"/>
      <c r="CG93" s="481"/>
      <c r="CH93" s="80" t="str">
        <f t="shared" si="105"/>
        <v xml:space="preserve">     </v>
      </c>
      <c r="CI93" s="218" t="str">
        <f t="shared" si="116"/>
        <v>-</v>
      </c>
      <c r="CJ93" s="274"/>
      <c r="CK93" s="92" t="str">
        <f t="shared" si="92"/>
        <v>OK</v>
      </c>
      <c r="CL93" s="79"/>
      <c r="CM93" s="481"/>
      <c r="CN93" s="80" t="str">
        <f t="shared" si="106"/>
        <v xml:space="preserve">     </v>
      </c>
      <c r="CO93" s="218" t="s">
        <v>593</v>
      </c>
      <c r="CP93" s="80"/>
      <c r="CQ93" s="218" t="str">
        <f t="shared" si="117"/>
        <v>-</v>
      </c>
      <c r="CR93" s="79"/>
      <c r="CS93" s="481"/>
      <c r="CT93" s="80" t="str">
        <f t="shared" si="107"/>
        <v xml:space="preserve">     </v>
      </c>
      <c r="CU93" s="218" t="str">
        <f t="shared" si="118"/>
        <v>-</v>
      </c>
      <c r="CV93" s="274"/>
      <c r="CW93" s="92" t="s">
        <v>593</v>
      </c>
      <c r="CX93" s="79"/>
      <c r="CY93" s="481"/>
      <c r="CZ93" s="80" t="str">
        <f t="shared" si="108"/>
        <v xml:space="preserve">     </v>
      </c>
      <c r="DA93" s="218" t="str">
        <f t="shared" si="119"/>
        <v>-</v>
      </c>
      <c r="DB93" s="274"/>
      <c r="DC93" s="92" t="s">
        <v>593</v>
      </c>
    </row>
    <row r="94" spans="1:107" s="81" customFormat="1" ht="51.75" customHeight="1">
      <c r="B94" s="65">
        <f t="shared" si="109"/>
        <v>87</v>
      </c>
      <c r="C94" s="69"/>
      <c r="D94" s="69"/>
      <c r="E94" s="69"/>
      <c r="F94" s="233" t="s">
        <v>186</v>
      </c>
      <c r="G94" s="234"/>
      <c r="H94" s="235"/>
      <c r="I94" s="74"/>
      <c r="J94" s="74"/>
      <c r="K94" s="75"/>
      <c r="L94" s="75"/>
      <c r="M94" s="84" t="s">
        <v>187</v>
      </c>
      <c r="N94" s="76"/>
      <c r="O94" s="77"/>
      <c r="P94" s="95">
        <f>P93+1</f>
        <v>69</v>
      </c>
      <c r="Q94" s="119">
        <v>64</v>
      </c>
      <c r="R94" s="21" t="str">
        <f>IF(AA94="M","NX",AA94)</f>
        <v>NX</v>
      </c>
      <c r="S94" s="98" t="s">
        <v>188</v>
      </c>
      <c r="T94" s="106"/>
      <c r="U94" s="21" t="s">
        <v>257</v>
      </c>
      <c r="V94" s="77" t="s">
        <v>311</v>
      </c>
      <c r="W94" s="78">
        <v>3</v>
      </c>
      <c r="X94" s="56" t="s">
        <v>312</v>
      </c>
      <c r="Y94" s="56">
        <v>1</v>
      </c>
      <c r="Z94" s="56">
        <v>64</v>
      </c>
      <c r="AA94" s="74" t="s">
        <v>300</v>
      </c>
      <c r="AB94" s="74" t="s">
        <v>21</v>
      </c>
      <c r="AC94" s="85" t="s">
        <v>311</v>
      </c>
      <c r="AD94" s="79"/>
      <c r="AE94" s="481"/>
      <c r="AF94" s="80" t="str">
        <f t="shared" si="96"/>
        <v xml:space="preserve">                                                                </v>
      </c>
      <c r="AG94" s="218" t="str">
        <f t="shared" si="88"/>
        <v>-</v>
      </c>
      <c r="AH94" s="274"/>
      <c r="AI94" s="92" t="str">
        <f t="shared" si="84"/>
        <v>OK</v>
      </c>
      <c r="AJ94" s="79"/>
      <c r="AK94" s="481"/>
      <c r="AL94" s="80" t="str">
        <f t="shared" si="97"/>
        <v xml:space="preserve">                                                                </v>
      </c>
      <c r="AM94" s="218" t="str">
        <f t="shared" si="110"/>
        <v>-</v>
      </c>
      <c r="AN94" s="274"/>
      <c r="AO94" s="92" t="str">
        <f t="shared" si="90"/>
        <v>OK</v>
      </c>
      <c r="AP94" s="79"/>
      <c r="AQ94" s="512"/>
      <c r="AR94" s="80" t="str">
        <f t="shared" si="98"/>
        <v xml:space="preserve">                                                                </v>
      </c>
      <c r="AS94" s="218" t="s">
        <v>593</v>
      </c>
      <c r="AT94" s="80"/>
      <c r="AU94" s="218" t="str">
        <f t="shared" si="94"/>
        <v>-</v>
      </c>
      <c r="AV94" s="79"/>
      <c r="AW94" s="481"/>
      <c r="AX94" s="80" t="str">
        <f t="shared" si="99"/>
        <v xml:space="preserve">                                                                </v>
      </c>
      <c r="AY94" s="218" t="str">
        <f t="shared" si="111"/>
        <v>-</v>
      </c>
      <c r="AZ94" s="274"/>
      <c r="BA94" s="478" t="s">
        <v>594</v>
      </c>
      <c r="BB94" s="79"/>
      <c r="BC94" s="481"/>
      <c r="BD94" s="80" t="str">
        <f t="shared" si="100"/>
        <v xml:space="preserve">                                                                </v>
      </c>
      <c r="BE94" s="218" t="str">
        <f t="shared" si="112"/>
        <v>-</v>
      </c>
      <c r="BF94" s="274"/>
      <c r="BG94" s="478" t="s">
        <v>594</v>
      </c>
      <c r="BH94" s="79"/>
      <c r="BI94" s="508" t="s">
        <v>709</v>
      </c>
      <c r="BJ94" s="80" t="str">
        <f t="shared" si="101"/>
        <v xml:space="preserve">                                                                </v>
      </c>
      <c r="BK94" s="218" t="s">
        <v>593</v>
      </c>
      <c r="BL94" s="274"/>
      <c r="BM94" s="478" t="s">
        <v>594</v>
      </c>
      <c r="BN94" s="79"/>
      <c r="BO94" s="481"/>
      <c r="BP94" s="80" t="str">
        <f t="shared" si="102"/>
        <v xml:space="preserve">                                                                </v>
      </c>
      <c r="BQ94" s="218" t="str">
        <f t="shared" si="113"/>
        <v>-</v>
      </c>
      <c r="BR94" s="274"/>
      <c r="BS94" s="478" t="s">
        <v>594</v>
      </c>
      <c r="BT94" s="79"/>
      <c r="BU94" s="512"/>
      <c r="BV94" s="80" t="str">
        <f t="shared" si="103"/>
        <v xml:space="preserve">                                                                </v>
      </c>
      <c r="BW94" s="218" t="s">
        <v>593</v>
      </c>
      <c r="BX94" s="80"/>
      <c r="BY94" s="218" t="str">
        <f t="shared" si="114"/>
        <v>-</v>
      </c>
      <c r="BZ94" s="79"/>
      <c r="CA94" s="481"/>
      <c r="CB94" s="80" t="str">
        <f t="shared" si="104"/>
        <v xml:space="preserve">                                                                </v>
      </c>
      <c r="CC94" s="218" t="str">
        <f t="shared" si="115"/>
        <v>-</v>
      </c>
      <c r="CD94" s="274"/>
      <c r="CE94" s="92" t="str">
        <f t="shared" si="91"/>
        <v>OK</v>
      </c>
      <c r="CF94" s="79"/>
      <c r="CG94" s="481"/>
      <c r="CH94" s="80" t="str">
        <f t="shared" si="105"/>
        <v xml:space="preserve">                                                                </v>
      </c>
      <c r="CI94" s="218" t="str">
        <f t="shared" si="116"/>
        <v>-</v>
      </c>
      <c r="CJ94" s="274"/>
      <c r="CK94" s="92" t="str">
        <f t="shared" si="92"/>
        <v>OK</v>
      </c>
      <c r="CL94" s="79"/>
      <c r="CM94" s="481"/>
      <c r="CN94" s="80" t="str">
        <f t="shared" si="106"/>
        <v xml:space="preserve">                                                                </v>
      </c>
      <c r="CO94" s="218" t="s">
        <v>593</v>
      </c>
      <c r="CP94" s="80"/>
      <c r="CQ94" s="218" t="str">
        <f t="shared" si="117"/>
        <v>-</v>
      </c>
      <c r="CR94" s="79"/>
      <c r="CS94" s="481"/>
      <c r="CT94" s="80" t="str">
        <f t="shared" si="107"/>
        <v xml:space="preserve">                                                                </v>
      </c>
      <c r="CU94" s="218" t="str">
        <f t="shared" si="118"/>
        <v>-</v>
      </c>
      <c r="CV94" s="274"/>
      <c r="CW94" s="92" t="s">
        <v>593</v>
      </c>
      <c r="CX94" s="79"/>
      <c r="CY94" s="481"/>
      <c r="CZ94" s="80" t="str">
        <f t="shared" si="108"/>
        <v xml:space="preserve">                                                                </v>
      </c>
      <c r="DA94" s="218" t="str">
        <f t="shared" si="119"/>
        <v>-</v>
      </c>
      <c r="DB94" s="274"/>
      <c r="DC94" s="92" t="s">
        <v>593</v>
      </c>
    </row>
    <row r="95" spans="1:107" s="81" customFormat="1" ht="92.25" customHeight="1">
      <c r="B95" s="65">
        <f t="shared" si="109"/>
        <v>88</v>
      </c>
      <c r="C95" s="69"/>
      <c r="D95" s="69"/>
      <c r="E95" s="69"/>
      <c r="F95" s="82" t="s">
        <v>356</v>
      </c>
      <c r="G95" s="14"/>
      <c r="H95" s="83"/>
      <c r="I95" s="74"/>
      <c r="J95" s="74"/>
      <c r="K95" s="75"/>
      <c r="L95" s="75"/>
      <c r="M95" s="84" t="s">
        <v>222</v>
      </c>
      <c r="N95" s="76"/>
      <c r="O95" s="77"/>
      <c r="P95" s="95">
        <f>P94+1</f>
        <v>70</v>
      </c>
      <c r="Q95" s="119">
        <v>7</v>
      </c>
      <c r="R95" s="21" t="s">
        <v>261</v>
      </c>
      <c r="S95" s="98" t="s">
        <v>313</v>
      </c>
      <c r="T95" s="106"/>
      <c r="U95" s="21" t="s">
        <v>257</v>
      </c>
      <c r="V95" s="77"/>
      <c r="W95" s="78">
        <v>3</v>
      </c>
      <c r="X95" s="56" t="s">
        <v>314</v>
      </c>
      <c r="Y95" s="56">
        <v>7</v>
      </c>
      <c r="Z95" s="56">
        <v>7</v>
      </c>
      <c r="AA95" s="74" t="s">
        <v>261</v>
      </c>
      <c r="AB95" s="74" t="s">
        <v>21</v>
      </c>
      <c r="AC95" s="85"/>
      <c r="AD95" s="79"/>
      <c r="AE95" s="481"/>
      <c r="AF95" s="80" t="str">
        <f t="shared" si="96"/>
        <v xml:space="preserve">       </v>
      </c>
      <c r="AG95" s="218" t="str">
        <f t="shared" si="88"/>
        <v>-</v>
      </c>
      <c r="AH95" s="274"/>
      <c r="AI95" s="406" t="str">
        <f t="shared" si="84"/>
        <v>OK</v>
      </c>
      <c r="AJ95" s="79"/>
      <c r="AK95" s="481"/>
      <c r="AL95" s="80" t="str">
        <f t="shared" si="97"/>
        <v xml:space="preserve">       </v>
      </c>
      <c r="AM95" s="218" t="str">
        <f t="shared" si="110"/>
        <v>-</v>
      </c>
      <c r="AN95" s="274"/>
      <c r="AO95" s="406" t="str">
        <f t="shared" si="90"/>
        <v>OK</v>
      </c>
      <c r="AP95" s="79"/>
      <c r="AQ95" s="512"/>
      <c r="AR95" s="80" t="str">
        <f t="shared" si="98"/>
        <v xml:space="preserve">       </v>
      </c>
      <c r="AS95" s="218" t="s">
        <v>593</v>
      </c>
      <c r="AT95" s="80"/>
      <c r="AU95" s="218" t="str">
        <f t="shared" si="94"/>
        <v>-</v>
      </c>
      <c r="AV95" s="79"/>
      <c r="AW95" s="481"/>
      <c r="AX95" s="80" t="str">
        <f t="shared" si="99"/>
        <v xml:space="preserve">       </v>
      </c>
      <c r="AY95" s="218" t="str">
        <f t="shared" si="111"/>
        <v>-</v>
      </c>
      <c r="AZ95" s="274"/>
      <c r="BA95" s="478" t="s">
        <v>594</v>
      </c>
      <c r="BB95" s="79"/>
      <c r="BC95" s="481"/>
      <c r="BD95" s="80" t="str">
        <f t="shared" si="100"/>
        <v xml:space="preserve">       </v>
      </c>
      <c r="BE95" s="218" t="str">
        <f t="shared" si="112"/>
        <v>-</v>
      </c>
      <c r="BF95" s="274"/>
      <c r="BG95" s="478" t="s">
        <v>594</v>
      </c>
      <c r="BH95" s="79"/>
      <c r="BI95" s="508" t="s">
        <v>705</v>
      </c>
      <c r="BJ95" s="80" t="str">
        <f t="shared" si="101"/>
        <v xml:space="preserve">       </v>
      </c>
      <c r="BK95" s="218" t="s">
        <v>593</v>
      </c>
      <c r="BL95" s="274"/>
      <c r="BM95" s="478" t="s">
        <v>594</v>
      </c>
      <c r="BN95" s="79"/>
      <c r="BO95" s="481"/>
      <c r="BP95" s="80" t="str">
        <f t="shared" si="102"/>
        <v xml:space="preserve">       </v>
      </c>
      <c r="BQ95" s="218" t="str">
        <f t="shared" si="113"/>
        <v>-</v>
      </c>
      <c r="BR95" s="274"/>
      <c r="BS95" s="478" t="s">
        <v>594</v>
      </c>
      <c r="BT95" s="79"/>
      <c r="BU95" s="512"/>
      <c r="BV95" s="80" t="str">
        <f t="shared" si="103"/>
        <v xml:space="preserve">       </v>
      </c>
      <c r="BW95" s="218" t="s">
        <v>593</v>
      </c>
      <c r="BX95" s="80"/>
      <c r="BY95" s="218" t="str">
        <f t="shared" si="114"/>
        <v>-</v>
      </c>
      <c r="BZ95" s="79"/>
      <c r="CA95" s="481"/>
      <c r="CB95" s="80" t="str">
        <f t="shared" si="104"/>
        <v xml:space="preserve">       </v>
      </c>
      <c r="CC95" s="218" t="str">
        <f t="shared" si="115"/>
        <v>-</v>
      </c>
      <c r="CD95" s="274"/>
      <c r="CE95" s="406" t="str">
        <f t="shared" si="91"/>
        <v>OK</v>
      </c>
      <c r="CF95" s="79"/>
      <c r="CG95" s="481"/>
      <c r="CH95" s="80" t="str">
        <f t="shared" si="105"/>
        <v xml:space="preserve">       </v>
      </c>
      <c r="CI95" s="218" t="str">
        <f t="shared" si="116"/>
        <v>-</v>
      </c>
      <c r="CJ95" s="274"/>
      <c r="CK95" s="406" t="str">
        <f t="shared" si="92"/>
        <v>OK</v>
      </c>
      <c r="CL95" s="79"/>
      <c r="CM95" s="481"/>
      <c r="CN95" s="80" t="str">
        <f t="shared" si="106"/>
        <v xml:space="preserve">       </v>
      </c>
      <c r="CO95" s="218" t="s">
        <v>593</v>
      </c>
      <c r="CP95" s="80"/>
      <c r="CQ95" s="218" t="str">
        <f t="shared" si="117"/>
        <v>-</v>
      </c>
      <c r="CR95" s="79"/>
      <c r="CS95" s="481"/>
      <c r="CT95" s="80" t="str">
        <f t="shared" si="107"/>
        <v xml:space="preserve">       </v>
      </c>
      <c r="CU95" s="218" t="str">
        <f t="shared" si="118"/>
        <v>-</v>
      </c>
      <c r="CV95" s="274"/>
      <c r="CW95" s="92" t="s">
        <v>593</v>
      </c>
      <c r="CX95" s="79"/>
      <c r="CY95" s="481"/>
      <c r="CZ95" s="80" t="str">
        <f t="shared" si="108"/>
        <v xml:space="preserve">       </v>
      </c>
      <c r="DA95" s="218" t="str">
        <f t="shared" si="119"/>
        <v>-</v>
      </c>
      <c r="DB95" s="274"/>
      <c r="DC95" s="92" t="s">
        <v>593</v>
      </c>
    </row>
    <row r="96" spans="1:107" s="81" customFormat="1" ht="127.9" thickBot="1">
      <c r="A96" s="221"/>
      <c r="B96" s="241">
        <f t="shared" si="109"/>
        <v>89</v>
      </c>
      <c r="C96" s="236"/>
      <c r="D96" s="236"/>
      <c r="E96" s="236"/>
      <c r="F96" s="242" t="s">
        <v>315</v>
      </c>
      <c r="G96" s="250"/>
      <c r="H96" s="251"/>
      <c r="I96" s="237"/>
      <c r="J96" s="237"/>
      <c r="K96" s="237"/>
      <c r="L96" s="237"/>
      <c r="M96" s="391" t="s">
        <v>357</v>
      </c>
      <c r="N96" s="399"/>
      <c r="O96" s="400"/>
      <c r="P96" s="279">
        <f>P95+1</f>
        <v>71</v>
      </c>
      <c r="Q96" s="410">
        <v>1</v>
      </c>
      <c r="R96" s="37">
        <v>9</v>
      </c>
      <c r="S96" s="410" t="s">
        <v>316</v>
      </c>
      <c r="T96" s="142"/>
      <c r="U96" s="141" t="s">
        <v>257</v>
      </c>
      <c r="V96" s="238"/>
      <c r="W96" s="191" t="str">
        <f>IF(C96&lt;&gt;"","0",IF(D96&lt;&gt;"","1",IF(E96&lt;&gt;"","2",IF(F96&lt;&gt;"","3",IF(G96&lt;&gt;"","4",IF(H96&lt;&gt;"","5"))))))</f>
        <v>3</v>
      </c>
      <c r="X96" s="144" t="s">
        <v>317</v>
      </c>
      <c r="Y96" s="144">
        <v>1</v>
      </c>
      <c r="Z96" s="144">
        <v>1</v>
      </c>
      <c r="AA96" s="239">
        <v>9</v>
      </c>
      <c r="AB96" s="137" t="s">
        <v>257</v>
      </c>
      <c r="AC96" s="240"/>
      <c r="AD96" s="216"/>
      <c r="AE96" s="396"/>
      <c r="AF96" s="217" t="str">
        <f t="shared" si="96"/>
        <v xml:space="preserve"> </v>
      </c>
      <c r="AG96" s="231" t="str">
        <f t="shared" si="88"/>
        <v>-</v>
      </c>
      <c r="AH96" s="383"/>
      <c r="AI96" s="395" t="str">
        <f t="shared" si="84"/>
        <v>OK</v>
      </c>
      <c r="AJ96" s="216"/>
      <c r="AK96" s="396"/>
      <c r="AL96" s="217" t="str">
        <f t="shared" si="97"/>
        <v xml:space="preserve"> </v>
      </c>
      <c r="AM96" s="231" t="str">
        <f t="shared" si="110"/>
        <v>-</v>
      </c>
      <c r="AN96" s="396"/>
      <c r="AO96" s="395" t="str">
        <f t="shared" si="90"/>
        <v>OK</v>
      </c>
      <c r="AP96" s="216"/>
      <c r="AQ96" s="509"/>
      <c r="AR96" s="217" t="str">
        <f t="shared" si="98"/>
        <v xml:space="preserve"> </v>
      </c>
      <c r="AS96" s="231" t="s">
        <v>593</v>
      </c>
      <c r="AT96" s="217"/>
      <c r="AU96" s="231" t="str">
        <f t="shared" si="94"/>
        <v>-</v>
      </c>
      <c r="AV96" s="216"/>
      <c r="AW96" s="396" t="s">
        <v>374</v>
      </c>
      <c r="AX96" s="217" t="str">
        <f t="shared" si="99"/>
        <v>5</v>
      </c>
      <c r="AY96" s="231" t="str">
        <f t="shared" si="111"/>
        <v>-</v>
      </c>
      <c r="AZ96" s="396" t="s">
        <v>374</v>
      </c>
      <c r="BA96" s="479" t="s">
        <v>245</v>
      </c>
      <c r="BB96" s="216"/>
      <c r="BC96" s="396" t="s">
        <v>374</v>
      </c>
      <c r="BD96" s="217" t="str">
        <f t="shared" si="100"/>
        <v>5</v>
      </c>
      <c r="BE96" s="231" t="str">
        <f t="shared" si="112"/>
        <v>-</v>
      </c>
      <c r="BF96" s="396" t="s">
        <v>374</v>
      </c>
      <c r="BG96" s="479" t="s">
        <v>245</v>
      </c>
      <c r="BH96" s="216"/>
      <c r="BI96" s="509" t="s">
        <v>374</v>
      </c>
      <c r="BJ96" s="217" t="str">
        <f t="shared" si="101"/>
        <v>5</v>
      </c>
      <c r="BK96" s="231" t="s">
        <v>593</v>
      </c>
      <c r="BL96" s="396" t="s">
        <v>374</v>
      </c>
      <c r="BM96" s="479" t="s">
        <v>245</v>
      </c>
      <c r="BN96" s="216"/>
      <c r="BO96" s="396" t="s">
        <v>374</v>
      </c>
      <c r="BP96" s="217" t="str">
        <f t="shared" si="102"/>
        <v>5</v>
      </c>
      <c r="BQ96" s="231" t="str">
        <f t="shared" si="113"/>
        <v>-</v>
      </c>
      <c r="BR96" s="396" t="s">
        <v>374</v>
      </c>
      <c r="BS96" s="479" t="s">
        <v>245</v>
      </c>
      <c r="BT96" s="216"/>
      <c r="BU96" s="509"/>
      <c r="BV96" s="217" t="str">
        <f t="shared" si="103"/>
        <v xml:space="preserve"> </v>
      </c>
      <c r="BW96" s="231" t="s">
        <v>593</v>
      </c>
      <c r="BX96" s="217"/>
      <c r="BY96" s="231" t="str">
        <f t="shared" si="114"/>
        <v>-</v>
      </c>
      <c r="BZ96" s="216"/>
      <c r="CA96" s="396"/>
      <c r="CB96" s="217" t="str">
        <f t="shared" si="104"/>
        <v xml:space="preserve"> </v>
      </c>
      <c r="CC96" s="231" t="str">
        <f t="shared" si="115"/>
        <v>-</v>
      </c>
      <c r="CD96" s="396"/>
      <c r="CE96" s="395" t="str">
        <f t="shared" si="91"/>
        <v>OK</v>
      </c>
      <c r="CF96" s="216"/>
      <c r="CG96" s="396"/>
      <c r="CH96" s="217" t="str">
        <f t="shared" si="105"/>
        <v xml:space="preserve"> </v>
      </c>
      <c r="CI96" s="231" t="str">
        <f t="shared" si="116"/>
        <v>-</v>
      </c>
      <c r="CJ96" s="396"/>
      <c r="CK96" s="395" t="str">
        <f t="shared" si="92"/>
        <v>OK</v>
      </c>
      <c r="CL96" s="216"/>
      <c r="CM96" s="396"/>
      <c r="CN96" s="217" t="str">
        <f t="shared" si="106"/>
        <v xml:space="preserve"> </v>
      </c>
      <c r="CO96" s="231" t="s">
        <v>593</v>
      </c>
      <c r="CP96" s="217"/>
      <c r="CQ96" s="231" t="str">
        <f t="shared" si="117"/>
        <v>-</v>
      </c>
      <c r="CR96" s="216"/>
      <c r="CS96" s="396"/>
      <c r="CT96" s="217" t="str">
        <f t="shared" si="107"/>
        <v xml:space="preserve"> </v>
      </c>
      <c r="CU96" s="231" t="str">
        <f t="shared" si="118"/>
        <v>-</v>
      </c>
      <c r="CV96" s="396"/>
      <c r="CW96" s="395" t="s">
        <v>593</v>
      </c>
      <c r="CX96" s="216"/>
      <c r="CY96" s="396"/>
      <c r="CZ96" s="217" t="str">
        <f t="shared" si="108"/>
        <v xml:space="preserve"> </v>
      </c>
      <c r="DA96" s="231" t="str">
        <f t="shared" si="119"/>
        <v>-</v>
      </c>
      <c r="DB96" s="396"/>
      <c r="DC96" s="395" t="s">
        <v>593</v>
      </c>
    </row>
    <row r="97" spans="2:107" s="26" customFormat="1" ht="18.75" customHeight="1" thickTop="1">
      <c r="B97" s="252">
        <f t="shared" si="109"/>
        <v>90</v>
      </c>
      <c r="C97" s="253"/>
      <c r="D97" s="253"/>
      <c r="E97" s="254" t="s">
        <v>439</v>
      </c>
      <c r="F97" s="254"/>
      <c r="G97" s="254"/>
      <c r="H97" s="87"/>
      <c r="I97" s="88" t="s">
        <v>31</v>
      </c>
      <c r="J97" s="88" t="s">
        <v>426</v>
      </c>
      <c r="K97" s="88"/>
      <c r="L97" s="88"/>
      <c r="M97" s="89" t="s">
        <v>352</v>
      </c>
      <c r="N97" s="287"/>
      <c r="O97" s="288"/>
      <c r="P97" s="183"/>
      <c r="Q97" s="121"/>
      <c r="R97" s="107"/>
      <c r="S97" s="289"/>
      <c r="T97" s="287"/>
      <c r="U97" s="107"/>
      <c r="V97" s="290"/>
      <c r="W97" s="25" t="str">
        <f>IF(C97&lt;&gt;"","0",IF(D97&lt;&gt;"","1",IF(E97&lt;&gt;"","2",IF(F97&lt;&gt;"","3",IF(G97&lt;&gt;"","4",IF(H97&lt;&gt;"","5"))))))</f>
        <v>2</v>
      </c>
      <c r="X97" s="1" t="s">
        <v>122</v>
      </c>
      <c r="Y97" s="1"/>
      <c r="Z97" s="1"/>
      <c r="AA97" s="8"/>
      <c r="AB97" s="8" t="s">
        <v>257</v>
      </c>
      <c r="AC97" s="63"/>
      <c r="AD97" s="60"/>
      <c r="AE97" s="169"/>
      <c r="AF97" s="61" t="str">
        <f t="shared" si="96"/>
        <v/>
      </c>
      <c r="AG97" s="218" t="str">
        <f t="shared" ref="AG97:AG126" si="120">IF(OR(AE$8="判定対象外",AF$8="判定対象外",AF97="-"),"-",IF(AE97=AF97,"OK","NG"))</f>
        <v>-</v>
      </c>
      <c r="AH97" s="169"/>
      <c r="AI97" s="92" t="str">
        <f>IF(EXACT(AE97,AH97),"OK","NG")</f>
        <v>OK</v>
      </c>
      <c r="AJ97" s="60"/>
      <c r="AK97" s="169"/>
      <c r="AL97" s="61" t="str">
        <f t="shared" si="97"/>
        <v/>
      </c>
      <c r="AM97" s="218" t="str">
        <f t="shared" si="110"/>
        <v>-</v>
      </c>
      <c r="AN97" s="169"/>
      <c r="AO97" s="92" t="str">
        <f t="shared" si="90"/>
        <v>OK</v>
      </c>
      <c r="AP97" s="60"/>
      <c r="AQ97" s="172"/>
      <c r="AR97" s="61" t="str">
        <f t="shared" si="98"/>
        <v/>
      </c>
      <c r="AS97" s="218" t="s">
        <v>593</v>
      </c>
      <c r="AT97" s="61"/>
      <c r="AU97" s="218" t="str">
        <f t="shared" si="94"/>
        <v>-</v>
      </c>
      <c r="AV97" s="60"/>
      <c r="AW97" s="169"/>
      <c r="AX97" s="61" t="str">
        <f t="shared" si="99"/>
        <v/>
      </c>
      <c r="AY97" s="218" t="str">
        <f t="shared" si="111"/>
        <v>-</v>
      </c>
      <c r="AZ97" s="169"/>
      <c r="BA97" s="92" t="str">
        <f>IF(EXACT(AW97,AZ97),"OK","NG")</f>
        <v>OK</v>
      </c>
      <c r="BB97" s="60"/>
      <c r="BC97" s="169"/>
      <c r="BD97" s="61" t="str">
        <f t="shared" si="100"/>
        <v/>
      </c>
      <c r="BE97" s="218" t="str">
        <f t="shared" si="112"/>
        <v>-</v>
      </c>
      <c r="BF97" s="169"/>
      <c r="BG97" s="92" t="str">
        <f>IF(EXACT(BC97,BF97),"OK","NG")</f>
        <v>OK</v>
      </c>
      <c r="BH97" s="60"/>
      <c r="BI97" s="172"/>
      <c r="BJ97" s="61" t="str">
        <f t="shared" si="101"/>
        <v/>
      </c>
      <c r="BK97" s="218" t="s">
        <v>593</v>
      </c>
      <c r="BL97" s="169"/>
      <c r="BM97" s="92" t="str">
        <f>IF(EXACT(BI97,BL97),"OK","NG")</f>
        <v>OK</v>
      </c>
      <c r="BN97" s="60"/>
      <c r="BO97" s="169"/>
      <c r="BP97" s="61" t="str">
        <f t="shared" si="102"/>
        <v/>
      </c>
      <c r="BQ97" s="218" t="str">
        <f t="shared" si="113"/>
        <v>-</v>
      </c>
      <c r="BR97" s="169"/>
      <c r="BS97" s="92" t="str">
        <f>IF(EXACT(BO97,BR97),"OK","NG")</f>
        <v>OK</v>
      </c>
      <c r="BT97" s="60"/>
      <c r="BU97" s="172"/>
      <c r="BV97" s="61" t="str">
        <f t="shared" si="103"/>
        <v/>
      </c>
      <c r="BW97" s="218" t="s">
        <v>593</v>
      </c>
      <c r="BX97" s="61"/>
      <c r="BY97" s="218" t="str">
        <f t="shared" si="114"/>
        <v>-</v>
      </c>
      <c r="BZ97" s="60"/>
      <c r="CA97" s="169"/>
      <c r="CB97" s="61" t="str">
        <f t="shared" si="104"/>
        <v/>
      </c>
      <c r="CC97" s="218" t="str">
        <f t="shared" si="115"/>
        <v>-</v>
      </c>
      <c r="CD97" s="169"/>
      <c r="CE97" s="92" t="str">
        <f t="shared" si="91"/>
        <v>OK</v>
      </c>
      <c r="CF97" s="60"/>
      <c r="CG97" s="169"/>
      <c r="CH97" s="61" t="str">
        <f t="shared" si="105"/>
        <v/>
      </c>
      <c r="CI97" s="218" t="str">
        <f t="shared" si="116"/>
        <v>-</v>
      </c>
      <c r="CJ97" s="169"/>
      <c r="CK97" s="92" t="str">
        <f t="shared" si="92"/>
        <v>OK</v>
      </c>
      <c r="CL97" s="60"/>
      <c r="CM97" s="169"/>
      <c r="CN97" s="61" t="str">
        <f t="shared" si="106"/>
        <v/>
      </c>
      <c r="CO97" s="218" t="s">
        <v>593</v>
      </c>
      <c r="CP97" s="61"/>
      <c r="CQ97" s="218" t="str">
        <f t="shared" si="117"/>
        <v>-</v>
      </c>
      <c r="CR97" s="60"/>
      <c r="CS97" s="169"/>
      <c r="CT97" s="61" t="str">
        <f t="shared" si="107"/>
        <v/>
      </c>
      <c r="CU97" s="218" t="str">
        <f t="shared" si="118"/>
        <v>-</v>
      </c>
      <c r="CV97" s="169"/>
      <c r="CW97" s="92" t="s">
        <v>593</v>
      </c>
      <c r="CX97" s="60"/>
      <c r="CY97" s="169"/>
      <c r="CZ97" s="61" t="str">
        <f t="shared" si="108"/>
        <v/>
      </c>
      <c r="DA97" s="218" t="str">
        <f t="shared" si="119"/>
        <v>-</v>
      </c>
      <c r="DB97" s="169"/>
      <c r="DC97" s="92" t="s">
        <v>593</v>
      </c>
    </row>
    <row r="98" spans="2:107" s="26" customFormat="1" ht="63.75">
      <c r="B98" s="2">
        <f t="shared" si="109"/>
        <v>91</v>
      </c>
      <c r="C98" s="129"/>
      <c r="D98" s="7"/>
      <c r="E98" s="7"/>
      <c r="F98" s="112" t="s">
        <v>92</v>
      </c>
      <c r="G98" s="16"/>
      <c r="H98" s="13"/>
      <c r="I98" s="6"/>
      <c r="J98" s="6"/>
      <c r="K98" s="6"/>
      <c r="L98" s="8"/>
      <c r="M98" s="23" t="s">
        <v>296</v>
      </c>
      <c r="N98" s="1"/>
      <c r="O98" s="57"/>
      <c r="P98" s="95">
        <f>P96+1</f>
        <v>72</v>
      </c>
      <c r="Q98" s="117">
        <v>2</v>
      </c>
      <c r="R98" s="21" t="str">
        <f t="shared" ref="R98:R104" si="121">IF(AA98="M","NX",AA98)</f>
        <v>X</v>
      </c>
      <c r="S98" s="98" t="s">
        <v>440</v>
      </c>
      <c r="T98" s="96"/>
      <c r="U98" s="21" t="s">
        <v>435</v>
      </c>
      <c r="V98" s="118" t="s">
        <v>199</v>
      </c>
      <c r="W98" s="25" t="str">
        <f>IF(C98&lt;&gt;"","0",IF(D98&lt;&gt;"","1",IF(E98&lt;&gt;"","2",IF(F98&lt;&gt;"","3",IF(G98&lt;&gt;"","4",IF(H98&lt;&gt;"","5"))))))</f>
        <v>3</v>
      </c>
      <c r="X98" s="5" t="s">
        <v>297</v>
      </c>
      <c r="Y98" s="58">
        <v>2</v>
      </c>
      <c r="Z98" s="58">
        <v>2</v>
      </c>
      <c r="AA98" s="59" t="s">
        <v>114</v>
      </c>
      <c r="AB98" s="59" t="s">
        <v>21</v>
      </c>
      <c r="AC98" s="12"/>
      <c r="AD98" s="60"/>
      <c r="AE98" s="174"/>
      <c r="AF98" s="273" t="str">
        <f t="shared" si="96"/>
        <v xml:space="preserve">  </v>
      </c>
      <c r="AG98" s="218" t="str">
        <f t="shared" si="120"/>
        <v>-</v>
      </c>
      <c r="AH98" s="174"/>
      <c r="AI98" s="92" t="str">
        <f>IF(EXACT(AE98,AH98),"OK","NG")</f>
        <v>OK</v>
      </c>
      <c r="AJ98" s="60"/>
      <c r="AK98" s="174"/>
      <c r="AL98" s="273" t="str">
        <f t="shared" si="97"/>
        <v xml:space="preserve">  </v>
      </c>
      <c r="AM98" s="218" t="str">
        <f t="shared" si="110"/>
        <v>-</v>
      </c>
      <c r="AN98" s="174"/>
      <c r="AO98" s="92" t="str">
        <f t="shared" si="90"/>
        <v>OK</v>
      </c>
      <c r="AP98" s="60"/>
      <c r="AQ98" s="170"/>
      <c r="AR98" s="273" t="str">
        <f t="shared" si="98"/>
        <v xml:space="preserve">  </v>
      </c>
      <c r="AS98" s="218" t="s">
        <v>593</v>
      </c>
      <c r="AT98" s="273"/>
      <c r="AU98" s="218" t="str">
        <f t="shared" si="94"/>
        <v>-</v>
      </c>
      <c r="AV98" s="60"/>
      <c r="AW98" s="174" t="s">
        <v>378</v>
      </c>
      <c r="AX98" s="273" t="str">
        <f t="shared" si="99"/>
        <v>91</v>
      </c>
      <c r="AY98" s="218" t="str">
        <f t="shared" si="111"/>
        <v>-</v>
      </c>
      <c r="AZ98" s="174" t="s">
        <v>378</v>
      </c>
      <c r="BA98" s="478" t="s">
        <v>594</v>
      </c>
      <c r="BB98" s="60"/>
      <c r="BC98" s="174" t="s">
        <v>102</v>
      </c>
      <c r="BD98" s="273" t="str">
        <f t="shared" si="100"/>
        <v>01</v>
      </c>
      <c r="BE98" s="218" t="str">
        <f t="shared" si="112"/>
        <v>-</v>
      </c>
      <c r="BF98" s="174" t="s">
        <v>102</v>
      </c>
      <c r="BG98" s="478" t="s">
        <v>594</v>
      </c>
      <c r="BH98" s="60"/>
      <c r="BI98" s="170" t="s">
        <v>378</v>
      </c>
      <c r="BJ98" s="273" t="str">
        <f t="shared" si="101"/>
        <v>91</v>
      </c>
      <c r="BK98" s="218" t="s">
        <v>593</v>
      </c>
      <c r="BL98" s="174" t="s">
        <v>378</v>
      </c>
      <c r="BM98" s="478" t="s">
        <v>594</v>
      </c>
      <c r="BN98" s="60"/>
      <c r="BO98" s="174" t="s">
        <v>102</v>
      </c>
      <c r="BP98" s="273" t="str">
        <f t="shared" si="102"/>
        <v>01</v>
      </c>
      <c r="BQ98" s="218" t="str">
        <f t="shared" si="113"/>
        <v>-</v>
      </c>
      <c r="BR98" s="174" t="s">
        <v>102</v>
      </c>
      <c r="BS98" s="478" t="s">
        <v>594</v>
      </c>
      <c r="BT98" s="60"/>
      <c r="BU98" s="170"/>
      <c r="BV98" s="273" t="str">
        <f t="shared" si="103"/>
        <v xml:space="preserve">  </v>
      </c>
      <c r="BW98" s="218" t="s">
        <v>593</v>
      </c>
      <c r="BX98" s="273"/>
      <c r="BY98" s="218" t="str">
        <f t="shared" si="114"/>
        <v>-</v>
      </c>
      <c r="BZ98" s="60"/>
      <c r="CA98" s="174"/>
      <c r="CB98" s="273" t="str">
        <f t="shared" si="104"/>
        <v xml:space="preserve">  </v>
      </c>
      <c r="CC98" s="218" t="str">
        <f t="shared" si="115"/>
        <v>-</v>
      </c>
      <c r="CD98" s="174"/>
      <c r="CE98" s="92" t="str">
        <f t="shared" si="91"/>
        <v>OK</v>
      </c>
      <c r="CF98" s="60"/>
      <c r="CG98" s="174"/>
      <c r="CH98" s="273" t="str">
        <f t="shared" si="105"/>
        <v xml:space="preserve">  </v>
      </c>
      <c r="CI98" s="218" t="str">
        <f t="shared" si="116"/>
        <v>-</v>
      </c>
      <c r="CJ98" s="174"/>
      <c r="CK98" s="92" t="str">
        <f t="shared" si="92"/>
        <v>OK</v>
      </c>
      <c r="CL98" s="60"/>
      <c r="CM98" s="174"/>
      <c r="CN98" s="273" t="str">
        <f t="shared" si="106"/>
        <v xml:space="preserve">  </v>
      </c>
      <c r="CO98" s="218" t="s">
        <v>593</v>
      </c>
      <c r="CP98" s="273"/>
      <c r="CQ98" s="218" t="str">
        <f t="shared" si="117"/>
        <v>-</v>
      </c>
      <c r="CR98" s="60"/>
      <c r="CS98" s="174"/>
      <c r="CT98" s="273" t="str">
        <f t="shared" si="107"/>
        <v xml:space="preserve">  </v>
      </c>
      <c r="CU98" s="218" t="str">
        <f t="shared" si="118"/>
        <v>-</v>
      </c>
      <c r="CV98" s="174"/>
      <c r="CW98" s="92" t="s">
        <v>593</v>
      </c>
      <c r="CX98" s="60"/>
      <c r="CY98" s="174"/>
      <c r="CZ98" s="273" t="str">
        <f t="shared" si="108"/>
        <v xml:space="preserve">  </v>
      </c>
      <c r="DA98" s="218" t="str">
        <f t="shared" si="119"/>
        <v>-</v>
      </c>
      <c r="DB98" s="174"/>
      <c r="DC98" s="92" t="s">
        <v>593</v>
      </c>
    </row>
    <row r="99" spans="2:107" s="26" customFormat="1" ht="293.25">
      <c r="B99" s="2">
        <f t="shared" si="109"/>
        <v>92</v>
      </c>
      <c r="C99" s="7"/>
      <c r="D99" s="7"/>
      <c r="E99" s="7"/>
      <c r="F99" s="112" t="s">
        <v>424</v>
      </c>
      <c r="G99" s="16"/>
      <c r="H99" s="13"/>
      <c r="I99" s="8"/>
      <c r="J99" s="8" t="s">
        <v>426</v>
      </c>
      <c r="K99" s="8"/>
      <c r="L99" s="8"/>
      <c r="M99" s="414" t="s">
        <v>441</v>
      </c>
      <c r="N99" s="11"/>
      <c r="O99" s="57"/>
      <c r="P99" s="95">
        <f>P98+1</f>
        <v>73</v>
      </c>
      <c r="Q99" s="115">
        <v>2</v>
      </c>
      <c r="R99" s="21" t="str">
        <f t="shared" si="121"/>
        <v>X</v>
      </c>
      <c r="S99" s="98" t="s">
        <v>442</v>
      </c>
      <c r="T99" s="96"/>
      <c r="U99" s="21" t="s">
        <v>443</v>
      </c>
      <c r="V99" s="10"/>
      <c r="W99" s="25">
        <v>3</v>
      </c>
      <c r="X99" s="1" t="s">
        <v>288</v>
      </c>
      <c r="Y99" s="1">
        <v>2</v>
      </c>
      <c r="Z99" s="1">
        <v>2</v>
      </c>
      <c r="AA99" s="8" t="s">
        <v>114</v>
      </c>
      <c r="AB99" s="8" t="s">
        <v>21</v>
      </c>
      <c r="AC99" s="12"/>
      <c r="AD99" s="60"/>
      <c r="AE99" s="174"/>
      <c r="AF99" s="273" t="str">
        <f t="shared" si="96"/>
        <v xml:space="preserve">  </v>
      </c>
      <c r="AG99" s="218" t="str">
        <f t="shared" si="120"/>
        <v>-</v>
      </c>
      <c r="AH99" s="174"/>
      <c r="AI99" s="92" t="str">
        <f t="shared" si="84"/>
        <v>OK</v>
      </c>
      <c r="AJ99" s="60"/>
      <c r="AK99" s="174"/>
      <c r="AL99" s="273" t="str">
        <f t="shared" si="97"/>
        <v xml:space="preserve">  </v>
      </c>
      <c r="AM99" s="218" t="str">
        <f t="shared" si="110"/>
        <v>-</v>
      </c>
      <c r="AN99" s="174"/>
      <c r="AO99" s="92" t="str">
        <f t="shared" si="90"/>
        <v>OK</v>
      </c>
      <c r="AP99" s="60"/>
      <c r="AQ99" s="170"/>
      <c r="AR99" s="273" t="str">
        <f t="shared" si="98"/>
        <v xml:space="preserve">  </v>
      </c>
      <c r="AS99" s="218" t="s">
        <v>593</v>
      </c>
      <c r="AT99" s="273"/>
      <c r="AU99" s="218" t="str">
        <f t="shared" si="94"/>
        <v>-</v>
      </c>
      <c r="AV99" s="60"/>
      <c r="AW99" s="174" t="s">
        <v>387</v>
      </c>
      <c r="AX99" s="273" t="str">
        <f t="shared" si="99"/>
        <v>B2</v>
      </c>
      <c r="AY99" s="218" t="str">
        <f t="shared" si="111"/>
        <v>-</v>
      </c>
      <c r="AZ99" s="174" t="s">
        <v>387</v>
      </c>
      <c r="BA99" s="92" t="str">
        <f>IF(EXACT(AW99,AZ99),"OK","NG")</f>
        <v>OK</v>
      </c>
      <c r="BB99" s="60"/>
      <c r="BC99" s="174" t="s">
        <v>191</v>
      </c>
      <c r="BD99" s="273" t="str">
        <f t="shared" si="100"/>
        <v>04</v>
      </c>
      <c r="BE99" s="218" t="str">
        <f t="shared" si="112"/>
        <v>-</v>
      </c>
      <c r="BF99" s="174" t="s">
        <v>191</v>
      </c>
      <c r="BG99" s="92" t="str">
        <f>IF(EXACT(BC99,BF99),"OK","NG")</f>
        <v>OK</v>
      </c>
      <c r="BH99" s="60"/>
      <c r="BI99" s="170" t="s">
        <v>387</v>
      </c>
      <c r="BJ99" s="273" t="str">
        <f t="shared" si="101"/>
        <v>B2</v>
      </c>
      <c r="BK99" s="218" t="s">
        <v>593</v>
      </c>
      <c r="BL99" s="174" t="s">
        <v>387</v>
      </c>
      <c r="BM99" s="92" t="str">
        <f>IF(EXACT(BI99,BL99),"OK","NG")</f>
        <v>OK</v>
      </c>
      <c r="BN99" s="60"/>
      <c r="BO99" s="174" t="s">
        <v>191</v>
      </c>
      <c r="BP99" s="273" t="str">
        <f t="shared" si="102"/>
        <v>04</v>
      </c>
      <c r="BQ99" s="218" t="str">
        <f t="shared" si="113"/>
        <v>-</v>
      </c>
      <c r="BR99" s="174" t="s">
        <v>191</v>
      </c>
      <c r="BS99" s="92" t="str">
        <f>IF(EXACT(BO99,BR99),"OK","NG")</f>
        <v>OK</v>
      </c>
      <c r="BT99" s="60"/>
      <c r="BU99" s="170"/>
      <c r="BV99" s="273" t="str">
        <f t="shared" si="103"/>
        <v xml:space="preserve">  </v>
      </c>
      <c r="BW99" s="218" t="s">
        <v>593</v>
      </c>
      <c r="BX99" s="273"/>
      <c r="BY99" s="218" t="str">
        <f t="shared" si="114"/>
        <v>-</v>
      </c>
      <c r="BZ99" s="60"/>
      <c r="CA99" s="174"/>
      <c r="CB99" s="273" t="str">
        <f t="shared" si="104"/>
        <v xml:space="preserve">  </v>
      </c>
      <c r="CC99" s="218" t="str">
        <f t="shared" si="115"/>
        <v>-</v>
      </c>
      <c r="CD99" s="174"/>
      <c r="CE99" s="92" t="str">
        <f t="shared" si="91"/>
        <v>OK</v>
      </c>
      <c r="CF99" s="60"/>
      <c r="CG99" s="174"/>
      <c r="CH99" s="273" t="str">
        <f t="shared" si="105"/>
        <v xml:space="preserve">  </v>
      </c>
      <c r="CI99" s="218" t="str">
        <f t="shared" si="116"/>
        <v>-</v>
      </c>
      <c r="CJ99" s="174"/>
      <c r="CK99" s="92" t="str">
        <f t="shared" si="92"/>
        <v>OK</v>
      </c>
      <c r="CL99" s="60"/>
      <c r="CM99" s="174"/>
      <c r="CN99" s="273" t="str">
        <f t="shared" si="106"/>
        <v xml:space="preserve">  </v>
      </c>
      <c r="CO99" s="218" t="s">
        <v>593</v>
      </c>
      <c r="CP99" s="273"/>
      <c r="CQ99" s="218" t="str">
        <f t="shared" si="117"/>
        <v>-</v>
      </c>
      <c r="CR99" s="60"/>
      <c r="CS99" s="174"/>
      <c r="CT99" s="273" t="str">
        <f t="shared" si="107"/>
        <v xml:space="preserve">  </v>
      </c>
      <c r="CU99" s="218" t="str">
        <f t="shared" si="118"/>
        <v>-</v>
      </c>
      <c r="CV99" s="174"/>
      <c r="CW99" s="92" t="s">
        <v>593</v>
      </c>
      <c r="CX99" s="60"/>
      <c r="CY99" s="174"/>
      <c r="CZ99" s="273" t="str">
        <f t="shared" si="108"/>
        <v xml:space="preserve">  </v>
      </c>
      <c r="DA99" s="218" t="str">
        <f t="shared" si="119"/>
        <v>-</v>
      </c>
      <c r="DB99" s="174"/>
      <c r="DC99" s="92" t="s">
        <v>593</v>
      </c>
    </row>
    <row r="100" spans="2:107" s="26" customFormat="1">
      <c r="B100" s="2">
        <f t="shared" si="109"/>
        <v>93</v>
      </c>
      <c r="C100" s="7"/>
      <c r="D100" s="7"/>
      <c r="E100" s="7"/>
      <c r="F100" s="22" t="s">
        <v>353</v>
      </c>
      <c r="G100" s="16"/>
      <c r="H100" s="13"/>
      <c r="I100" s="8"/>
      <c r="J100" s="8"/>
      <c r="K100" s="8"/>
      <c r="L100" s="8"/>
      <c r="M100" s="417" t="s">
        <v>220</v>
      </c>
      <c r="N100" s="11"/>
      <c r="O100" s="57"/>
      <c r="P100" s="95">
        <f t="shared" ref="P100:P121" si="122">P99+1</f>
        <v>74</v>
      </c>
      <c r="Q100" s="115">
        <v>2</v>
      </c>
      <c r="R100" s="21" t="str">
        <f t="shared" si="121"/>
        <v>X</v>
      </c>
      <c r="S100" s="98" t="s">
        <v>124</v>
      </c>
      <c r="T100" s="96"/>
      <c r="U100" s="21" t="s">
        <v>257</v>
      </c>
      <c r="V100" s="10"/>
      <c r="W100" s="25">
        <v>3</v>
      </c>
      <c r="X100" s="1" t="s">
        <v>125</v>
      </c>
      <c r="Y100" s="1">
        <v>2</v>
      </c>
      <c r="Z100" s="1">
        <v>2</v>
      </c>
      <c r="AA100" s="8" t="s">
        <v>114</v>
      </c>
      <c r="AB100" s="8" t="s">
        <v>21</v>
      </c>
      <c r="AC100" s="12"/>
      <c r="AD100" s="60"/>
      <c r="AE100" s="169"/>
      <c r="AF100" s="61" t="str">
        <f t="shared" si="96"/>
        <v xml:space="preserve">  </v>
      </c>
      <c r="AG100" s="218" t="str">
        <f t="shared" si="120"/>
        <v>-</v>
      </c>
      <c r="AH100" s="169"/>
      <c r="AI100" s="92" t="str">
        <f t="shared" si="84"/>
        <v>OK</v>
      </c>
      <c r="AJ100" s="60"/>
      <c r="AK100" s="169"/>
      <c r="AL100" s="61" t="str">
        <f t="shared" si="97"/>
        <v xml:space="preserve">  </v>
      </c>
      <c r="AM100" s="218" t="str">
        <f t="shared" si="110"/>
        <v>-</v>
      </c>
      <c r="AN100" s="169"/>
      <c r="AO100" s="92" t="str">
        <f t="shared" si="90"/>
        <v>OK</v>
      </c>
      <c r="AP100" s="60"/>
      <c r="AQ100" s="172"/>
      <c r="AR100" s="61" t="str">
        <f t="shared" si="98"/>
        <v xml:space="preserve">  </v>
      </c>
      <c r="AS100" s="218" t="s">
        <v>593</v>
      </c>
      <c r="AT100" s="61"/>
      <c r="AU100" s="218" t="str">
        <f t="shared" si="94"/>
        <v>-</v>
      </c>
      <c r="AV100" s="60"/>
      <c r="AW100" s="169"/>
      <c r="AX100" s="61" t="str">
        <f t="shared" si="99"/>
        <v xml:space="preserve">  </v>
      </c>
      <c r="AY100" s="218" t="str">
        <f t="shared" si="111"/>
        <v>-</v>
      </c>
      <c r="AZ100" s="169"/>
      <c r="BA100" s="92" t="str">
        <f>IF(EXACT(AW100,AZ100),"OK","NG")</f>
        <v>OK</v>
      </c>
      <c r="BB100" s="60"/>
      <c r="BC100" s="169"/>
      <c r="BD100" s="61" t="str">
        <f t="shared" si="100"/>
        <v xml:space="preserve">  </v>
      </c>
      <c r="BE100" s="218" t="str">
        <f t="shared" si="112"/>
        <v>-</v>
      </c>
      <c r="BF100" s="169"/>
      <c r="BG100" s="92" t="str">
        <f>IF(EXACT(BC100,BF100),"OK","NG")</f>
        <v>OK</v>
      </c>
      <c r="BH100" s="60"/>
      <c r="BI100" s="170" t="s">
        <v>698</v>
      </c>
      <c r="BJ100" s="61" t="str">
        <f t="shared" si="101"/>
        <v xml:space="preserve">  </v>
      </c>
      <c r="BK100" s="218" t="s">
        <v>593</v>
      </c>
      <c r="BL100" s="169"/>
      <c r="BM100" s="92" t="str">
        <f>IF(EXACT(BI100,BL100),"OK","NG")</f>
        <v>NG</v>
      </c>
      <c r="BN100" s="60"/>
      <c r="BO100" s="169"/>
      <c r="BP100" s="61" t="str">
        <f t="shared" si="102"/>
        <v xml:space="preserve">  </v>
      </c>
      <c r="BQ100" s="218" t="str">
        <f t="shared" si="113"/>
        <v>-</v>
      </c>
      <c r="BR100" s="169"/>
      <c r="BS100" s="92" t="str">
        <f>IF(EXACT(BO100,BR100),"OK","NG")</f>
        <v>OK</v>
      </c>
      <c r="BT100" s="60"/>
      <c r="BU100" s="172"/>
      <c r="BV100" s="61" t="str">
        <f t="shared" si="103"/>
        <v xml:space="preserve">  </v>
      </c>
      <c r="BW100" s="218" t="s">
        <v>593</v>
      </c>
      <c r="BX100" s="61"/>
      <c r="BY100" s="218" t="str">
        <f t="shared" si="114"/>
        <v>-</v>
      </c>
      <c r="BZ100" s="60"/>
      <c r="CA100" s="169"/>
      <c r="CB100" s="61" t="str">
        <f t="shared" si="104"/>
        <v xml:space="preserve">  </v>
      </c>
      <c r="CC100" s="218" t="str">
        <f t="shared" si="115"/>
        <v>-</v>
      </c>
      <c r="CD100" s="169"/>
      <c r="CE100" s="92" t="str">
        <f t="shared" si="91"/>
        <v>OK</v>
      </c>
      <c r="CF100" s="60"/>
      <c r="CG100" s="169"/>
      <c r="CH100" s="61" t="str">
        <f t="shared" si="105"/>
        <v xml:space="preserve">  </v>
      </c>
      <c r="CI100" s="218" t="str">
        <f t="shared" si="116"/>
        <v>-</v>
      </c>
      <c r="CJ100" s="169"/>
      <c r="CK100" s="92" t="str">
        <f t="shared" si="92"/>
        <v>OK</v>
      </c>
      <c r="CL100" s="60"/>
      <c r="CM100" s="169"/>
      <c r="CN100" s="61" t="str">
        <f t="shared" si="106"/>
        <v xml:space="preserve">  </v>
      </c>
      <c r="CO100" s="218" t="s">
        <v>593</v>
      </c>
      <c r="CP100" s="61"/>
      <c r="CQ100" s="218" t="str">
        <f t="shared" si="117"/>
        <v>-</v>
      </c>
      <c r="CR100" s="60"/>
      <c r="CS100" s="169"/>
      <c r="CT100" s="61" t="str">
        <f t="shared" si="107"/>
        <v xml:space="preserve">  </v>
      </c>
      <c r="CU100" s="218" t="str">
        <f t="shared" si="118"/>
        <v>-</v>
      </c>
      <c r="CV100" s="169"/>
      <c r="CW100" s="92" t="s">
        <v>593</v>
      </c>
      <c r="CX100" s="60"/>
      <c r="CY100" s="169"/>
      <c r="CZ100" s="61" t="str">
        <f t="shared" si="108"/>
        <v xml:space="preserve">  </v>
      </c>
      <c r="DA100" s="218" t="str">
        <f t="shared" si="119"/>
        <v>-</v>
      </c>
      <c r="DB100" s="169"/>
      <c r="DC100" s="92" t="s">
        <v>593</v>
      </c>
    </row>
    <row r="101" spans="2:107" s="26" customFormat="1">
      <c r="B101" s="2">
        <f t="shared" si="109"/>
        <v>94</v>
      </c>
      <c r="C101" s="7"/>
      <c r="D101" s="7"/>
      <c r="E101" s="7"/>
      <c r="F101" s="22" t="s">
        <v>126</v>
      </c>
      <c r="G101" s="16"/>
      <c r="H101" s="13"/>
      <c r="I101" s="8"/>
      <c r="J101" s="8" t="s">
        <v>269</v>
      </c>
      <c r="K101" s="8"/>
      <c r="L101" s="8"/>
      <c r="M101" s="1" t="s">
        <v>127</v>
      </c>
      <c r="N101" s="1"/>
      <c r="O101" s="57"/>
      <c r="P101" s="95">
        <f t="shared" si="122"/>
        <v>75</v>
      </c>
      <c r="Q101" s="115">
        <v>255</v>
      </c>
      <c r="R101" s="21" t="str">
        <f t="shared" si="121"/>
        <v>NX</v>
      </c>
      <c r="S101" s="98" t="s">
        <v>128</v>
      </c>
      <c r="T101" s="96"/>
      <c r="U101" s="21" t="s">
        <v>257</v>
      </c>
      <c r="V101" s="10"/>
      <c r="W101" s="25">
        <v>3</v>
      </c>
      <c r="X101" s="1" t="s">
        <v>298</v>
      </c>
      <c r="Y101" s="1">
        <v>1</v>
      </c>
      <c r="Z101" s="1">
        <v>255</v>
      </c>
      <c r="AA101" s="8" t="s">
        <v>129</v>
      </c>
      <c r="AB101" s="8" t="s">
        <v>21</v>
      </c>
      <c r="AC101" s="12"/>
      <c r="AD101" s="60"/>
      <c r="AE101" s="174"/>
      <c r="AF101" s="228" t="str">
        <f t="shared" si="96"/>
        <v xml:space="preserve">                                                                                                                                                                                                                                                               </v>
      </c>
      <c r="AG101" s="218" t="str">
        <f t="shared" si="120"/>
        <v>-</v>
      </c>
      <c r="AH101" s="174"/>
      <c r="AI101" s="92" t="str">
        <f t="shared" si="84"/>
        <v>OK</v>
      </c>
      <c r="AJ101" s="60"/>
      <c r="AK101" s="174"/>
      <c r="AL101" s="228" t="str">
        <f t="shared" si="97"/>
        <v xml:space="preserve">                                                                                                                                                                                                                                                               </v>
      </c>
      <c r="AM101" s="218" t="str">
        <f t="shared" si="110"/>
        <v>-</v>
      </c>
      <c r="AN101" s="174"/>
      <c r="AO101" s="92" t="str">
        <f t="shared" ref="AO101:AO128" si="123">IF(EXACT(AK101,AN101),"OK","NG")</f>
        <v>OK</v>
      </c>
      <c r="AP101" s="60"/>
      <c r="AQ101" s="170"/>
      <c r="AR101" s="228" t="str">
        <f t="shared" si="98"/>
        <v xml:space="preserve">                                                                                                                                                                                                                                                               </v>
      </c>
      <c r="AS101" s="218" t="s">
        <v>593</v>
      </c>
      <c r="AT101" s="228"/>
      <c r="AU101" s="218" t="str">
        <f t="shared" si="94"/>
        <v>-</v>
      </c>
      <c r="AV101" s="60"/>
      <c r="AW101" s="174" t="s">
        <v>379</v>
      </c>
      <c r="AX101" s="228" t="str">
        <f t="shared" si="99"/>
        <v xml:space="preserve">ケーブルテレビ                                                                                                                                                                                                                                                 </v>
      </c>
      <c r="AY101" s="218" t="str">
        <f t="shared" si="111"/>
        <v>-</v>
      </c>
      <c r="AZ101" s="174" t="s">
        <v>379</v>
      </c>
      <c r="BA101" s="92" t="str">
        <f>IF(EXACT(AW101,AZ101),"OK","NG")</f>
        <v>OK</v>
      </c>
      <c r="BB101" s="60"/>
      <c r="BC101" s="174" t="s">
        <v>345</v>
      </c>
      <c r="BD101" s="228" t="str">
        <f t="shared" si="100"/>
        <v xml:space="preserve">ａｕひかり ちゅら ホーム                                                                                                                                                                                                                                       </v>
      </c>
      <c r="BE101" s="218" t="str">
        <f t="shared" si="112"/>
        <v>-</v>
      </c>
      <c r="BF101" s="174" t="s">
        <v>345</v>
      </c>
      <c r="BG101" s="92" t="str">
        <f>IF(EXACT(BC101,BF101),"OK","NG")</f>
        <v>OK</v>
      </c>
      <c r="BH101" s="60"/>
      <c r="BI101" s="170" t="s">
        <v>732</v>
      </c>
      <c r="BJ101" s="228" t="str">
        <f t="shared" si="101"/>
        <v xml:space="preserve">ケーブルテレビ                                                                                                                                                                                                                                                 </v>
      </c>
      <c r="BK101" s="218" t="s">
        <v>593</v>
      </c>
      <c r="BL101" s="174" t="s">
        <v>379</v>
      </c>
      <c r="BM101" s="92" t="str">
        <f>IF(EXACT(BI101,BL101),"OK","NG")</f>
        <v>NG</v>
      </c>
      <c r="BN101" s="60"/>
      <c r="BO101" s="174" t="s">
        <v>345</v>
      </c>
      <c r="BP101" s="228" t="str">
        <f t="shared" si="102"/>
        <v xml:space="preserve">ａｕひかり ちゅら ホーム                                                                                                                                                                                                                                       </v>
      </c>
      <c r="BQ101" s="218" t="str">
        <f t="shared" si="113"/>
        <v>-</v>
      </c>
      <c r="BR101" s="174" t="s">
        <v>345</v>
      </c>
      <c r="BS101" s="92" t="str">
        <f>IF(EXACT(BO101,BR101),"OK","NG")</f>
        <v>OK</v>
      </c>
      <c r="BT101" s="60"/>
      <c r="BU101" s="170"/>
      <c r="BV101" s="228" t="str">
        <f t="shared" si="103"/>
        <v xml:space="preserve">                                                                                                                                                                                                                                                               </v>
      </c>
      <c r="BW101" s="218" t="s">
        <v>593</v>
      </c>
      <c r="BX101" s="228"/>
      <c r="BY101" s="218" t="str">
        <f t="shared" si="114"/>
        <v>-</v>
      </c>
      <c r="BZ101" s="60"/>
      <c r="CA101" s="174"/>
      <c r="CB101" s="228" t="str">
        <f t="shared" si="104"/>
        <v xml:space="preserve">                                                                                                                                                                                                                                                               </v>
      </c>
      <c r="CC101" s="218" t="str">
        <f t="shared" si="115"/>
        <v>-</v>
      </c>
      <c r="CD101" s="174"/>
      <c r="CE101" s="92" t="str">
        <f t="shared" ref="CE101:CE128" si="124">IF(EXACT(CA101,CD101),"OK","NG")</f>
        <v>OK</v>
      </c>
      <c r="CF101" s="60"/>
      <c r="CG101" s="174"/>
      <c r="CH101" s="228" t="str">
        <f t="shared" si="105"/>
        <v xml:space="preserve">                                                                                                                                                                                                                                                               </v>
      </c>
      <c r="CI101" s="218" t="str">
        <f t="shared" si="116"/>
        <v>-</v>
      </c>
      <c r="CJ101" s="174"/>
      <c r="CK101" s="92" t="str">
        <f t="shared" ref="CK101:CK128" si="125">IF(EXACT(CG101,CJ101),"OK","NG")</f>
        <v>OK</v>
      </c>
      <c r="CL101" s="60"/>
      <c r="CM101" s="174"/>
      <c r="CN101" s="228" t="str">
        <f t="shared" si="106"/>
        <v xml:space="preserve">                                                                                                                                                                                                                                                               </v>
      </c>
      <c r="CO101" s="218" t="s">
        <v>593</v>
      </c>
      <c r="CP101" s="228"/>
      <c r="CQ101" s="218" t="str">
        <f t="shared" si="117"/>
        <v>-</v>
      </c>
      <c r="CR101" s="60"/>
      <c r="CS101" s="174"/>
      <c r="CT101" s="228" t="str">
        <f t="shared" si="107"/>
        <v xml:space="preserve">                                                                                                                                                                                                                                                               </v>
      </c>
      <c r="CU101" s="218" t="str">
        <f t="shared" si="118"/>
        <v>-</v>
      </c>
      <c r="CV101" s="174"/>
      <c r="CW101" s="92" t="s">
        <v>593</v>
      </c>
      <c r="CX101" s="60"/>
      <c r="CY101" s="174"/>
      <c r="CZ101" s="228" t="str">
        <f t="shared" si="108"/>
        <v xml:space="preserve">                                                                                                                                                                                                                                                               </v>
      </c>
      <c r="DA101" s="218" t="str">
        <f t="shared" si="119"/>
        <v>-</v>
      </c>
      <c r="DB101" s="174"/>
      <c r="DC101" s="92" t="s">
        <v>593</v>
      </c>
    </row>
    <row r="102" spans="2:107" s="26" customFormat="1">
      <c r="B102" s="19">
        <f t="shared" si="109"/>
        <v>95</v>
      </c>
      <c r="C102" s="7"/>
      <c r="D102" s="7"/>
      <c r="E102" s="7"/>
      <c r="F102" s="3" t="s">
        <v>130</v>
      </c>
      <c r="G102" s="3"/>
      <c r="H102" s="4"/>
      <c r="I102" s="6"/>
      <c r="J102" s="6"/>
      <c r="K102" s="6"/>
      <c r="L102" s="6"/>
      <c r="M102" s="23" t="s">
        <v>131</v>
      </c>
      <c r="N102" s="5"/>
      <c r="O102" s="55"/>
      <c r="P102" s="95">
        <f t="shared" si="122"/>
        <v>76</v>
      </c>
      <c r="Q102" s="116">
        <v>256</v>
      </c>
      <c r="R102" s="21" t="str">
        <f t="shared" si="121"/>
        <v>NX</v>
      </c>
      <c r="S102" s="98" t="s">
        <v>132</v>
      </c>
      <c r="T102" s="96"/>
      <c r="U102" s="21" t="s">
        <v>435</v>
      </c>
      <c r="V102" s="10"/>
      <c r="W102" s="28">
        <v>3</v>
      </c>
      <c r="X102" s="5" t="s">
        <v>299</v>
      </c>
      <c r="Y102" s="5">
        <v>1</v>
      </c>
      <c r="Z102" s="5">
        <v>256</v>
      </c>
      <c r="AA102" s="6" t="s">
        <v>300</v>
      </c>
      <c r="AB102" s="6" t="s">
        <v>257</v>
      </c>
      <c r="AC102" s="64"/>
      <c r="AD102" s="60"/>
      <c r="AE102" s="169"/>
      <c r="AF102" s="61" t="str">
        <f t="shared" si="96"/>
        <v xml:space="preserve">                                                                                                                                                                                                                                                                </v>
      </c>
      <c r="AG102" s="218" t="str">
        <f t="shared" si="120"/>
        <v>-</v>
      </c>
      <c r="AH102" s="169"/>
      <c r="AI102" s="92" t="str">
        <f t="shared" si="84"/>
        <v>OK</v>
      </c>
      <c r="AJ102" s="60"/>
      <c r="AK102" s="169"/>
      <c r="AL102" s="61" t="str">
        <f t="shared" si="97"/>
        <v xml:space="preserve">                                                                                                                                                                                                                                                                </v>
      </c>
      <c r="AM102" s="218" t="str">
        <f t="shared" si="110"/>
        <v>-</v>
      </c>
      <c r="AN102" s="169"/>
      <c r="AO102" s="92" t="str">
        <f t="shared" si="123"/>
        <v>OK</v>
      </c>
      <c r="AP102" s="60"/>
      <c r="AQ102" s="172"/>
      <c r="AR102" s="61" t="str">
        <f t="shared" si="98"/>
        <v xml:space="preserve">                                                                                                                                                                                                                                                                </v>
      </c>
      <c r="AS102" s="218" t="s">
        <v>593</v>
      </c>
      <c r="AT102" s="61"/>
      <c r="AU102" s="218" t="str">
        <f t="shared" si="94"/>
        <v>-</v>
      </c>
      <c r="AV102" s="60"/>
      <c r="AW102" s="169"/>
      <c r="AX102" s="61" t="str">
        <f t="shared" si="99"/>
        <v xml:space="preserve">                                                                                                                                                                                                                                                                </v>
      </c>
      <c r="AY102" s="218" t="str">
        <f t="shared" si="111"/>
        <v>-</v>
      </c>
      <c r="AZ102" s="169"/>
      <c r="BA102" s="92" t="str">
        <f>IF(EXACT(AW102,AZ102),"OK","NG")</f>
        <v>OK</v>
      </c>
      <c r="BB102" s="60"/>
      <c r="BC102" s="169"/>
      <c r="BD102" s="61" t="str">
        <f t="shared" si="100"/>
        <v xml:space="preserve">                                                                                                                                                                                                                                                                </v>
      </c>
      <c r="BE102" s="218" t="str">
        <f t="shared" si="112"/>
        <v>-</v>
      </c>
      <c r="BF102" s="169"/>
      <c r="BG102" s="92" t="str">
        <f>IF(EXACT(BC102,BF102),"OK","NG")</f>
        <v>OK</v>
      </c>
      <c r="BH102" s="60"/>
      <c r="BI102" s="170" t="s">
        <v>700</v>
      </c>
      <c r="BJ102" s="61" t="str">
        <f t="shared" si="101"/>
        <v xml:space="preserve">                                                                                                                                                                                                                                                                </v>
      </c>
      <c r="BK102" s="218" t="s">
        <v>593</v>
      </c>
      <c r="BL102" s="169"/>
      <c r="BM102" s="92" t="str">
        <f>IF(EXACT(BI102,BL102),"OK","NG")</f>
        <v>NG</v>
      </c>
      <c r="BN102" s="60"/>
      <c r="BO102" s="169"/>
      <c r="BP102" s="61" t="str">
        <f t="shared" si="102"/>
        <v xml:space="preserve">                                                                                                                                                                                                                                                                </v>
      </c>
      <c r="BQ102" s="218" t="str">
        <f t="shared" si="113"/>
        <v>-</v>
      </c>
      <c r="BR102" s="169"/>
      <c r="BS102" s="92" t="str">
        <f>IF(EXACT(BO102,BR102),"OK","NG")</f>
        <v>OK</v>
      </c>
      <c r="BT102" s="60"/>
      <c r="BU102" s="172"/>
      <c r="BV102" s="61" t="str">
        <f t="shared" si="103"/>
        <v xml:space="preserve">                                                                                                                                                                                                                                                                </v>
      </c>
      <c r="BW102" s="218" t="s">
        <v>593</v>
      </c>
      <c r="BX102" s="61"/>
      <c r="BY102" s="218" t="str">
        <f t="shared" si="114"/>
        <v>-</v>
      </c>
      <c r="BZ102" s="60"/>
      <c r="CA102" s="169"/>
      <c r="CB102" s="61" t="str">
        <f t="shared" si="104"/>
        <v xml:space="preserve">                                                                                                                                                                                                                                                                </v>
      </c>
      <c r="CC102" s="218" t="str">
        <f t="shared" si="115"/>
        <v>-</v>
      </c>
      <c r="CD102" s="169"/>
      <c r="CE102" s="92" t="str">
        <f t="shared" si="124"/>
        <v>OK</v>
      </c>
      <c r="CF102" s="60"/>
      <c r="CG102" s="169"/>
      <c r="CH102" s="61" t="str">
        <f t="shared" si="105"/>
        <v xml:space="preserve">                                                                                                                                                                                                                                                                </v>
      </c>
      <c r="CI102" s="218" t="str">
        <f t="shared" si="116"/>
        <v>-</v>
      </c>
      <c r="CJ102" s="169"/>
      <c r="CK102" s="92" t="str">
        <f t="shared" si="125"/>
        <v>OK</v>
      </c>
      <c r="CL102" s="60"/>
      <c r="CM102" s="169"/>
      <c r="CN102" s="61" t="str">
        <f t="shared" si="106"/>
        <v xml:space="preserve">                                                                                                                                                                                                                                                                </v>
      </c>
      <c r="CO102" s="218" t="s">
        <v>593</v>
      </c>
      <c r="CP102" s="61"/>
      <c r="CQ102" s="218" t="str">
        <f t="shared" si="117"/>
        <v>-</v>
      </c>
      <c r="CR102" s="60"/>
      <c r="CS102" s="169"/>
      <c r="CT102" s="61" t="str">
        <f t="shared" si="107"/>
        <v xml:space="preserve">                                                                                                                                                                                                                                                                </v>
      </c>
      <c r="CU102" s="218" t="str">
        <f t="shared" si="118"/>
        <v>-</v>
      </c>
      <c r="CV102" s="169"/>
      <c r="CW102" s="92" t="s">
        <v>593</v>
      </c>
      <c r="CX102" s="60"/>
      <c r="CY102" s="169"/>
      <c r="CZ102" s="61" t="str">
        <f t="shared" si="108"/>
        <v xml:space="preserve">                                                                                                                                                                                                                                                                </v>
      </c>
      <c r="DA102" s="218" t="str">
        <f t="shared" si="119"/>
        <v>-</v>
      </c>
      <c r="DB102" s="169"/>
      <c r="DC102" s="92" t="s">
        <v>593</v>
      </c>
    </row>
    <row r="103" spans="2:107" s="26" customFormat="1" ht="63.75">
      <c r="B103" s="2">
        <f t="shared" si="109"/>
        <v>96</v>
      </c>
      <c r="C103" s="7"/>
      <c r="D103" s="7"/>
      <c r="E103" s="7"/>
      <c r="F103" s="22" t="s">
        <v>133</v>
      </c>
      <c r="G103" s="16"/>
      <c r="H103" s="13"/>
      <c r="I103" s="8"/>
      <c r="J103" s="8"/>
      <c r="K103" s="8"/>
      <c r="L103" s="8"/>
      <c r="M103" s="11" t="s">
        <v>444</v>
      </c>
      <c r="N103" s="1"/>
      <c r="O103" s="57"/>
      <c r="P103" s="95">
        <f t="shared" si="122"/>
        <v>77</v>
      </c>
      <c r="Q103" s="115">
        <v>256</v>
      </c>
      <c r="R103" s="21" t="str">
        <f t="shared" si="121"/>
        <v>NX</v>
      </c>
      <c r="S103" s="98" t="s">
        <v>134</v>
      </c>
      <c r="T103" s="96"/>
      <c r="U103" s="21" t="s">
        <v>435</v>
      </c>
      <c r="V103" s="10"/>
      <c r="W103" s="25">
        <v>3</v>
      </c>
      <c r="X103" s="1" t="s">
        <v>135</v>
      </c>
      <c r="Y103" s="1">
        <v>1</v>
      </c>
      <c r="Z103" s="1">
        <v>256</v>
      </c>
      <c r="AA103" s="8" t="s">
        <v>129</v>
      </c>
      <c r="AB103" s="8" t="s">
        <v>257</v>
      </c>
      <c r="AC103" s="12"/>
      <c r="AD103" s="60"/>
      <c r="AE103" s="174"/>
      <c r="AF103" s="170" t="str">
        <f t="shared" si="96"/>
        <v xml:space="preserve">                                                                                                                                                                                                                                                                </v>
      </c>
      <c r="AG103" s="218" t="str">
        <f t="shared" si="120"/>
        <v>-</v>
      </c>
      <c r="AH103" s="174"/>
      <c r="AI103" s="92" t="str">
        <f t="shared" ref="AI103:AI126" si="126">IF(EXACT(AE103,AH103),"OK","NG")</f>
        <v>OK</v>
      </c>
      <c r="AJ103" s="60"/>
      <c r="AK103" s="174"/>
      <c r="AL103" s="170" t="str">
        <f t="shared" si="97"/>
        <v xml:space="preserve">                                                                                                                                                                                                                                                                </v>
      </c>
      <c r="AM103" s="218" t="str">
        <f t="shared" si="110"/>
        <v>-</v>
      </c>
      <c r="AN103" s="174"/>
      <c r="AO103" s="92" t="str">
        <f t="shared" si="123"/>
        <v>OK</v>
      </c>
      <c r="AP103" s="60"/>
      <c r="AQ103" s="170"/>
      <c r="AR103" s="170" t="str">
        <f t="shared" si="98"/>
        <v xml:space="preserve">                                                                                                                                                                                                                                                                </v>
      </c>
      <c r="AS103" s="218" t="s">
        <v>593</v>
      </c>
      <c r="AT103" s="170"/>
      <c r="AU103" s="218" t="str">
        <f t="shared" si="94"/>
        <v>-</v>
      </c>
      <c r="AV103" s="60"/>
      <c r="AW103" s="174"/>
      <c r="AX103" s="170" t="str">
        <f t="shared" si="99"/>
        <v xml:space="preserve">                                                                                                                                                                                                                                                                </v>
      </c>
      <c r="AY103" s="218" t="str">
        <f t="shared" si="111"/>
        <v>-</v>
      </c>
      <c r="AZ103" s="174"/>
      <c r="BA103" s="478" t="s">
        <v>594</v>
      </c>
      <c r="BB103" s="60"/>
      <c r="BC103" s="174" t="s">
        <v>330</v>
      </c>
      <c r="BD103" s="170" t="str">
        <f t="shared" si="100"/>
        <v xml:space="preserve">インターネット/TV                                                                                                                                                                                                                                               </v>
      </c>
      <c r="BE103" s="218" t="str">
        <f t="shared" si="112"/>
        <v>-</v>
      </c>
      <c r="BF103" s="174" t="s">
        <v>330</v>
      </c>
      <c r="BG103" s="478" t="s">
        <v>594</v>
      </c>
      <c r="BH103" s="60"/>
      <c r="BI103" s="170" t="s">
        <v>700</v>
      </c>
      <c r="BJ103" s="170" t="str">
        <f t="shared" si="101"/>
        <v xml:space="preserve">                                                                                                                                                                                                                                                                </v>
      </c>
      <c r="BK103" s="218" t="s">
        <v>593</v>
      </c>
      <c r="BL103" s="174"/>
      <c r="BM103" s="478" t="s">
        <v>594</v>
      </c>
      <c r="BN103" s="60"/>
      <c r="BO103" s="174" t="s">
        <v>330</v>
      </c>
      <c r="BP103" s="170" t="str">
        <f t="shared" si="102"/>
        <v xml:space="preserve">インターネット/TV                                                                                                                                                                                                                                               </v>
      </c>
      <c r="BQ103" s="218" t="str">
        <f t="shared" si="113"/>
        <v>-</v>
      </c>
      <c r="BR103" s="174" t="s">
        <v>330</v>
      </c>
      <c r="BS103" s="478" t="s">
        <v>594</v>
      </c>
      <c r="BT103" s="60"/>
      <c r="BU103" s="170"/>
      <c r="BV103" s="170" t="str">
        <f t="shared" si="103"/>
        <v xml:space="preserve">                                                                                                                                                                                                                                                                </v>
      </c>
      <c r="BW103" s="218" t="s">
        <v>593</v>
      </c>
      <c r="BX103" s="170"/>
      <c r="BY103" s="218" t="str">
        <f t="shared" si="114"/>
        <v>-</v>
      </c>
      <c r="BZ103" s="60"/>
      <c r="CA103" s="174"/>
      <c r="CB103" s="170" t="str">
        <f t="shared" si="104"/>
        <v xml:space="preserve">                                                                                                                                                                                                                                                                </v>
      </c>
      <c r="CC103" s="218" t="str">
        <f t="shared" si="115"/>
        <v>-</v>
      </c>
      <c r="CD103" s="174"/>
      <c r="CE103" s="92" t="str">
        <f t="shared" si="124"/>
        <v>OK</v>
      </c>
      <c r="CF103" s="60"/>
      <c r="CG103" s="174"/>
      <c r="CH103" s="170" t="str">
        <f t="shared" si="105"/>
        <v xml:space="preserve">                                                                                                                                                                                                                                                                </v>
      </c>
      <c r="CI103" s="218" t="str">
        <f t="shared" si="116"/>
        <v>-</v>
      </c>
      <c r="CJ103" s="174"/>
      <c r="CK103" s="92" t="str">
        <f t="shared" si="125"/>
        <v>OK</v>
      </c>
      <c r="CL103" s="60"/>
      <c r="CM103" s="174"/>
      <c r="CN103" s="170" t="str">
        <f t="shared" si="106"/>
        <v xml:space="preserve">                                                                                                                                                                                                                                                                </v>
      </c>
      <c r="CO103" s="218" t="s">
        <v>593</v>
      </c>
      <c r="CP103" s="170"/>
      <c r="CQ103" s="218" t="str">
        <f t="shared" si="117"/>
        <v>-</v>
      </c>
      <c r="CR103" s="60"/>
      <c r="CS103" s="174"/>
      <c r="CT103" s="170" t="str">
        <f t="shared" si="107"/>
        <v xml:space="preserve">                                                                                                                                                                                                                                                                </v>
      </c>
      <c r="CU103" s="218" t="str">
        <f t="shared" si="118"/>
        <v>-</v>
      </c>
      <c r="CV103" s="174"/>
      <c r="CW103" s="92" t="s">
        <v>593</v>
      </c>
      <c r="CX103" s="60"/>
      <c r="CY103" s="174"/>
      <c r="CZ103" s="170" t="str">
        <f t="shared" si="108"/>
        <v xml:space="preserve">                                                                                                                                                                                                                                                                </v>
      </c>
      <c r="DA103" s="218" t="str">
        <f t="shared" si="119"/>
        <v>-</v>
      </c>
      <c r="DB103" s="174"/>
      <c r="DC103" s="92" t="s">
        <v>593</v>
      </c>
    </row>
    <row r="104" spans="2:107" s="26" customFormat="1" ht="63.75">
      <c r="B104" s="2">
        <f t="shared" si="109"/>
        <v>97</v>
      </c>
      <c r="C104" s="7"/>
      <c r="D104" s="7"/>
      <c r="E104" s="7"/>
      <c r="F104" s="22" t="s">
        <v>136</v>
      </c>
      <c r="G104" s="16"/>
      <c r="H104" s="13"/>
      <c r="I104" s="8"/>
      <c r="J104" s="8"/>
      <c r="K104" s="8"/>
      <c r="L104" s="8"/>
      <c r="M104" s="11" t="s">
        <v>445</v>
      </c>
      <c r="N104" s="1"/>
      <c r="O104" s="57"/>
      <c r="P104" s="95">
        <f t="shared" si="122"/>
        <v>78</v>
      </c>
      <c r="Q104" s="115">
        <v>256</v>
      </c>
      <c r="R104" s="21" t="str">
        <f t="shared" si="121"/>
        <v>NX</v>
      </c>
      <c r="S104" s="98" t="s">
        <v>137</v>
      </c>
      <c r="T104" s="96"/>
      <c r="U104" s="21" t="s">
        <v>435</v>
      </c>
      <c r="V104" s="10"/>
      <c r="W104" s="25">
        <v>3</v>
      </c>
      <c r="X104" s="1" t="s">
        <v>138</v>
      </c>
      <c r="Y104" s="1">
        <v>1</v>
      </c>
      <c r="Z104" s="1">
        <v>256</v>
      </c>
      <c r="AA104" s="8" t="s">
        <v>129</v>
      </c>
      <c r="AB104" s="8" t="s">
        <v>257</v>
      </c>
      <c r="AC104" s="12"/>
      <c r="AD104" s="60"/>
      <c r="AE104" s="174"/>
      <c r="AF104" s="170" t="str">
        <f t="shared" si="96"/>
        <v xml:space="preserve">                                                                                                                                                                                                                                                                </v>
      </c>
      <c r="AG104" s="218" t="str">
        <f t="shared" si="120"/>
        <v>-</v>
      </c>
      <c r="AH104" s="174"/>
      <c r="AI104" s="92" t="str">
        <f t="shared" si="126"/>
        <v>OK</v>
      </c>
      <c r="AJ104" s="60"/>
      <c r="AK104" s="174"/>
      <c r="AL104" s="170" t="str">
        <f t="shared" si="97"/>
        <v xml:space="preserve">                                                                                                                                                                                                                                                                </v>
      </c>
      <c r="AM104" s="218" t="str">
        <f t="shared" si="110"/>
        <v>-</v>
      </c>
      <c r="AN104" s="174"/>
      <c r="AO104" s="92" t="str">
        <f t="shared" si="123"/>
        <v>OK</v>
      </c>
      <c r="AP104" s="60"/>
      <c r="AQ104" s="170"/>
      <c r="AR104" s="170" t="str">
        <f t="shared" si="98"/>
        <v xml:space="preserve">                                                                                                                                                                                                                                                                </v>
      </c>
      <c r="AS104" s="218" t="s">
        <v>593</v>
      </c>
      <c r="AT104" s="170"/>
      <c r="AU104" s="218" t="str">
        <f t="shared" si="94"/>
        <v>-</v>
      </c>
      <c r="AV104" s="60"/>
      <c r="AW104" s="174"/>
      <c r="AX104" s="170" t="str">
        <f t="shared" si="99"/>
        <v xml:space="preserve">                                                                                                                                                                                                                                                                </v>
      </c>
      <c r="AY104" s="218" t="str">
        <f t="shared" si="111"/>
        <v>-</v>
      </c>
      <c r="AZ104" s="174"/>
      <c r="BA104" s="478" t="s">
        <v>594</v>
      </c>
      <c r="BB104" s="60"/>
      <c r="BC104" s="174" t="s">
        <v>324</v>
      </c>
      <c r="BD104" s="170" t="str">
        <f t="shared" si="100"/>
        <v xml:space="preserve">電話                                                                                                                                                                                                                                                            </v>
      </c>
      <c r="BE104" s="218" t="str">
        <f t="shared" si="112"/>
        <v>-</v>
      </c>
      <c r="BF104" s="174" t="s">
        <v>324</v>
      </c>
      <c r="BG104" s="478" t="s">
        <v>594</v>
      </c>
      <c r="BH104" s="60"/>
      <c r="BI104" s="170" t="s">
        <v>700</v>
      </c>
      <c r="BJ104" s="170" t="str">
        <f t="shared" si="101"/>
        <v xml:space="preserve">                                                                                                                                                                                                                                                                </v>
      </c>
      <c r="BK104" s="218" t="s">
        <v>593</v>
      </c>
      <c r="BL104" s="174"/>
      <c r="BM104" s="478" t="s">
        <v>594</v>
      </c>
      <c r="BN104" s="60"/>
      <c r="BO104" s="174" t="s">
        <v>324</v>
      </c>
      <c r="BP104" s="170" t="str">
        <f t="shared" si="102"/>
        <v xml:space="preserve">電話                                                                                                                                                                                                                                                            </v>
      </c>
      <c r="BQ104" s="218" t="str">
        <f t="shared" si="113"/>
        <v>-</v>
      </c>
      <c r="BR104" s="174" t="s">
        <v>324</v>
      </c>
      <c r="BS104" s="478" t="s">
        <v>594</v>
      </c>
      <c r="BT104" s="60"/>
      <c r="BU104" s="170"/>
      <c r="BV104" s="170" t="str">
        <f t="shared" si="103"/>
        <v xml:space="preserve">                                                                                                                                                                                                                                                                </v>
      </c>
      <c r="BW104" s="218" t="s">
        <v>593</v>
      </c>
      <c r="BX104" s="170"/>
      <c r="BY104" s="218" t="str">
        <f t="shared" si="114"/>
        <v>-</v>
      </c>
      <c r="BZ104" s="60"/>
      <c r="CA104" s="174"/>
      <c r="CB104" s="170" t="str">
        <f t="shared" si="104"/>
        <v xml:space="preserve">                                                                                                                                                                                                                                                                </v>
      </c>
      <c r="CC104" s="218" t="str">
        <f t="shared" si="115"/>
        <v>-</v>
      </c>
      <c r="CD104" s="174"/>
      <c r="CE104" s="92" t="str">
        <f t="shared" si="124"/>
        <v>OK</v>
      </c>
      <c r="CF104" s="60"/>
      <c r="CG104" s="174"/>
      <c r="CH104" s="170" t="str">
        <f t="shared" si="105"/>
        <v xml:space="preserve">                                                                                                                                                                                                                                                                </v>
      </c>
      <c r="CI104" s="218" t="str">
        <f t="shared" si="116"/>
        <v>-</v>
      </c>
      <c r="CJ104" s="174"/>
      <c r="CK104" s="92" t="str">
        <f t="shared" si="125"/>
        <v>OK</v>
      </c>
      <c r="CL104" s="60"/>
      <c r="CM104" s="174"/>
      <c r="CN104" s="170" t="str">
        <f t="shared" si="106"/>
        <v xml:space="preserve">                                                                                                                                                                                                                                                                </v>
      </c>
      <c r="CO104" s="218" t="s">
        <v>593</v>
      </c>
      <c r="CP104" s="170"/>
      <c r="CQ104" s="218" t="str">
        <f t="shared" si="117"/>
        <v>-</v>
      </c>
      <c r="CR104" s="60"/>
      <c r="CS104" s="174"/>
      <c r="CT104" s="170" t="str">
        <f t="shared" si="107"/>
        <v xml:space="preserve">                                                                                                                                                                                                                                                                </v>
      </c>
      <c r="CU104" s="218" t="str">
        <f t="shared" si="118"/>
        <v>-</v>
      </c>
      <c r="CV104" s="174"/>
      <c r="CW104" s="92" t="s">
        <v>593</v>
      </c>
      <c r="CX104" s="60"/>
      <c r="CY104" s="174"/>
      <c r="CZ104" s="170" t="str">
        <f t="shared" si="108"/>
        <v xml:space="preserve">                                                                                                                                                                                                                                                                </v>
      </c>
      <c r="DA104" s="218" t="str">
        <f t="shared" si="119"/>
        <v>-</v>
      </c>
      <c r="DB104" s="174"/>
      <c r="DC104" s="92" t="s">
        <v>593</v>
      </c>
    </row>
    <row r="105" spans="2:107" s="26" customFormat="1" ht="69" customHeight="1">
      <c r="B105" s="19">
        <f t="shared" si="109"/>
        <v>98</v>
      </c>
      <c r="C105" s="7"/>
      <c r="D105" s="7"/>
      <c r="E105" s="7"/>
      <c r="F105" s="112" t="s">
        <v>446</v>
      </c>
      <c r="G105" s="16"/>
      <c r="H105" s="13"/>
      <c r="I105" s="8"/>
      <c r="J105" s="8" t="s">
        <v>426</v>
      </c>
      <c r="K105" s="8"/>
      <c r="L105" s="8"/>
      <c r="M105" s="11" t="s">
        <v>301</v>
      </c>
      <c r="N105" s="1"/>
      <c r="O105" s="57"/>
      <c r="P105" s="95">
        <f t="shared" si="122"/>
        <v>79</v>
      </c>
      <c r="Q105" s="115">
        <v>1</v>
      </c>
      <c r="R105" s="21" t="s">
        <v>418</v>
      </c>
      <c r="S105" s="98" t="s">
        <v>139</v>
      </c>
      <c r="T105" s="96"/>
      <c r="U105" s="21" t="s">
        <v>435</v>
      </c>
      <c r="V105" s="10"/>
      <c r="W105" s="25">
        <v>3</v>
      </c>
      <c r="X105" s="1" t="s">
        <v>140</v>
      </c>
      <c r="Y105" s="1">
        <v>1</v>
      </c>
      <c r="Z105" s="1">
        <v>1</v>
      </c>
      <c r="AA105" s="8">
        <v>9</v>
      </c>
      <c r="AB105" s="8" t="s">
        <v>21</v>
      </c>
      <c r="AC105" s="12"/>
      <c r="AD105" s="60"/>
      <c r="AE105" s="174"/>
      <c r="AF105" s="61" t="str">
        <f t="shared" si="96"/>
        <v xml:space="preserve"> </v>
      </c>
      <c r="AG105" s="218" t="str">
        <f t="shared" si="120"/>
        <v>-</v>
      </c>
      <c r="AH105" s="174"/>
      <c r="AI105" s="92" t="str">
        <f t="shared" si="126"/>
        <v>OK</v>
      </c>
      <c r="AJ105" s="60"/>
      <c r="AK105" s="174"/>
      <c r="AL105" s="61" t="str">
        <f t="shared" si="97"/>
        <v xml:space="preserve"> </v>
      </c>
      <c r="AM105" s="218" t="str">
        <f t="shared" si="110"/>
        <v>-</v>
      </c>
      <c r="AN105" s="174"/>
      <c r="AO105" s="92" t="str">
        <f t="shared" si="123"/>
        <v>OK</v>
      </c>
      <c r="AP105" s="60"/>
      <c r="AQ105" s="170"/>
      <c r="AR105" s="61" t="str">
        <f t="shared" si="98"/>
        <v xml:space="preserve"> </v>
      </c>
      <c r="AS105" s="218" t="s">
        <v>593</v>
      </c>
      <c r="AT105" s="61"/>
      <c r="AU105" s="218" t="str">
        <f t="shared" si="94"/>
        <v>-</v>
      </c>
      <c r="AV105" s="60"/>
      <c r="AW105" s="174" t="s">
        <v>33</v>
      </c>
      <c r="AX105" s="61" t="str">
        <f t="shared" si="99"/>
        <v>1</v>
      </c>
      <c r="AY105" s="218" t="str">
        <f t="shared" si="111"/>
        <v>-</v>
      </c>
      <c r="AZ105" s="174" t="s">
        <v>33</v>
      </c>
      <c r="BA105" s="478" t="s">
        <v>594</v>
      </c>
      <c r="BB105" s="60"/>
      <c r="BC105" s="174" t="s">
        <v>33</v>
      </c>
      <c r="BD105" s="61" t="str">
        <f t="shared" si="100"/>
        <v>1</v>
      </c>
      <c r="BE105" s="218" t="str">
        <f t="shared" si="112"/>
        <v>-</v>
      </c>
      <c r="BF105" s="174" t="s">
        <v>33</v>
      </c>
      <c r="BG105" s="478" t="s">
        <v>594</v>
      </c>
      <c r="BH105" s="60"/>
      <c r="BI105" s="170" t="s">
        <v>33</v>
      </c>
      <c r="BJ105" s="61" t="str">
        <f t="shared" si="101"/>
        <v>1</v>
      </c>
      <c r="BK105" s="218" t="s">
        <v>593</v>
      </c>
      <c r="BL105" s="174" t="s">
        <v>33</v>
      </c>
      <c r="BM105" s="478" t="s">
        <v>594</v>
      </c>
      <c r="BN105" s="60"/>
      <c r="BO105" s="174" t="s">
        <v>33</v>
      </c>
      <c r="BP105" s="61" t="str">
        <f t="shared" si="102"/>
        <v>1</v>
      </c>
      <c r="BQ105" s="218" t="str">
        <f t="shared" si="113"/>
        <v>-</v>
      </c>
      <c r="BR105" s="174" t="s">
        <v>33</v>
      </c>
      <c r="BS105" s="478" t="s">
        <v>594</v>
      </c>
      <c r="BT105" s="60"/>
      <c r="BU105" s="170"/>
      <c r="BV105" s="61" t="str">
        <f t="shared" si="103"/>
        <v xml:space="preserve"> </v>
      </c>
      <c r="BW105" s="218" t="s">
        <v>593</v>
      </c>
      <c r="BX105" s="61"/>
      <c r="BY105" s="218" t="str">
        <f t="shared" si="114"/>
        <v>-</v>
      </c>
      <c r="BZ105" s="60"/>
      <c r="CA105" s="174"/>
      <c r="CB105" s="61" t="str">
        <f t="shared" si="104"/>
        <v xml:space="preserve"> </v>
      </c>
      <c r="CC105" s="218" t="str">
        <f t="shared" si="115"/>
        <v>-</v>
      </c>
      <c r="CD105" s="174"/>
      <c r="CE105" s="92" t="str">
        <f t="shared" si="124"/>
        <v>OK</v>
      </c>
      <c r="CF105" s="60"/>
      <c r="CG105" s="174"/>
      <c r="CH105" s="61" t="str">
        <f t="shared" si="105"/>
        <v xml:space="preserve"> </v>
      </c>
      <c r="CI105" s="218" t="str">
        <f t="shared" si="116"/>
        <v>-</v>
      </c>
      <c r="CJ105" s="174"/>
      <c r="CK105" s="92" t="str">
        <f t="shared" si="125"/>
        <v>OK</v>
      </c>
      <c r="CL105" s="60"/>
      <c r="CM105" s="174"/>
      <c r="CN105" s="61" t="str">
        <f t="shared" si="106"/>
        <v xml:space="preserve"> </v>
      </c>
      <c r="CO105" s="218" t="s">
        <v>593</v>
      </c>
      <c r="CP105" s="61"/>
      <c r="CQ105" s="218" t="str">
        <f t="shared" si="117"/>
        <v>-</v>
      </c>
      <c r="CR105" s="60"/>
      <c r="CS105" s="174"/>
      <c r="CT105" s="61" t="str">
        <f t="shared" si="107"/>
        <v xml:space="preserve"> </v>
      </c>
      <c r="CU105" s="218" t="str">
        <f t="shared" si="118"/>
        <v>-</v>
      </c>
      <c r="CV105" s="174"/>
      <c r="CW105" s="92" t="s">
        <v>593</v>
      </c>
      <c r="CX105" s="60"/>
      <c r="CY105" s="174"/>
      <c r="CZ105" s="61" t="str">
        <f t="shared" si="108"/>
        <v xml:space="preserve"> </v>
      </c>
      <c r="DA105" s="218" t="str">
        <f t="shared" si="119"/>
        <v>-</v>
      </c>
      <c r="DB105" s="174"/>
      <c r="DC105" s="92" t="s">
        <v>593</v>
      </c>
    </row>
    <row r="106" spans="2:107" s="26" customFormat="1" ht="114.75">
      <c r="B106" s="2">
        <f t="shared" si="109"/>
        <v>99</v>
      </c>
      <c r="C106" s="7"/>
      <c r="D106" s="7"/>
      <c r="E106" s="7"/>
      <c r="F106" s="22" t="s">
        <v>141</v>
      </c>
      <c r="G106" s="16"/>
      <c r="H106" s="13"/>
      <c r="I106" s="8"/>
      <c r="J106" s="8"/>
      <c r="K106" s="8"/>
      <c r="L106" s="8"/>
      <c r="M106" s="418" t="s">
        <v>221</v>
      </c>
      <c r="N106" s="1"/>
      <c r="O106" s="57"/>
      <c r="P106" s="95">
        <f t="shared" si="122"/>
        <v>80</v>
      </c>
      <c r="Q106" s="115">
        <v>1</v>
      </c>
      <c r="R106" s="21" t="s">
        <v>418</v>
      </c>
      <c r="S106" s="98" t="s">
        <v>142</v>
      </c>
      <c r="T106" s="96"/>
      <c r="U106" s="21" t="s">
        <v>435</v>
      </c>
      <c r="V106" s="10"/>
      <c r="W106" s="25">
        <v>3</v>
      </c>
      <c r="X106" s="1" t="s">
        <v>20</v>
      </c>
      <c r="Y106" s="1">
        <v>1</v>
      </c>
      <c r="Z106" s="1">
        <v>1</v>
      </c>
      <c r="AA106" s="8">
        <v>9</v>
      </c>
      <c r="AB106" s="8" t="s">
        <v>21</v>
      </c>
      <c r="AC106" s="103"/>
      <c r="AD106" s="60"/>
      <c r="AE106" s="174"/>
      <c r="AF106" s="61" t="str">
        <f t="shared" si="96"/>
        <v xml:space="preserve"> </v>
      </c>
      <c r="AG106" s="218" t="str">
        <f t="shared" si="120"/>
        <v>-</v>
      </c>
      <c r="AH106" s="174"/>
      <c r="AI106" s="92" t="str">
        <f t="shared" si="126"/>
        <v>OK</v>
      </c>
      <c r="AJ106" s="60"/>
      <c r="AK106" s="174"/>
      <c r="AL106" s="61" t="str">
        <f t="shared" si="97"/>
        <v xml:space="preserve"> </v>
      </c>
      <c r="AM106" s="218" t="str">
        <f t="shared" si="110"/>
        <v>-</v>
      </c>
      <c r="AN106" s="174"/>
      <c r="AO106" s="92" t="str">
        <f t="shared" si="123"/>
        <v>OK</v>
      </c>
      <c r="AP106" s="60"/>
      <c r="AQ106" s="170"/>
      <c r="AR106" s="61" t="str">
        <f t="shared" si="98"/>
        <v xml:space="preserve"> </v>
      </c>
      <c r="AS106" s="218" t="s">
        <v>593</v>
      </c>
      <c r="AT106" s="61"/>
      <c r="AU106" s="218" t="str">
        <f t="shared" si="94"/>
        <v>-</v>
      </c>
      <c r="AV106" s="60"/>
      <c r="AW106" s="174"/>
      <c r="AX106" s="61" t="str">
        <f t="shared" si="99"/>
        <v xml:space="preserve"> </v>
      </c>
      <c r="AY106" s="218" t="str">
        <f t="shared" si="111"/>
        <v>-</v>
      </c>
      <c r="AZ106" s="174"/>
      <c r="BA106" s="478" t="s">
        <v>594</v>
      </c>
      <c r="BB106" s="60"/>
      <c r="BC106" s="174" t="s">
        <v>33</v>
      </c>
      <c r="BD106" s="61" t="str">
        <f t="shared" si="100"/>
        <v>1</v>
      </c>
      <c r="BE106" s="218" t="str">
        <f t="shared" si="112"/>
        <v>-</v>
      </c>
      <c r="BF106" s="174" t="s">
        <v>33</v>
      </c>
      <c r="BG106" s="478" t="s">
        <v>594</v>
      </c>
      <c r="BH106" s="60"/>
      <c r="BI106" s="170" t="s">
        <v>38</v>
      </c>
      <c r="BJ106" s="61" t="str">
        <f t="shared" si="101"/>
        <v xml:space="preserve"> </v>
      </c>
      <c r="BK106" s="218" t="s">
        <v>593</v>
      </c>
      <c r="BL106" s="174"/>
      <c r="BM106" s="478" t="s">
        <v>594</v>
      </c>
      <c r="BN106" s="60"/>
      <c r="BO106" s="174" t="s">
        <v>33</v>
      </c>
      <c r="BP106" s="61" t="str">
        <f t="shared" si="102"/>
        <v>1</v>
      </c>
      <c r="BQ106" s="218" t="str">
        <f t="shared" si="113"/>
        <v>-</v>
      </c>
      <c r="BR106" s="174" t="s">
        <v>33</v>
      </c>
      <c r="BS106" s="478" t="s">
        <v>594</v>
      </c>
      <c r="BT106" s="60"/>
      <c r="BU106" s="170"/>
      <c r="BV106" s="61" t="str">
        <f t="shared" si="103"/>
        <v xml:space="preserve"> </v>
      </c>
      <c r="BW106" s="218" t="s">
        <v>593</v>
      </c>
      <c r="BX106" s="61"/>
      <c r="BY106" s="218" t="str">
        <f t="shared" si="114"/>
        <v>-</v>
      </c>
      <c r="BZ106" s="60"/>
      <c r="CA106" s="174"/>
      <c r="CB106" s="61" t="str">
        <f t="shared" si="104"/>
        <v xml:space="preserve"> </v>
      </c>
      <c r="CC106" s="218" t="str">
        <f t="shared" si="115"/>
        <v>-</v>
      </c>
      <c r="CD106" s="174"/>
      <c r="CE106" s="92" t="str">
        <f t="shared" si="124"/>
        <v>OK</v>
      </c>
      <c r="CF106" s="60"/>
      <c r="CG106" s="174"/>
      <c r="CH106" s="61" t="str">
        <f t="shared" si="105"/>
        <v xml:space="preserve"> </v>
      </c>
      <c r="CI106" s="218" t="str">
        <f t="shared" si="116"/>
        <v>-</v>
      </c>
      <c r="CJ106" s="174"/>
      <c r="CK106" s="92" t="str">
        <f t="shared" si="125"/>
        <v>OK</v>
      </c>
      <c r="CL106" s="60"/>
      <c r="CM106" s="174"/>
      <c r="CN106" s="61" t="str">
        <f t="shared" si="106"/>
        <v xml:space="preserve"> </v>
      </c>
      <c r="CO106" s="218" t="s">
        <v>593</v>
      </c>
      <c r="CP106" s="61"/>
      <c r="CQ106" s="218" t="str">
        <f t="shared" si="117"/>
        <v>-</v>
      </c>
      <c r="CR106" s="60"/>
      <c r="CS106" s="174"/>
      <c r="CT106" s="61" t="str">
        <f t="shared" si="107"/>
        <v xml:space="preserve"> </v>
      </c>
      <c r="CU106" s="218" t="str">
        <f t="shared" si="118"/>
        <v>-</v>
      </c>
      <c r="CV106" s="174"/>
      <c r="CW106" s="92" t="s">
        <v>593</v>
      </c>
      <c r="CX106" s="60"/>
      <c r="CY106" s="174"/>
      <c r="CZ106" s="61" t="str">
        <f t="shared" si="108"/>
        <v xml:space="preserve"> </v>
      </c>
      <c r="DA106" s="218" t="str">
        <f t="shared" si="119"/>
        <v>-</v>
      </c>
      <c r="DB106" s="174"/>
      <c r="DC106" s="92" t="s">
        <v>593</v>
      </c>
    </row>
    <row r="107" spans="2:107" s="26" customFormat="1" ht="129" customHeight="1">
      <c r="B107" s="65">
        <f t="shared" si="109"/>
        <v>100</v>
      </c>
      <c r="C107" s="7"/>
      <c r="D107" s="7"/>
      <c r="E107" s="7"/>
      <c r="F107" s="112" t="s">
        <v>143</v>
      </c>
      <c r="G107" s="16"/>
      <c r="H107" s="13"/>
      <c r="I107" s="8"/>
      <c r="J107" s="8"/>
      <c r="K107" s="8"/>
      <c r="L107" s="8"/>
      <c r="M107" s="11" t="s">
        <v>447</v>
      </c>
      <c r="N107" s="1"/>
      <c r="O107" s="57"/>
      <c r="P107" s="95">
        <f t="shared" si="122"/>
        <v>81</v>
      </c>
      <c r="Q107" s="115">
        <v>1</v>
      </c>
      <c r="R107" s="21" t="str">
        <f t="shared" ref="R107:R123" si="127">IF(AA107="M","NX",AA107)</f>
        <v>X</v>
      </c>
      <c r="S107" s="98" t="s">
        <v>189</v>
      </c>
      <c r="T107" s="96"/>
      <c r="U107" s="21" t="s">
        <v>435</v>
      </c>
      <c r="V107" s="10"/>
      <c r="W107" s="25">
        <v>3</v>
      </c>
      <c r="X107" s="1" t="s">
        <v>302</v>
      </c>
      <c r="Y107" s="1">
        <v>1</v>
      </c>
      <c r="Z107" s="1">
        <v>1</v>
      </c>
      <c r="AA107" s="8" t="s">
        <v>261</v>
      </c>
      <c r="AB107" s="8" t="s">
        <v>257</v>
      </c>
      <c r="AC107" s="12"/>
      <c r="AD107" s="60"/>
      <c r="AE107" s="174"/>
      <c r="AF107" s="61" t="str">
        <f t="shared" si="96"/>
        <v xml:space="preserve"> </v>
      </c>
      <c r="AG107" s="218" t="str">
        <f t="shared" si="120"/>
        <v>-</v>
      </c>
      <c r="AH107" s="174"/>
      <c r="AI107" s="92" t="str">
        <f t="shared" si="126"/>
        <v>OK</v>
      </c>
      <c r="AJ107" s="60"/>
      <c r="AK107" s="174"/>
      <c r="AL107" s="61" t="str">
        <f t="shared" si="97"/>
        <v xml:space="preserve"> </v>
      </c>
      <c r="AM107" s="218" t="str">
        <f t="shared" si="110"/>
        <v>-</v>
      </c>
      <c r="AN107" s="174"/>
      <c r="AO107" s="92" t="str">
        <f t="shared" si="123"/>
        <v>OK</v>
      </c>
      <c r="AP107" s="60"/>
      <c r="AQ107" s="170"/>
      <c r="AR107" s="61" t="str">
        <f t="shared" si="98"/>
        <v xml:space="preserve"> </v>
      </c>
      <c r="AS107" s="218" t="s">
        <v>593</v>
      </c>
      <c r="AT107" s="61"/>
      <c r="AU107" s="218" t="str">
        <f t="shared" si="94"/>
        <v>-</v>
      </c>
      <c r="AV107" s="60"/>
      <c r="AW107" s="174" t="s">
        <v>33</v>
      </c>
      <c r="AX107" s="61" t="str">
        <f t="shared" si="99"/>
        <v>1</v>
      </c>
      <c r="AY107" s="218" t="str">
        <f t="shared" si="111"/>
        <v>-</v>
      </c>
      <c r="AZ107" s="174" t="s">
        <v>33</v>
      </c>
      <c r="BA107" s="478" t="s">
        <v>594</v>
      </c>
      <c r="BB107" s="60"/>
      <c r="BC107" s="174" t="s">
        <v>33</v>
      </c>
      <c r="BD107" s="61" t="str">
        <f t="shared" si="100"/>
        <v>1</v>
      </c>
      <c r="BE107" s="218" t="str">
        <f t="shared" si="112"/>
        <v>-</v>
      </c>
      <c r="BF107" s="174" t="s">
        <v>33</v>
      </c>
      <c r="BG107" s="478" t="s">
        <v>594</v>
      </c>
      <c r="BH107" s="60"/>
      <c r="BI107" s="170" t="s">
        <v>33</v>
      </c>
      <c r="BJ107" s="61" t="str">
        <f t="shared" si="101"/>
        <v>1</v>
      </c>
      <c r="BK107" s="218" t="s">
        <v>593</v>
      </c>
      <c r="BL107" s="174" t="s">
        <v>33</v>
      </c>
      <c r="BM107" s="478" t="s">
        <v>594</v>
      </c>
      <c r="BN107" s="60"/>
      <c r="BO107" s="174" t="s">
        <v>33</v>
      </c>
      <c r="BP107" s="61" t="str">
        <f t="shared" si="102"/>
        <v>1</v>
      </c>
      <c r="BQ107" s="218" t="str">
        <f t="shared" si="113"/>
        <v>-</v>
      </c>
      <c r="BR107" s="174" t="s">
        <v>33</v>
      </c>
      <c r="BS107" s="478" t="s">
        <v>594</v>
      </c>
      <c r="BT107" s="60"/>
      <c r="BU107" s="170"/>
      <c r="BV107" s="61" t="str">
        <f t="shared" si="103"/>
        <v xml:space="preserve"> </v>
      </c>
      <c r="BW107" s="218" t="s">
        <v>593</v>
      </c>
      <c r="BX107" s="61"/>
      <c r="BY107" s="218" t="str">
        <f t="shared" si="114"/>
        <v>-</v>
      </c>
      <c r="BZ107" s="60"/>
      <c r="CA107" s="174"/>
      <c r="CB107" s="61" t="str">
        <f t="shared" si="104"/>
        <v xml:space="preserve"> </v>
      </c>
      <c r="CC107" s="218" t="str">
        <f t="shared" si="115"/>
        <v>-</v>
      </c>
      <c r="CD107" s="174"/>
      <c r="CE107" s="92" t="str">
        <f t="shared" si="124"/>
        <v>OK</v>
      </c>
      <c r="CF107" s="60"/>
      <c r="CG107" s="174"/>
      <c r="CH107" s="61" t="str">
        <f t="shared" si="105"/>
        <v xml:space="preserve"> </v>
      </c>
      <c r="CI107" s="218" t="str">
        <f t="shared" si="116"/>
        <v>-</v>
      </c>
      <c r="CJ107" s="174"/>
      <c r="CK107" s="92" t="str">
        <f t="shared" si="125"/>
        <v>OK</v>
      </c>
      <c r="CL107" s="60"/>
      <c r="CM107" s="174"/>
      <c r="CN107" s="61" t="str">
        <f t="shared" si="106"/>
        <v xml:space="preserve"> </v>
      </c>
      <c r="CO107" s="218" t="s">
        <v>593</v>
      </c>
      <c r="CP107" s="61"/>
      <c r="CQ107" s="218" t="str">
        <f t="shared" si="117"/>
        <v>-</v>
      </c>
      <c r="CR107" s="60"/>
      <c r="CS107" s="174"/>
      <c r="CT107" s="61" t="str">
        <f t="shared" si="107"/>
        <v xml:space="preserve"> </v>
      </c>
      <c r="CU107" s="218" t="str">
        <f t="shared" si="118"/>
        <v>-</v>
      </c>
      <c r="CV107" s="174"/>
      <c r="CW107" s="92" t="s">
        <v>593</v>
      </c>
      <c r="CX107" s="60"/>
      <c r="CY107" s="174"/>
      <c r="CZ107" s="61" t="str">
        <f t="shared" si="108"/>
        <v xml:space="preserve"> </v>
      </c>
      <c r="DA107" s="218" t="str">
        <f t="shared" si="119"/>
        <v>-</v>
      </c>
      <c r="DB107" s="174"/>
      <c r="DC107" s="92" t="s">
        <v>593</v>
      </c>
    </row>
    <row r="108" spans="2:107" s="26" customFormat="1">
      <c r="B108" s="65">
        <f t="shared" si="109"/>
        <v>101</v>
      </c>
      <c r="C108" s="7"/>
      <c r="D108" s="7"/>
      <c r="E108" s="7"/>
      <c r="F108" s="22" t="s">
        <v>144</v>
      </c>
      <c r="G108" s="16"/>
      <c r="H108" s="13"/>
      <c r="I108" s="8"/>
      <c r="J108" s="8"/>
      <c r="K108" s="8"/>
      <c r="L108" s="8"/>
      <c r="M108" s="418" t="s">
        <v>145</v>
      </c>
      <c r="N108" s="1"/>
      <c r="O108" s="57"/>
      <c r="P108" s="95">
        <f t="shared" si="122"/>
        <v>82</v>
      </c>
      <c r="Q108" s="115">
        <v>400</v>
      </c>
      <c r="R108" s="21" t="str">
        <f t="shared" si="127"/>
        <v>NX</v>
      </c>
      <c r="S108" s="98" t="s">
        <v>146</v>
      </c>
      <c r="T108" s="96"/>
      <c r="U108" s="21" t="s">
        <v>435</v>
      </c>
      <c r="V108" s="10"/>
      <c r="W108" s="25">
        <v>3</v>
      </c>
      <c r="X108" s="1" t="s">
        <v>147</v>
      </c>
      <c r="Y108" s="1">
        <v>1</v>
      </c>
      <c r="Z108" s="1">
        <v>400</v>
      </c>
      <c r="AA108" s="8" t="s">
        <v>129</v>
      </c>
      <c r="AB108" s="8" t="s">
        <v>257</v>
      </c>
      <c r="AC108" s="12"/>
      <c r="AD108" s="60"/>
      <c r="AE108" s="174"/>
      <c r="AF108" s="271" t="str">
        <f t="shared" si="96"/>
        <v xml:space="preserve">                                                                                                                                                                                                                                                                                                                                                                                                                </v>
      </c>
      <c r="AG108" s="218" t="str">
        <f t="shared" si="120"/>
        <v>-</v>
      </c>
      <c r="AH108" s="174"/>
      <c r="AI108" s="92" t="str">
        <f t="shared" si="126"/>
        <v>OK</v>
      </c>
      <c r="AJ108" s="60"/>
      <c r="AK108" s="174"/>
      <c r="AL108" s="271" t="str">
        <f t="shared" si="97"/>
        <v xml:space="preserve">                                                                                                                                                                                                                                                                                                                                                                                                                </v>
      </c>
      <c r="AM108" s="218" t="str">
        <f t="shared" si="110"/>
        <v>-</v>
      </c>
      <c r="AN108" s="174"/>
      <c r="AO108" s="92" t="str">
        <f t="shared" si="123"/>
        <v>OK</v>
      </c>
      <c r="AP108" s="60"/>
      <c r="AQ108" s="170"/>
      <c r="AR108" s="271" t="str">
        <f t="shared" si="98"/>
        <v xml:space="preserve">                                                                                                                                                                                                                                                                                                                                                                                                                </v>
      </c>
      <c r="AS108" s="218" t="s">
        <v>593</v>
      </c>
      <c r="AT108" s="271"/>
      <c r="AU108" s="218" t="str">
        <f t="shared" si="94"/>
        <v>-</v>
      </c>
      <c r="AV108" s="60"/>
      <c r="AW108" s="174" t="s">
        <v>190</v>
      </c>
      <c r="AX108" s="271" t="str">
        <f t="shared" si="99"/>
        <v xml:space="preserve">申込受付中。                                                                                                                                                                                                                                                                                                                                                                                                    </v>
      </c>
      <c r="AY108" s="218" t="str">
        <f t="shared" si="111"/>
        <v>-</v>
      </c>
      <c r="AZ108" s="174" t="s">
        <v>190</v>
      </c>
      <c r="BA108" s="478" t="s">
        <v>594</v>
      </c>
      <c r="BB108" s="60"/>
      <c r="BC108" s="174" t="s">
        <v>190</v>
      </c>
      <c r="BD108" s="271" t="str">
        <f t="shared" si="100"/>
        <v xml:space="preserve">申込受付中。                                                                                                                                                                                                                                                                                                                                                                                                    </v>
      </c>
      <c r="BE108" s="218" t="str">
        <f t="shared" si="112"/>
        <v>-</v>
      </c>
      <c r="BF108" s="174" t="s">
        <v>190</v>
      </c>
      <c r="BG108" s="478" t="s">
        <v>594</v>
      </c>
      <c r="BH108" s="60"/>
      <c r="BI108" s="170" t="s">
        <v>730</v>
      </c>
      <c r="BJ108" s="271" t="str">
        <f t="shared" si="101"/>
        <v xml:space="preserve">申込受付中。                                                                                                                                                                                                                                                                                                                                                                                                    </v>
      </c>
      <c r="BK108" s="218" t="s">
        <v>593</v>
      </c>
      <c r="BL108" s="174" t="s">
        <v>190</v>
      </c>
      <c r="BM108" s="478" t="s">
        <v>594</v>
      </c>
      <c r="BN108" s="60"/>
      <c r="BO108" s="174" t="s">
        <v>190</v>
      </c>
      <c r="BP108" s="271" t="str">
        <f t="shared" si="102"/>
        <v xml:space="preserve">申込受付中。                                                                                                                                                                                                                                                                                                                                                                                                    </v>
      </c>
      <c r="BQ108" s="218" t="str">
        <f t="shared" si="113"/>
        <v>-</v>
      </c>
      <c r="BR108" s="174" t="s">
        <v>190</v>
      </c>
      <c r="BS108" s="478" t="s">
        <v>594</v>
      </c>
      <c r="BT108" s="60"/>
      <c r="BU108" s="170"/>
      <c r="BV108" s="271" t="str">
        <f t="shared" si="103"/>
        <v xml:space="preserve">                                                                                                                                                                                                                                                                                                                                                                                                                </v>
      </c>
      <c r="BW108" s="218" t="s">
        <v>593</v>
      </c>
      <c r="BX108" s="271"/>
      <c r="BY108" s="218" t="str">
        <f t="shared" si="114"/>
        <v>-</v>
      </c>
      <c r="BZ108" s="60"/>
      <c r="CA108" s="174"/>
      <c r="CB108" s="271" t="str">
        <f t="shared" si="104"/>
        <v xml:space="preserve">                                                                                                                                                                                                                                                                                                                                                                                                                </v>
      </c>
      <c r="CC108" s="218" t="str">
        <f t="shared" si="115"/>
        <v>-</v>
      </c>
      <c r="CD108" s="174"/>
      <c r="CE108" s="92" t="str">
        <f t="shared" si="124"/>
        <v>OK</v>
      </c>
      <c r="CF108" s="60"/>
      <c r="CG108" s="174"/>
      <c r="CH108" s="271" t="str">
        <f t="shared" si="105"/>
        <v xml:space="preserve">                                                                                                                                                                                                                                                                                                                                                                                                                </v>
      </c>
      <c r="CI108" s="218" t="str">
        <f t="shared" si="116"/>
        <v>-</v>
      </c>
      <c r="CJ108" s="174"/>
      <c r="CK108" s="92" t="str">
        <f t="shared" si="125"/>
        <v>OK</v>
      </c>
      <c r="CL108" s="60"/>
      <c r="CM108" s="174"/>
      <c r="CN108" s="271" t="str">
        <f t="shared" si="106"/>
        <v xml:space="preserve">                                                                                                                                                                                                                                                                                                                                                                                                                </v>
      </c>
      <c r="CO108" s="218" t="s">
        <v>593</v>
      </c>
      <c r="CP108" s="271"/>
      <c r="CQ108" s="218" t="str">
        <f t="shared" si="117"/>
        <v>-</v>
      </c>
      <c r="CR108" s="60"/>
      <c r="CS108" s="174"/>
      <c r="CT108" s="271" t="str">
        <f t="shared" si="107"/>
        <v xml:space="preserve">                                                                                                                                                                                                                                                                                                                                                                                                                </v>
      </c>
      <c r="CU108" s="218" t="str">
        <f t="shared" si="118"/>
        <v>-</v>
      </c>
      <c r="CV108" s="174"/>
      <c r="CW108" s="92" t="s">
        <v>593</v>
      </c>
      <c r="CX108" s="60"/>
      <c r="CY108" s="174"/>
      <c r="CZ108" s="271" t="str">
        <f t="shared" si="108"/>
        <v xml:space="preserve">                                                                                                                                                                                                                                                                                                                                                                                                                </v>
      </c>
      <c r="DA108" s="218" t="str">
        <f t="shared" si="119"/>
        <v>-</v>
      </c>
      <c r="DB108" s="174"/>
      <c r="DC108" s="92" t="s">
        <v>593</v>
      </c>
    </row>
    <row r="109" spans="2:107" s="26" customFormat="1" ht="63.75">
      <c r="B109" s="65">
        <f t="shared" si="109"/>
        <v>102</v>
      </c>
      <c r="C109" s="7"/>
      <c r="D109" s="7"/>
      <c r="E109" s="7"/>
      <c r="F109" s="22" t="s">
        <v>148</v>
      </c>
      <c r="G109" s="16"/>
      <c r="H109" s="13"/>
      <c r="I109" s="8"/>
      <c r="J109" s="8"/>
      <c r="K109" s="8"/>
      <c r="L109" s="8"/>
      <c r="M109" s="418" t="s">
        <v>448</v>
      </c>
      <c r="N109" s="1"/>
      <c r="O109" s="57"/>
      <c r="P109" s="95">
        <f t="shared" si="122"/>
        <v>83</v>
      </c>
      <c r="Q109" s="115">
        <v>400</v>
      </c>
      <c r="R109" s="21" t="str">
        <f t="shared" si="127"/>
        <v>NX</v>
      </c>
      <c r="S109" s="98" t="s">
        <v>149</v>
      </c>
      <c r="T109" s="96"/>
      <c r="U109" s="21" t="s">
        <v>435</v>
      </c>
      <c r="V109" s="10"/>
      <c r="W109" s="25">
        <v>3</v>
      </c>
      <c r="X109" s="1" t="s">
        <v>150</v>
      </c>
      <c r="Y109" s="1">
        <v>1</v>
      </c>
      <c r="Z109" s="1">
        <v>400</v>
      </c>
      <c r="AA109" s="8" t="s">
        <v>129</v>
      </c>
      <c r="AB109" s="8" t="s">
        <v>257</v>
      </c>
      <c r="AC109" s="12"/>
      <c r="AD109" s="60"/>
      <c r="AE109" s="174"/>
      <c r="AF109" s="91" t="str">
        <f t="shared" si="96"/>
        <v xml:space="preserve">                                                                                                                                                                                                                                                                                                                                                                                                                </v>
      </c>
      <c r="AG109" s="218" t="str">
        <f t="shared" si="120"/>
        <v>-</v>
      </c>
      <c r="AH109" s="174"/>
      <c r="AI109" s="92" t="str">
        <f t="shared" si="126"/>
        <v>OK</v>
      </c>
      <c r="AJ109" s="60"/>
      <c r="AK109" s="174"/>
      <c r="AL109" s="91" t="str">
        <f t="shared" si="97"/>
        <v xml:space="preserve">                                                                                                                                                                                                                                                                                                                                                                                                                </v>
      </c>
      <c r="AM109" s="218" t="str">
        <f t="shared" si="110"/>
        <v>-</v>
      </c>
      <c r="AN109" s="174"/>
      <c r="AO109" s="92" t="str">
        <f t="shared" si="123"/>
        <v>OK</v>
      </c>
      <c r="AP109" s="60"/>
      <c r="AQ109" s="170"/>
      <c r="AR109" s="91" t="str">
        <f t="shared" si="98"/>
        <v xml:space="preserve">                                                                                                                                                                                                                                                                                                                                                                                                                </v>
      </c>
      <c r="AS109" s="218" t="s">
        <v>593</v>
      </c>
      <c r="AT109" s="91"/>
      <c r="AU109" s="218" t="str">
        <f t="shared" si="94"/>
        <v>-</v>
      </c>
      <c r="AV109" s="60"/>
      <c r="AW109" s="174"/>
      <c r="AX109" s="91" t="str">
        <f t="shared" si="99"/>
        <v xml:space="preserve">                                                                                                                                                                                                                                                                                                                                                                                                                </v>
      </c>
      <c r="AY109" s="218" t="str">
        <f t="shared" si="111"/>
        <v>-</v>
      </c>
      <c r="AZ109" s="174"/>
      <c r="BA109" s="478" t="s">
        <v>594</v>
      </c>
      <c r="BB109" s="60"/>
      <c r="BC109" s="174"/>
      <c r="BD109" s="91" t="str">
        <f t="shared" si="100"/>
        <v xml:space="preserve">                                                                                                                                                                                                                                                                                                                                                                                                                </v>
      </c>
      <c r="BE109" s="218" t="str">
        <f t="shared" si="112"/>
        <v>-</v>
      </c>
      <c r="BF109" s="174"/>
      <c r="BG109" s="478" t="s">
        <v>594</v>
      </c>
      <c r="BH109" s="60"/>
      <c r="BI109" s="170" t="s">
        <v>703</v>
      </c>
      <c r="BJ109" s="91" t="str">
        <f t="shared" si="101"/>
        <v xml:space="preserve">                                                                                                                                                                                                                                                                                                                                                                                                                </v>
      </c>
      <c r="BK109" s="218" t="s">
        <v>593</v>
      </c>
      <c r="BL109" s="174"/>
      <c r="BM109" s="478" t="s">
        <v>594</v>
      </c>
      <c r="BN109" s="60"/>
      <c r="BO109" s="174"/>
      <c r="BP109" s="91" t="str">
        <f t="shared" si="102"/>
        <v xml:space="preserve">                                                                                                                                                                                                                                                                                                                                                                                                                </v>
      </c>
      <c r="BQ109" s="218" t="str">
        <f t="shared" si="113"/>
        <v>-</v>
      </c>
      <c r="BR109" s="174"/>
      <c r="BS109" s="478" t="s">
        <v>594</v>
      </c>
      <c r="BT109" s="60"/>
      <c r="BU109" s="170"/>
      <c r="BV109" s="91" t="str">
        <f t="shared" si="103"/>
        <v xml:space="preserve">                                                                                                                                                                                                                                                                                                                                                                                                                </v>
      </c>
      <c r="BW109" s="218" t="s">
        <v>593</v>
      </c>
      <c r="BX109" s="91"/>
      <c r="BY109" s="218" t="str">
        <f t="shared" si="114"/>
        <v>-</v>
      </c>
      <c r="BZ109" s="60"/>
      <c r="CA109" s="174"/>
      <c r="CB109" s="91" t="str">
        <f t="shared" si="104"/>
        <v xml:space="preserve">                                                                                                                                                                                                                                                                                                                                                                                                                </v>
      </c>
      <c r="CC109" s="218" t="str">
        <f t="shared" si="115"/>
        <v>-</v>
      </c>
      <c r="CD109" s="174"/>
      <c r="CE109" s="92" t="str">
        <f t="shared" si="124"/>
        <v>OK</v>
      </c>
      <c r="CF109" s="60"/>
      <c r="CG109" s="174"/>
      <c r="CH109" s="91" t="str">
        <f t="shared" si="105"/>
        <v xml:space="preserve">                                                                                                                                                                                                                                                                                                                                                                                                                </v>
      </c>
      <c r="CI109" s="218" t="str">
        <f t="shared" si="116"/>
        <v>-</v>
      </c>
      <c r="CJ109" s="174"/>
      <c r="CK109" s="92" t="str">
        <f t="shared" si="125"/>
        <v>OK</v>
      </c>
      <c r="CL109" s="60"/>
      <c r="CM109" s="174"/>
      <c r="CN109" s="91" t="str">
        <f t="shared" si="106"/>
        <v xml:space="preserve">                                                                                                                                                                                                                                                                                                                                                                                                                </v>
      </c>
      <c r="CO109" s="218" t="s">
        <v>593</v>
      </c>
      <c r="CP109" s="91"/>
      <c r="CQ109" s="218" t="str">
        <f t="shared" si="117"/>
        <v>-</v>
      </c>
      <c r="CR109" s="60"/>
      <c r="CS109" s="174"/>
      <c r="CT109" s="91" t="str">
        <f t="shared" si="107"/>
        <v xml:space="preserve">                                                                                                                                                                                                                                                                                                                                                                                                                </v>
      </c>
      <c r="CU109" s="218" t="str">
        <f t="shared" si="118"/>
        <v>-</v>
      </c>
      <c r="CV109" s="174"/>
      <c r="CW109" s="92" t="s">
        <v>593</v>
      </c>
      <c r="CX109" s="60"/>
      <c r="CY109" s="174"/>
      <c r="CZ109" s="91" t="str">
        <f t="shared" si="108"/>
        <v xml:space="preserve">                                                                                                                                                                                                                                                                                                                                                                                                                </v>
      </c>
      <c r="DA109" s="218" t="str">
        <f t="shared" si="119"/>
        <v>-</v>
      </c>
      <c r="DB109" s="174"/>
      <c r="DC109" s="92" t="s">
        <v>593</v>
      </c>
    </row>
    <row r="110" spans="2:107" s="26" customFormat="1">
      <c r="B110" s="65">
        <f t="shared" si="109"/>
        <v>103</v>
      </c>
      <c r="C110" s="7"/>
      <c r="D110" s="7"/>
      <c r="E110" s="7"/>
      <c r="F110" s="22" t="s">
        <v>151</v>
      </c>
      <c r="G110" s="16"/>
      <c r="H110" s="13"/>
      <c r="I110" s="8"/>
      <c r="J110" s="8"/>
      <c r="K110" s="8"/>
      <c r="L110" s="8"/>
      <c r="M110" s="11" t="s">
        <v>152</v>
      </c>
      <c r="N110" s="1"/>
      <c r="O110" s="57"/>
      <c r="P110" s="95">
        <f t="shared" si="122"/>
        <v>84</v>
      </c>
      <c r="Q110" s="115">
        <v>400</v>
      </c>
      <c r="R110" s="21" t="str">
        <f t="shared" si="127"/>
        <v>NX</v>
      </c>
      <c r="S110" s="98" t="s">
        <v>153</v>
      </c>
      <c r="T110" s="96"/>
      <c r="U110" s="21" t="s">
        <v>435</v>
      </c>
      <c r="V110" s="10"/>
      <c r="W110" s="25">
        <v>3</v>
      </c>
      <c r="X110" s="1" t="s">
        <v>154</v>
      </c>
      <c r="Y110" s="1">
        <v>1</v>
      </c>
      <c r="Z110" s="1">
        <v>400</v>
      </c>
      <c r="AA110" s="8" t="s">
        <v>129</v>
      </c>
      <c r="AB110" s="8" t="s">
        <v>257</v>
      </c>
      <c r="AC110" s="12"/>
      <c r="AD110" s="60"/>
      <c r="AE110" s="169"/>
      <c r="AF110" s="91" t="str">
        <f t="shared" si="96"/>
        <v xml:space="preserve">                                                                                                                                                                                                                                                                                                                                                                                                                </v>
      </c>
      <c r="AG110" s="218" t="str">
        <f t="shared" si="120"/>
        <v>-</v>
      </c>
      <c r="AH110" s="169"/>
      <c r="AI110" s="92" t="str">
        <f t="shared" si="126"/>
        <v>OK</v>
      </c>
      <c r="AJ110" s="60"/>
      <c r="AK110" s="169"/>
      <c r="AL110" s="91" t="str">
        <f t="shared" si="97"/>
        <v xml:space="preserve">                                                                                                                                                                                                                                                                                                                                                                                                                </v>
      </c>
      <c r="AM110" s="218" t="str">
        <f t="shared" si="110"/>
        <v>-</v>
      </c>
      <c r="AN110" s="169"/>
      <c r="AO110" s="92" t="str">
        <f t="shared" si="123"/>
        <v>OK</v>
      </c>
      <c r="AP110" s="60"/>
      <c r="AQ110" s="172"/>
      <c r="AR110" s="91" t="str">
        <f t="shared" si="98"/>
        <v xml:space="preserve">                                                                                                                                                                                                                                                                                                                                                                                                                </v>
      </c>
      <c r="AS110" s="218" t="s">
        <v>593</v>
      </c>
      <c r="AT110" s="91"/>
      <c r="AU110" s="218" t="str">
        <f t="shared" si="94"/>
        <v>-</v>
      </c>
      <c r="AV110" s="60"/>
      <c r="AW110" s="169"/>
      <c r="AX110" s="91" t="str">
        <f t="shared" si="99"/>
        <v xml:space="preserve">                                                                                                                                                                                                                                                                                                                                                                                                                </v>
      </c>
      <c r="AY110" s="218" t="str">
        <f t="shared" si="111"/>
        <v>-</v>
      </c>
      <c r="AZ110" s="169"/>
      <c r="BA110" s="478" t="s">
        <v>594</v>
      </c>
      <c r="BB110" s="60"/>
      <c r="BC110" s="169"/>
      <c r="BD110" s="91" t="str">
        <f t="shared" si="100"/>
        <v xml:space="preserve">                                                                                                                                                                                                                                                                                                                                                                                                                </v>
      </c>
      <c r="BE110" s="218" t="str">
        <f t="shared" si="112"/>
        <v>-</v>
      </c>
      <c r="BF110" s="169"/>
      <c r="BG110" s="478" t="s">
        <v>594</v>
      </c>
      <c r="BH110" s="60"/>
      <c r="BI110" s="170" t="s">
        <v>703</v>
      </c>
      <c r="BJ110" s="91" t="str">
        <f t="shared" si="101"/>
        <v xml:space="preserve">                                                                                                                                                                                                                                                                                                                                                                                                                </v>
      </c>
      <c r="BK110" s="218" t="s">
        <v>593</v>
      </c>
      <c r="BL110" s="169"/>
      <c r="BM110" s="478" t="s">
        <v>594</v>
      </c>
      <c r="BN110" s="60"/>
      <c r="BO110" s="169"/>
      <c r="BP110" s="91" t="str">
        <f t="shared" si="102"/>
        <v xml:space="preserve">                                                                                                                                                                                                                                                                                                                                                                                                                </v>
      </c>
      <c r="BQ110" s="218" t="str">
        <f t="shared" si="113"/>
        <v>-</v>
      </c>
      <c r="BR110" s="169"/>
      <c r="BS110" s="478" t="s">
        <v>594</v>
      </c>
      <c r="BT110" s="60"/>
      <c r="BU110" s="172"/>
      <c r="BV110" s="91" t="str">
        <f t="shared" si="103"/>
        <v xml:space="preserve">                                                                                                                                                                                                                                                                                                                                                                                                                </v>
      </c>
      <c r="BW110" s="218" t="s">
        <v>593</v>
      </c>
      <c r="BX110" s="91"/>
      <c r="BY110" s="218" t="str">
        <f t="shared" si="114"/>
        <v>-</v>
      </c>
      <c r="BZ110" s="60"/>
      <c r="CA110" s="169"/>
      <c r="CB110" s="91" t="str">
        <f t="shared" si="104"/>
        <v xml:space="preserve">                                                                                                                                                                                                                                                                                                                                                                                                                </v>
      </c>
      <c r="CC110" s="218" t="str">
        <f t="shared" si="115"/>
        <v>-</v>
      </c>
      <c r="CD110" s="169"/>
      <c r="CE110" s="92" t="str">
        <f t="shared" si="124"/>
        <v>OK</v>
      </c>
      <c r="CF110" s="60"/>
      <c r="CG110" s="169"/>
      <c r="CH110" s="91" t="str">
        <f t="shared" si="105"/>
        <v xml:space="preserve">                                                                                                                                                                                                                                                                                                                                                                                                                </v>
      </c>
      <c r="CI110" s="218" t="str">
        <f t="shared" si="116"/>
        <v>-</v>
      </c>
      <c r="CJ110" s="169"/>
      <c r="CK110" s="92" t="str">
        <f t="shared" si="125"/>
        <v>OK</v>
      </c>
      <c r="CL110" s="60"/>
      <c r="CM110" s="169"/>
      <c r="CN110" s="91" t="str">
        <f t="shared" si="106"/>
        <v xml:space="preserve">                                                                                                                                                                                                                                                                                                                                                                                                                </v>
      </c>
      <c r="CO110" s="218" t="s">
        <v>593</v>
      </c>
      <c r="CP110" s="91"/>
      <c r="CQ110" s="218" t="str">
        <f t="shared" si="117"/>
        <v>-</v>
      </c>
      <c r="CR110" s="60"/>
      <c r="CS110" s="169"/>
      <c r="CT110" s="91" t="str">
        <f t="shared" si="107"/>
        <v xml:space="preserve">                                                                                                                                                                                                                                                                                                                                                                                                                </v>
      </c>
      <c r="CU110" s="218" t="str">
        <f t="shared" si="118"/>
        <v>-</v>
      </c>
      <c r="CV110" s="169"/>
      <c r="CW110" s="92" t="s">
        <v>593</v>
      </c>
      <c r="CX110" s="60"/>
      <c r="CY110" s="169"/>
      <c r="CZ110" s="91" t="str">
        <f t="shared" si="108"/>
        <v xml:space="preserve">                                                                                                                                                                                                                                                                                                                                                                                                                </v>
      </c>
      <c r="DA110" s="218" t="str">
        <f t="shared" si="119"/>
        <v>-</v>
      </c>
      <c r="DB110" s="169"/>
      <c r="DC110" s="92" t="s">
        <v>593</v>
      </c>
    </row>
    <row r="111" spans="2:107" s="26" customFormat="1" ht="76.5">
      <c r="B111" s="65">
        <f t="shared" si="109"/>
        <v>104</v>
      </c>
      <c r="C111" s="7"/>
      <c r="D111" s="7"/>
      <c r="E111" s="7"/>
      <c r="F111" s="22" t="s">
        <v>155</v>
      </c>
      <c r="G111" s="16"/>
      <c r="H111" s="13"/>
      <c r="I111" s="8"/>
      <c r="J111" s="8"/>
      <c r="K111" s="8"/>
      <c r="L111" s="8"/>
      <c r="M111" s="11" t="s">
        <v>449</v>
      </c>
      <c r="N111" s="1"/>
      <c r="O111" s="57"/>
      <c r="P111" s="95">
        <f t="shared" si="122"/>
        <v>85</v>
      </c>
      <c r="Q111" s="115">
        <v>400</v>
      </c>
      <c r="R111" s="21" t="str">
        <f t="shared" si="127"/>
        <v>NX</v>
      </c>
      <c r="S111" s="98" t="s">
        <v>156</v>
      </c>
      <c r="T111" s="96"/>
      <c r="U111" s="21" t="s">
        <v>435</v>
      </c>
      <c r="V111" s="10"/>
      <c r="W111" s="25">
        <v>3</v>
      </c>
      <c r="X111" s="1" t="s">
        <v>157</v>
      </c>
      <c r="Y111" s="1">
        <v>1</v>
      </c>
      <c r="Z111" s="1">
        <v>400</v>
      </c>
      <c r="AA111" s="8" t="s">
        <v>129</v>
      </c>
      <c r="AB111" s="8" t="s">
        <v>257</v>
      </c>
      <c r="AC111" s="12"/>
      <c r="AD111" s="60"/>
      <c r="AE111" s="169"/>
      <c r="AF111" s="91" t="str">
        <f t="shared" si="96"/>
        <v xml:space="preserve">                                                                                                                                                                                                                                                                                                                                                                                                                </v>
      </c>
      <c r="AG111" s="218" t="str">
        <f t="shared" si="120"/>
        <v>-</v>
      </c>
      <c r="AH111" s="169"/>
      <c r="AI111" s="92" t="str">
        <f t="shared" si="126"/>
        <v>OK</v>
      </c>
      <c r="AJ111" s="60"/>
      <c r="AK111" s="169"/>
      <c r="AL111" s="91" t="str">
        <f t="shared" si="97"/>
        <v xml:space="preserve">                                                                                                                                                                                                                                                                                                                                                                                                                </v>
      </c>
      <c r="AM111" s="218" t="str">
        <f t="shared" si="110"/>
        <v>-</v>
      </c>
      <c r="AN111" s="169"/>
      <c r="AO111" s="92" t="str">
        <f t="shared" si="123"/>
        <v>OK</v>
      </c>
      <c r="AP111" s="60"/>
      <c r="AQ111" s="172"/>
      <c r="AR111" s="91" t="str">
        <f t="shared" si="98"/>
        <v xml:space="preserve">                                                                                                                                                                                                                                                                                                                                                                                                                </v>
      </c>
      <c r="AS111" s="218" t="s">
        <v>593</v>
      </c>
      <c r="AT111" s="91"/>
      <c r="AU111" s="218" t="str">
        <f t="shared" si="94"/>
        <v>-</v>
      </c>
      <c r="AV111" s="60"/>
      <c r="AW111" s="169"/>
      <c r="AX111" s="91" t="str">
        <f t="shared" si="99"/>
        <v xml:space="preserve">                                                                                                                                                                                                                                                                                                                                                                                                                </v>
      </c>
      <c r="AY111" s="218" t="str">
        <f t="shared" si="111"/>
        <v>-</v>
      </c>
      <c r="AZ111" s="169"/>
      <c r="BA111" s="478" t="s">
        <v>594</v>
      </c>
      <c r="BB111" s="60"/>
      <c r="BC111" s="169"/>
      <c r="BD111" s="91" t="str">
        <f t="shared" si="100"/>
        <v xml:space="preserve">                                                                                                                                                                                                                                                                                                                                                                                                                </v>
      </c>
      <c r="BE111" s="218" t="str">
        <f t="shared" si="112"/>
        <v>-</v>
      </c>
      <c r="BF111" s="169"/>
      <c r="BG111" s="478" t="s">
        <v>594</v>
      </c>
      <c r="BH111" s="60"/>
      <c r="BI111" s="170" t="s">
        <v>703</v>
      </c>
      <c r="BJ111" s="91" t="str">
        <f t="shared" si="101"/>
        <v xml:space="preserve">                                                                                                                                                                                                                                                                                                                                                                                                                </v>
      </c>
      <c r="BK111" s="218" t="s">
        <v>593</v>
      </c>
      <c r="BL111" s="169"/>
      <c r="BM111" s="478" t="s">
        <v>594</v>
      </c>
      <c r="BN111" s="60"/>
      <c r="BO111" s="169"/>
      <c r="BP111" s="91" t="str">
        <f t="shared" si="102"/>
        <v xml:space="preserve">                                                                                                                                                                                                                                                                                                                                                                                                                </v>
      </c>
      <c r="BQ111" s="218" t="str">
        <f t="shared" si="113"/>
        <v>-</v>
      </c>
      <c r="BR111" s="169"/>
      <c r="BS111" s="478" t="s">
        <v>594</v>
      </c>
      <c r="BT111" s="60"/>
      <c r="BU111" s="172"/>
      <c r="BV111" s="91" t="str">
        <f t="shared" si="103"/>
        <v xml:space="preserve">                                                                                                                                                                                                                                                                                                                                                                                                                </v>
      </c>
      <c r="BW111" s="218" t="s">
        <v>593</v>
      </c>
      <c r="BX111" s="91"/>
      <c r="BY111" s="218" t="str">
        <f t="shared" si="114"/>
        <v>-</v>
      </c>
      <c r="BZ111" s="60"/>
      <c r="CA111" s="169"/>
      <c r="CB111" s="91" t="str">
        <f t="shared" si="104"/>
        <v xml:space="preserve">                                                                                                                                                                                                                                                                                                                                                                                                                </v>
      </c>
      <c r="CC111" s="218" t="str">
        <f t="shared" si="115"/>
        <v>-</v>
      </c>
      <c r="CD111" s="169"/>
      <c r="CE111" s="92" t="str">
        <f t="shared" si="124"/>
        <v>OK</v>
      </c>
      <c r="CF111" s="60"/>
      <c r="CG111" s="169"/>
      <c r="CH111" s="91" t="str">
        <f t="shared" si="105"/>
        <v xml:space="preserve">                                                                                                                                                                                                                                                                                                                                                                                                                </v>
      </c>
      <c r="CI111" s="218" t="str">
        <f t="shared" si="116"/>
        <v>-</v>
      </c>
      <c r="CJ111" s="169"/>
      <c r="CK111" s="92" t="str">
        <f t="shared" si="125"/>
        <v>OK</v>
      </c>
      <c r="CL111" s="60"/>
      <c r="CM111" s="169"/>
      <c r="CN111" s="91" t="str">
        <f t="shared" si="106"/>
        <v xml:space="preserve">                                                                                                                                                                                                                                                                                                                                                                                                                </v>
      </c>
      <c r="CO111" s="218" t="s">
        <v>593</v>
      </c>
      <c r="CP111" s="91"/>
      <c r="CQ111" s="218" t="str">
        <f t="shared" si="117"/>
        <v>-</v>
      </c>
      <c r="CR111" s="60"/>
      <c r="CS111" s="169"/>
      <c r="CT111" s="91" t="str">
        <f t="shared" si="107"/>
        <v xml:space="preserve">                                                                                                                                                                                                                                                                                                                                                                                                                </v>
      </c>
      <c r="CU111" s="218" t="str">
        <f t="shared" si="118"/>
        <v>-</v>
      </c>
      <c r="CV111" s="169"/>
      <c r="CW111" s="92" t="s">
        <v>593</v>
      </c>
      <c r="CX111" s="60"/>
      <c r="CY111" s="169"/>
      <c r="CZ111" s="91" t="str">
        <f t="shared" si="108"/>
        <v xml:space="preserve">                                                                                                                                                                                                                                                                                                                                                                                                                </v>
      </c>
      <c r="DA111" s="218" t="str">
        <f t="shared" si="119"/>
        <v>-</v>
      </c>
      <c r="DB111" s="169"/>
      <c r="DC111" s="92" t="s">
        <v>593</v>
      </c>
    </row>
    <row r="112" spans="2:107" s="26" customFormat="1">
      <c r="B112" s="65">
        <f t="shared" si="109"/>
        <v>105</v>
      </c>
      <c r="C112" s="7"/>
      <c r="D112" s="7"/>
      <c r="E112" s="7"/>
      <c r="F112" s="22" t="s">
        <v>158</v>
      </c>
      <c r="G112" s="16"/>
      <c r="H112" s="13"/>
      <c r="I112" s="8"/>
      <c r="J112" s="8"/>
      <c r="K112" s="8"/>
      <c r="L112" s="8"/>
      <c r="M112" s="11" t="s">
        <v>152</v>
      </c>
      <c r="N112" s="1"/>
      <c r="O112" s="57"/>
      <c r="P112" s="95">
        <f t="shared" si="122"/>
        <v>86</v>
      </c>
      <c r="Q112" s="115">
        <v>400</v>
      </c>
      <c r="R112" s="21" t="str">
        <f t="shared" si="127"/>
        <v>NX</v>
      </c>
      <c r="S112" s="98" t="s">
        <v>159</v>
      </c>
      <c r="T112" s="96"/>
      <c r="U112" s="21" t="s">
        <v>435</v>
      </c>
      <c r="V112" s="10"/>
      <c r="W112" s="25">
        <v>3</v>
      </c>
      <c r="X112" s="1" t="s">
        <v>160</v>
      </c>
      <c r="Y112" s="1">
        <v>1</v>
      </c>
      <c r="Z112" s="1">
        <v>400</v>
      </c>
      <c r="AA112" s="8" t="s">
        <v>129</v>
      </c>
      <c r="AB112" s="8" t="s">
        <v>257</v>
      </c>
      <c r="AC112" s="12"/>
      <c r="AD112" s="60"/>
      <c r="AE112" s="169"/>
      <c r="AF112" s="91" t="str">
        <f t="shared" si="96"/>
        <v xml:space="preserve">                                                                                                                                                                                                                                                                                                                                                                                                                </v>
      </c>
      <c r="AG112" s="218" t="str">
        <f t="shared" si="120"/>
        <v>-</v>
      </c>
      <c r="AH112" s="169"/>
      <c r="AI112" s="92" t="str">
        <f t="shared" si="126"/>
        <v>OK</v>
      </c>
      <c r="AJ112" s="60"/>
      <c r="AK112" s="169"/>
      <c r="AL112" s="91" t="str">
        <f t="shared" si="97"/>
        <v xml:space="preserve">                                                                                                                                                                                                                                                                                                                                                                                                                </v>
      </c>
      <c r="AM112" s="218" t="str">
        <f t="shared" si="110"/>
        <v>-</v>
      </c>
      <c r="AN112" s="169"/>
      <c r="AO112" s="92" t="str">
        <f t="shared" si="123"/>
        <v>OK</v>
      </c>
      <c r="AP112" s="60"/>
      <c r="AQ112" s="172"/>
      <c r="AR112" s="91" t="str">
        <f t="shared" si="98"/>
        <v xml:space="preserve">                                                                                                                                                                                                                                                                                                                                                                                                                </v>
      </c>
      <c r="AS112" s="218" t="s">
        <v>593</v>
      </c>
      <c r="AT112" s="91"/>
      <c r="AU112" s="218" t="str">
        <f t="shared" si="94"/>
        <v>-</v>
      </c>
      <c r="AV112" s="60"/>
      <c r="AW112" s="169"/>
      <c r="AX112" s="91" t="str">
        <f t="shared" si="99"/>
        <v xml:space="preserve">                                                                                                                                                                                                                                                                                                                                                                                                                </v>
      </c>
      <c r="AY112" s="218" t="str">
        <f t="shared" si="111"/>
        <v>-</v>
      </c>
      <c r="AZ112" s="169"/>
      <c r="BA112" s="478" t="s">
        <v>594</v>
      </c>
      <c r="BB112" s="60"/>
      <c r="BC112" s="169"/>
      <c r="BD112" s="91" t="str">
        <f t="shared" si="100"/>
        <v xml:space="preserve">                                                                                                                                                                                                                                                                                                                                                                                                                </v>
      </c>
      <c r="BE112" s="218" t="str">
        <f t="shared" si="112"/>
        <v>-</v>
      </c>
      <c r="BF112" s="169"/>
      <c r="BG112" s="478" t="s">
        <v>594</v>
      </c>
      <c r="BH112" s="60"/>
      <c r="BI112" s="170" t="s">
        <v>703</v>
      </c>
      <c r="BJ112" s="91" t="str">
        <f t="shared" si="101"/>
        <v xml:space="preserve">                                                                                                                                                                                                                                                                                                                                                                                                                </v>
      </c>
      <c r="BK112" s="218" t="s">
        <v>593</v>
      </c>
      <c r="BL112" s="169"/>
      <c r="BM112" s="478" t="s">
        <v>594</v>
      </c>
      <c r="BN112" s="60"/>
      <c r="BO112" s="169"/>
      <c r="BP112" s="91" t="str">
        <f t="shared" si="102"/>
        <v xml:space="preserve">                                                                                                                                                                                                                                                                                                                                                                                                                </v>
      </c>
      <c r="BQ112" s="218" t="str">
        <f t="shared" si="113"/>
        <v>-</v>
      </c>
      <c r="BR112" s="169"/>
      <c r="BS112" s="478" t="s">
        <v>594</v>
      </c>
      <c r="BT112" s="60"/>
      <c r="BU112" s="172"/>
      <c r="BV112" s="91" t="str">
        <f t="shared" si="103"/>
        <v xml:space="preserve">                                                                                                                                                                                                                                                                                                                                                                                                                </v>
      </c>
      <c r="BW112" s="218" t="s">
        <v>593</v>
      </c>
      <c r="BX112" s="91"/>
      <c r="BY112" s="218" t="str">
        <f t="shared" si="114"/>
        <v>-</v>
      </c>
      <c r="BZ112" s="60"/>
      <c r="CA112" s="169"/>
      <c r="CB112" s="91" t="str">
        <f t="shared" si="104"/>
        <v xml:space="preserve">                                                                                                                                                                                                                                                                                                                                                                                                                </v>
      </c>
      <c r="CC112" s="218" t="str">
        <f t="shared" si="115"/>
        <v>-</v>
      </c>
      <c r="CD112" s="169"/>
      <c r="CE112" s="92" t="str">
        <f t="shared" si="124"/>
        <v>OK</v>
      </c>
      <c r="CF112" s="60"/>
      <c r="CG112" s="169"/>
      <c r="CH112" s="91" t="str">
        <f t="shared" si="105"/>
        <v xml:space="preserve">                                                                                                                                                                                                                                                                                                                                                                                                                </v>
      </c>
      <c r="CI112" s="218" t="str">
        <f t="shared" si="116"/>
        <v>-</v>
      </c>
      <c r="CJ112" s="169"/>
      <c r="CK112" s="92" t="str">
        <f t="shared" si="125"/>
        <v>OK</v>
      </c>
      <c r="CL112" s="60"/>
      <c r="CM112" s="169"/>
      <c r="CN112" s="91" t="str">
        <f t="shared" si="106"/>
        <v xml:space="preserve">                                                                                                                                                                                                                                                                                                                                                                                                                </v>
      </c>
      <c r="CO112" s="218" t="s">
        <v>593</v>
      </c>
      <c r="CP112" s="91"/>
      <c r="CQ112" s="218" t="str">
        <f t="shared" si="117"/>
        <v>-</v>
      </c>
      <c r="CR112" s="60"/>
      <c r="CS112" s="169"/>
      <c r="CT112" s="91" t="str">
        <f t="shared" si="107"/>
        <v xml:space="preserve">                                                                                                                                                                                                                                                                                                                                                                                                                </v>
      </c>
      <c r="CU112" s="218" t="str">
        <f t="shared" si="118"/>
        <v>-</v>
      </c>
      <c r="CV112" s="169"/>
      <c r="CW112" s="92" t="s">
        <v>593</v>
      </c>
      <c r="CX112" s="60"/>
      <c r="CY112" s="169"/>
      <c r="CZ112" s="91" t="str">
        <f t="shared" si="108"/>
        <v xml:space="preserve">                                                                                                                                                                                                                                                                                                                                                                                                                </v>
      </c>
      <c r="DA112" s="218" t="str">
        <f t="shared" si="119"/>
        <v>-</v>
      </c>
      <c r="DB112" s="169"/>
      <c r="DC112" s="92" t="s">
        <v>593</v>
      </c>
    </row>
    <row r="113" spans="1:107" s="26" customFormat="1">
      <c r="B113" s="65">
        <f t="shared" si="109"/>
        <v>106</v>
      </c>
      <c r="C113" s="7"/>
      <c r="D113" s="7"/>
      <c r="E113" s="7"/>
      <c r="F113" s="22" t="s">
        <v>161</v>
      </c>
      <c r="G113" s="16"/>
      <c r="H113" s="13"/>
      <c r="I113" s="8"/>
      <c r="J113" s="8"/>
      <c r="K113" s="8"/>
      <c r="L113" s="8"/>
      <c r="M113" s="11" t="s">
        <v>152</v>
      </c>
      <c r="N113" s="1"/>
      <c r="O113" s="57"/>
      <c r="P113" s="95">
        <f t="shared" si="122"/>
        <v>87</v>
      </c>
      <c r="Q113" s="115">
        <v>400</v>
      </c>
      <c r="R113" s="21" t="str">
        <f t="shared" si="127"/>
        <v>NX</v>
      </c>
      <c r="S113" s="98" t="s">
        <v>162</v>
      </c>
      <c r="T113" s="96"/>
      <c r="U113" s="21" t="s">
        <v>435</v>
      </c>
      <c r="V113" s="10"/>
      <c r="W113" s="25">
        <v>3</v>
      </c>
      <c r="X113" s="1" t="s">
        <v>163</v>
      </c>
      <c r="Y113" s="1">
        <v>1</v>
      </c>
      <c r="Z113" s="1">
        <v>400</v>
      </c>
      <c r="AA113" s="8" t="s">
        <v>129</v>
      </c>
      <c r="AB113" s="8" t="s">
        <v>257</v>
      </c>
      <c r="AC113" s="12"/>
      <c r="AD113" s="60"/>
      <c r="AE113" s="169"/>
      <c r="AF113" s="91" t="str">
        <f t="shared" si="96"/>
        <v xml:space="preserve">                                                                                                                                                                                                                                                                                                                                                                                                                </v>
      </c>
      <c r="AG113" s="218" t="str">
        <f t="shared" si="120"/>
        <v>-</v>
      </c>
      <c r="AH113" s="169"/>
      <c r="AI113" s="92" t="str">
        <f t="shared" si="126"/>
        <v>OK</v>
      </c>
      <c r="AJ113" s="60"/>
      <c r="AK113" s="169"/>
      <c r="AL113" s="91" t="str">
        <f t="shared" si="97"/>
        <v xml:space="preserve">                                                                                                                                                                                                                                                                                                                                                                                                                </v>
      </c>
      <c r="AM113" s="218" t="str">
        <f t="shared" si="110"/>
        <v>-</v>
      </c>
      <c r="AN113" s="169"/>
      <c r="AO113" s="92" t="str">
        <f t="shared" si="123"/>
        <v>OK</v>
      </c>
      <c r="AP113" s="60"/>
      <c r="AQ113" s="172"/>
      <c r="AR113" s="91" t="str">
        <f t="shared" si="98"/>
        <v xml:space="preserve">                                                                                                                                                                                                                                                                                                                                                                                                                </v>
      </c>
      <c r="AS113" s="218" t="s">
        <v>593</v>
      </c>
      <c r="AT113" s="91"/>
      <c r="AU113" s="218" t="str">
        <f t="shared" si="94"/>
        <v>-</v>
      </c>
      <c r="AV113" s="60"/>
      <c r="AW113" s="169"/>
      <c r="AX113" s="91" t="str">
        <f t="shared" si="99"/>
        <v xml:space="preserve">                                                                                                                                                                                                                                                                                                                                                                                                                </v>
      </c>
      <c r="AY113" s="218" t="str">
        <f t="shared" si="111"/>
        <v>-</v>
      </c>
      <c r="AZ113" s="169"/>
      <c r="BA113" s="478" t="s">
        <v>594</v>
      </c>
      <c r="BB113" s="60"/>
      <c r="BC113" s="169"/>
      <c r="BD113" s="91" t="str">
        <f t="shared" si="100"/>
        <v xml:space="preserve">                                                                                                                                                                                                                                                                                                                                                                                                                </v>
      </c>
      <c r="BE113" s="218" t="str">
        <f t="shared" si="112"/>
        <v>-</v>
      </c>
      <c r="BF113" s="169"/>
      <c r="BG113" s="478" t="s">
        <v>594</v>
      </c>
      <c r="BH113" s="60"/>
      <c r="BI113" s="170" t="s">
        <v>703</v>
      </c>
      <c r="BJ113" s="91" t="str">
        <f t="shared" si="101"/>
        <v xml:space="preserve">                                                                                                                                                                                                                                                                                                                                                                                                                </v>
      </c>
      <c r="BK113" s="218" t="s">
        <v>593</v>
      </c>
      <c r="BL113" s="169"/>
      <c r="BM113" s="478" t="s">
        <v>594</v>
      </c>
      <c r="BN113" s="60"/>
      <c r="BO113" s="169"/>
      <c r="BP113" s="91" t="str">
        <f t="shared" si="102"/>
        <v xml:space="preserve">                                                                                                                                                                                                                                                                                                                                                                                                                </v>
      </c>
      <c r="BQ113" s="218" t="str">
        <f t="shared" si="113"/>
        <v>-</v>
      </c>
      <c r="BR113" s="169"/>
      <c r="BS113" s="478" t="s">
        <v>594</v>
      </c>
      <c r="BT113" s="60"/>
      <c r="BU113" s="172"/>
      <c r="BV113" s="91" t="str">
        <f t="shared" si="103"/>
        <v xml:space="preserve">                                                                                                                                                                                                                                                                                                                                                                                                                </v>
      </c>
      <c r="BW113" s="218" t="s">
        <v>593</v>
      </c>
      <c r="BX113" s="91"/>
      <c r="BY113" s="218" t="str">
        <f t="shared" si="114"/>
        <v>-</v>
      </c>
      <c r="BZ113" s="60"/>
      <c r="CA113" s="169"/>
      <c r="CB113" s="91" t="str">
        <f t="shared" si="104"/>
        <v xml:space="preserve">                                                                                                                                                                                                                                                                                                                                                                                                                </v>
      </c>
      <c r="CC113" s="218" t="str">
        <f t="shared" si="115"/>
        <v>-</v>
      </c>
      <c r="CD113" s="169"/>
      <c r="CE113" s="92" t="str">
        <f t="shared" si="124"/>
        <v>OK</v>
      </c>
      <c r="CF113" s="60"/>
      <c r="CG113" s="169"/>
      <c r="CH113" s="91" t="str">
        <f t="shared" si="105"/>
        <v xml:space="preserve">                                                                                                                                                                                                                                                                                                                                                                                                                </v>
      </c>
      <c r="CI113" s="218" t="str">
        <f t="shared" si="116"/>
        <v>-</v>
      </c>
      <c r="CJ113" s="169"/>
      <c r="CK113" s="92" t="str">
        <f t="shared" si="125"/>
        <v>OK</v>
      </c>
      <c r="CL113" s="60"/>
      <c r="CM113" s="169"/>
      <c r="CN113" s="91" t="str">
        <f t="shared" si="106"/>
        <v xml:space="preserve">                                                                                                                                                                                                                                                                                                                                                                                                                </v>
      </c>
      <c r="CO113" s="218" t="s">
        <v>593</v>
      </c>
      <c r="CP113" s="91"/>
      <c r="CQ113" s="218" t="str">
        <f t="shared" si="117"/>
        <v>-</v>
      </c>
      <c r="CR113" s="60"/>
      <c r="CS113" s="169"/>
      <c r="CT113" s="91" t="str">
        <f t="shared" si="107"/>
        <v xml:space="preserve">                                                                                                                                                                                                                                                                                                                                                                                                                </v>
      </c>
      <c r="CU113" s="218" t="str">
        <f t="shared" si="118"/>
        <v>-</v>
      </c>
      <c r="CV113" s="169"/>
      <c r="CW113" s="92" t="s">
        <v>593</v>
      </c>
      <c r="CX113" s="60"/>
      <c r="CY113" s="169"/>
      <c r="CZ113" s="91" t="str">
        <f t="shared" si="108"/>
        <v xml:space="preserve">                                                                                                                                                                                                                                                                                                                                                                                                                </v>
      </c>
      <c r="DA113" s="218" t="str">
        <f t="shared" si="119"/>
        <v>-</v>
      </c>
      <c r="DB113" s="169"/>
      <c r="DC113" s="92" t="s">
        <v>593</v>
      </c>
    </row>
    <row r="114" spans="1:107" s="26" customFormat="1" ht="89.25">
      <c r="B114" s="65">
        <f t="shared" si="109"/>
        <v>107</v>
      </c>
      <c r="C114" s="7"/>
      <c r="D114" s="7"/>
      <c r="E114" s="7"/>
      <c r="F114" s="22" t="s">
        <v>164</v>
      </c>
      <c r="G114" s="16"/>
      <c r="H114" s="13"/>
      <c r="I114" s="8"/>
      <c r="J114" s="8"/>
      <c r="K114" s="8"/>
      <c r="L114" s="8"/>
      <c r="M114" s="11" t="s">
        <v>450</v>
      </c>
      <c r="N114" s="1"/>
      <c r="O114" s="57"/>
      <c r="P114" s="95">
        <f t="shared" si="122"/>
        <v>88</v>
      </c>
      <c r="Q114" s="115">
        <v>1</v>
      </c>
      <c r="R114" s="21" t="str">
        <f t="shared" si="127"/>
        <v>X</v>
      </c>
      <c r="S114" s="98" t="s">
        <v>165</v>
      </c>
      <c r="T114" s="96"/>
      <c r="U114" s="21" t="s">
        <v>435</v>
      </c>
      <c r="V114" s="10"/>
      <c r="W114" s="25">
        <v>3</v>
      </c>
      <c r="X114" s="1" t="s">
        <v>303</v>
      </c>
      <c r="Y114" s="1">
        <v>1</v>
      </c>
      <c r="Z114" s="1">
        <v>1</v>
      </c>
      <c r="AA114" s="8" t="s">
        <v>114</v>
      </c>
      <c r="AB114" s="8" t="s">
        <v>21</v>
      </c>
      <c r="AC114" s="104"/>
      <c r="AD114" s="60"/>
      <c r="AE114" s="174"/>
      <c r="AF114" s="61" t="str">
        <f t="shared" si="96"/>
        <v xml:space="preserve"> </v>
      </c>
      <c r="AG114" s="218" t="str">
        <f t="shared" si="120"/>
        <v>-</v>
      </c>
      <c r="AH114" s="174"/>
      <c r="AI114" s="92" t="str">
        <f t="shared" si="126"/>
        <v>OK</v>
      </c>
      <c r="AJ114" s="60"/>
      <c r="AK114" s="174"/>
      <c r="AL114" s="61" t="str">
        <f t="shared" si="97"/>
        <v xml:space="preserve"> </v>
      </c>
      <c r="AM114" s="218" t="str">
        <f t="shared" si="110"/>
        <v>-</v>
      </c>
      <c r="AN114" s="174"/>
      <c r="AO114" s="92" t="str">
        <f t="shared" si="123"/>
        <v>OK</v>
      </c>
      <c r="AP114" s="60"/>
      <c r="AQ114" s="170"/>
      <c r="AR114" s="61" t="str">
        <f t="shared" si="98"/>
        <v xml:space="preserve"> </v>
      </c>
      <c r="AS114" s="218" t="s">
        <v>593</v>
      </c>
      <c r="AT114" s="61"/>
      <c r="AU114" s="218" t="str">
        <f t="shared" si="94"/>
        <v>-</v>
      </c>
      <c r="AV114" s="60"/>
      <c r="AW114" s="174"/>
      <c r="AX114" s="61" t="str">
        <f t="shared" si="99"/>
        <v xml:space="preserve"> </v>
      </c>
      <c r="AY114" s="218" t="str">
        <f t="shared" si="111"/>
        <v>-</v>
      </c>
      <c r="AZ114" s="174"/>
      <c r="BA114" s="478" t="s">
        <v>594</v>
      </c>
      <c r="BB114" s="60"/>
      <c r="BC114" s="174"/>
      <c r="BD114" s="61" t="str">
        <f t="shared" si="100"/>
        <v xml:space="preserve"> </v>
      </c>
      <c r="BE114" s="218" t="str">
        <f t="shared" si="112"/>
        <v>-</v>
      </c>
      <c r="BF114" s="174"/>
      <c r="BG114" s="478" t="s">
        <v>594</v>
      </c>
      <c r="BH114" s="60"/>
      <c r="BI114" s="170" t="s">
        <v>38</v>
      </c>
      <c r="BJ114" s="61" t="str">
        <f t="shared" si="101"/>
        <v xml:space="preserve"> </v>
      </c>
      <c r="BK114" s="218" t="s">
        <v>593</v>
      </c>
      <c r="BL114" s="174"/>
      <c r="BM114" s="478" t="s">
        <v>594</v>
      </c>
      <c r="BN114" s="60"/>
      <c r="BO114" s="174"/>
      <c r="BP114" s="61" t="str">
        <f t="shared" si="102"/>
        <v xml:space="preserve"> </v>
      </c>
      <c r="BQ114" s="218" t="str">
        <f t="shared" si="113"/>
        <v>-</v>
      </c>
      <c r="BR114" s="174"/>
      <c r="BS114" s="478" t="s">
        <v>594</v>
      </c>
      <c r="BT114" s="60"/>
      <c r="BU114" s="170"/>
      <c r="BV114" s="61" t="str">
        <f t="shared" si="103"/>
        <v xml:space="preserve"> </v>
      </c>
      <c r="BW114" s="218" t="s">
        <v>593</v>
      </c>
      <c r="BX114" s="61"/>
      <c r="BY114" s="218" t="str">
        <f t="shared" si="114"/>
        <v>-</v>
      </c>
      <c r="BZ114" s="60"/>
      <c r="CA114" s="174"/>
      <c r="CB114" s="61" t="str">
        <f t="shared" si="104"/>
        <v xml:space="preserve"> </v>
      </c>
      <c r="CC114" s="218" t="str">
        <f t="shared" si="115"/>
        <v>-</v>
      </c>
      <c r="CD114" s="174"/>
      <c r="CE114" s="92" t="str">
        <f t="shared" si="124"/>
        <v>OK</v>
      </c>
      <c r="CF114" s="60"/>
      <c r="CG114" s="174"/>
      <c r="CH114" s="61" t="str">
        <f t="shared" si="105"/>
        <v xml:space="preserve"> </v>
      </c>
      <c r="CI114" s="218" t="str">
        <f t="shared" si="116"/>
        <v>-</v>
      </c>
      <c r="CJ114" s="174"/>
      <c r="CK114" s="92" t="str">
        <f t="shared" si="125"/>
        <v>OK</v>
      </c>
      <c r="CL114" s="60"/>
      <c r="CM114" s="174"/>
      <c r="CN114" s="61" t="str">
        <f t="shared" si="106"/>
        <v xml:space="preserve"> </v>
      </c>
      <c r="CO114" s="218" t="s">
        <v>593</v>
      </c>
      <c r="CP114" s="61"/>
      <c r="CQ114" s="218" t="str">
        <f t="shared" si="117"/>
        <v>-</v>
      </c>
      <c r="CR114" s="60"/>
      <c r="CS114" s="174"/>
      <c r="CT114" s="61" t="str">
        <f t="shared" si="107"/>
        <v xml:space="preserve"> </v>
      </c>
      <c r="CU114" s="218" t="str">
        <f t="shared" si="118"/>
        <v>-</v>
      </c>
      <c r="CV114" s="174"/>
      <c r="CW114" s="92" t="s">
        <v>593</v>
      </c>
      <c r="CX114" s="60"/>
      <c r="CY114" s="174"/>
      <c r="CZ114" s="61" t="str">
        <f t="shared" si="108"/>
        <v xml:space="preserve"> </v>
      </c>
      <c r="DA114" s="218" t="str">
        <f t="shared" si="119"/>
        <v>-</v>
      </c>
      <c r="DB114" s="174"/>
      <c r="DC114" s="92" t="s">
        <v>593</v>
      </c>
    </row>
    <row r="115" spans="1:107" s="26" customFormat="1">
      <c r="B115" s="65">
        <f t="shared" si="109"/>
        <v>108</v>
      </c>
      <c r="C115" s="7"/>
      <c r="D115" s="7"/>
      <c r="E115" s="7"/>
      <c r="F115" s="22" t="s">
        <v>166</v>
      </c>
      <c r="G115" s="16"/>
      <c r="H115" s="13"/>
      <c r="I115" s="8"/>
      <c r="J115" s="8"/>
      <c r="K115" s="8"/>
      <c r="L115" s="8"/>
      <c r="M115" s="11"/>
      <c r="N115" s="1"/>
      <c r="O115" s="57"/>
      <c r="P115" s="95">
        <f t="shared" si="122"/>
        <v>89</v>
      </c>
      <c r="Q115" s="115">
        <v>128</v>
      </c>
      <c r="R115" s="21" t="str">
        <f t="shared" si="127"/>
        <v>X</v>
      </c>
      <c r="S115" s="98" t="s">
        <v>167</v>
      </c>
      <c r="T115" s="96"/>
      <c r="U115" s="21" t="s">
        <v>435</v>
      </c>
      <c r="V115" s="10"/>
      <c r="W115" s="25">
        <v>3</v>
      </c>
      <c r="X115" s="1" t="s">
        <v>304</v>
      </c>
      <c r="Y115" s="1">
        <v>1</v>
      </c>
      <c r="Z115" s="1">
        <v>128</v>
      </c>
      <c r="AA115" s="8" t="s">
        <v>114</v>
      </c>
      <c r="AB115" s="8" t="s">
        <v>21</v>
      </c>
      <c r="AC115" s="12"/>
      <c r="AD115" s="60"/>
      <c r="AE115" s="169"/>
      <c r="AF115" s="61" t="str">
        <f t="shared" si="96"/>
        <v xml:space="preserve">                                                                                                                                </v>
      </c>
      <c r="AG115" s="218" t="str">
        <f t="shared" si="120"/>
        <v>-</v>
      </c>
      <c r="AH115" s="169"/>
      <c r="AI115" s="92" t="str">
        <f t="shared" si="126"/>
        <v>OK</v>
      </c>
      <c r="AJ115" s="60"/>
      <c r="AK115" s="169"/>
      <c r="AL115" s="61" t="str">
        <f t="shared" si="97"/>
        <v xml:space="preserve">                                                                                                                                </v>
      </c>
      <c r="AM115" s="218" t="str">
        <f t="shared" si="110"/>
        <v>-</v>
      </c>
      <c r="AN115" s="169"/>
      <c r="AO115" s="92" t="str">
        <f t="shared" si="123"/>
        <v>OK</v>
      </c>
      <c r="AP115" s="60"/>
      <c r="AQ115" s="172"/>
      <c r="AR115" s="61" t="str">
        <f t="shared" si="98"/>
        <v xml:space="preserve">                                                                                                                                </v>
      </c>
      <c r="AS115" s="218" t="s">
        <v>593</v>
      </c>
      <c r="AT115" s="61"/>
      <c r="AU115" s="218" t="str">
        <f t="shared" si="94"/>
        <v>-</v>
      </c>
      <c r="AV115" s="60"/>
      <c r="AW115" s="169"/>
      <c r="AX115" s="61" t="str">
        <f t="shared" si="99"/>
        <v xml:space="preserve">                                                                                                                                </v>
      </c>
      <c r="AY115" s="218" t="str">
        <f t="shared" si="111"/>
        <v>-</v>
      </c>
      <c r="AZ115" s="169"/>
      <c r="BA115" s="478" t="s">
        <v>594</v>
      </c>
      <c r="BB115" s="60"/>
      <c r="BC115" s="169"/>
      <c r="BD115" s="61" t="str">
        <f t="shared" si="100"/>
        <v xml:space="preserve">                                                                                                                                </v>
      </c>
      <c r="BE115" s="218" t="str">
        <f t="shared" si="112"/>
        <v>-</v>
      </c>
      <c r="BF115" s="169"/>
      <c r="BG115" s="478" t="s">
        <v>594</v>
      </c>
      <c r="BH115" s="60"/>
      <c r="BI115" s="170" t="s">
        <v>704</v>
      </c>
      <c r="BJ115" s="61" t="str">
        <f t="shared" si="101"/>
        <v xml:space="preserve">                                                                                                                                </v>
      </c>
      <c r="BK115" s="218" t="s">
        <v>593</v>
      </c>
      <c r="BL115" s="169"/>
      <c r="BM115" s="478" t="s">
        <v>594</v>
      </c>
      <c r="BN115" s="60"/>
      <c r="BO115" s="169"/>
      <c r="BP115" s="61" t="str">
        <f t="shared" si="102"/>
        <v xml:space="preserve">                                                                                                                                </v>
      </c>
      <c r="BQ115" s="218" t="str">
        <f t="shared" si="113"/>
        <v>-</v>
      </c>
      <c r="BR115" s="169"/>
      <c r="BS115" s="478" t="s">
        <v>594</v>
      </c>
      <c r="BT115" s="60"/>
      <c r="BU115" s="172"/>
      <c r="BV115" s="61" t="str">
        <f t="shared" si="103"/>
        <v xml:space="preserve">                                                                                                                                </v>
      </c>
      <c r="BW115" s="218" t="s">
        <v>593</v>
      </c>
      <c r="BX115" s="61"/>
      <c r="BY115" s="218" t="str">
        <f t="shared" si="114"/>
        <v>-</v>
      </c>
      <c r="BZ115" s="60"/>
      <c r="CA115" s="169"/>
      <c r="CB115" s="61" t="str">
        <f t="shared" si="104"/>
        <v xml:space="preserve">                                                                                                                                </v>
      </c>
      <c r="CC115" s="218" t="str">
        <f t="shared" si="115"/>
        <v>-</v>
      </c>
      <c r="CD115" s="169"/>
      <c r="CE115" s="92" t="str">
        <f t="shared" si="124"/>
        <v>OK</v>
      </c>
      <c r="CF115" s="60"/>
      <c r="CG115" s="169"/>
      <c r="CH115" s="61" t="str">
        <f t="shared" si="105"/>
        <v xml:space="preserve">                                                                                                                                </v>
      </c>
      <c r="CI115" s="218" t="str">
        <f t="shared" si="116"/>
        <v>-</v>
      </c>
      <c r="CJ115" s="169"/>
      <c r="CK115" s="92" t="str">
        <f t="shared" si="125"/>
        <v>OK</v>
      </c>
      <c r="CL115" s="60"/>
      <c r="CM115" s="169"/>
      <c r="CN115" s="61" t="str">
        <f t="shared" si="106"/>
        <v xml:space="preserve">                                                                                                                                </v>
      </c>
      <c r="CO115" s="218" t="s">
        <v>593</v>
      </c>
      <c r="CP115" s="61"/>
      <c r="CQ115" s="218" t="str">
        <f t="shared" si="117"/>
        <v>-</v>
      </c>
      <c r="CR115" s="60"/>
      <c r="CS115" s="169"/>
      <c r="CT115" s="61" t="str">
        <f t="shared" si="107"/>
        <v xml:space="preserve">                                                                                                                                </v>
      </c>
      <c r="CU115" s="218" t="str">
        <f t="shared" si="118"/>
        <v>-</v>
      </c>
      <c r="CV115" s="169"/>
      <c r="CW115" s="92" t="s">
        <v>593</v>
      </c>
      <c r="CX115" s="60"/>
      <c r="CY115" s="169"/>
      <c r="CZ115" s="61" t="str">
        <f t="shared" si="108"/>
        <v xml:space="preserve">                                                                                                                                </v>
      </c>
      <c r="DA115" s="218" t="str">
        <f t="shared" si="119"/>
        <v>-</v>
      </c>
      <c r="DB115" s="169"/>
      <c r="DC115" s="92" t="s">
        <v>593</v>
      </c>
    </row>
    <row r="116" spans="1:107" s="26" customFormat="1" ht="114.75">
      <c r="B116" s="65">
        <f t="shared" si="109"/>
        <v>109</v>
      </c>
      <c r="C116" s="7"/>
      <c r="D116" s="7"/>
      <c r="E116" s="7"/>
      <c r="F116" s="22" t="s">
        <v>168</v>
      </c>
      <c r="G116" s="16"/>
      <c r="H116" s="13"/>
      <c r="I116" s="8"/>
      <c r="J116" s="8"/>
      <c r="K116" s="8"/>
      <c r="L116" s="8"/>
      <c r="M116" s="11" t="s">
        <v>399</v>
      </c>
      <c r="N116" s="1"/>
      <c r="O116" s="57"/>
      <c r="P116" s="95">
        <f t="shared" si="122"/>
        <v>90</v>
      </c>
      <c r="Q116" s="115">
        <v>1</v>
      </c>
      <c r="R116" s="21" t="str">
        <f t="shared" si="127"/>
        <v>X</v>
      </c>
      <c r="S116" s="98" t="s">
        <v>169</v>
      </c>
      <c r="T116" s="96"/>
      <c r="U116" s="21" t="s">
        <v>435</v>
      </c>
      <c r="V116" s="10"/>
      <c r="W116" s="25">
        <v>3</v>
      </c>
      <c r="X116" s="1" t="s">
        <v>305</v>
      </c>
      <c r="Y116" s="1">
        <v>1</v>
      </c>
      <c r="Z116" s="1">
        <v>1</v>
      </c>
      <c r="AA116" s="8" t="s">
        <v>114</v>
      </c>
      <c r="AB116" s="8" t="s">
        <v>21</v>
      </c>
      <c r="AC116" s="104"/>
      <c r="AD116" s="60"/>
      <c r="AE116" s="174"/>
      <c r="AF116" s="61" t="str">
        <f t="shared" si="96"/>
        <v xml:space="preserve"> </v>
      </c>
      <c r="AG116" s="218" t="str">
        <f t="shared" si="120"/>
        <v>-</v>
      </c>
      <c r="AH116" s="174"/>
      <c r="AI116" s="92" t="str">
        <f t="shared" si="126"/>
        <v>OK</v>
      </c>
      <c r="AJ116" s="60"/>
      <c r="AK116" s="174"/>
      <c r="AL116" s="61" t="str">
        <f t="shared" si="97"/>
        <v xml:space="preserve"> </v>
      </c>
      <c r="AM116" s="218" t="str">
        <f t="shared" si="110"/>
        <v>-</v>
      </c>
      <c r="AN116" s="174"/>
      <c r="AO116" s="92" t="str">
        <f t="shared" si="123"/>
        <v>OK</v>
      </c>
      <c r="AP116" s="60"/>
      <c r="AQ116" s="170"/>
      <c r="AR116" s="61" t="str">
        <f t="shared" si="98"/>
        <v xml:space="preserve"> </v>
      </c>
      <c r="AS116" s="218" t="s">
        <v>593</v>
      </c>
      <c r="AT116" s="61"/>
      <c r="AU116" s="218" t="str">
        <f t="shared" si="94"/>
        <v>-</v>
      </c>
      <c r="AV116" s="60"/>
      <c r="AW116" s="174"/>
      <c r="AX116" s="61" t="str">
        <f t="shared" si="99"/>
        <v xml:space="preserve"> </v>
      </c>
      <c r="AY116" s="218" t="str">
        <f t="shared" si="111"/>
        <v>-</v>
      </c>
      <c r="AZ116" s="174"/>
      <c r="BA116" s="478" t="s">
        <v>594</v>
      </c>
      <c r="BB116" s="60"/>
      <c r="BC116" s="174" t="s">
        <v>33</v>
      </c>
      <c r="BD116" s="61" t="str">
        <f t="shared" si="100"/>
        <v>1</v>
      </c>
      <c r="BE116" s="218" t="str">
        <f t="shared" si="112"/>
        <v>-</v>
      </c>
      <c r="BF116" s="174" t="s">
        <v>33</v>
      </c>
      <c r="BG116" s="478" t="s">
        <v>594</v>
      </c>
      <c r="BH116" s="60"/>
      <c r="BI116" s="170" t="s">
        <v>38</v>
      </c>
      <c r="BJ116" s="61" t="str">
        <f t="shared" si="101"/>
        <v xml:space="preserve"> </v>
      </c>
      <c r="BK116" s="218" t="s">
        <v>593</v>
      </c>
      <c r="BL116" s="174"/>
      <c r="BM116" s="478" t="s">
        <v>594</v>
      </c>
      <c r="BN116" s="60"/>
      <c r="BO116" s="174" t="s">
        <v>33</v>
      </c>
      <c r="BP116" s="61" t="str">
        <f t="shared" si="102"/>
        <v>1</v>
      </c>
      <c r="BQ116" s="218" t="str">
        <f t="shared" si="113"/>
        <v>-</v>
      </c>
      <c r="BR116" s="174" t="s">
        <v>33</v>
      </c>
      <c r="BS116" s="478" t="s">
        <v>594</v>
      </c>
      <c r="BT116" s="60"/>
      <c r="BU116" s="170"/>
      <c r="BV116" s="61" t="str">
        <f t="shared" si="103"/>
        <v xml:space="preserve"> </v>
      </c>
      <c r="BW116" s="218" t="s">
        <v>593</v>
      </c>
      <c r="BX116" s="61"/>
      <c r="BY116" s="218" t="str">
        <f t="shared" si="114"/>
        <v>-</v>
      </c>
      <c r="BZ116" s="60"/>
      <c r="CA116" s="174"/>
      <c r="CB116" s="61" t="str">
        <f t="shared" si="104"/>
        <v xml:space="preserve"> </v>
      </c>
      <c r="CC116" s="218" t="str">
        <f t="shared" si="115"/>
        <v>-</v>
      </c>
      <c r="CD116" s="174"/>
      <c r="CE116" s="92" t="str">
        <f t="shared" si="124"/>
        <v>OK</v>
      </c>
      <c r="CF116" s="60"/>
      <c r="CG116" s="174"/>
      <c r="CH116" s="61" t="str">
        <f t="shared" si="105"/>
        <v xml:space="preserve"> </v>
      </c>
      <c r="CI116" s="218" t="str">
        <f t="shared" si="116"/>
        <v>-</v>
      </c>
      <c r="CJ116" s="174"/>
      <c r="CK116" s="92" t="str">
        <f t="shared" si="125"/>
        <v>OK</v>
      </c>
      <c r="CL116" s="60"/>
      <c r="CM116" s="174"/>
      <c r="CN116" s="61" t="str">
        <f t="shared" si="106"/>
        <v xml:space="preserve"> </v>
      </c>
      <c r="CO116" s="218" t="s">
        <v>593</v>
      </c>
      <c r="CP116" s="61"/>
      <c r="CQ116" s="218" t="str">
        <f t="shared" si="117"/>
        <v>-</v>
      </c>
      <c r="CR116" s="60"/>
      <c r="CS116" s="174"/>
      <c r="CT116" s="61" t="str">
        <f t="shared" si="107"/>
        <v xml:space="preserve"> </v>
      </c>
      <c r="CU116" s="218" t="str">
        <f t="shared" si="118"/>
        <v>-</v>
      </c>
      <c r="CV116" s="174"/>
      <c r="CW116" s="92" t="s">
        <v>593</v>
      </c>
      <c r="CX116" s="60"/>
      <c r="CY116" s="174"/>
      <c r="CZ116" s="61" t="str">
        <f t="shared" si="108"/>
        <v xml:space="preserve"> </v>
      </c>
      <c r="DA116" s="218" t="str">
        <f t="shared" si="119"/>
        <v>-</v>
      </c>
      <c r="DB116" s="174"/>
      <c r="DC116" s="92" t="s">
        <v>593</v>
      </c>
    </row>
    <row r="117" spans="1:107" s="26" customFormat="1" ht="127.5">
      <c r="B117" s="65">
        <f t="shared" si="109"/>
        <v>110</v>
      </c>
      <c r="C117" s="7"/>
      <c r="D117" s="7"/>
      <c r="E117" s="7"/>
      <c r="F117" s="22" t="s">
        <v>170</v>
      </c>
      <c r="G117" s="16"/>
      <c r="H117" s="13"/>
      <c r="I117" s="8"/>
      <c r="J117" s="8" t="s">
        <v>426</v>
      </c>
      <c r="K117" s="8"/>
      <c r="L117" s="8"/>
      <c r="M117" s="418" t="s">
        <v>451</v>
      </c>
      <c r="N117" s="1"/>
      <c r="O117" s="57"/>
      <c r="P117" s="95">
        <f t="shared" si="122"/>
        <v>91</v>
      </c>
      <c r="Q117" s="115">
        <v>1</v>
      </c>
      <c r="R117" s="21" t="str">
        <f t="shared" si="127"/>
        <v>X</v>
      </c>
      <c r="S117" s="98" t="s">
        <v>171</v>
      </c>
      <c r="T117" s="96"/>
      <c r="U117" s="21" t="s">
        <v>435</v>
      </c>
      <c r="V117" s="10"/>
      <c r="W117" s="25">
        <v>3</v>
      </c>
      <c r="X117" s="1" t="s">
        <v>306</v>
      </c>
      <c r="Y117" s="1">
        <v>1</v>
      </c>
      <c r="Z117" s="1">
        <v>1</v>
      </c>
      <c r="AA117" s="8" t="s">
        <v>114</v>
      </c>
      <c r="AB117" s="8" t="s">
        <v>21</v>
      </c>
      <c r="AC117" s="104"/>
      <c r="AD117" s="60"/>
      <c r="AE117" s="174"/>
      <c r="AF117" s="61" t="str">
        <f t="shared" si="96"/>
        <v xml:space="preserve"> </v>
      </c>
      <c r="AG117" s="218" t="str">
        <f t="shared" si="120"/>
        <v>-</v>
      </c>
      <c r="AH117" s="174"/>
      <c r="AI117" s="92" t="str">
        <f t="shared" si="126"/>
        <v>OK</v>
      </c>
      <c r="AJ117" s="60"/>
      <c r="AK117" s="174"/>
      <c r="AL117" s="61" t="str">
        <f t="shared" si="97"/>
        <v xml:space="preserve"> </v>
      </c>
      <c r="AM117" s="218" t="str">
        <f t="shared" si="110"/>
        <v>-</v>
      </c>
      <c r="AN117" s="174"/>
      <c r="AO117" s="92" t="str">
        <f t="shared" si="123"/>
        <v>OK</v>
      </c>
      <c r="AP117" s="60"/>
      <c r="AQ117" s="170"/>
      <c r="AR117" s="61" t="str">
        <f t="shared" si="98"/>
        <v xml:space="preserve"> </v>
      </c>
      <c r="AS117" s="218" t="s">
        <v>593</v>
      </c>
      <c r="AT117" s="61"/>
      <c r="AU117" s="218" t="str">
        <f t="shared" si="94"/>
        <v>-</v>
      </c>
      <c r="AV117" s="60"/>
      <c r="AW117" s="174" t="s">
        <v>33</v>
      </c>
      <c r="AX117" s="61" t="str">
        <f t="shared" si="99"/>
        <v>1</v>
      </c>
      <c r="AY117" s="218" t="str">
        <f t="shared" si="111"/>
        <v>-</v>
      </c>
      <c r="AZ117" s="174" t="s">
        <v>33</v>
      </c>
      <c r="BA117" s="478" t="s">
        <v>594</v>
      </c>
      <c r="BB117" s="60"/>
      <c r="BC117" s="174" t="s">
        <v>33</v>
      </c>
      <c r="BD117" s="61" t="str">
        <f t="shared" si="100"/>
        <v>1</v>
      </c>
      <c r="BE117" s="218" t="str">
        <f t="shared" si="112"/>
        <v>-</v>
      </c>
      <c r="BF117" s="174" t="s">
        <v>33</v>
      </c>
      <c r="BG117" s="478" t="s">
        <v>594</v>
      </c>
      <c r="BH117" s="60"/>
      <c r="BI117" s="170" t="s">
        <v>33</v>
      </c>
      <c r="BJ117" s="61" t="str">
        <f t="shared" si="101"/>
        <v>1</v>
      </c>
      <c r="BK117" s="218" t="s">
        <v>593</v>
      </c>
      <c r="BL117" s="174" t="s">
        <v>33</v>
      </c>
      <c r="BM117" s="478" t="s">
        <v>594</v>
      </c>
      <c r="BN117" s="60"/>
      <c r="BO117" s="174" t="s">
        <v>33</v>
      </c>
      <c r="BP117" s="61" t="str">
        <f t="shared" si="102"/>
        <v>1</v>
      </c>
      <c r="BQ117" s="218" t="str">
        <f t="shared" si="113"/>
        <v>-</v>
      </c>
      <c r="BR117" s="174" t="s">
        <v>33</v>
      </c>
      <c r="BS117" s="478" t="s">
        <v>594</v>
      </c>
      <c r="BT117" s="60"/>
      <c r="BU117" s="170"/>
      <c r="BV117" s="61" t="str">
        <f t="shared" si="103"/>
        <v xml:space="preserve"> </v>
      </c>
      <c r="BW117" s="218" t="s">
        <v>593</v>
      </c>
      <c r="BX117" s="61"/>
      <c r="BY117" s="218" t="str">
        <f t="shared" si="114"/>
        <v>-</v>
      </c>
      <c r="BZ117" s="60"/>
      <c r="CA117" s="174"/>
      <c r="CB117" s="61" t="str">
        <f t="shared" si="104"/>
        <v xml:space="preserve"> </v>
      </c>
      <c r="CC117" s="218" t="str">
        <f t="shared" si="115"/>
        <v>-</v>
      </c>
      <c r="CD117" s="174"/>
      <c r="CE117" s="92" t="str">
        <f t="shared" si="124"/>
        <v>OK</v>
      </c>
      <c r="CF117" s="60"/>
      <c r="CG117" s="174"/>
      <c r="CH117" s="61" t="str">
        <f t="shared" si="105"/>
        <v xml:space="preserve"> </v>
      </c>
      <c r="CI117" s="218" t="str">
        <f t="shared" si="116"/>
        <v>-</v>
      </c>
      <c r="CJ117" s="174"/>
      <c r="CK117" s="92" t="str">
        <f t="shared" si="125"/>
        <v>OK</v>
      </c>
      <c r="CL117" s="60"/>
      <c r="CM117" s="174"/>
      <c r="CN117" s="61" t="str">
        <f t="shared" si="106"/>
        <v xml:space="preserve"> </v>
      </c>
      <c r="CO117" s="218" t="s">
        <v>593</v>
      </c>
      <c r="CP117" s="61"/>
      <c r="CQ117" s="218" t="str">
        <f t="shared" si="117"/>
        <v>-</v>
      </c>
      <c r="CR117" s="60"/>
      <c r="CS117" s="174"/>
      <c r="CT117" s="61" t="str">
        <f t="shared" si="107"/>
        <v xml:space="preserve"> </v>
      </c>
      <c r="CU117" s="218" t="str">
        <f t="shared" si="118"/>
        <v>-</v>
      </c>
      <c r="CV117" s="174"/>
      <c r="CW117" s="92" t="s">
        <v>593</v>
      </c>
      <c r="CX117" s="60"/>
      <c r="CY117" s="174"/>
      <c r="CZ117" s="61" t="str">
        <f t="shared" si="108"/>
        <v xml:space="preserve"> </v>
      </c>
      <c r="DA117" s="218" t="str">
        <f t="shared" si="119"/>
        <v>-</v>
      </c>
      <c r="DB117" s="174"/>
      <c r="DC117" s="92" t="s">
        <v>593</v>
      </c>
    </row>
    <row r="118" spans="1:107" s="26" customFormat="1" ht="319.5" customHeight="1">
      <c r="B118" s="65">
        <f t="shared" si="109"/>
        <v>111</v>
      </c>
      <c r="C118" s="7"/>
      <c r="D118" s="7"/>
      <c r="E118" s="54"/>
      <c r="F118" s="113" t="s">
        <v>452</v>
      </c>
      <c r="G118" s="67"/>
      <c r="H118" s="62"/>
      <c r="I118" s="8"/>
      <c r="J118" s="8" t="s">
        <v>426</v>
      </c>
      <c r="K118" s="8"/>
      <c r="L118" s="8"/>
      <c r="M118" s="415" t="s">
        <v>453</v>
      </c>
      <c r="N118" s="16"/>
      <c r="O118" s="57"/>
      <c r="P118" s="95">
        <f t="shared" si="122"/>
        <v>92</v>
      </c>
      <c r="Q118" s="115">
        <v>2</v>
      </c>
      <c r="R118" s="21" t="str">
        <f t="shared" si="127"/>
        <v>X</v>
      </c>
      <c r="S118" s="98" t="s">
        <v>172</v>
      </c>
      <c r="T118" s="96"/>
      <c r="U118" s="21" t="s">
        <v>435</v>
      </c>
      <c r="V118" s="10"/>
      <c r="W118" s="25">
        <v>3</v>
      </c>
      <c r="X118" s="1" t="s">
        <v>308</v>
      </c>
      <c r="Y118" s="1">
        <v>2</v>
      </c>
      <c r="Z118" s="1">
        <v>2</v>
      </c>
      <c r="AA118" s="8" t="s">
        <v>261</v>
      </c>
      <c r="AB118" s="8" t="s">
        <v>257</v>
      </c>
      <c r="AC118" s="68"/>
      <c r="AD118" s="60"/>
      <c r="AE118" s="174"/>
      <c r="AF118" s="273" t="str">
        <f t="shared" si="96"/>
        <v xml:space="preserve">  </v>
      </c>
      <c r="AG118" s="218" t="str">
        <f t="shared" si="120"/>
        <v>-</v>
      </c>
      <c r="AH118" s="174"/>
      <c r="AI118" s="92" t="str">
        <f t="shared" si="126"/>
        <v>OK</v>
      </c>
      <c r="AJ118" s="60"/>
      <c r="AK118" s="174"/>
      <c r="AL118" s="273" t="str">
        <f t="shared" si="97"/>
        <v xml:space="preserve">  </v>
      </c>
      <c r="AM118" s="218" t="str">
        <f t="shared" si="110"/>
        <v>-</v>
      </c>
      <c r="AN118" s="174"/>
      <c r="AO118" s="92" t="str">
        <f t="shared" si="123"/>
        <v>OK</v>
      </c>
      <c r="AP118" s="60"/>
      <c r="AQ118" s="170"/>
      <c r="AR118" s="273" t="str">
        <f t="shared" si="98"/>
        <v xml:space="preserve">  </v>
      </c>
      <c r="AS118" s="218" t="s">
        <v>593</v>
      </c>
      <c r="AT118" s="273"/>
      <c r="AU118" s="218" t="str">
        <f t="shared" si="94"/>
        <v>-</v>
      </c>
      <c r="AV118" s="60"/>
      <c r="AW118" s="174" t="s">
        <v>387</v>
      </c>
      <c r="AX118" s="273" t="str">
        <f t="shared" si="99"/>
        <v>B2</v>
      </c>
      <c r="AY118" s="218" t="str">
        <f t="shared" si="111"/>
        <v>-</v>
      </c>
      <c r="AZ118" s="174" t="s">
        <v>387</v>
      </c>
      <c r="BA118" s="92" t="str">
        <f>IF(EXACT(AW118,AZ118),"OK","NG")</f>
        <v>OK</v>
      </c>
      <c r="BB118" s="60"/>
      <c r="BC118" s="174" t="s">
        <v>192</v>
      </c>
      <c r="BD118" s="273" t="str">
        <f t="shared" si="100"/>
        <v>A1</v>
      </c>
      <c r="BE118" s="218" t="str">
        <f t="shared" si="112"/>
        <v>-</v>
      </c>
      <c r="BF118" s="174" t="s">
        <v>192</v>
      </c>
      <c r="BG118" s="92" t="str">
        <f>IF(EXACT(BC118,BF118),"OK","NG")</f>
        <v>OK</v>
      </c>
      <c r="BH118" s="60"/>
      <c r="BI118" s="170" t="s">
        <v>387</v>
      </c>
      <c r="BJ118" s="273" t="str">
        <f t="shared" si="101"/>
        <v>B2</v>
      </c>
      <c r="BK118" s="218" t="s">
        <v>593</v>
      </c>
      <c r="BL118" s="174" t="s">
        <v>387</v>
      </c>
      <c r="BM118" s="92" t="str">
        <f>IF(EXACT(BI118,BL118),"OK","NG")</f>
        <v>OK</v>
      </c>
      <c r="BN118" s="60"/>
      <c r="BO118" s="174" t="s">
        <v>192</v>
      </c>
      <c r="BP118" s="273" t="str">
        <f t="shared" si="102"/>
        <v>A1</v>
      </c>
      <c r="BQ118" s="218" t="str">
        <f t="shared" si="113"/>
        <v>-</v>
      </c>
      <c r="BR118" s="174" t="s">
        <v>192</v>
      </c>
      <c r="BS118" s="92" t="str">
        <f>IF(EXACT(BO118,BR118),"OK","NG")</f>
        <v>OK</v>
      </c>
      <c r="BT118" s="60"/>
      <c r="BU118" s="170"/>
      <c r="BV118" s="273" t="str">
        <f t="shared" si="103"/>
        <v xml:space="preserve">  </v>
      </c>
      <c r="BW118" s="218" t="s">
        <v>593</v>
      </c>
      <c r="BX118" s="273"/>
      <c r="BY118" s="218" t="str">
        <f t="shared" si="114"/>
        <v>-</v>
      </c>
      <c r="BZ118" s="60"/>
      <c r="CA118" s="174"/>
      <c r="CB118" s="273" t="str">
        <f t="shared" si="104"/>
        <v xml:space="preserve">  </v>
      </c>
      <c r="CC118" s="218" t="str">
        <f t="shared" si="115"/>
        <v>-</v>
      </c>
      <c r="CD118" s="174"/>
      <c r="CE118" s="92" t="str">
        <f t="shared" si="124"/>
        <v>OK</v>
      </c>
      <c r="CF118" s="60"/>
      <c r="CG118" s="174"/>
      <c r="CH118" s="273" t="str">
        <f t="shared" si="105"/>
        <v xml:space="preserve">  </v>
      </c>
      <c r="CI118" s="218" t="str">
        <f t="shared" si="116"/>
        <v>-</v>
      </c>
      <c r="CJ118" s="174"/>
      <c r="CK118" s="92" t="str">
        <f t="shared" si="125"/>
        <v>OK</v>
      </c>
      <c r="CL118" s="60"/>
      <c r="CM118" s="174"/>
      <c r="CN118" s="273" t="str">
        <f t="shared" si="106"/>
        <v xml:space="preserve">  </v>
      </c>
      <c r="CO118" s="218" t="s">
        <v>593</v>
      </c>
      <c r="CP118" s="273"/>
      <c r="CQ118" s="218" t="str">
        <f t="shared" si="117"/>
        <v>-</v>
      </c>
      <c r="CR118" s="60"/>
      <c r="CS118" s="174"/>
      <c r="CT118" s="273" t="str">
        <f t="shared" si="107"/>
        <v xml:space="preserve">  </v>
      </c>
      <c r="CU118" s="218" t="str">
        <f t="shared" si="118"/>
        <v>-</v>
      </c>
      <c r="CV118" s="174"/>
      <c r="CW118" s="92" t="s">
        <v>593</v>
      </c>
      <c r="CX118" s="60"/>
      <c r="CY118" s="174"/>
      <c r="CZ118" s="273" t="str">
        <f t="shared" si="108"/>
        <v xml:space="preserve">  </v>
      </c>
      <c r="DA118" s="218" t="str">
        <f t="shared" si="119"/>
        <v>-</v>
      </c>
      <c r="DB118" s="174"/>
      <c r="DC118" s="92" t="s">
        <v>593</v>
      </c>
    </row>
    <row r="119" spans="1:107" s="26" customFormat="1" ht="25.5">
      <c r="B119" s="65">
        <f t="shared" si="109"/>
        <v>112</v>
      </c>
      <c r="C119" s="7"/>
      <c r="D119" s="7"/>
      <c r="E119" s="54"/>
      <c r="F119" s="66" t="s">
        <v>173</v>
      </c>
      <c r="G119" s="67"/>
      <c r="H119" s="62"/>
      <c r="I119" s="8"/>
      <c r="J119" s="8"/>
      <c r="K119" s="8"/>
      <c r="L119" s="8"/>
      <c r="M119" s="11" t="s">
        <v>354</v>
      </c>
      <c r="N119" s="16"/>
      <c r="O119" s="57"/>
      <c r="P119" s="95">
        <f t="shared" si="122"/>
        <v>93</v>
      </c>
      <c r="Q119" s="115">
        <v>7</v>
      </c>
      <c r="R119" s="21" t="str">
        <f t="shared" si="127"/>
        <v>X</v>
      </c>
      <c r="S119" s="98" t="s">
        <v>174</v>
      </c>
      <c r="T119" s="96"/>
      <c r="U119" s="21" t="s">
        <v>257</v>
      </c>
      <c r="V119" s="10"/>
      <c r="W119" s="25">
        <v>3</v>
      </c>
      <c r="X119" s="1" t="s">
        <v>309</v>
      </c>
      <c r="Y119" s="1">
        <v>7</v>
      </c>
      <c r="Z119" s="1">
        <v>7</v>
      </c>
      <c r="AA119" s="8" t="s">
        <v>261</v>
      </c>
      <c r="AB119" s="8" t="s">
        <v>257</v>
      </c>
      <c r="AC119" s="105"/>
      <c r="AD119" s="60"/>
      <c r="AE119" s="169"/>
      <c r="AF119" s="61" t="str">
        <f t="shared" si="96"/>
        <v xml:space="preserve">       </v>
      </c>
      <c r="AG119" s="218" t="str">
        <f t="shared" si="120"/>
        <v>-</v>
      </c>
      <c r="AH119" s="169"/>
      <c r="AI119" s="92" t="str">
        <f t="shared" si="126"/>
        <v>OK</v>
      </c>
      <c r="AJ119" s="60"/>
      <c r="AK119" s="169"/>
      <c r="AL119" s="61" t="str">
        <f t="shared" si="97"/>
        <v xml:space="preserve">       </v>
      </c>
      <c r="AM119" s="218" t="str">
        <f t="shared" si="110"/>
        <v>-</v>
      </c>
      <c r="AN119" s="169"/>
      <c r="AO119" s="92" t="str">
        <f t="shared" si="123"/>
        <v>OK</v>
      </c>
      <c r="AP119" s="60"/>
      <c r="AQ119" s="172"/>
      <c r="AR119" s="61" t="str">
        <f t="shared" si="98"/>
        <v xml:space="preserve">       </v>
      </c>
      <c r="AS119" s="218" t="s">
        <v>593</v>
      </c>
      <c r="AT119" s="61"/>
      <c r="AU119" s="218" t="str">
        <f t="shared" si="94"/>
        <v>-</v>
      </c>
      <c r="AV119" s="60"/>
      <c r="AW119" s="169"/>
      <c r="AX119" s="61" t="str">
        <f t="shared" si="99"/>
        <v xml:space="preserve">       </v>
      </c>
      <c r="AY119" s="218" t="str">
        <f t="shared" si="111"/>
        <v>-</v>
      </c>
      <c r="AZ119" s="169"/>
      <c r="BA119" s="478" t="s">
        <v>594</v>
      </c>
      <c r="BB119" s="60"/>
      <c r="BC119" s="169"/>
      <c r="BD119" s="61" t="str">
        <f t="shared" si="100"/>
        <v xml:space="preserve">       </v>
      </c>
      <c r="BE119" s="218" t="str">
        <f t="shared" si="112"/>
        <v>-</v>
      </c>
      <c r="BF119" s="169"/>
      <c r="BG119" s="478" t="s">
        <v>594</v>
      </c>
      <c r="BH119" s="60"/>
      <c r="BI119" s="170" t="s">
        <v>705</v>
      </c>
      <c r="BJ119" s="61" t="str">
        <f t="shared" si="101"/>
        <v xml:space="preserve">       </v>
      </c>
      <c r="BK119" s="218" t="s">
        <v>593</v>
      </c>
      <c r="BL119" s="169"/>
      <c r="BM119" s="478" t="s">
        <v>594</v>
      </c>
      <c r="BN119" s="60"/>
      <c r="BO119" s="169"/>
      <c r="BP119" s="61" t="str">
        <f t="shared" si="102"/>
        <v xml:space="preserve">       </v>
      </c>
      <c r="BQ119" s="218" t="str">
        <f t="shared" si="113"/>
        <v>-</v>
      </c>
      <c r="BR119" s="169"/>
      <c r="BS119" s="478" t="s">
        <v>594</v>
      </c>
      <c r="BT119" s="60"/>
      <c r="BU119" s="172"/>
      <c r="BV119" s="61" t="str">
        <f t="shared" si="103"/>
        <v xml:space="preserve">       </v>
      </c>
      <c r="BW119" s="218" t="s">
        <v>593</v>
      </c>
      <c r="BX119" s="61"/>
      <c r="BY119" s="218" t="str">
        <f t="shared" si="114"/>
        <v>-</v>
      </c>
      <c r="BZ119" s="60"/>
      <c r="CA119" s="169"/>
      <c r="CB119" s="61" t="str">
        <f t="shared" si="104"/>
        <v xml:space="preserve">       </v>
      </c>
      <c r="CC119" s="218" t="str">
        <f t="shared" si="115"/>
        <v>-</v>
      </c>
      <c r="CD119" s="169"/>
      <c r="CE119" s="92" t="str">
        <f t="shared" si="124"/>
        <v>OK</v>
      </c>
      <c r="CF119" s="60"/>
      <c r="CG119" s="169"/>
      <c r="CH119" s="61" t="str">
        <f t="shared" si="105"/>
        <v xml:space="preserve">       </v>
      </c>
      <c r="CI119" s="218" t="str">
        <f t="shared" si="116"/>
        <v>-</v>
      </c>
      <c r="CJ119" s="169"/>
      <c r="CK119" s="92" t="str">
        <f t="shared" si="125"/>
        <v>OK</v>
      </c>
      <c r="CL119" s="60"/>
      <c r="CM119" s="169"/>
      <c r="CN119" s="61" t="str">
        <f t="shared" si="106"/>
        <v xml:space="preserve">       </v>
      </c>
      <c r="CO119" s="218" t="s">
        <v>593</v>
      </c>
      <c r="CP119" s="61"/>
      <c r="CQ119" s="218" t="str">
        <f t="shared" si="117"/>
        <v>-</v>
      </c>
      <c r="CR119" s="60"/>
      <c r="CS119" s="169"/>
      <c r="CT119" s="61" t="str">
        <f t="shared" si="107"/>
        <v xml:space="preserve">       </v>
      </c>
      <c r="CU119" s="218" t="str">
        <f t="shared" si="118"/>
        <v>-</v>
      </c>
      <c r="CV119" s="169"/>
      <c r="CW119" s="92" t="s">
        <v>593</v>
      </c>
      <c r="CX119" s="60"/>
      <c r="CY119" s="169"/>
      <c r="CZ119" s="61" t="str">
        <f t="shared" si="108"/>
        <v xml:space="preserve">       </v>
      </c>
      <c r="DA119" s="218" t="str">
        <f t="shared" si="119"/>
        <v>-</v>
      </c>
      <c r="DB119" s="169"/>
      <c r="DC119" s="92" t="s">
        <v>593</v>
      </c>
    </row>
    <row r="120" spans="1:107" s="81" customFormat="1" ht="25.5">
      <c r="B120" s="65">
        <f t="shared" si="109"/>
        <v>113</v>
      </c>
      <c r="C120" s="69"/>
      <c r="D120" s="69"/>
      <c r="E120" s="70"/>
      <c r="F120" s="71" t="s">
        <v>355</v>
      </c>
      <c r="G120" s="72"/>
      <c r="H120" s="73"/>
      <c r="I120" s="74"/>
      <c r="J120" s="74"/>
      <c r="K120" s="75"/>
      <c r="L120" s="75"/>
      <c r="M120" s="84" t="s">
        <v>354</v>
      </c>
      <c r="N120" s="76"/>
      <c r="O120" s="77"/>
      <c r="P120" s="95">
        <f t="shared" si="122"/>
        <v>94</v>
      </c>
      <c r="Q120" s="119">
        <v>10</v>
      </c>
      <c r="R120" s="21" t="str">
        <f t="shared" si="127"/>
        <v>X</v>
      </c>
      <c r="S120" s="98" t="s">
        <v>175</v>
      </c>
      <c r="T120" s="106"/>
      <c r="U120" s="21" t="s">
        <v>257</v>
      </c>
      <c r="V120" s="77"/>
      <c r="W120" s="78">
        <v>3</v>
      </c>
      <c r="X120" s="56" t="s">
        <v>176</v>
      </c>
      <c r="Y120" s="56">
        <v>10</v>
      </c>
      <c r="Z120" s="56">
        <v>10</v>
      </c>
      <c r="AA120" s="74" t="s">
        <v>114</v>
      </c>
      <c r="AB120" s="74" t="s">
        <v>21</v>
      </c>
      <c r="AC120" s="105"/>
      <c r="AD120" s="79"/>
      <c r="AE120" s="481"/>
      <c r="AF120" s="80" t="str">
        <f t="shared" si="96"/>
        <v xml:space="preserve">          </v>
      </c>
      <c r="AG120" s="218" t="str">
        <f t="shared" si="120"/>
        <v>-</v>
      </c>
      <c r="AH120" s="274"/>
      <c r="AI120" s="92" t="str">
        <f t="shared" si="126"/>
        <v>OK</v>
      </c>
      <c r="AJ120" s="79"/>
      <c r="AK120" s="481"/>
      <c r="AL120" s="80" t="str">
        <f t="shared" si="97"/>
        <v xml:space="preserve">          </v>
      </c>
      <c r="AM120" s="218" t="str">
        <f t="shared" si="110"/>
        <v>-</v>
      </c>
      <c r="AN120" s="274"/>
      <c r="AO120" s="92" t="str">
        <f t="shared" si="123"/>
        <v>OK</v>
      </c>
      <c r="AP120" s="79"/>
      <c r="AQ120" s="512"/>
      <c r="AR120" s="80" t="str">
        <f t="shared" si="98"/>
        <v xml:space="preserve">          </v>
      </c>
      <c r="AS120" s="218" t="s">
        <v>593</v>
      </c>
      <c r="AT120" s="80"/>
      <c r="AU120" s="218" t="str">
        <f t="shared" si="94"/>
        <v>-</v>
      </c>
      <c r="AV120" s="79"/>
      <c r="AW120" s="481"/>
      <c r="AX120" s="80" t="str">
        <f t="shared" si="99"/>
        <v xml:space="preserve">          </v>
      </c>
      <c r="AY120" s="218" t="str">
        <f t="shared" si="111"/>
        <v>-</v>
      </c>
      <c r="AZ120" s="274"/>
      <c r="BA120" s="478" t="s">
        <v>594</v>
      </c>
      <c r="BB120" s="79"/>
      <c r="BC120" s="481"/>
      <c r="BD120" s="80" t="str">
        <f t="shared" si="100"/>
        <v xml:space="preserve">          </v>
      </c>
      <c r="BE120" s="218" t="str">
        <f t="shared" si="112"/>
        <v>-</v>
      </c>
      <c r="BF120" s="274"/>
      <c r="BG120" s="478" t="s">
        <v>594</v>
      </c>
      <c r="BH120" s="79"/>
      <c r="BI120" s="508" t="s">
        <v>706</v>
      </c>
      <c r="BJ120" s="80" t="str">
        <f t="shared" si="101"/>
        <v xml:space="preserve">          </v>
      </c>
      <c r="BK120" s="218" t="s">
        <v>593</v>
      </c>
      <c r="BL120" s="274"/>
      <c r="BM120" s="478" t="s">
        <v>594</v>
      </c>
      <c r="BN120" s="79"/>
      <c r="BO120" s="481"/>
      <c r="BP120" s="80" t="str">
        <f t="shared" si="102"/>
        <v xml:space="preserve">          </v>
      </c>
      <c r="BQ120" s="218" t="str">
        <f t="shared" si="113"/>
        <v>-</v>
      </c>
      <c r="BR120" s="274"/>
      <c r="BS120" s="478" t="s">
        <v>594</v>
      </c>
      <c r="BT120" s="79"/>
      <c r="BU120" s="512"/>
      <c r="BV120" s="80" t="str">
        <f t="shared" si="103"/>
        <v xml:space="preserve">          </v>
      </c>
      <c r="BW120" s="218" t="s">
        <v>593</v>
      </c>
      <c r="BX120" s="80"/>
      <c r="BY120" s="218" t="str">
        <f t="shared" si="114"/>
        <v>-</v>
      </c>
      <c r="BZ120" s="79"/>
      <c r="CA120" s="481"/>
      <c r="CB120" s="80" t="str">
        <f t="shared" si="104"/>
        <v xml:space="preserve">          </v>
      </c>
      <c r="CC120" s="218" t="str">
        <f t="shared" si="115"/>
        <v>-</v>
      </c>
      <c r="CD120" s="274"/>
      <c r="CE120" s="92" t="str">
        <f t="shared" si="124"/>
        <v>OK</v>
      </c>
      <c r="CF120" s="79"/>
      <c r="CG120" s="481"/>
      <c r="CH120" s="80" t="str">
        <f t="shared" si="105"/>
        <v xml:space="preserve">          </v>
      </c>
      <c r="CI120" s="218" t="str">
        <f t="shared" si="116"/>
        <v>-</v>
      </c>
      <c r="CJ120" s="274"/>
      <c r="CK120" s="92" t="str">
        <f t="shared" si="125"/>
        <v>OK</v>
      </c>
      <c r="CL120" s="79"/>
      <c r="CM120" s="481"/>
      <c r="CN120" s="80" t="str">
        <f t="shared" si="106"/>
        <v xml:space="preserve">          </v>
      </c>
      <c r="CO120" s="218" t="s">
        <v>593</v>
      </c>
      <c r="CP120" s="80"/>
      <c r="CQ120" s="218" t="str">
        <f t="shared" si="117"/>
        <v>-</v>
      </c>
      <c r="CR120" s="79"/>
      <c r="CS120" s="481"/>
      <c r="CT120" s="80" t="str">
        <f t="shared" si="107"/>
        <v xml:space="preserve">          </v>
      </c>
      <c r="CU120" s="218" t="str">
        <f t="shared" si="118"/>
        <v>-</v>
      </c>
      <c r="CV120" s="274"/>
      <c r="CW120" s="92" t="s">
        <v>593</v>
      </c>
      <c r="CX120" s="79"/>
      <c r="CY120" s="481"/>
      <c r="CZ120" s="80" t="str">
        <f t="shared" si="108"/>
        <v xml:space="preserve">          </v>
      </c>
      <c r="DA120" s="218" t="str">
        <f t="shared" si="119"/>
        <v>-</v>
      </c>
      <c r="DB120" s="274"/>
      <c r="DC120" s="92" t="s">
        <v>593</v>
      </c>
    </row>
    <row r="121" spans="1:107" s="81" customFormat="1" ht="25.5">
      <c r="B121" s="65">
        <f t="shared" si="109"/>
        <v>114</v>
      </c>
      <c r="C121" s="69"/>
      <c r="D121" s="69"/>
      <c r="E121" s="69"/>
      <c r="F121" s="82" t="s">
        <v>177</v>
      </c>
      <c r="G121" s="14"/>
      <c r="H121" s="83"/>
      <c r="I121" s="74"/>
      <c r="J121" s="74"/>
      <c r="K121" s="75"/>
      <c r="L121" s="75"/>
      <c r="M121" s="84" t="s">
        <v>354</v>
      </c>
      <c r="N121" s="76"/>
      <c r="O121" s="77"/>
      <c r="P121" s="95">
        <f t="shared" si="122"/>
        <v>95</v>
      </c>
      <c r="Q121" s="119">
        <v>3</v>
      </c>
      <c r="R121" s="21" t="str">
        <f t="shared" si="127"/>
        <v>X</v>
      </c>
      <c r="S121" s="98" t="s">
        <v>178</v>
      </c>
      <c r="T121" s="106"/>
      <c r="U121" s="21" t="s">
        <v>257</v>
      </c>
      <c r="V121" s="77"/>
      <c r="W121" s="78">
        <v>3</v>
      </c>
      <c r="X121" s="56" t="s">
        <v>179</v>
      </c>
      <c r="Y121" s="56">
        <v>3</v>
      </c>
      <c r="Z121" s="56">
        <v>3</v>
      </c>
      <c r="AA121" s="74" t="s">
        <v>114</v>
      </c>
      <c r="AB121" s="74" t="s">
        <v>21</v>
      </c>
      <c r="AC121" s="105"/>
      <c r="AD121" s="79"/>
      <c r="AE121" s="481"/>
      <c r="AF121" s="80" t="str">
        <f t="shared" si="96"/>
        <v xml:space="preserve">   </v>
      </c>
      <c r="AG121" s="218" t="str">
        <f t="shared" si="120"/>
        <v>-</v>
      </c>
      <c r="AH121" s="274"/>
      <c r="AI121" s="92" t="str">
        <f t="shared" si="126"/>
        <v>OK</v>
      </c>
      <c r="AJ121" s="79"/>
      <c r="AK121" s="481"/>
      <c r="AL121" s="80" t="str">
        <f t="shared" si="97"/>
        <v xml:space="preserve">   </v>
      </c>
      <c r="AM121" s="218" t="str">
        <f t="shared" si="110"/>
        <v>-</v>
      </c>
      <c r="AN121" s="274"/>
      <c r="AO121" s="92" t="str">
        <f t="shared" si="123"/>
        <v>OK</v>
      </c>
      <c r="AP121" s="79"/>
      <c r="AQ121" s="512"/>
      <c r="AR121" s="80" t="str">
        <f t="shared" si="98"/>
        <v xml:space="preserve">   </v>
      </c>
      <c r="AS121" s="218" t="s">
        <v>593</v>
      </c>
      <c r="AT121" s="80"/>
      <c r="AU121" s="218" t="str">
        <f t="shared" si="94"/>
        <v>-</v>
      </c>
      <c r="AV121" s="79"/>
      <c r="AW121" s="481"/>
      <c r="AX121" s="80" t="str">
        <f t="shared" si="99"/>
        <v xml:space="preserve">   </v>
      </c>
      <c r="AY121" s="218" t="str">
        <f t="shared" si="111"/>
        <v>-</v>
      </c>
      <c r="AZ121" s="274"/>
      <c r="BA121" s="478" t="s">
        <v>594</v>
      </c>
      <c r="BB121" s="79"/>
      <c r="BC121" s="481"/>
      <c r="BD121" s="80" t="str">
        <f t="shared" si="100"/>
        <v xml:space="preserve">   </v>
      </c>
      <c r="BE121" s="218" t="str">
        <f t="shared" si="112"/>
        <v>-</v>
      </c>
      <c r="BF121" s="274"/>
      <c r="BG121" s="478" t="s">
        <v>594</v>
      </c>
      <c r="BH121" s="79"/>
      <c r="BI121" s="508" t="s">
        <v>707</v>
      </c>
      <c r="BJ121" s="80" t="str">
        <f t="shared" si="101"/>
        <v xml:space="preserve">   </v>
      </c>
      <c r="BK121" s="218" t="s">
        <v>593</v>
      </c>
      <c r="BL121" s="274"/>
      <c r="BM121" s="478" t="s">
        <v>594</v>
      </c>
      <c r="BN121" s="79"/>
      <c r="BO121" s="481"/>
      <c r="BP121" s="80" t="str">
        <f t="shared" si="102"/>
        <v xml:space="preserve">   </v>
      </c>
      <c r="BQ121" s="218" t="str">
        <f t="shared" si="113"/>
        <v>-</v>
      </c>
      <c r="BR121" s="274"/>
      <c r="BS121" s="478" t="s">
        <v>594</v>
      </c>
      <c r="BT121" s="79"/>
      <c r="BU121" s="512"/>
      <c r="BV121" s="80" t="str">
        <f t="shared" si="103"/>
        <v xml:space="preserve">   </v>
      </c>
      <c r="BW121" s="218" t="s">
        <v>593</v>
      </c>
      <c r="BX121" s="80"/>
      <c r="BY121" s="218" t="str">
        <f t="shared" si="114"/>
        <v>-</v>
      </c>
      <c r="BZ121" s="79"/>
      <c r="CA121" s="481"/>
      <c r="CB121" s="80" t="str">
        <f t="shared" si="104"/>
        <v xml:space="preserve">   </v>
      </c>
      <c r="CC121" s="218" t="str">
        <f t="shared" si="115"/>
        <v>-</v>
      </c>
      <c r="CD121" s="274"/>
      <c r="CE121" s="92" t="str">
        <f t="shared" si="124"/>
        <v>OK</v>
      </c>
      <c r="CF121" s="79"/>
      <c r="CG121" s="481"/>
      <c r="CH121" s="80" t="str">
        <f t="shared" si="105"/>
        <v xml:space="preserve">   </v>
      </c>
      <c r="CI121" s="218" t="str">
        <f t="shared" si="116"/>
        <v>-</v>
      </c>
      <c r="CJ121" s="274"/>
      <c r="CK121" s="92" t="str">
        <f t="shared" si="125"/>
        <v>OK</v>
      </c>
      <c r="CL121" s="79"/>
      <c r="CM121" s="481"/>
      <c r="CN121" s="80" t="str">
        <f t="shared" si="106"/>
        <v xml:space="preserve">   </v>
      </c>
      <c r="CO121" s="218" t="s">
        <v>593</v>
      </c>
      <c r="CP121" s="80"/>
      <c r="CQ121" s="218" t="str">
        <f t="shared" si="117"/>
        <v>-</v>
      </c>
      <c r="CR121" s="79"/>
      <c r="CS121" s="481"/>
      <c r="CT121" s="80" t="str">
        <f t="shared" si="107"/>
        <v xml:space="preserve">   </v>
      </c>
      <c r="CU121" s="218" t="str">
        <f t="shared" si="118"/>
        <v>-</v>
      </c>
      <c r="CV121" s="274"/>
      <c r="CW121" s="92" t="s">
        <v>593</v>
      </c>
      <c r="CX121" s="79"/>
      <c r="CY121" s="481"/>
      <c r="CZ121" s="80" t="str">
        <f t="shared" si="108"/>
        <v xml:space="preserve">   </v>
      </c>
      <c r="DA121" s="218" t="str">
        <f t="shared" si="119"/>
        <v>-</v>
      </c>
      <c r="DB121" s="274"/>
      <c r="DC121" s="92" t="s">
        <v>593</v>
      </c>
    </row>
    <row r="122" spans="1:107" s="81" customFormat="1" ht="25.5">
      <c r="B122" s="65">
        <f t="shared" si="109"/>
        <v>115</v>
      </c>
      <c r="C122" s="69"/>
      <c r="D122" s="69"/>
      <c r="E122" s="69"/>
      <c r="F122" s="82" t="s">
        <v>180</v>
      </c>
      <c r="G122" s="14"/>
      <c r="H122" s="83"/>
      <c r="I122" s="74"/>
      <c r="J122" s="74"/>
      <c r="K122" s="75"/>
      <c r="L122" s="75"/>
      <c r="M122" s="84" t="s">
        <v>354</v>
      </c>
      <c r="N122" s="76"/>
      <c r="O122" s="77"/>
      <c r="P122" s="95">
        <f>P121+1</f>
        <v>96</v>
      </c>
      <c r="Q122" s="119">
        <v>2</v>
      </c>
      <c r="R122" s="21" t="str">
        <f t="shared" si="127"/>
        <v>X</v>
      </c>
      <c r="S122" s="98" t="s">
        <v>181</v>
      </c>
      <c r="T122" s="106"/>
      <c r="U122" s="21" t="s">
        <v>257</v>
      </c>
      <c r="V122" s="77"/>
      <c r="W122" s="78">
        <v>3</v>
      </c>
      <c r="X122" s="56" t="s">
        <v>182</v>
      </c>
      <c r="Y122" s="56">
        <v>2</v>
      </c>
      <c r="Z122" s="56">
        <v>2</v>
      </c>
      <c r="AA122" s="74" t="s">
        <v>114</v>
      </c>
      <c r="AB122" s="74" t="s">
        <v>21</v>
      </c>
      <c r="AC122" s="105"/>
      <c r="AD122" s="79"/>
      <c r="AE122" s="481"/>
      <c r="AF122" s="80" t="str">
        <f t="shared" si="96"/>
        <v xml:space="preserve">  </v>
      </c>
      <c r="AG122" s="218" t="str">
        <f t="shared" si="120"/>
        <v>-</v>
      </c>
      <c r="AH122" s="274"/>
      <c r="AI122" s="92" t="str">
        <f t="shared" si="126"/>
        <v>OK</v>
      </c>
      <c r="AJ122" s="79"/>
      <c r="AK122" s="481"/>
      <c r="AL122" s="80" t="str">
        <f t="shared" si="97"/>
        <v xml:space="preserve">  </v>
      </c>
      <c r="AM122" s="218" t="str">
        <f t="shared" si="110"/>
        <v>-</v>
      </c>
      <c r="AN122" s="274"/>
      <c r="AO122" s="92" t="str">
        <f t="shared" si="123"/>
        <v>OK</v>
      </c>
      <c r="AP122" s="79"/>
      <c r="AQ122" s="512"/>
      <c r="AR122" s="80" t="str">
        <f t="shared" si="98"/>
        <v xml:space="preserve">  </v>
      </c>
      <c r="AS122" s="218" t="s">
        <v>593</v>
      </c>
      <c r="AT122" s="80"/>
      <c r="AU122" s="218" t="str">
        <f t="shared" si="94"/>
        <v>-</v>
      </c>
      <c r="AV122" s="79"/>
      <c r="AW122" s="481"/>
      <c r="AX122" s="80" t="str">
        <f t="shared" si="99"/>
        <v xml:space="preserve">  </v>
      </c>
      <c r="AY122" s="218" t="str">
        <f t="shared" si="111"/>
        <v>-</v>
      </c>
      <c r="AZ122" s="274"/>
      <c r="BA122" s="478" t="s">
        <v>594</v>
      </c>
      <c r="BB122" s="79"/>
      <c r="BC122" s="481"/>
      <c r="BD122" s="80" t="str">
        <f t="shared" si="100"/>
        <v xml:space="preserve">  </v>
      </c>
      <c r="BE122" s="218" t="str">
        <f t="shared" si="112"/>
        <v>-</v>
      </c>
      <c r="BF122" s="274"/>
      <c r="BG122" s="478" t="s">
        <v>594</v>
      </c>
      <c r="BH122" s="79"/>
      <c r="BI122" s="508" t="s">
        <v>698</v>
      </c>
      <c r="BJ122" s="80" t="str">
        <f t="shared" si="101"/>
        <v xml:space="preserve">  </v>
      </c>
      <c r="BK122" s="218" t="s">
        <v>593</v>
      </c>
      <c r="BL122" s="274"/>
      <c r="BM122" s="478" t="s">
        <v>594</v>
      </c>
      <c r="BN122" s="79"/>
      <c r="BO122" s="481"/>
      <c r="BP122" s="80" t="str">
        <f t="shared" si="102"/>
        <v xml:space="preserve">  </v>
      </c>
      <c r="BQ122" s="218" t="str">
        <f t="shared" si="113"/>
        <v>-</v>
      </c>
      <c r="BR122" s="274"/>
      <c r="BS122" s="478" t="s">
        <v>594</v>
      </c>
      <c r="BT122" s="79"/>
      <c r="BU122" s="512"/>
      <c r="BV122" s="80" t="str">
        <f t="shared" si="103"/>
        <v xml:space="preserve">  </v>
      </c>
      <c r="BW122" s="218" t="s">
        <v>593</v>
      </c>
      <c r="BX122" s="80"/>
      <c r="BY122" s="218" t="str">
        <f t="shared" si="114"/>
        <v>-</v>
      </c>
      <c r="BZ122" s="79"/>
      <c r="CA122" s="481"/>
      <c r="CB122" s="80" t="str">
        <f t="shared" si="104"/>
        <v xml:space="preserve">  </v>
      </c>
      <c r="CC122" s="218" t="str">
        <f t="shared" si="115"/>
        <v>-</v>
      </c>
      <c r="CD122" s="274"/>
      <c r="CE122" s="92" t="str">
        <f t="shared" si="124"/>
        <v>OK</v>
      </c>
      <c r="CF122" s="79"/>
      <c r="CG122" s="481"/>
      <c r="CH122" s="80" t="str">
        <f t="shared" si="105"/>
        <v xml:space="preserve">  </v>
      </c>
      <c r="CI122" s="218" t="str">
        <f t="shared" si="116"/>
        <v>-</v>
      </c>
      <c r="CJ122" s="274"/>
      <c r="CK122" s="92" t="str">
        <f t="shared" si="125"/>
        <v>OK</v>
      </c>
      <c r="CL122" s="79"/>
      <c r="CM122" s="481"/>
      <c r="CN122" s="80" t="str">
        <f t="shared" si="106"/>
        <v xml:space="preserve">  </v>
      </c>
      <c r="CO122" s="218" t="s">
        <v>593</v>
      </c>
      <c r="CP122" s="80"/>
      <c r="CQ122" s="218" t="str">
        <f t="shared" si="117"/>
        <v>-</v>
      </c>
      <c r="CR122" s="79"/>
      <c r="CS122" s="481"/>
      <c r="CT122" s="80" t="str">
        <f t="shared" si="107"/>
        <v xml:space="preserve">  </v>
      </c>
      <c r="CU122" s="218" t="str">
        <f t="shared" si="118"/>
        <v>-</v>
      </c>
      <c r="CV122" s="274"/>
      <c r="CW122" s="92" t="s">
        <v>593</v>
      </c>
      <c r="CX122" s="79"/>
      <c r="CY122" s="481"/>
      <c r="CZ122" s="80" t="str">
        <f t="shared" si="108"/>
        <v xml:space="preserve">  </v>
      </c>
      <c r="DA122" s="218" t="str">
        <f t="shared" si="119"/>
        <v>-</v>
      </c>
      <c r="DB122" s="274"/>
      <c r="DC122" s="92" t="s">
        <v>593</v>
      </c>
    </row>
    <row r="123" spans="1:107" s="81" customFormat="1" ht="51.75" customHeight="1">
      <c r="B123" s="65">
        <f t="shared" si="109"/>
        <v>116</v>
      </c>
      <c r="C123" s="69"/>
      <c r="D123" s="69"/>
      <c r="E123" s="69"/>
      <c r="F123" s="233" t="s">
        <v>183</v>
      </c>
      <c r="G123" s="234"/>
      <c r="H123" s="235"/>
      <c r="I123" s="74"/>
      <c r="J123" s="74"/>
      <c r="K123" s="75"/>
      <c r="L123" s="75"/>
      <c r="M123" s="84" t="s">
        <v>184</v>
      </c>
      <c r="N123" s="76"/>
      <c r="O123" s="77"/>
      <c r="P123" s="95">
        <f>P122+1</f>
        <v>97</v>
      </c>
      <c r="Q123" s="119">
        <v>5</v>
      </c>
      <c r="R123" s="21" t="str">
        <f t="shared" si="127"/>
        <v>X</v>
      </c>
      <c r="S123" s="98" t="s">
        <v>185</v>
      </c>
      <c r="T123" s="106"/>
      <c r="U123" s="21" t="s">
        <v>257</v>
      </c>
      <c r="V123" s="77"/>
      <c r="W123" s="78">
        <v>3</v>
      </c>
      <c r="X123" s="56" t="s">
        <v>310</v>
      </c>
      <c r="Y123" s="56">
        <v>5</v>
      </c>
      <c r="Z123" s="56">
        <v>5</v>
      </c>
      <c r="AA123" s="74" t="s">
        <v>114</v>
      </c>
      <c r="AB123" s="74" t="s">
        <v>21</v>
      </c>
      <c r="AC123" s="85"/>
      <c r="AD123" s="79"/>
      <c r="AE123" s="481"/>
      <c r="AF123" s="80" t="str">
        <f t="shared" si="96"/>
        <v xml:space="preserve">     </v>
      </c>
      <c r="AG123" s="218" t="str">
        <f t="shared" si="120"/>
        <v>-</v>
      </c>
      <c r="AH123" s="274"/>
      <c r="AI123" s="92" t="str">
        <f t="shared" si="126"/>
        <v>OK</v>
      </c>
      <c r="AJ123" s="79"/>
      <c r="AK123" s="481"/>
      <c r="AL123" s="80" t="str">
        <f t="shared" si="97"/>
        <v xml:space="preserve">     </v>
      </c>
      <c r="AM123" s="218" t="str">
        <f t="shared" si="110"/>
        <v>-</v>
      </c>
      <c r="AN123" s="274"/>
      <c r="AO123" s="92" t="str">
        <f t="shared" si="123"/>
        <v>OK</v>
      </c>
      <c r="AP123" s="79"/>
      <c r="AQ123" s="512"/>
      <c r="AR123" s="80" t="str">
        <f t="shared" si="98"/>
        <v xml:space="preserve">     </v>
      </c>
      <c r="AS123" s="218" t="s">
        <v>593</v>
      </c>
      <c r="AT123" s="80"/>
      <c r="AU123" s="218" t="str">
        <f t="shared" si="94"/>
        <v>-</v>
      </c>
      <c r="AV123" s="79"/>
      <c r="AW123" s="481"/>
      <c r="AX123" s="80" t="str">
        <f t="shared" si="99"/>
        <v xml:space="preserve">     </v>
      </c>
      <c r="AY123" s="218" t="str">
        <f t="shared" si="111"/>
        <v>-</v>
      </c>
      <c r="AZ123" s="274"/>
      <c r="BA123" s="478" t="s">
        <v>594</v>
      </c>
      <c r="BB123" s="79"/>
      <c r="BC123" s="481"/>
      <c r="BD123" s="80" t="str">
        <f t="shared" si="100"/>
        <v xml:space="preserve">     </v>
      </c>
      <c r="BE123" s="218" t="str">
        <f t="shared" si="112"/>
        <v>-</v>
      </c>
      <c r="BF123" s="274"/>
      <c r="BG123" s="478" t="s">
        <v>594</v>
      </c>
      <c r="BH123" s="79"/>
      <c r="BI123" s="508" t="s">
        <v>708</v>
      </c>
      <c r="BJ123" s="80" t="str">
        <f t="shared" si="101"/>
        <v xml:space="preserve">     </v>
      </c>
      <c r="BK123" s="218" t="s">
        <v>593</v>
      </c>
      <c r="BL123" s="274"/>
      <c r="BM123" s="478" t="s">
        <v>594</v>
      </c>
      <c r="BN123" s="79"/>
      <c r="BO123" s="481"/>
      <c r="BP123" s="80" t="str">
        <f t="shared" si="102"/>
        <v xml:space="preserve">     </v>
      </c>
      <c r="BQ123" s="218" t="str">
        <f t="shared" si="113"/>
        <v>-</v>
      </c>
      <c r="BR123" s="274"/>
      <c r="BS123" s="478" t="s">
        <v>594</v>
      </c>
      <c r="BT123" s="79"/>
      <c r="BU123" s="512"/>
      <c r="BV123" s="80" t="str">
        <f t="shared" si="103"/>
        <v xml:space="preserve">     </v>
      </c>
      <c r="BW123" s="218" t="s">
        <v>593</v>
      </c>
      <c r="BX123" s="80"/>
      <c r="BY123" s="218" t="str">
        <f t="shared" si="114"/>
        <v>-</v>
      </c>
      <c r="BZ123" s="79"/>
      <c r="CA123" s="481"/>
      <c r="CB123" s="80" t="str">
        <f t="shared" si="104"/>
        <v xml:space="preserve">     </v>
      </c>
      <c r="CC123" s="218" t="str">
        <f t="shared" si="115"/>
        <v>-</v>
      </c>
      <c r="CD123" s="274"/>
      <c r="CE123" s="92" t="str">
        <f t="shared" si="124"/>
        <v>OK</v>
      </c>
      <c r="CF123" s="79"/>
      <c r="CG123" s="481"/>
      <c r="CH123" s="80" t="str">
        <f t="shared" si="105"/>
        <v xml:space="preserve">     </v>
      </c>
      <c r="CI123" s="218" t="str">
        <f t="shared" si="116"/>
        <v>-</v>
      </c>
      <c r="CJ123" s="274"/>
      <c r="CK123" s="92" t="str">
        <f t="shared" si="125"/>
        <v>OK</v>
      </c>
      <c r="CL123" s="79"/>
      <c r="CM123" s="481"/>
      <c r="CN123" s="80" t="str">
        <f t="shared" si="106"/>
        <v xml:space="preserve">     </v>
      </c>
      <c r="CO123" s="218" t="s">
        <v>593</v>
      </c>
      <c r="CP123" s="80"/>
      <c r="CQ123" s="218" t="str">
        <f t="shared" si="117"/>
        <v>-</v>
      </c>
      <c r="CR123" s="79"/>
      <c r="CS123" s="481"/>
      <c r="CT123" s="80" t="str">
        <f t="shared" si="107"/>
        <v xml:space="preserve">     </v>
      </c>
      <c r="CU123" s="218" t="str">
        <f t="shared" si="118"/>
        <v>-</v>
      </c>
      <c r="CV123" s="274"/>
      <c r="CW123" s="92" t="s">
        <v>593</v>
      </c>
      <c r="CX123" s="79"/>
      <c r="CY123" s="481"/>
      <c r="CZ123" s="80" t="str">
        <f t="shared" si="108"/>
        <v xml:space="preserve">     </v>
      </c>
      <c r="DA123" s="218" t="str">
        <f t="shared" si="119"/>
        <v>-</v>
      </c>
      <c r="DB123" s="274"/>
      <c r="DC123" s="92" t="s">
        <v>593</v>
      </c>
    </row>
    <row r="124" spans="1:107" s="81" customFormat="1" ht="51.75" customHeight="1">
      <c r="B124" s="65">
        <f t="shared" si="109"/>
        <v>117</v>
      </c>
      <c r="C124" s="69"/>
      <c r="D124" s="69"/>
      <c r="E124" s="69"/>
      <c r="F124" s="233" t="s">
        <v>186</v>
      </c>
      <c r="G124" s="234"/>
      <c r="H124" s="235"/>
      <c r="I124" s="74"/>
      <c r="J124" s="74"/>
      <c r="K124" s="75"/>
      <c r="L124" s="75"/>
      <c r="M124" s="84" t="s">
        <v>187</v>
      </c>
      <c r="N124" s="76"/>
      <c r="O124" s="77"/>
      <c r="P124" s="95">
        <f>P123+1</f>
        <v>98</v>
      </c>
      <c r="Q124" s="119">
        <v>64</v>
      </c>
      <c r="R124" s="21" t="str">
        <f>IF(AA124="M","NX",AA124)</f>
        <v>NX</v>
      </c>
      <c r="S124" s="98" t="s">
        <v>188</v>
      </c>
      <c r="T124" s="106"/>
      <c r="U124" s="21" t="s">
        <v>257</v>
      </c>
      <c r="V124" s="77" t="s">
        <v>311</v>
      </c>
      <c r="W124" s="78">
        <v>3</v>
      </c>
      <c r="X124" s="56" t="s">
        <v>312</v>
      </c>
      <c r="Y124" s="56">
        <v>1</v>
      </c>
      <c r="Z124" s="56">
        <v>64</v>
      </c>
      <c r="AA124" s="74" t="s">
        <v>300</v>
      </c>
      <c r="AB124" s="74" t="s">
        <v>21</v>
      </c>
      <c r="AC124" s="85" t="s">
        <v>311</v>
      </c>
      <c r="AD124" s="79"/>
      <c r="AE124" s="481"/>
      <c r="AF124" s="80" t="str">
        <f t="shared" si="96"/>
        <v xml:space="preserve">                                                                </v>
      </c>
      <c r="AG124" s="218" t="str">
        <f t="shared" si="120"/>
        <v>-</v>
      </c>
      <c r="AH124" s="274"/>
      <c r="AI124" s="92" t="str">
        <f t="shared" si="126"/>
        <v>OK</v>
      </c>
      <c r="AJ124" s="79"/>
      <c r="AK124" s="481"/>
      <c r="AL124" s="80" t="str">
        <f t="shared" si="97"/>
        <v xml:space="preserve">                                                                </v>
      </c>
      <c r="AM124" s="218" t="str">
        <f t="shared" si="110"/>
        <v>-</v>
      </c>
      <c r="AN124" s="274"/>
      <c r="AO124" s="92" t="str">
        <f t="shared" si="123"/>
        <v>OK</v>
      </c>
      <c r="AP124" s="79"/>
      <c r="AQ124" s="512"/>
      <c r="AR124" s="80" t="str">
        <f t="shared" si="98"/>
        <v xml:space="preserve">                                                                </v>
      </c>
      <c r="AS124" s="218" t="s">
        <v>593</v>
      </c>
      <c r="AT124" s="80"/>
      <c r="AU124" s="218" t="str">
        <f t="shared" si="94"/>
        <v>-</v>
      </c>
      <c r="AV124" s="79"/>
      <c r="AW124" s="481"/>
      <c r="AX124" s="80" t="str">
        <f t="shared" si="99"/>
        <v xml:space="preserve">                                                                </v>
      </c>
      <c r="AY124" s="218" t="str">
        <f t="shared" si="111"/>
        <v>-</v>
      </c>
      <c r="AZ124" s="274"/>
      <c r="BA124" s="478" t="s">
        <v>594</v>
      </c>
      <c r="BB124" s="79"/>
      <c r="BC124" s="481"/>
      <c r="BD124" s="80" t="str">
        <f t="shared" si="100"/>
        <v xml:space="preserve">                                                                </v>
      </c>
      <c r="BE124" s="218" t="str">
        <f t="shared" si="112"/>
        <v>-</v>
      </c>
      <c r="BF124" s="274"/>
      <c r="BG124" s="478" t="s">
        <v>594</v>
      </c>
      <c r="BH124" s="79"/>
      <c r="BI124" s="508" t="s">
        <v>709</v>
      </c>
      <c r="BJ124" s="80" t="str">
        <f t="shared" si="101"/>
        <v xml:space="preserve">                                                                </v>
      </c>
      <c r="BK124" s="218" t="s">
        <v>593</v>
      </c>
      <c r="BL124" s="274"/>
      <c r="BM124" s="478" t="s">
        <v>594</v>
      </c>
      <c r="BN124" s="79"/>
      <c r="BO124" s="481"/>
      <c r="BP124" s="80" t="str">
        <f t="shared" si="102"/>
        <v xml:space="preserve">                                                                </v>
      </c>
      <c r="BQ124" s="218" t="str">
        <f t="shared" si="113"/>
        <v>-</v>
      </c>
      <c r="BR124" s="274"/>
      <c r="BS124" s="478" t="s">
        <v>594</v>
      </c>
      <c r="BT124" s="79"/>
      <c r="BU124" s="512"/>
      <c r="BV124" s="80" t="str">
        <f t="shared" si="103"/>
        <v xml:space="preserve">                                                                </v>
      </c>
      <c r="BW124" s="218" t="s">
        <v>593</v>
      </c>
      <c r="BX124" s="80"/>
      <c r="BY124" s="218" t="str">
        <f t="shared" si="114"/>
        <v>-</v>
      </c>
      <c r="BZ124" s="79"/>
      <c r="CA124" s="481"/>
      <c r="CB124" s="80" t="str">
        <f t="shared" si="104"/>
        <v xml:space="preserve">                                                                </v>
      </c>
      <c r="CC124" s="218" t="str">
        <f t="shared" si="115"/>
        <v>-</v>
      </c>
      <c r="CD124" s="274"/>
      <c r="CE124" s="92" t="str">
        <f t="shared" si="124"/>
        <v>OK</v>
      </c>
      <c r="CF124" s="79"/>
      <c r="CG124" s="481"/>
      <c r="CH124" s="80" t="str">
        <f t="shared" si="105"/>
        <v xml:space="preserve">                                                                </v>
      </c>
      <c r="CI124" s="218" t="str">
        <f t="shared" si="116"/>
        <v>-</v>
      </c>
      <c r="CJ124" s="274"/>
      <c r="CK124" s="92" t="str">
        <f t="shared" si="125"/>
        <v>OK</v>
      </c>
      <c r="CL124" s="79"/>
      <c r="CM124" s="481"/>
      <c r="CN124" s="80" t="str">
        <f t="shared" si="106"/>
        <v xml:space="preserve">                                                                </v>
      </c>
      <c r="CO124" s="218" t="s">
        <v>593</v>
      </c>
      <c r="CP124" s="80"/>
      <c r="CQ124" s="218" t="str">
        <f t="shared" si="117"/>
        <v>-</v>
      </c>
      <c r="CR124" s="79"/>
      <c r="CS124" s="481"/>
      <c r="CT124" s="80" t="str">
        <f t="shared" si="107"/>
        <v xml:space="preserve">                                                                </v>
      </c>
      <c r="CU124" s="218" t="str">
        <f t="shared" si="118"/>
        <v>-</v>
      </c>
      <c r="CV124" s="274"/>
      <c r="CW124" s="92" t="s">
        <v>593</v>
      </c>
      <c r="CX124" s="79"/>
      <c r="CY124" s="481"/>
      <c r="CZ124" s="80" t="str">
        <f t="shared" si="108"/>
        <v xml:space="preserve">                                                                </v>
      </c>
      <c r="DA124" s="218" t="str">
        <f t="shared" si="119"/>
        <v>-</v>
      </c>
      <c r="DB124" s="274"/>
      <c r="DC124" s="92" t="s">
        <v>593</v>
      </c>
    </row>
    <row r="125" spans="1:107" s="81" customFormat="1" ht="92.25" customHeight="1">
      <c r="B125" s="65">
        <f t="shared" si="109"/>
        <v>118</v>
      </c>
      <c r="C125" s="69"/>
      <c r="D125" s="69"/>
      <c r="E125" s="69"/>
      <c r="F125" s="82" t="s">
        <v>356</v>
      </c>
      <c r="G125" s="14"/>
      <c r="H125" s="83"/>
      <c r="I125" s="74"/>
      <c r="J125" s="74"/>
      <c r="K125" s="75"/>
      <c r="L125" s="75"/>
      <c r="M125" s="84" t="s">
        <v>222</v>
      </c>
      <c r="N125" s="76"/>
      <c r="O125" s="77"/>
      <c r="P125" s="95">
        <f>P124+1</f>
        <v>99</v>
      </c>
      <c r="Q125" s="119">
        <v>7</v>
      </c>
      <c r="R125" s="21" t="s">
        <v>261</v>
      </c>
      <c r="S125" s="98" t="s">
        <v>313</v>
      </c>
      <c r="T125" s="106"/>
      <c r="U125" s="21" t="s">
        <v>257</v>
      </c>
      <c r="V125" s="77"/>
      <c r="W125" s="78">
        <v>3</v>
      </c>
      <c r="X125" s="56" t="s">
        <v>314</v>
      </c>
      <c r="Y125" s="56">
        <v>7</v>
      </c>
      <c r="Z125" s="56">
        <v>7</v>
      </c>
      <c r="AA125" s="74" t="s">
        <v>261</v>
      </c>
      <c r="AB125" s="74" t="s">
        <v>21</v>
      </c>
      <c r="AC125" s="85"/>
      <c r="AD125" s="79"/>
      <c r="AE125" s="481"/>
      <c r="AF125" s="80" t="str">
        <f t="shared" si="96"/>
        <v xml:space="preserve">       </v>
      </c>
      <c r="AG125" s="218" t="str">
        <f t="shared" si="120"/>
        <v>-</v>
      </c>
      <c r="AH125" s="274"/>
      <c r="AI125" s="406" t="str">
        <f t="shared" si="126"/>
        <v>OK</v>
      </c>
      <c r="AJ125" s="79"/>
      <c r="AK125" s="481"/>
      <c r="AL125" s="80" t="str">
        <f t="shared" si="97"/>
        <v xml:space="preserve">       </v>
      </c>
      <c r="AM125" s="218" t="str">
        <f t="shared" si="110"/>
        <v>-</v>
      </c>
      <c r="AN125" s="274"/>
      <c r="AO125" s="406" t="str">
        <f t="shared" si="123"/>
        <v>OK</v>
      </c>
      <c r="AP125" s="79"/>
      <c r="AQ125" s="512"/>
      <c r="AR125" s="80" t="str">
        <f t="shared" si="98"/>
        <v xml:space="preserve">       </v>
      </c>
      <c r="AS125" s="218" t="s">
        <v>593</v>
      </c>
      <c r="AT125" s="80"/>
      <c r="AU125" s="218" t="str">
        <f t="shared" si="94"/>
        <v>-</v>
      </c>
      <c r="AV125" s="79"/>
      <c r="AW125" s="481"/>
      <c r="AX125" s="80" t="str">
        <f t="shared" si="99"/>
        <v xml:space="preserve">       </v>
      </c>
      <c r="AY125" s="218" t="str">
        <f t="shared" si="111"/>
        <v>-</v>
      </c>
      <c r="AZ125" s="274"/>
      <c r="BA125" s="478" t="s">
        <v>594</v>
      </c>
      <c r="BB125" s="79"/>
      <c r="BC125" s="481"/>
      <c r="BD125" s="80" t="str">
        <f t="shared" si="100"/>
        <v xml:space="preserve">       </v>
      </c>
      <c r="BE125" s="218" t="str">
        <f t="shared" si="112"/>
        <v>-</v>
      </c>
      <c r="BF125" s="274"/>
      <c r="BG125" s="478" t="s">
        <v>594</v>
      </c>
      <c r="BH125" s="79"/>
      <c r="BI125" s="508" t="s">
        <v>705</v>
      </c>
      <c r="BJ125" s="80" t="str">
        <f t="shared" si="101"/>
        <v xml:space="preserve">       </v>
      </c>
      <c r="BK125" s="218" t="s">
        <v>593</v>
      </c>
      <c r="BL125" s="274"/>
      <c r="BM125" s="478" t="s">
        <v>594</v>
      </c>
      <c r="BN125" s="79"/>
      <c r="BO125" s="481"/>
      <c r="BP125" s="80" t="str">
        <f t="shared" si="102"/>
        <v xml:space="preserve">       </v>
      </c>
      <c r="BQ125" s="218" t="str">
        <f t="shared" si="113"/>
        <v>-</v>
      </c>
      <c r="BR125" s="274"/>
      <c r="BS125" s="478" t="s">
        <v>594</v>
      </c>
      <c r="BT125" s="79"/>
      <c r="BU125" s="512"/>
      <c r="BV125" s="80" t="str">
        <f t="shared" si="103"/>
        <v xml:space="preserve">       </v>
      </c>
      <c r="BW125" s="218" t="s">
        <v>593</v>
      </c>
      <c r="BX125" s="80"/>
      <c r="BY125" s="218" t="str">
        <f t="shared" si="114"/>
        <v>-</v>
      </c>
      <c r="BZ125" s="79"/>
      <c r="CA125" s="481"/>
      <c r="CB125" s="80" t="str">
        <f t="shared" si="104"/>
        <v xml:space="preserve">       </v>
      </c>
      <c r="CC125" s="218" t="str">
        <f t="shared" si="115"/>
        <v>-</v>
      </c>
      <c r="CD125" s="274"/>
      <c r="CE125" s="406" t="str">
        <f t="shared" si="124"/>
        <v>OK</v>
      </c>
      <c r="CF125" s="79"/>
      <c r="CG125" s="481"/>
      <c r="CH125" s="80" t="str">
        <f t="shared" si="105"/>
        <v xml:space="preserve">       </v>
      </c>
      <c r="CI125" s="218" t="str">
        <f t="shared" si="116"/>
        <v>-</v>
      </c>
      <c r="CJ125" s="274"/>
      <c r="CK125" s="406" t="str">
        <f t="shared" si="125"/>
        <v>OK</v>
      </c>
      <c r="CL125" s="79"/>
      <c r="CM125" s="481"/>
      <c r="CN125" s="80" t="str">
        <f t="shared" si="106"/>
        <v xml:space="preserve">       </v>
      </c>
      <c r="CO125" s="218" t="s">
        <v>593</v>
      </c>
      <c r="CP125" s="80"/>
      <c r="CQ125" s="218" t="str">
        <f t="shared" si="117"/>
        <v>-</v>
      </c>
      <c r="CR125" s="79"/>
      <c r="CS125" s="481"/>
      <c r="CT125" s="80" t="str">
        <f t="shared" si="107"/>
        <v xml:space="preserve">       </v>
      </c>
      <c r="CU125" s="218" t="str">
        <f t="shared" si="118"/>
        <v>-</v>
      </c>
      <c r="CV125" s="274"/>
      <c r="CW125" s="92" t="s">
        <v>593</v>
      </c>
      <c r="CX125" s="79"/>
      <c r="CY125" s="481"/>
      <c r="CZ125" s="80" t="str">
        <f t="shared" si="108"/>
        <v xml:space="preserve">       </v>
      </c>
      <c r="DA125" s="218" t="str">
        <f t="shared" si="119"/>
        <v>-</v>
      </c>
      <c r="DB125" s="274"/>
      <c r="DC125" s="92" t="s">
        <v>593</v>
      </c>
    </row>
    <row r="126" spans="1:107" s="81" customFormat="1" ht="127.9" thickBot="1">
      <c r="A126" s="221"/>
      <c r="B126" s="243">
        <f t="shared" si="109"/>
        <v>119</v>
      </c>
      <c r="C126" s="244"/>
      <c r="D126" s="244"/>
      <c r="E126" s="244"/>
      <c r="F126" s="246" t="s">
        <v>315</v>
      </c>
      <c r="G126" s="247"/>
      <c r="H126" s="248"/>
      <c r="I126" s="249"/>
      <c r="J126" s="249"/>
      <c r="K126" s="249"/>
      <c r="L126" s="249"/>
      <c r="M126" s="392" t="s">
        <v>357</v>
      </c>
      <c r="N126" s="399"/>
      <c r="O126" s="400"/>
      <c r="P126" s="279">
        <f>P125+1</f>
        <v>100</v>
      </c>
      <c r="Q126" s="410">
        <v>1</v>
      </c>
      <c r="R126" s="37">
        <v>9</v>
      </c>
      <c r="S126" s="410" t="s">
        <v>316</v>
      </c>
      <c r="T126" s="142"/>
      <c r="U126" s="141" t="s">
        <v>257</v>
      </c>
      <c r="V126" s="238"/>
      <c r="W126" s="191" t="str">
        <f>IF(C126&lt;&gt;"","0",IF(D126&lt;&gt;"","1",IF(E126&lt;&gt;"","2",IF(F126&lt;&gt;"","3",IF(G126&lt;&gt;"","4",IF(H126&lt;&gt;"","5"))))))</f>
        <v>3</v>
      </c>
      <c r="X126" s="144" t="s">
        <v>317</v>
      </c>
      <c r="Y126" s="144">
        <v>1</v>
      </c>
      <c r="Z126" s="144">
        <v>1</v>
      </c>
      <c r="AA126" s="239">
        <v>9</v>
      </c>
      <c r="AB126" s="137" t="s">
        <v>257</v>
      </c>
      <c r="AC126" s="240"/>
      <c r="AD126" s="216"/>
      <c r="AE126" s="396"/>
      <c r="AF126" s="217" t="str">
        <f t="shared" si="96"/>
        <v xml:space="preserve"> </v>
      </c>
      <c r="AG126" s="231" t="str">
        <f t="shared" si="120"/>
        <v>-</v>
      </c>
      <c r="AH126" s="383"/>
      <c r="AI126" s="395" t="str">
        <f t="shared" si="126"/>
        <v>OK</v>
      </c>
      <c r="AJ126" s="216"/>
      <c r="AK126" s="396"/>
      <c r="AL126" s="217" t="str">
        <f t="shared" si="97"/>
        <v xml:space="preserve"> </v>
      </c>
      <c r="AM126" s="231" t="str">
        <f t="shared" si="110"/>
        <v>-</v>
      </c>
      <c r="AN126" s="396"/>
      <c r="AO126" s="395" t="str">
        <f t="shared" si="123"/>
        <v>OK</v>
      </c>
      <c r="AP126" s="216"/>
      <c r="AQ126" s="509"/>
      <c r="AR126" s="217" t="str">
        <f t="shared" si="98"/>
        <v xml:space="preserve"> </v>
      </c>
      <c r="AS126" s="231" t="s">
        <v>593</v>
      </c>
      <c r="AT126" s="217"/>
      <c r="AU126" s="231" t="str">
        <f t="shared" si="94"/>
        <v>-</v>
      </c>
      <c r="AV126" s="216"/>
      <c r="AW126" s="396"/>
      <c r="AX126" s="217" t="str">
        <f t="shared" si="99"/>
        <v xml:space="preserve"> </v>
      </c>
      <c r="AY126" s="231" t="str">
        <f t="shared" si="111"/>
        <v>-</v>
      </c>
      <c r="AZ126" s="275"/>
      <c r="BA126" s="479" t="s">
        <v>245</v>
      </c>
      <c r="BB126" s="216"/>
      <c r="BC126" s="396" t="s">
        <v>374</v>
      </c>
      <c r="BD126" s="217" t="str">
        <f t="shared" si="100"/>
        <v>5</v>
      </c>
      <c r="BE126" s="231" t="str">
        <f t="shared" si="112"/>
        <v>-</v>
      </c>
      <c r="BF126" s="396" t="s">
        <v>374</v>
      </c>
      <c r="BG126" s="479" t="s">
        <v>245</v>
      </c>
      <c r="BH126" s="216"/>
      <c r="BI126" s="509" t="s">
        <v>368</v>
      </c>
      <c r="BJ126" s="217" t="str">
        <f t="shared" si="101"/>
        <v xml:space="preserve"> </v>
      </c>
      <c r="BK126" s="231" t="s">
        <v>593</v>
      </c>
      <c r="BL126" s="275"/>
      <c r="BM126" s="479" t="s">
        <v>245</v>
      </c>
      <c r="BN126" s="216"/>
      <c r="BO126" s="396" t="s">
        <v>374</v>
      </c>
      <c r="BP126" s="217" t="str">
        <f t="shared" si="102"/>
        <v>5</v>
      </c>
      <c r="BQ126" s="231" t="str">
        <f t="shared" si="113"/>
        <v>-</v>
      </c>
      <c r="BR126" s="396" t="s">
        <v>374</v>
      </c>
      <c r="BS126" s="479" t="s">
        <v>245</v>
      </c>
      <c r="BT126" s="216"/>
      <c r="BU126" s="509"/>
      <c r="BV126" s="217" t="str">
        <f t="shared" si="103"/>
        <v xml:space="preserve"> </v>
      </c>
      <c r="BW126" s="231" t="s">
        <v>593</v>
      </c>
      <c r="BX126" s="217"/>
      <c r="BY126" s="231" t="str">
        <f t="shared" si="114"/>
        <v>-</v>
      </c>
      <c r="BZ126" s="216"/>
      <c r="CA126" s="396"/>
      <c r="CB126" s="217" t="str">
        <f t="shared" si="104"/>
        <v xml:space="preserve"> </v>
      </c>
      <c r="CC126" s="231" t="str">
        <f t="shared" si="115"/>
        <v>-</v>
      </c>
      <c r="CD126" s="396"/>
      <c r="CE126" s="395" t="str">
        <f t="shared" si="124"/>
        <v>OK</v>
      </c>
      <c r="CF126" s="216"/>
      <c r="CG126" s="396"/>
      <c r="CH126" s="217" t="str">
        <f t="shared" si="105"/>
        <v xml:space="preserve"> </v>
      </c>
      <c r="CI126" s="231" t="str">
        <f t="shared" si="116"/>
        <v>-</v>
      </c>
      <c r="CJ126" s="396"/>
      <c r="CK126" s="395" t="str">
        <f t="shared" si="125"/>
        <v>OK</v>
      </c>
      <c r="CL126" s="216"/>
      <c r="CM126" s="396"/>
      <c r="CN126" s="217" t="str">
        <f t="shared" si="106"/>
        <v xml:space="preserve"> </v>
      </c>
      <c r="CO126" s="231" t="s">
        <v>593</v>
      </c>
      <c r="CP126" s="217"/>
      <c r="CQ126" s="231" t="str">
        <f t="shared" si="117"/>
        <v>-</v>
      </c>
      <c r="CR126" s="216"/>
      <c r="CS126" s="396"/>
      <c r="CT126" s="217" t="str">
        <f t="shared" si="107"/>
        <v xml:space="preserve"> </v>
      </c>
      <c r="CU126" s="231" t="str">
        <f t="shared" si="118"/>
        <v>-</v>
      </c>
      <c r="CV126" s="275"/>
      <c r="CW126" s="395" t="s">
        <v>593</v>
      </c>
      <c r="CX126" s="216"/>
      <c r="CY126" s="396"/>
      <c r="CZ126" s="217" t="str">
        <f t="shared" si="108"/>
        <v xml:space="preserve"> </v>
      </c>
      <c r="DA126" s="231" t="str">
        <f t="shared" si="119"/>
        <v>-</v>
      </c>
      <c r="DB126" s="275"/>
      <c r="DC126" s="395" t="s">
        <v>593</v>
      </c>
    </row>
    <row r="127" spans="1:107" s="26" customFormat="1" ht="18.75" customHeight="1" thickTop="1">
      <c r="B127" s="245">
        <f t="shared" ref="B127:B150" si="128">ROW()-7</f>
        <v>120</v>
      </c>
      <c r="C127" s="253"/>
      <c r="D127" s="253"/>
      <c r="E127" s="254" t="s">
        <v>439</v>
      </c>
      <c r="F127" s="254"/>
      <c r="G127" s="254"/>
      <c r="H127" s="87"/>
      <c r="I127" s="88" t="s">
        <v>31</v>
      </c>
      <c r="J127" s="88" t="s">
        <v>426</v>
      </c>
      <c r="K127" s="88"/>
      <c r="L127" s="88"/>
      <c r="M127" s="89" t="s">
        <v>352</v>
      </c>
      <c r="N127" s="287"/>
      <c r="O127" s="288"/>
      <c r="P127" s="183"/>
      <c r="Q127" s="121"/>
      <c r="R127" s="107"/>
      <c r="S127" s="289"/>
      <c r="T127" s="287"/>
      <c r="U127" s="107"/>
      <c r="V127" s="290"/>
      <c r="W127" s="25" t="str">
        <f>IF(C127&lt;&gt;"","0",IF(D127&lt;&gt;"","1",IF(E127&lt;&gt;"","2",IF(F127&lt;&gt;"","3",IF(G127&lt;&gt;"","4",IF(H127&lt;&gt;"","5"))))))</f>
        <v>2</v>
      </c>
      <c r="X127" s="1" t="s">
        <v>122</v>
      </c>
      <c r="Y127" s="1"/>
      <c r="Z127" s="1"/>
      <c r="AA127" s="8"/>
      <c r="AB127" s="8" t="s">
        <v>257</v>
      </c>
      <c r="AC127" s="63"/>
      <c r="AD127" s="60"/>
      <c r="AE127" s="169"/>
      <c r="AF127" s="61" t="str">
        <f t="shared" si="96"/>
        <v/>
      </c>
      <c r="AG127" s="218" t="str">
        <f t="shared" ref="AG127:AG156" si="129">IF(OR(AE$8="判定対象外",AF$8="判定対象外",AF127="-"),"-",IF(AE127=AF127,"OK","NG"))</f>
        <v>-</v>
      </c>
      <c r="AH127" s="169"/>
      <c r="AI127" s="92" t="str">
        <f>IF(EXACT(AE127,AH127),"OK","NG")</f>
        <v>OK</v>
      </c>
      <c r="AJ127" s="60"/>
      <c r="AK127" s="169"/>
      <c r="AL127" s="61" t="str">
        <f t="shared" si="97"/>
        <v/>
      </c>
      <c r="AM127" s="218" t="str">
        <f t="shared" si="110"/>
        <v>-</v>
      </c>
      <c r="AN127" s="169"/>
      <c r="AO127" s="92" t="str">
        <f t="shared" si="123"/>
        <v>OK</v>
      </c>
      <c r="AP127" s="60"/>
      <c r="AQ127" s="172"/>
      <c r="AR127" s="61" t="str">
        <f t="shared" si="98"/>
        <v/>
      </c>
      <c r="AS127" s="218" t="s">
        <v>593</v>
      </c>
      <c r="AT127" s="61"/>
      <c r="AU127" s="218" t="str">
        <f t="shared" si="94"/>
        <v>-</v>
      </c>
      <c r="AV127" s="60"/>
      <c r="AW127" s="169"/>
      <c r="AX127" s="61" t="str">
        <f t="shared" si="99"/>
        <v/>
      </c>
      <c r="AY127" s="218" t="str">
        <f t="shared" si="111"/>
        <v>-</v>
      </c>
      <c r="AZ127" s="169"/>
      <c r="BA127" s="92" t="str">
        <f>IF(EXACT(AW127,AZ127),"OK","NG")</f>
        <v>OK</v>
      </c>
      <c r="BB127" s="60"/>
      <c r="BC127" s="169"/>
      <c r="BD127" s="61" t="str">
        <f t="shared" si="100"/>
        <v/>
      </c>
      <c r="BE127" s="218" t="str">
        <f t="shared" si="112"/>
        <v>-</v>
      </c>
      <c r="BF127" s="169"/>
      <c r="BG127" s="92" t="str">
        <f>IF(EXACT(BC127,BF127),"OK","NG")</f>
        <v>OK</v>
      </c>
      <c r="BH127" s="60"/>
      <c r="BI127" s="172"/>
      <c r="BJ127" s="61" t="str">
        <f t="shared" si="101"/>
        <v/>
      </c>
      <c r="BK127" s="218" t="s">
        <v>593</v>
      </c>
      <c r="BL127" s="169"/>
      <c r="BM127" s="92" t="str">
        <f>IF(EXACT(BI127,BL127),"OK","NG")</f>
        <v>OK</v>
      </c>
      <c r="BN127" s="60"/>
      <c r="BO127" s="169"/>
      <c r="BP127" s="61" t="str">
        <f t="shared" si="102"/>
        <v/>
      </c>
      <c r="BQ127" s="218" t="str">
        <f t="shared" si="113"/>
        <v>-</v>
      </c>
      <c r="BR127" s="169"/>
      <c r="BS127" s="92" t="str">
        <f>IF(EXACT(BO127,BR127),"OK","NG")</f>
        <v>OK</v>
      </c>
      <c r="BT127" s="60"/>
      <c r="BU127" s="172"/>
      <c r="BV127" s="61" t="str">
        <f t="shared" si="103"/>
        <v/>
      </c>
      <c r="BW127" s="218" t="s">
        <v>593</v>
      </c>
      <c r="BX127" s="61"/>
      <c r="BY127" s="218" t="str">
        <f t="shared" si="114"/>
        <v>-</v>
      </c>
      <c r="BZ127" s="60"/>
      <c r="CA127" s="169"/>
      <c r="CB127" s="61" t="str">
        <f t="shared" si="104"/>
        <v/>
      </c>
      <c r="CC127" s="218" t="str">
        <f t="shared" si="115"/>
        <v>-</v>
      </c>
      <c r="CD127" s="169"/>
      <c r="CE127" s="92" t="str">
        <f t="shared" si="124"/>
        <v>OK</v>
      </c>
      <c r="CF127" s="60"/>
      <c r="CG127" s="169"/>
      <c r="CH127" s="61" t="str">
        <f t="shared" si="105"/>
        <v/>
      </c>
      <c r="CI127" s="218" t="str">
        <f t="shared" si="116"/>
        <v>-</v>
      </c>
      <c r="CJ127" s="169"/>
      <c r="CK127" s="92" t="str">
        <f t="shared" si="125"/>
        <v>OK</v>
      </c>
      <c r="CL127" s="60"/>
      <c r="CM127" s="169"/>
      <c r="CN127" s="61" t="str">
        <f t="shared" si="106"/>
        <v/>
      </c>
      <c r="CO127" s="218" t="s">
        <v>593</v>
      </c>
      <c r="CP127" s="61"/>
      <c r="CQ127" s="218" t="str">
        <f t="shared" si="117"/>
        <v>-</v>
      </c>
      <c r="CR127" s="60"/>
      <c r="CS127" s="169"/>
      <c r="CT127" s="61" t="str">
        <f t="shared" si="107"/>
        <v/>
      </c>
      <c r="CU127" s="218" t="str">
        <f t="shared" si="118"/>
        <v>-</v>
      </c>
      <c r="CV127" s="169"/>
      <c r="CW127" s="92" t="s">
        <v>593</v>
      </c>
      <c r="CX127" s="60"/>
      <c r="CY127" s="169"/>
      <c r="CZ127" s="61" t="str">
        <f t="shared" si="108"/>
        <v/>
      </c>
      <c r="DA127" s="218" t="str">
        <f t="shared" si="119"/>
        <v>-</v>
      </c>
      <c r="DB127" s="169"/>
      <c r="DC127" s="92" t="s">
        <v>593</v>
      </c>
    </row>
    <row r="128" spans="1:107" s="26" customFormat="1" ht="63.75">
      <c r="B128" s="2">
        <f t="shared" si="128"/>
        <v>121</v>
      </c>
      <c r="C128" s="129"/>
      <c r="D128" s="7"/>
      <c r="E128" s="7"/>
      <c r="F128" s="112" t="s">
        <v>92</v>
      </c>
      <c r="G128" s="16"/>
      <c r="H128" s="13"/>
      <c r="I128" s="6"/>
      <c r="J128" s="6"/>
      <c r="K128" s="6"/>
      <c r="L128" s="8"/>
      <c r="M128" s="23" t="s">
        <v>296</v>
      </c>
      <c r="N128" s="1"/>
      <c r="O128" s="57"/>
      <c r="P128" s="95">
        <f>P126+1</f>
        <v>101</v>
      </c>
      <c r="Q128" s="117">
        <v>2</v>
      </c>
      <c r="R128" s="21" t="str">
        <f t="shared" ref="R128:R134" si="130">IF(AA128="M","NX",AA128)</f>
        <v>X</v>
      </c>
      <c r="S128" s="98" t="s">
        <v>440</v>
      </c>
      <c r="T128" s="96"/>
      <c r="U128" s="21" t="s">
        <v>435</v>
      </c>
      <c r="V128" s="118" t="s">
        <v>199</v>
      </c>
      <c r="W128" s="25" t="str">
        <f>IF(C128&lt;&gt;"","0",IF(D128&lt;&gt;"","1",IF(E128&lt;&gt;"","2",IF(F128&lt;&gt;"","3",IF(G128&lt;&gt;"","4",IF(H128&lt;&gt;"","5"))))))</f>
        <v>3</v>
      </c>
      <c r="X128" s="5" t="s">
        <v>297</v>
      </c>
      <c r="Y128" s="58">
        <v>2</v>
      </c>
      <c r="Z128" s="58">
        <v>2</v>
      </c>
      <c r="AA128" s="59" t="s">
        <v>114</v>
      </c>
      <c r="AB128" s="59" t="s">
        <v>21</v>
      </c>
      <c r="AC128" s="12"/>
      <c r="AD128" s="60"/>
      <c r="AE128" s="174"/>
      <c r="AF128" s="273" t="str">
        <f t="shared" si="96"/>
        <v xml:space="preserve">  </v>
      </c>
      <c r="AG128" s="218" t="str">
        <f t="shared" si="129"/>
        <v>-</v>
      </c>
      <c r="AH128" s="174"/>
      <c r="AI128" s="92" t="str">
        <f>IF(EXACT(AE128,AH128),"OK","NG")</f>
        <v>OK</v>
      </c>
      <c r="AJ128" s="60"/>
      <c r="AK128" s="174"/>
      <c r="AL128" s="273" t="str">
        <f t="shared" si="97"/>
        <v xml:space="preserve">  </v>
      </c>
      <c r="AM128" s="218" t="str">
        <f t="shared" si="110"/>
        <v>-</v>
      </c>
      <c r="AN128" s="174"/>
      <c r="AO128" s="92" t="str">
        <f t="shared" si="123"/>
        <v>OK</v>
      </c>
      <c r="AP128" s="60"/>
      <c r="AQ128" s="170"/>
      <c r="AR128" s="273" t="str">
        <f t="shared" si="98"/>
        <v xml:space="preserve">  </v>
      </c>
      <c r="AS128" s="218" t="s">
        <v>593</v>
      </c>
      <c r="AT128" s="273"/>
      <c r="AU128" s="218" t="str">
        <f t="shared" si="94"/>
        <v>-</v>
      </c>
      <c r="AV128" s="60"/>
      <c r="AW128" s="174" t="s">
        <v>102</v>
      </c>
      <c r="AX128" s="273" t="str">
        <f t="shared" si="99"/>
        <v>01</v>
      </c>
      <c r="AY128" s="218" t="str">
        <f t="shared" si="111"/>
        <v>-</v>
      </c>
      <c r="AZ128" s="174" t="s">
        <v>102</v>
      </c>
      <c r="BA128" s="478" t="s">
        <v>594</v>
      </c>
      <c r="BB128" s="60"/>
      <c r="BC128" s="174" t="s">
        <v>378</v>
      </c>
      <c r="BD128" s="273" t="str">
        <f t="shared" si="100"/>
        <v>91</v>
      </c>
      <c r="BE128" s="218" t="str">
        <f t="shared" si="112"/>
        <v>-</v>
      </c>
      <c r="BF128" s="174" t="s">
        <v>378</v>
      </c>
      <c r="BG128" s="478" t="s">
        <v>594</v>
      </c>
      <c r="BH128" s="60"/>
      <c r="BI128" s="170" t="s">
        <v>102</v>
      </c>
      <c r="BJ128" s="273" t="str">
        <f t="shared" si="101"/>
        <v>01</v>
      </c>
      <c r="BK128" s="218" t="s">
        <v>593</v>
      </c>
      <c r="BL128" s="174" t="s">
        <v>102</v>
      </c>
      <c r="BM128" s="478" t="s">
        <v>594</v>
      </c>
      <c r="BN128" s="60"/>
      <c r="BO128" s="174" t="s">
        <v>378</v>
      </c>
      <c r="BP128" s="273" t="str">
        <f t="shared" si="102"/>
        <v>91</v>
      </c>
      <c r="BQ128" s="218" t="str">
        <f t="shared" si="113"/>
        <v>-</v>
      </c>
      <c r="BR128" s="174" t="s">
        <v>378</v>
      </c>
      <c r="BS128" s="478" t="s">
        <v>594</v>
      </c>
      <c r="BT128" s="60"/>
      <c r="BU128" s="170"/>
      <c r="BV128" s="273" t="str">
        <f t="shared" si="103"/>
        <v xml:space="preserve">  </v>
      </c>
      <c r="BW128" s="218" t="s">
        <v>593</v>
      </c>
      <c r="BX128" s="273"/>
      <c r="BY128" s="218" t="str">
        <f t="shared" si="114"/>
        <v>-</v>
      </c>
      <c r="BZ128" s="60"/>
      <c r="CA128" s="174"/>
      <c r="CB128" s="273" t="str">
        <f t="shared" si="104"/>
        <v xml:space="preserve">  </v>
      </c>
      <c r="CC128" s="218" t="str">
        <f t="shared" si="115"/>
        <v>-</v>
      </c>
      <c r="CD128" s="174"/>
      <c r="CE128" s="92" t="str">
        <f t="shared" si="124"/>
        <v>OK</v>
      </c>
      <c r="CF128" s="60"/>
      <c r="CG128" s="174"/>
      <c r="CH128" s="273" t="str">
        <f t="shared" si="105"/>
        <v xml:space="preserve">  </v>
      </c>
      <c r="CI128" s="218" t="str">
        <f t="shared" si="116"/>
        <v>-</v>
      </c>
      <c r="CJ128" s="174"/>
      <c r="CK128" s="92" t="str">
        <f t="shared" si="125"/>
        <v>OK</v>
      </c>
      <c r="CL128" s="60"/>
      <c r="CM128" s="174"/>
      <c r="CN128" s="273" t="str">
        <f t="shared" si="106"/>
        <v xml:space="preserve">  </v>
      </c>
      <c r="CO128" s="218" t="s">
        <v>593</v>
      </c>
      <c r="CP128" s="273"/>
      <c r="CQ128" s="218" t="str">
        <f t="shared" si="117"/>
        <v>-</v>
      </c>
      <c r="CR128" s="60"/>
      <c r="CS128" s="174"/>
      <c r="CT128" s="273" t="str">
        <f t="shared" si="107"/>
        <v xml:space="preserve">  </v>
      </c>
      <c r="CU128" s="218" t="str">
        <f t="shared" si="118"/>
        <v>-</v>
      </c>
      <c r="CV128" s="174"/>
      <c r="CW128" s="92" t="s">
        <v>593</v>
      </c>
      <c r="CX128" s="60"/>
      <c r="CY128" s="174"/>
      <c r="CZ128" s="273" t="str">
        <f t="shared" si="108"/>
        <v xml:space="preserve">  </v>
      </c>
      <c r="DA128" s="218" t="str">
        <f t="shared" si="119"/>
        <v>-</v>
      </c>
      <c r="DB128" s="174"/>
      <c r="DC128" s="92" t="s">
        <v>593</v>
      </c>
    </row>
    <row r="129" spans="2:107" s="26" customFormat="1" ht="293.25">
      <c r="B129" s="2">
        <f t="shared" si="128"/>
        <v>122</v>
      </c>
      <c r="C129" s="7"/>
      <c r="D129" s="7"/>
      <c r="E129" s="7"/>
      <c r="F129" s="112" t="s">
        <v>424</v>
      </c>
      <c r="G129" s="16"/>
      <c r="H129" s="13"/>
      <c r="I129" s="8"/>
      <c r="J129" s="8" t="s">
        <v>426</v>
      </c>
      <c r="K129" s="8"/>
      <c r="L129" s="8"/>
      <c r="M129" s="414" t="s">
        <v>441</v>
      </c>
      <c r="N129" s="11"/>
      <c r="O129" s="57"/>
      <c r="P129" s="95">
        <f>P128+1</f>
        <v>102</v>
      </c>
      <c r="Q129" s="115">
        <v>2</v>
      </c>
      <c r="R129" s="21" t="str">
        <f t="shared" si="130"/>
        <v>X</v>
      </c>
      <c r="S129" s="98" t="s">
        <v>442</v>
      </c>
      <c r="T129" s="96"/>
      <c r="U129" s="21" t="s">
        <v>443</v>
      </c>
      <c r="V129" s="10"/>
      <c r="W129" s="25">
        <v>3</v>
      </c>
      <c r="X129" s="1" t="s">
        <v>288</v>
      </c>
      <c r="Y129" s="1">
        <v>2</v>
      </c>
      <c r="Z129" s="1">
        <v>2</v>
      </c>
      <c r="AA129" s="8" t="s">
        <v>114</v>
      </c>
      <c r="AB129" s="8" t="s">
        <v>21</v>
      </c>
      <c r="AC129" s="12"/>
      <c r="AD129" s="60"/>
      <c r="AE129" s="174"/>
      <c r="AF129" s="273" t="str">
        <f t="shared" si="96"/>
        <v xml:space="preserve">  </v>
      </c>
      <c r="AG129" s="218" t="str">
        <f t="shared" si="129"/>
        <v>-</v>
      </c>
      <c r="AH129" s="174"/>
      <c r="AI129" s="92" t="str">
        <f t="shared" ref="AI129:AI156" si="131">IF(EXACT(AE129,AH129),"OK","NG")</f>
        <v>OK</v>
      </c>
      <c r="AJ129" s="60"/>
      <c r="AK129" s="174"/>
      <c r="AL129" s="273" t="str">
        <f t="shared" si="97"/>
        <v xml:space="preserve">  </v>
      </c>
      <c r="AM129" s="218" t="str">
        <f t="shared" si="110"/>
        <v>-</v>
      </c>
      <c r="AN129" s="174"/>
      <c r="AO129" s="92" t="str">
        <f t="shared" ref="AO129:AO156" si="132">IF(EXACT(AK129,AN129),"OK","NG")</f>
        <v>OK</v>
      </c>
      <c r="AP129" s="60"/>
      <c r="AQ129" s="170"/>
      <c r="AR129" s="273" t="str">
        <f t="shared" si="98"/>
        <v xml:space="preserve">  </v>
      </c>
      <c r="AS129" s="218" t="s">
        <v>593</v>
      </c>
      <c r="AT129" s="273"/>
      <c r="AU129" s="218" t="str">
        <f t="shared" si="94"/>
        <v>-</v>
      </c>
      <c r="AV129" s="60"/>
      <c r="AW129" s="174" t="s">
        <v>117</v>
      </c>
      <c r="AX129" s="273" t="str">
        <f t="shared" si="99"/>
        <v>B1</v>
      </c>
      <c r="AY129" s="218" t="str">
        <f t="shared" si="111"/>
        <v>-</v>
      </c>
      <c r="AZ129" s="174" t="s">
        <v>117</v>
      </c>
      <c r="BA129" s="92" t="str">
        <f>IF(EXACT(AW129,AZ129),"OK","NG")</f>
        <v>OK</v>
      </c>
      <c r="BB129" s="60"/>
      <c r="BC129" s="174" t="s">
        <v>193</v>
      </c>
      <c r="BD129" s="273" t="str">
        <f t="shared" si="100"/>
        <v>A2</v>
      </c>
      <c r="BE129" s="218" t="str">
        <f t="shared" si="112"/>
        <v>-</v>
      </c>
      <c r="BF129" s="174" t="s">
        <v>193</v>
      </c>
      <c r="BG129" s="92" t="str">
        <f>IF(EXACT(BC129,BF129),"OK","NG")</f>
        <v>OK</v>
      </c>
      <c r="BH129" s="60"/>
      <c r="BI129" s="170" t="s">
        <v>117</v>
      </c>
      <c r="BJ129" s="273" t="str">
        <f t="shared" si="101"/>
        <v>B1</v>
      </c>
      <c r="BK129" s="218" t="s">
        <v>593</v>
      </c>
      <c r="BL129" s="174" t="s">
        <v>117</v>
      </c>
      <c r="BM129" s="92" t="str">
        <f>IF(EXACT(BI129,BL129),"OK","NG")</f>
        <v>OK</v>
      </c>
      <c r="BN129" s="60"/>
      <c r="BO129" s="174" t="s">
        <v>193</v>
      </c>
      <c r="BP129" s="273" t="str">
        <f t="shared" si="102"/>
        <v>A2</v>
      </c>
      <c r="BQ129" s="218" t="str">
        <f t="shared" si="113"/>
        <v>-</v>
      </c>
      <c r="BR129" s="174" t="s">
        <v>193</v>
      </c>
      <c r="BS129" s="92" t="str">
        <f>IF(EXACT(BO129,BR129),"OK","NG")</f>
        <v>OK</v>
      </c>
      <c r="BT129" s="60"/>
      <c r="BU129" s="170"/>
      <c r="BV129" s="273" t="str">
        <f t="shared" si="103"/>
        <v xml:space="preserve">  </v>
      </c>
      <c r="BW129" s="218" t="s">
        <v>593</v>
      </c>
      <c r="BX129" s="273"/>
      <c r="BY129" s="218" t="str">
        <f t="shared" si="114"/>
        <v>-</v>
      </c>
      <c r="BZ129" s="60"/>
      <c r="CA129" s="174"/>
      <c r="CB129" s="273" t="str">
        <f t="shared" si="104"/>
        <v xml:space="preserve">  </v>
      </c>
      <c r="CC129" s="218" t="str">
        <f t="shared" si="115"/>
        <v>-</v>
      </c>
      <c r="CD129" s="174"/>
      <c r="CE129" s="92" t="str">
        <f t="shared" ref="CE129:CE156" si="133">IF(EXACT(CA129,CD129),"OK","NG")</f>
        <v>OK</v>
      </c>
      <c r="CF129" s="60"/>
      <c r="CG129" s="174"/>
      <c r="CH129" s="273" t="str">
        <f t="shared" si="105"/>
        <v xml:space="preserve">  </v>
      </c>
      <c r="CI129" s="218" t="str">
        <f t="shared" si="116"/>
        <v>-</v>
      </c>
      <c r="CJ129" s="174"/>
      <c r="CK129" s="92" t="str">
        <f t="shared" ref="CK129:CK156" si="134">IF(EXACT(CG129,CJ129),"OK","NG")</f>
        <v>OK</v>
      </c>
      <c r="CL129" s="60"/>
      <c r="CM129" s="174"/>
      <c r="CN129" s="273" t="str">
        <f t="shared" si="106"/>
        <v xml:space="preserve">  </v>
      </c>
      <c r="CO129" s="218" t="s">
        <v>593</v>
      </c>
      <c r="CP129" s="273"/>
      <c r="CQ129" s="218" t="str">
        <f t="shared" si="117"/>
        <v>-</v>
      </c>
      <c r="CR129" s="60"/>
      <c r="CS129" s="174"/>
      <c r="CT129" s="273" t="str">
        <f t="shared" si="107"/>
        <v xml:space="preserve">  </v>
      </c>
      <c r="CU129" s="218" t="str">
        <f t="shared" si="118"/>
        <v>-</v>
      </c>
      <c r="CV129" s="174"/>
      <c r="CW129" s="92" t="s">
        <v>593</v>
      </c>
      <c r="CX129" s="60"/>
      <c r="CY129" s="174"/>
      <c r="CZ129" s="273" t="str">
        <f t="shared" si="108"/>
        <v xml:space="preserve">  </v>
      </c>
      <c r="DA129" s="218" t="str">
        <f t="shared" si="119"/>
        <v>-</v>
      </c>
      <c r="DB129" s="174"/>
      <c r="DC129" s="92" t="s">
        <v>593</v>
      </c>
    </row>
    <row r="130" spans="2:107" s="26" customFormat="1">
      <c r="B130" s="2">
        <f t="shared" si="128"/>
        <v>123</v>
      </c>
      <c r="C130" s="7"/>
      <c r="D130" s="7"/>
      <c r="E130" s="7"/>
      <c r="F130" s="22" t="s">
        <v>353</v>
      </c>
      <c r="G130" s="16"/>
      <c r="H130" s="13"/>
      <c r="I130" s="8"/>
      <c r="J130" s="8"/>
      <c r="K130" s="8"/>
      <c r="L130" s="8"/>
      <c r="M130" s="417" t="s">
        <v>220</v>
      </c>
      <c r="N130" s="11"/>
      <c r="O130" s="57"/>
      <c r="P130" s="95">
        <f t="shared" ref="P130:P151" si="135">P129+1</f>
        <v>103</v>
      </c>
      <c r="Q130" s="115">
        <v>2</v>
      </c>
      <c r="R130" s="21" t="str">
        <f t="shared" si="130"/>
        <v>X</v>
      </c>
      <c r="S130" s="98" t="s">
        <v>124</v>
      </c>
      <c r="T130" s="96"/>
      <c r="U130" s="21" t="s">
        <v>257</v>
      </c>
      <c r="V130" s="10"/>
      <c r="W130" s="25">
        <v>3</v>
      </c>
      <c r="X130" s="1" t="s">
        <v>125</v>
      </c>
      <c r="Y130" s="1">
        <v>2</v>
      </c>
      <c r="Z130" s="1">
        <v>2</v>
      </c>
      <c r="AA130" s="8" t="s">
        <v>114</v>
      </c>
      <c r="AB130" s="8" t="s">
        <v>21</v>
      </c>
      <c r="AC130" s="12"/>
      <c r="AD130" s="60"/>
      <c r="AE130" s="169"/>
      <c r="AF130" s="61" t="str">
        <f t="shared" si="96"/>
        <v xml:space="preserve">  </v>
      </c>
      <c r="AG130" s="218" t="str">
        <f t="shared" si="129"/>
        <v>-</v>
      </c>
      <c r="AH130" s="169"/>
      <c r="AI130" s="92" t="str">
        <f t="shared" si="131"/>
        <v>OK</v>
      </c>
      <c r="AJ130" s="60"/>
      <c r="AK130" s="169"/>
      <c r="AL130" s="61" t="str">
        <f t="shared" si="97"/>
        <v xml:space="preserve">  </v>
      </c>
      <c r="AM130" s="218" t="str">
        <f t="shared" si="110"/>
        <v>-</v>
      </c>
      <c r="AN130" s="169"/>
      <c r="AO130" s="92" t="str">
        <f t="shared" si="132"/>
        <v>OK</v>
      </c>
      <c r="AP130" s="60"/>
      <c r="AQ130" s="172"/>
      <c r="AR130" s="61" t="str">
        <f t="shared" si="98"/>
        <v xml:space="preserve">  </v>
      </c>
      <c r="AS130" s="218" t="s">
        <v>593</v>
      </c>
      <c r="AT130" s="61"/>
      <c r="AU130" s="218" t="str">
        <f t="shared" si="94"/>
        <v>-</v>
      </c>
      <c r="AV130" s="60"/>
      <c r="AW130" s="169"/>
      <c r="AX130" s="61" t="str">
        <f t="shared" si="99"/>
        <v xml:space="preserve">  </v>
      </c>
      <c r="AY130" s="218" t="str">
        <f t="shared" si="111"/>
        <v>-</v>
      </c>
      <c r="AZ130" s="169"/>
      <c r="BA130" s="92" t="str">
        <f>IF(EXACT(AW130,AZ130),"OK","NG")</f>
        <v>OK</v>
      </c>
      <c r="BB130" s="60"/>
      <c r="BC130" s="169"/>
      <c r="BD130" s="61" t="str">
        <f t="shared" si="100"/>
        <v xml:space="preserve">  </v>
      </c>
      <c r="BE130" s="218" t="str">
        <f t="shared" si="112"/>
        <v>-</v>
      </c>
      <c r="BF130" s="169"/>
      <c r="BG130" s="92" t="str">
        <f>IF(EXACT(BC130,BF130),"OK","NG")</f>
        <v>OK</v>
      </c>
      <c r="BH130" s="60"/>
      <c r="BI130" s="170" t="s">
        <v>698</v>
      </c>
      <c r="BJ130" s="61" t="str">
        <f t="shared" si="101"/>
        <v xml:space="preserve">  </v>
      </c>
      <c r="BK130" s="218" t="s">
        <v>593</v>
      </c>
      <c r="BL130" s="169"/>
      <c r="BM130" s="92" t="str">
        <f>IF(EXACT(BI130,BL130),"OK","NG")</f>
        <v>NG</v>
      </c>
      <c r="BN130" s="60"/>
      <c r="BO130" s="169"/>
      <c r="BP130" s="61" t="str">
        <f t="shared" si="102"/>
        <v xml:space="preserve">  </v>
      </c>
      <c r="BQ130" s="218" t="str">
        <f t="shared" si="113"/>
        <v>-</v>
      </c>
      <c r="BR130" s="169"/>
      <c r="BS130" s="92" t="str">
        <f>IF(EXACT(BO130,BR130),"OK","NG")</f>
        <v>OK</v>
      </c>
      <c r="BT130" s="60"/>
      <c r="BU130" s="172"/>
      <c r="BV130" s="61" t="str">
        <f t="shared" si="103"/>
        <v xml:space="preserve">  </v>
      </c>
      <c r="BW130" s="218" t="s">
        <v>593</v>
      </c>
      <c r="BX130" s="61"/>
      <c r="BY130" s="218" t="str">
        <f t="shared" si="114"/>
        <v>-</v>
      </c>
      <c r="BZ130" s="60"/>
      <c r="CA130" s="169"/>
      <c r="CB130" s="61" t="str">
        <f t="shared" si="104"/>
        <v xml:space="preserve">  </v>
      </c>
      <c r="CC130" s="218" t="str">
        <f t="shared" si="115"/>
        <v>-</v>
      </c>
      <c r="CD130" s="169"/>
      <c r="CE130" s="92" t="str">
        <f t="shared" si="133"/>
        <v>OK</v>
      </c>
      <c r="CF130" s="60"/>
      <c r="CG130" s="169"/>
      <c r="CH130" s="61" t="str">
        <f t="shared" si="105"/>
        <v xml:space="preserve">  </v>
      </c>
      <c r="CI130" s="218" t="str">
        <f t="shared" si="116"/>
        <v>-</v>
      </c>
      <c r="CJ130" s="169"/>
      <c r="CK130" s="92" t="str">
        <f t="shared" si="134"/>
        <v>OK</v>
      </c>
      <c r="CL130" s="60"/>
      <c r="CM130" s="169"/>
      <c r="CN130" s="61" t="str">
        <f t="shared" si="106"/>
        <v xml:space="preserve">  </v>
      </c>
      <c r="CO130" s="218" t="s">
        <v>593</v>
      </c>
      <c r="CP130" s="61"/>
      <c r="CQ130" s="218" t="str">
        <f t="shared" si="117"/>
        <v>-</v>
      </c>
      <c r="CR130" s="60"/>
      <c r="CS130" s="169"/>
      <c r="CT130" s="61" t="str">
        <f t="shared" si="107"/>
        <v xml:space="preserve">  </v>
      </c>
      <c r="CU130" s="218" t="str">
        <f t="shared" si="118"/>
        <v>-</v>
      </c>
      <c r="CV130" s="169"/>
      <c r="CW130" s="92" t="s">
        <v>593</v>
      </c>
      <c r="CX130" s="60"/>
      <c r="CY130" s="169"/>
      <c r="CZ130" s="61" t="str">
        <f t="shared" si="108"/>
        <v xml:space="preserve">  </v>
      </c>
      <c r="DA130" s="218" t="str">
        <f t="shared" si="119"/>
        <v>-</v>
      </c>
      <c r="DB130" s="169"/>
      <c r="DC130" s="92" t="s">
        <v>593</v>
      </c>
    </row>
    <row r="131" spans="2:107" s="26" customFormat="1">
      <c r="B131" s="2">
        <f t="shared" si="128"/>
        <v>124</v>
      </c>
      <c r="C131" s="7"/>
      <c r="D131" s="7"/>
      <c r="E131" s="7"/>
      <c r="F131" s="22" t="s">
        <v>126</v>
      </c>
      <c r="G131" s="16"/>
      <c r="H131" s="13"/>
      <c r="I131" s="8"/>
      <c r="J131" s="8" t="s">
        <v>269</v>
      </c>
      <c r="K131" s="8"/>
      <c r="L131" s="8"/>
      <c r="M131" s="1" t="s">
        <v>127</v>
      </c>
      <c r="N131" s="1"/>
      <c r="O131" s="57"/>
      <c r="P131" s="95">
        <f t="shared" si="135"/>
        <v>104</v>
      </c>
      <c r="Q131" s="115">
        <v>255</v>
      </c>
      <c r="R131" s="21" t="str">
        <f t="shared" si="130"/>
        <v>NX</v>
      </c>
      <c r="S131" s="98" t="s">
        <v>128</v>
      </c>
      <c r="T131" s="96"/>
      <c r="U131" s="21" t="s">
        <v>257</v>
      </c>
      <c r="V131" s="10"/>
      <c r="W131" s="25">
        <v>3</v>
      </c>
      <c r="X131" s="1" t="s">
        <v>298</v>
      </c>
      <c r="Y131" s="1">
        <v>1</v>
      </c>
      <c r="Z131" s="1">
        <v>255</v>
      </c>
      <c r="AA131" s="8" t="s">
        <v>129</v>
      </c>
      <c r="AB131" s="8" t="s">
        <v>21</v>
      </c>
      <c r="AC131" s="12"/>
      <c r="AD131" s="60"/>
      <c r="AE131" s="174"/>
      <c r="AF131" s="228" t="str">
        <f t="shared" si="96"/>
        <v xml:space="preserve">                                                                                                                                                                                                                                                               </v>
      </c>
      <c r="AG131" s="218" t="str">
        <f t="shared" si="129"/>
        <v>-</v>
      </c>
      <c r="AH131" s="174"/>
      <c r="AI131" s="92" t="str">
        <f t="shared" si="131"/>
        <v>OK</v>
      </c>
      <c r="AJ131" s="60"/>
      <c r="AK131" s="174"/>
      <c r="AL131" s="228" t="str">
        <f t="shared" si="97"/>
        <v xml:space="preserve">                                                                                                                                                                                                                                                               </v>
      </c>
      <c r="AM131" s="218" t="str">
        <f t="shared" si="110"/>
        <v>-</v>
      </c>
      <c r="AN131" s="174"/>
      <c r="AO131" s="92" t="str">
        <f t="shared" si="132"/>
        <v>OK</v>
      </c>
      <c r="AP131" s="60"/>
      <c r="AQ131" s="170"/>
      <c r="AR131" s="228" t="str">
        <f t="shared" si="98"/>
        <v xml:space="preserve">                                                                                                                                                                                                                                                               </v>
      </c>
      <c r="AS131" s="218" t="s">
        <v>593</v>
      </c>
      <c r="AT131" s="228"/>
      <c r="AU131" s="218" t="str">
        <f t="shared" si="94"/>
        <v>-</v>
      </c>
      <c r="AV131" s="60"/>
      <c r="AW131" s="174" t="s">
        <v>336</v>
      </c>
      <c r="AX131" s="228" t="str">
        <f t="shared" si="99"/>
        <v xml:space="preserve">ｅｏ光 メゾン／マンション                                                                                                                                                                                                                                      </v>
      </c>
      <c r="AY131" s="218" t="str">
        <f t="shared" si="111"/>
        <v>-</v>
      </c>
      <c r="AZ131" s="174" t="s">
        <v>336</v>
      </c>
      <c r="BA131" s="92" t="str">
        <f>IF(EXACT(AW131,AZ131),"OK","NG")</f>
        <v>OK</v>
      </c>
      <c r="BB131" s="60"/>
      <c r="BC131" s="174" t="s">
        <v>379</v>
      </c>
      <c r="BD131" s="228" t="str">
        <f t="shared" si="100"/>
        <v xml:space="preserve">ケーブルテレビ                                                                                                                                                                                                                                                 </v>
      </c>
      <c r="BE131" s="218" t="str">
        <f t="shared" si="112"/>
        <v>-</v>
      </c>
      <c r="BF131" s="174" t="s">
        <v>379</v>
      </c>
      <c r="BG131" s="92" t="str">
        <f>IF(EXACT(BC131,BF131),"OK","NG")</f>
        <v>OK</v>
      </c>
      <c r="BH131" s="60"/>
      <c r="BI131" s="170" t="s">
        <v>733</v>
      </c>
      <c r="BJ131" s="228" t="str">
        <f t="shared" si="101"/>
        <v xml:space="preserve">ｅｏ光 メゾン／マンション                                                                                                                                                                                                                                      </v>
      </c>
      <c r="BK131" s="218" t="s">
        <v>593</v>
      </c>
      <c r="BL131" s="174" t="s">
        <v>336</v>
      </c>
      <c r="BM131" s="92" t="str">
        <f>IF(EXACT(BI131,BL131),"OK","NG")</f>
        <v>NG</v>
      </c>
      <c r="BN131" s="60"/>
      <c r="BO131" s="174" t="s">
        <v>379</v>
      </c>
      <c r="BP131" s="228" t="str">
        <f t="shared" si="102"/>
        <v xml:space="preserve">ケーブルテレビ                                                                                                                                                                                                                                                 </v>
      </c>
      <c r="BQ131" s="218" t="str">
        <f t="shared" si="113"/>
        <v>-</v>
      </c>
      <c r="BR131" s="174" t="s">
        <v>379</v>
      </c>
      <c r="BS131" s="92" t="str">
        <f>IF(EXACT(BO131,BR131),"OK","NG")</f>
        <v>OK</v>
      </c>
      <c r="BT131" s="60"/>
      <c r="BU131" s="170"/>
      <c r="BV131" s="228" t="str">
        <f t="shared" si="103"/>
        <v xml:space="preserve">                                                                                                                                                                                                                                                               </v>
      </c>
      <c r="BW131" s="218" t="s">
        <v>593</v>
      </c>
      <c r="BX131" s="228"/>
      <c r="BY131" s="218" t="str">
        <f t="shared" si="114"/>
        <v>-</v>
      </c>
      <c r="BZ131" s="60"/>
      <c r="CA131" s="174"/>
      <c r="CB131" s="228" t="str">
        <f t="shared" si="104"/>
        <v xml:space="preserve">                                                                                                                                                                                                                                                               </v>
      </c>
      <c r="CC131" s="218" t="str">
        <f t="shared" si="115"/>
        <v>-</v>
      </c>
      <c r="CD131" s="174"/>
      <c r="CE131" s="92" t="str">
        <f t="shared" si="133"/>
        <v>OK</v>
      </c>
      <c r="CF131" s="60"/>
      <c r="CG131" s="174"/>
      <c r="CH131" s="228" t="str">
        <f t="shared" si="105"/>
        <v xml:space="preserve">                                                                                                                                                                                                                                                               </v>
      </c>
      <c r="CI131" s="218" t="str">
        <f t="shared" si="116"/>
        <v>-</v>
      </c>
      <c r="CJ131" s="174"/>
      <c r="CK131" s="92" t="str">
        <f t="shared" si="134"/>
        <v>OK</v>
      </c>
      <c r="CL131" s="60"/>
      <c r="CM131" s="174"/>
      <c r="CN131" s="228" t="str">
        <f t="shared" si="106"/>
        <v xml:space="preserve">                                                                                                                                                                                                                                                               </v>
      </c>
      <c r="CO131" s="218" t="s">
        <v>593</v>
      </c>
      <c r="CP131" s="228"/>
      <c r="CQ131" s="218" t="str">
        <f t="shared" si="117"/>
        <v>-</v>
      </c>
      <c r="CR131" s="60"/>
      <c r="CS131" s="174"/>
      <c r="CT131" s="228" t="str">
        <f t="shared" si="107"/>
        <v xml:space="preserve">                                                                                                                                                                                                                                                               </v>
      </c>
      <c r="CU131" s="218" t="str">
        <f t="shared" si="118"/>
        <v>-</v>
      </c>
      <c r="CV131" s="174"/>
      <c r="CW131" s="92" t="s">
        <v>593</v>
      </c>
      <c r="CX131" s="60"/>
      <c r="CY131" s="174"/>
      <c r="CZ131" s="228" t="str">
        <f t="shared" si="108"/>
        <v xml:space="preserve">                                                                                                                                                                                                                                                               </v>
      </c>
      <c r="DA131" s="218" t="str">
        <f t="shared" si="119"/>
        <v>-</v>
      </c>
      <c r="DB131" s="174"/>
      <c r="DC131" s="92" t="s">
        <v>593</v>
      </c>
    </row>
    <row r="132" spans="2:107" s="26" customFormat="1">
      <c r="B132" s="19">
        <f t="shared" si="128"/>
        <v>125</v>
      </c>
      <c r="C132" s="7"/>
      <c r="D132" s="7"/>
      <c r="E132" s="7"/>
      <c r="F132" s="3" t="s">
        <v>130</v>
      </c>
      <c r="G132" s="3"/>
      <c r="H132" s="4"/>
      <c r="I132" s="6"/>
      <c r="J132" s="6"/>
      <c r="K132" s="6"/>
      <c r="L132" s="6"/>
      <c r="M132" s="23" t="s">
        <v>131</v>
      </c>
      <c r="N132" s="5"/>
      <c r="O132" s="55"/>
      <c r="P132" s="95">
        <f t="shared" si="135"/>
        <v>105</v>
      </c>
      <c r="Q132" s="116">
        <v>256</v>
      </c>
      <c r="R132" s="21" t="str">
        <f t="shared" si="130"/>
        <v>NX</v>
      </c>
      <c r="S132" s="98" t="s">
        <v>132</v>
      </c>
      <c r="T132" s="96"/>
      <c r="U132" s="21" t="s">
        <v>435</v>
      </c>
      <c r="V132" s="10"/>
      <c r="W132" s="28">
        <v>3</v>
      </c>
      <c r="X132" s="5" t="s">
        <v>299</v>
      </c>
      <c r="Y132" s="5">
        <v>1</v>
      </c>
      <c r="Z132" s="5">
        <v>256</v>
      </c>
      <c r="AA132" s="6" t="s">
        <v>300</v>
      </c>
      <c r="AB132" s="6" t="s">
        <v>257</v>
      </c>
      <c r="AC132" s="64"/>
      <c r="AD132" s="60"/>
      <c r="AE132" s="169"/>
      <c r="AF132" s="61" t="str">
        <f t="shared" si="96"/>
        <v xml:space="preserve">                                                                                                                                                                                                                                                                </v>
      </c>
      <c r="AG132" s="218" t="str">
        <f t="shared" si="129"/>
        <v>-</v>
      </c>
      <c r="AH132" s="169"/>
      <c r="AI132" s="92" t="str">
        <f t="shared" si="131"/>
        <v>OK</v>
      </c>
      <c r="AJ132" s="60"/>
      <c r="AK132" s="169"/>
      <c r="AL132" s="61" t="str">
        <f t="shared" si="97"/>
        <v xml:space="preserve">                                                                                                                                                                                                                                                                </v>
      </c>
      <c r="AM132" s="218" t="str">
        <f t="shared" si="110"/>
        <v>-</v>
      </c>
      <c r="AN132" s="169"/>
      <c r="AO132" s="92" t="str">
        <f t="shared" si="132"/>
        <v>OK</v>
      </c>
      <c r="AP132" s="60"/>
      <c r="AQ132" s="172"/>
      <c r="AR132" s="61" t="str">
        <f t="shared" si="98"/>
        <v xml:space="preserve">                                                                                                                                                                                                                                                                </v>
      </c>
      <c r="AS132" s="218" t="s">
        <v>593</v>
      </c>
      <c r="AT132" s="61"/>
      <c r="AU132" s="218" t="str">
        <f t="shared" si="94"/>
        <v>-</v>
      </c>
      <c r="AV132" s="60"/>
      <c r="AW132" s="169"/>
      <c r="AX132" s="61" t="str">
        <f t="shared" si="99"/>
        <v xml:space="preserve">                                                                                                                                                                                                                                                                </v>
      </c>
      <c r="AY132" s="218" t="str">
        <f t="shared" si="111"/>
        <v>-</v>
      </c>
      <c r="AZ132" s="169"/>
      <c r="BA132" s="92" t="str">
        <f>IF(EXACT(AW132,AZ132),"OK","NG")</f>
        <v>OK</v>
      </c>
      <c r="BB132" s="60"/>
      <c r="BC132" s="169"/>
      <c r="BD132" s="61" t="str">
        <f t="shared" si="100"/>
        <v xml:space="preserve">                                                                                                                                                                                                                                                                </v>
      </c>
      <c r="BE132" s="218" t="str">
        <f t="shared" si="112"/>
        <v>-</v>
      </c>
      <c r="BF132" s="169"/>
      <c r="BG132" s="92" t="str">
        <f>IF(EXACT(BC132,BF132),"OK","NG")</f>
        <v>OK</v>
      </c>
      <c r="BH132" s="60"/>
      <c r="BI132" s="170" t="s">
        <v>700</v>
      </c>
      <c r="BJ132" s="61" t="str">
        <f t="shared" si="101"/>
        <v xml:space="preserve">                                                                                                                                                                                                                                                                </v>
      </c>
      <c r="BK132" s="218" t="s">
        <v>593</v>
      </c>
      <c r="BL132" s="169"/>
      <c r="BM132" s="92" t="str">
        <f>IF(EXACT(BI132,BL132),"OK","NG")</f>
        <v>NG</v>
      </c>
      <c r="BN132" s="60"/>
      <c r="BO132" s="169"/>
      <c r="BP132" s="61" t="str">
        <f t="shared" si="102"/>
        <v xml:space="preserve">                                                                                                                                                                                                                                                                </v>
      </c>
      <c r="BQ132" s="218" t="str">
        <f t="shared" si="113"/>
        <v>-</v>
      </c>
      <c r="BR132" s="169"/>
      <c r="BS132" s="92" t="str">
        <f>IF(EXACT(BO132,BR132),"OK","NG")</f>
        <v>OK</v>
      </c>
      <c r="BT132" s="60"/>
      <c r="BU132" s="172"/>
      <c r="BV132" s="61" t="str">
        <f t="shared" si="103"/>
        <v xml:space="preserve">                                                                                                                                                                                                                                                                </v>
      </c>
      <c r="BW132" s="218" t="s">
        <v>593</v>
      </c>
      <c r="BX132" s="61"/>
      <c r="BY132" s="218" t="str">
        <f t="shared" si="114"/>
        <v>-</v>
      </c>
      <c r="BZ132" s="60"/>
      <c r="CA132" s="169"/>
      <c r="CB132" s="61" t="str">
        <f t="shared" si="104"/>
        <v xml:space="preserve">                                                                                                                                                                                                                                                                </v>
      </c>
      <c r="CC132" s="218" t="str">
        <f t="shared" si="115"/>
        <v>-</v>
      </c>
      <c r="CD132" s="169"/>
      <c r="CE132" s="92" t="str">
        <f t="shared" si="133"/>
        <v>OK</v>
      </c>
      <c r="CF132" s="60"/>
      <c r="CG132" s="169"/>
      <c r="CH132" s="61" t="str">
        <f t="shared" si="105"/>
        <v xml:space="preserve">                                                                                                                                                                                                                                                                </v>
      </c>
      <c r="CI132" s="218" t="str">
        <f t="shared" si="116"/>
        <v>-</v>
      </c>
      <c r="CJ132" s="169"/>
      <c r="CK132" s="92" t="str">
        <f t="shared" si="134"/>
        <v>OK</v>
      </c>
      <c r="CL132" s="60"/>
      <c r="CM132" s="169"/>
      <c r="CN132" s="61" t="str">
        <f t="shared" si="106"/>
        <v xml:space="preserve">                                                                                                                                                                                                                                                                </v>
      </c>
      <c r="CO132" s="218" t="s">
        <v>593</v>
      </c>
      <c r="CP132" s="61"/>
      <c r="CQ132" s="218" t="str">
        <f t="shared" si="117"/>
        <v>-</v>
      </c>
      <c r="CR132" s="60"/>
      <c r="CS132" s="169"/>
      <c r="CT132" s="61" t="str">
        <f t="shared" si="107"/>
        <v xml:space="preserve">                                                                                                                                                                                                                                                                </v>
      </c>
      <c r="CU132" s="218" t="str">
        <f t="shared" si="118"/>
        <v>-</v>
      </c>
      <c r="CV132" s="169"/>
      <c r="CW132" s="92" t="s">
        <v>593</v>
      </c>
      <c r="CX132" s="60"/>
      <c r="CY132" s="169"/>
      <c r="CZ132" s="61" t="str">
        <f t="shared" si="108"/>
        <v xml:space="preserve">                                                                                                                                                                                                                                                                </v>
      </c>
      <c r="DA132" s="218" t="str">
        <f t="shared" si="119"/>
        <v>-</v>
      </c>
      <c r="DB132" s="169"/>
      <c r="DC132" s="92" t="s">
        <v>593</v>
      </c>
    </row>
    <row r="133" spans="2:107" s="26" customFormat="1" ht="63.75">
      <c r="B133" s="2">
        <f t="shared" si="128"/>
        <v>126</v>
      </c>
      <c r="C133" s="7"/>
      <c r="D133" s="7"/>
      <c r="E133" s="7"/>
      <c r="F133" s="22" t="s">
        <v>133</v>
      </c>
      <c r="G133" s="16"/>
      <c r="H133" s="13"/>
      <c r="I133" s="8"/>
      <c r="J133" s="8"/>
      <c r="K133" s="8"/>
      <c r="L133" s="8"/>
      <c r="M133" s="11" t="s">
        <v>444</v>
      </c>
      <c r="N133" s="1"/>
      <c r="O133" s="57"/>
      <c r="P133" s="95">
        <f t="shared" si="135"/>
        <v>106</v>
      </c>
      <c r="Q133" s="115">
        <v>256</v>
      </c>
      <c r="R133" s="21" t="str">
        <f t="shared" si="130"/>
        <v>NX</v>
      </c>
      <c r="S133" s="98" t="s">
        <v>134</v>
      </c>
      <c r="T133" s="96"/>
      <c r="U133" s="21" t="s">
        <v>435</v>
      </c>
      <c r="V133" s="10"/>
      <c r="W133" s="25">
        <v>3</v>
      </c>
      <c r="X133" s="1" t="s">
        <v>135</v>
      </c>
      <c r="Y133" s="1">
        <v>1</v>
      </c>
      <c r="Z133" s="1">
        <v>256</v>
      </c>
      <c r="AA133" s="8" t="s">
        <v>129</v>
      </c>
      <c r="AB133" s="8" t="s">
        <v>257</v>
      </c>
      <c r="AC133" s="12"/>
      <c r="AD133" s="60"/>
      <c r="AE133" s="174"/>
      <c r="AF133" s="170" t="str">
        <f t="shared" si="96"/>
        <v xml:space="preserve">                                                                                                                                                                                                                                                                </v>
      </c>
      <c r="AG133" s="218" t="str">
        <f t="shared" si="129"/>
        <v>-</v>
      </c>
      <c r="AH133" s="174"/>
      <c r="AI133" s="92" t="str">
        <f t="shared" si="131"/>
        <v>OK</v>
      </c>
      <c r="AJ133" s="60"/>
      <c r="AK133" s="174"/>
      <c r="AL133" s="170" t="str">
        <f t="shared" si="97"/>
        <v xml:space="preserve">                                                                                                                                                                                                                                                                </v>
      </c>
      <c r="AM133" s="218" t="str">
        <f t="shared" si="110"/>
        <v>-</v>
      </c>
      <c r="AN133" s="174"/>
      <c r="AO133" s="92" t="str">
        <f t="shared" si="132"/>
        <v>OK</v>
      </c>
      <c r="AP133" s="60"/>
      <c r="AQ133" s="170"/>
      <c r="AR133" s="170" t="str">
        <f t="shared" si="98"/>
        <v xml:space="preserve">                                                                                                                                                                                                                                                                </v>
      </c>
      <c r="AS133" s="218" t="s">
        <v>593</v>
      </c>
      <c r="AT133" s="170"/>
      <c r="AU133" s="218" t="str">
        <f t="shared" si="94"/>
        <v>-</v>
      </c>
      <c r="AV133" s="60"/>
      <c r="AW133" s="174"/>
      <c r="AX133" s="170" t="str">
        <f t="shared" si="99"/>
        <v xml:space="preserve">                                                                                                                                                                                                                                                                </v>
      </c>
      <c r="AY133" s="218" t="str">
        <f t="shared" si="111"/>
        <v>-</v>
      </c>
      <c r="AZ133" s="174"/>
      <c r="BA133" s="478" t="s">
        <v>594</v>
      </c>
      <c r="BB133" s="60"/>
      <c r="BC133" s="174"/>
      <c r="BD133" s="170" t="str">
        <f t="shared" si="100"/>
        <v xml:space="preserve">                                                                                                                                                                                                                                                                </v>
      </c>
      <c r="BE133" s="218" t="str">
        <f t="shared" si="112"/>
        <v>-</v>
      </c>
      <c r="BF133" s="174"/>
      <c r="BG133" s="478" t="s">
        <v>594</v>
      </c>
      <c r="BH133" s="60"/>
      <c r="BI133" s="170" t="s">
        <v>700</v>
      </c>
      <c r="BJ133" s="170" t="str">
        <f t="shared" si="101"/>
        <v xml:space="preserve">                                                                                                                                                                                                                                                                </v>
      </c>
      <c r="BK133" s="218" t="s">
        <v>593</v>
      </c>
      <c r="BL133" s="174"/>
      <c r="BM133" s="478" t="s">
        <v>594</v>
      </c>
      <c r="BN133" s="60"/>
      <c r="BO133" s="174"/>
      <c r="BP133" s="170" t="str">
        <f t="shared" si="102"/>
        <v xml:space="preserve">                                                                                                                                                                                                                                                                </v>
      </c>
      <c r="BQ133" s="218" t="str">
        <f t="shared" si="113"/>
        <v>-</v>
      </c>
      <c r="BR133" s="174"/>
      <c r="BS133" s="478" t="s">
        <v>594</v>
      </c>
      <c r="BT133" s="60"/>
      <c r="BU133" s="170"/>
      <c r="BV133" s="170" t="str">
        <f t="shared" si="103"/>
        <v xml:space="preserve">                                                                                                                                                                                                                                                                </v>
      </c>
      <c r="BW133" s="218" t="s">
        <v>593</v>
      </c>
      <c r="BX133" s="170"/>
      <c r="BY133" s="218" t="str">
        <f t="shared" si="114"/>
        <v>-</v>
      </c>
      <c r="BZ133" s="60"/>
      <c r="CA133" s="174"/>
      <c r="CB133" s="170" t="str">
        <f t="shared" si="104"/>
        <v xml:space="preserve">                                                                                                                                                                                                                                                                </v>
      </c>
      <c r="CC133" s="218" t="str">
        <f t="shared" si="115"/>
        <v>-</v>
      </c>
      <c r="CD133" s="174"/>
      <c r="CE133" s="92" t="str">
        <f t="shared" si="133"/>
        <v>OK</v>
      </c>
      <c r="CF133" s="60"/>
      <c r="CG133" s="174"/>
      <c r="CH133" s="170" t="str">
        <f t="shared" si="105"/>
        <v xml:space="preserve">                                                                                                                                                                                                                                                                </v>
      </c>
      <c r="CI133" s="218" t="str">
        <f t="shared" si="116"/>
        <v>-</v>
      </c>
      <c r="CJ133" s="174"/>
      <c r="CK133" s="92" t="str">
        <f t="shared" si="134"/>
        <v>OK</v>
      </c>
      <c r="CL133" s="60"/>
      <c r="CM133" s="174"/>
      <c r="CN133" s="170" t="str">
        <f t="shared" si="106"/>
        <v xml:space="preserve">                                                                                                                                                                                                                                                                </v>
      </c>
      <c r="CO133" s="218" t="s">
        <v>593</v>
      </c>
      <c r="CP133" s="170"/>
      <c r="CQ133" s="218" t="str">
        <f t="shared" si="117"/>
        <v>-</v>
      </c>
      <c r="CR133" s="60"/>
      <c r="CS133" s="174"/>
      <c r="CT133" s="170" t="str">
        <f t="shared" si="107"/>
        <v xml:space="preserve">                                                                                                                                                                                                                                                                </v>
      </c>
      <c r="CU133" s="218" t="str">
        <f t="shared" si="118"/>
        <v>-</v>
      </c>
      <c r="CV133" s="174"/>
      <c r="CW133" s="92" t="s">
        <v>593</v>
      </c>
      <c r="CX133" s="60"/>
      <c r="CY133" s="174"/>
      <c r="CZ133" s="170" t="str">
        <f t="shared" si="108"/>
        <v xml:space="preserve">                                                                                                                                                                                                                                                                </v>
      </c>
      <c r="DA133" s="218" t="str">
        <f t="shared" si="119"/>
        <v>-</v>
      </c>
      <c r="DB133" s="174"/>
      <c r="DC133" s="92" t="s">
        <v>593</v>
      </c>
    </row>
    <row r="134" spans="2:107" s="26" customFormat="1" ht="63.75">
      <c r="B134" s="2">
        <f t="shared" si="128"/>
        <v>127</v>
      </c>
      <c r="C134" s="7"/>
      <c r="D134" s="7"/>
      <c r="E134" s="7"/>
      <c r="F134" s="22" t="s">
        <v>136</v>
      </c>
      <c r="G134" s="16"/>
      <c r="H134" s="13"/>
      <c r="I134" s="8"/>
      <c r="J134" s="8"/>
      <c r="K134" s="8"/>
      <c r="L134" s="8"/>
      <c r="M134" s="11" t="s">
        <v>445</v>
      </c>
      <c r="N134" s="1"/>
      <c r="O134" s="57"/>
      <c r="P134" s="95">
        <f t="shared" si="135"/>
        <v>107</v>
      </c>
      <c r="Q134" s="115">
        <v>256</v>
      </c>
      <c r="R134" s="21" t="str">
        <f t="shared" si="130"/>
        <v>NX</v>
      </c>
      <c r="S134" s="98" t="s">
        <v>137</v>
      </c>
      <c r="T134" s="96"/>
      <c r="U134" s="21" t="s">
        <v>435</v>
      </c>
      <c r="V134" s="10"/>
      <c r="W134" s="25">
        <v>3</v>
      </c>
      <c r="X134" s="1" t="s">
        <v>138</v>
      </c>
      <c r="Y134" s="1">
        <v>1</v>
      </c>
      <c r="Z134" s="1">
        <v>256</v>
      </c>
      <c r="AA134" s="8" t="s">
        <v>129</v>
      </c>
      <c r="AB134" s="8" t="s">
        <v>257</v>
      </c>
      <c r="AC134" s="12"/>
      <c r="AD134" s="60"/>
      <c r="AE134" s="174"/>
      <c r="AF134" s="170" t="str">
        <f t="shared" si="96"/>
        <v xml:space="preserve">                                                                                                                                                                                                                                                                </v>
      </c>
      <c r="AG134" s="218" t="str">
        <f t="shared" si="129"/>
        <v>-</v>
      </c>
      <c r="AH134" s="174"/>
      <c r="AI134" s="92" t="str">
        <f t="shared" si="131"/>
        <v>OK</v>
      </c>
      <c r="AJ134" s="60"/>
      <c r="AK134" s="174"/>
      <c r="AL134" s="170" t="str">
        <f t="shared" si="97"/>
        <v xml:space="preserve">                                                                                                                                                                                                                                                                </v>
      </c>
      <c r="AM134" s="218" t="str">
        <f t="shared" si="110"/>
        <v>-</v>
      </c>
      <c r="AN134" s="174"/>
      <c r="AO134" s="92" t="str">
        <f t="shared" si="132"/>
        <v>OK</v>
      </c>
      <c r="AP134" s="60"/>
      <c r="AQ134" s="170"/>
      <c r="AR134" s="170" t="str">
        <f t="shared" si="98"/>
        <v xml:space="preserve">                                                                                                                                                                                                                                                                </v>
      </c>
      <c r="AS134" s="218" t="s">
        <v>593</v>
      </c>
      <c r="AT134" s="170"/>
      <c r="AU134" s="218" t="str">
        <f t="shared" si="94"/>
        <v>-</v>
      </c>
      <c r="AV134" s="60"/>
      <c r="AW134" s="174"/>
      <c r="AX134" s="170" t="str">
        <f t="shared" si="99"/>
        <v xml:space="preserve">                                                                                                                                                                                                                                                                </v>
      </c>
      <c r="AY134" s="218" t="str">
        <f t="shared" si="111"/>
        <v>-</v>
      </c>
      <c r="AZ134" s="174"/>
      <c r="BA134" s="478" t="s">
        <v>594</v>
      </c>
      <c r="BB134" s="60"/>
      <c r="BC134" s="174"/>
      <c r="BD134" s="170" t="str">
        <f t="shared" si="100"/>
        <v xml:space="preserve">                                                                                                                                                                                                                                                                </v>
      </c>
      <c r="BE134" s="218" t="str">
        <f t="shared" si="112"/>
        <v>-</v>
      </c>
      <c r="BF134" s="174"/>
      <c r="BG134" s="478" t="s">
        <v>594</v>
      </c>
      <c r="BH134" s="60"/>
      <c r="BI134" s="170" t="s">
        <v>700</v>
      </c>
      <c r="BJ134" s="170" t="str">
        <f t="shared" si="101"/>
        <v xml:space="preserve">                                                                                                                                                                                                                                                                </v>
      </c>
      <c r="BK134" s="218" t="s">
        <v>593</v>
      </c>
      <c r="BL134" s="174"/>
      <c r="BM134" s="478" t="s">
        <v>594</v>
      </c>
      <c r="BN134" s="60"/>
      <c r="BO134" s="174"/>
      <c r="BP134" s="170" t="str">
        <f t="shared" si="102"/>
        <v xml:space="preserve">                                                                                                                                                                                                                                                                </v>
      </c>
      <c r="BQ134" s="218" t="str">
        <f t="shared" si="113"/>
        <v>-</v>
      </c>
      <c r="BR134" s="174"/>
      <c r="BS134" s="478" t="s">
        <v>594</v>
      </c>
      <c r="BT134" s="60"/>
      <c r="BU134" s="170"/>
      <c r="BV134" s="170" t="str">
        <f t="shared" si="103"/>
        <v xml:space="preserve">                                                                                                                                                                                                                                                                </v>
      </c>
      <c r="BW134" s="218" t="s">
        <v>593</v>
      </c>
      <c r="BX134" s="170"/>
      <c r="BY134" s="218" t="str">
        <f t="shared" si="114"/>
        <v>-</v>
      </c>
      <c r="BZ134" s="60"/>
      <c r="CA134" s="174"/>
      <c r="CB134" s="170" t="str">
        <f t="shared" si="104"/>
        <v xml:space="preserve">                                                                                                                                                                                                                                                                </v>
      </c>
      <c r="CC134" s="218" t="str">
        <f t="shared" si="115"/>
        <v>-</v>
      </c>
      <c r="CD134" s="174"/>
      <c r="CE134" s="92" t="str">
        <f t="shared" si="133"/>
        <v>OK</v>
      </c>
      <c r="CF134" s="60"/>
      <c r="CG134" s="174"/>
      <c r="CH134" s="170" t="str">
        <f t="shared" si="105"/>
        <v xml:space="preserve">                                                                                                                                                                                                                                                                </v>
      </c>
      <c r="CI134" s="218" t="str">
        <f t="shared" si="116"/>
        <v>-</v>
      </c>
      <c r="CJ134" s="174"/>
      <c r="CK134" s="92" t="str">
        <f t="shared" si="134"/>
        <v>OK</v>
      </c>
      <c r="CL134" s="60"/>
      <c r="CM134" s="174"/>
      <c r="CN134" s="170" t="str">
        <f t="shared" si="106"/>
        <v xml:space="preserve">                                                                                                                                                                                                                                                                </v>
      </c>
      <c r="CO134" s="218" t="s">
        <v>593</v>
      </c>
      <c r="CP134" s="170"/>
      <c r="CQ134" s="218" t="str">
        <f t="shared" si="117"/>
        <v>-</v>
      </c>
      <c r="CR134" s="60"/>
      <c r="CS134" s="174"/>
      <c r="CT134" s="170" t="str">
        <f t="shared" si="107"/>
        <v xml:space="preserve">                                                                                                                                                                                                                                                                </v>
      </c>
      <c r="CU134" s="218" t="str">
        <f t="shared" si="118"/>
        <v>-</v>
      </c>
      <c r="CV134" s="174"/>
      <c r="CW134" s="92" t="s">
        <v>593</v>
      </c>
      <c r="CX134" s="60"/>
      <c r="CY134" s="174"/>
      <c r="CZ134" s="170" t="str">
        <f t="shared" si="108"/>
        <v xml:space="preserve">                                                                                                                                                                                                                                                                </v>
      </c>
      <c r="DA134" s="218" t="str">
        <f t="shared" si="119"/>
        <v>-</v>
      </c>
      <c r="DB134" s="174"/>
      <c r="DC134" s="92" t="s">
        <v>593</v>
      </c>
    </row>
    <row r="135" spans="2:107" s="26" customFormat="1" ht="69" customHeight="1">
      <c r="B135" s="19">
        <f t="shared" si="128"/>
        <v>128</v>
      </c>
      <c r="C135" s="7"/>
      <c r="D135" s="7"/>
      <c r="E135" s="7"/>
      <c r="F135" s="112" t="s">
        <v>446</v>
      </c>
      <c r="G135" s="16"/>
      <c r="H135" s="13"/>
      <c r="I135" s="8"/>
      <c r="J135" s="8" t="s">
        <v>426</v>
      </c>
      <c r="K135" s="8"/>
      <c r="L135" s="8"/>
      <c r="M135" s="11" t="s">
        <v>301</v>
      </c>
      <c r="N135" s="1"/>
      <c r="O135" s="57"/>
      <c r="P135" s="95">
        <f t="shared" si="135"/>
        <v>108</v>
      </c>
      <c r="Q135" s="115">
        <v>1</v>
      </c>
      <c r="R135" s="21" t="s">
        <v>418</v>
      </c>
      <c r="S135" s="98" t="s">
        <v>139</v>
      </c>
      <c r="T135" s="96"/>
      <c r="U135" s="21" t="s">
        <v>435</v>
      </c>
      <c r="V135" s="10"/>
      <c r="W135" s="25">
        <v>3</v>
      </c>
      <c r="X135" s="1" t="s">
        <v>140</v>
      </c>
      <c r="Y135" s="1">
        <v>1</v>
      </c>
      <c r="Z135" s="1">
        <v>1</v>
      </c>
      <c r="AA135" s="8">
        <v>9</v>
      </c>
      <c r="AB135" s="8" t="s">
        <v>21</v>
      </c>
      <c r="AC135" s="12"/>
      <c r="AD135" s="60"/>
      <c r="AE135" s="174"/>
      <c r="AF135" s="61" t="str">
        <f t="shared" si="96"/>
        <v xml:space="preserve"> </v>
      </c>
      <c r="AG135" s="218" t="str">
        <f t="shared" si="129"/>
        <v>-</v>
      </c>
      <c r="AH135" s="174"/>
      <c r="AI135" s="92" t="str">
        <f t="shared" si="131"/>
        <v>OK</v>
      </c>
      <c r="AJ135" s="60"/>
      <c r="AK135" s="174"/>
      <c r="AL135" s="61" t="str">
        <f t="shared" si="97"/>
        <v xml:space="preserve"> </v>
      </c>
      <c r="AM135" s="218" t="str">
        <f t="shared" si="110"/>
        <v>-</v>
      </c>
      <c r="AN135" s="174"/>
      <c r="AO135" s="92" t="str">
        <f t="shared" si="132"/>
        <v>OK</v>
      </c>
      <c r="AP135" s="60"/>
      <c r="AQ135" s="170"/>
      <c r="AR135" s="61" t="str">
        <f t="shared" si="98"/>
        <v xml:space="preserve"> </v>
      </c>
      <c r="AS135" s="218" t="s">
        <v>593</v>
      </c>
      <c r="AT135" s="61"/>
      <c r="AU135" s="218" t="str">
        <f t="shared" si="94"/>
        <v>-</v>
      </c>
      <c r="AV135" s="60"/>
      <c r="AW135" s="174" t="s">
        <v>33</v>
      </c>
      <c r="AX135" s="61" t="str">
        <f t="shared" si="99"/>
        <v>1</v>
      </c>
      <c r="AY135" s="218" t="str">
        <f t="shared" si="111"/>
        <v>-</v>
      </c>
      <c r="AZ135" s="174" t="s">
        <v>33</v>
      </c>
      <c r="BA135" s="478" t="s">
        <v>594</v>
      </c>
      <c r="BB135" s="60"/>
      <c r="BC135" s="174" t="s">
        <v>33</v>
      </c>
      <c r="BD135" s="61" t="str">
        <f t="shared" si="100"/>
        <v>1</v>
      </c>
      <c r="BE135" s="218" t="str">
        <f t="shared" si="112"/>
        <v>-</v>
      </c>
      <c r="BF135" s="174" t="s">
        <v>33</v>
      </c>
      <c r="BG135" s="478" t="s">
        <v>594</v>
      </c>
      <c r="BH135" s="60"/>
      <c r="BI135" s="170" t="s">
        <v>33</v>
      </c>
      <c r="BJ135" s="61" t="str">
        <f t="shared" si="101"/>
        <v>1</v>
      </c>
      <c r="BK135" s="218" t="s">
        <v>593</v>
      </c>
      <c r="BL135" s="174" t="s">
        <v>33</v>
      </c>
      <c r="BM135" s="478" t="s">
        <v>594</v>
      </c>
      <c r="BN135" s="60"/>
      <c r="BO135" s="174" t="s">
        <v>33</v>
      </c>
      <c r="BP135" s="61" t="str">
        <f t="shared" si="102"/>
        <v>1</v>
      </c>
      <c r="BQ135" s="218" t="str">
        <f t="shared" si="113"/>
        <v>-</v>
      </c>
      <c r="BR135" s="174" t="s">
        <v>33</v>
      </c>
      <c r="BS135" s="478" t="s">
        <v>594</v>
      </c>
      <c r="BT135" s="60"/>
      <c r="BU135" s="170"/>
      <c r="BV135" s="61" t="str">
        <f t="shared" si="103"/>
        <v xml:space="preserve"> </v>
      </c>
      <c r="BW135" s="218" t="s">
        <v>593</v>
      </c>
      <c r="BX135" s="61"/>
      <c r="BY135" s="218" t="str">
        <f t="shared" si="114"/>
        <v>-</v>
      </c>
      <c r="BZ135" s="60"/>
      <c r="CA135" s="174"/>
      <c r="CB135" s="61" t="str">
        <f t="shared" si="104"/>
        <v xml:space="preserve"> </v>
      </c>
      <c r="CC135" s="218" t="str">
        <f t="shared" si="115"/>
        <v>-</v>
      </c>
      <c r="CD135" s="174"/>
      <c r="CE135" s="92" t="str">
        <f t="shared" si="133"/>
        <v>OK</v>
      </c>
      <c r="CF135" s="60"/>
      <c r="CG135" s="174"/>
      <c r="CH135" s="61" t="str">
        <f t="shared" si="105"/>
        <v xml:space="preserve"> </v>
      </c>
      <c r="CI135" s="218" t="str">
        <f t="shared" si="116"/>
        <v>-</v>
      </c>
      <c r="CJ135" s="174"/>
      <c r="CK135" s="92" t="str">
        <f t="shared" si="134"/>
        <v>OK</v>
      </c>
      <c r="CL135" s="60"/>
      <c r="CM135" s="174"/>
      <c r="CN135" s="61" t="str">
        <f t="shared" si="106"/>
        <v xml:space="preserve"> </v>
      </c>
      <c r="CO135" s="218" t="s">
        <v>593</v>
      </c>
      <c r="CP135" s="61"/>
      <c r="CQ135" s="218" t="str">
        <f t="shared" si="117"/>
        <v>-</v>
      </c>
      <c r="CR135" s="60"/>
      <c r="CS135" s="174"/>
      <c r="CT135" s="61" t="str">
        <f t="shared" si="107"/>
        <v xml:space="preserve"> </v>
      </c>
      <c r="CU135" s="218" t="str">
        <f t="shared" si="118"/>
        <v>-</v>
      </c>
      <c r="CV135" s="174"/>
      <c r="CW135" s="92" t="s">
        <v>593</v>
      </c>
      <c r="CX135" s="60"/>
      <c r="CY135" s="174"/>
      <c r="CZ135" s="61" t="str">
        <f t="shared" si="108"/>
        <v xml:space="preserve"> </v>
      </c>
      <c r="DA135" s="218" t="str">
        <f t="shared" si="119"/>
        <v>-</v>
      </c>
      <c r="DB135" s="174"/>
      <c r="DC135" s="92" t="s">
        <v>593</v>
      </c>
    </row>
    <row r="136" spans="2:107" s="26" customFormat="1" ht="114.75">
      <c r="B136" s="2">
        <f t="shared" si="128"/>
        <v>129</v>
      </c>
      <c r="C136" s="7"/>
      <c r="D136" s="7"/>
      <c r="E136" s="7"/>
      <c r="F136" s="22" t="s">
        <v>141</v>
      </c>
      <c r="G136" s="16"/>
      <c r="H136" s="13"/>
      <c r="I136" s="8"/>
      <c r="J136" s="8"/>
      <c r="K136" s="8"/>
      <c r="L136" s="8"/>
      <c r="M136" s="418" t="s">
        <v>221</v>
      </c>
      <c r="N136" s="1"/>
      <c r="O136" s="57"/>
      <c r="P136" s="95">
        <f t="shared" si="135"/>
        <v>109</v>
      </c>
      <c r="Q136" s="115">
        <v>1</v>
      </c>
      <c r="R136" s="21" t="s">
        <v>418</v>
      </c>
      <c r="S136" s="98" t="s">
        <v>142</v>
      </c>
      <c r="T136" s="96"/>
      <c r="U136" s="21" t="s">
        <v>435</v>
      </c>
      <c r="V136" s="10"/>
      <c r="W136" s="25">
        <v>3</v>
      </c>
      <c r="X136" s="1" t="s">
        <v>20</v>
      </c>
      <c r="Y136" s="1">
        <v>1</v>
      </c>
      <c r="Z136" s="1">
        <v>1</v>
      </c>
      <c r="AA136" s="8">
        <v>9</v>
      </c>
      <c r="AB136" s="8" t="s">
        <v>21</v>
      </c>
      <c r="AC136" s="103"/>
      <c r="AD136" s="60"/>
      <c r="AE136" s="174"/>
      <c r="AF136" s="61" t="str">
        <f t="shared" si="96"/>
        <v xml:space="preserve"> </v>
      </c>
      <c r="AG136" s="218" t="str">
        <f t="shared" si="129"/>
        <v>-</v>
      </c>
      <c r="AH136" s="174"/>
      <c r="AI136" s="92" t="str">
        <f t="shared" si="131"/>
        <v>OK</v>
      </c>
      <c r="AJ136" s="60"/>
      <c r="AK136" s="174"/>
      <c r="AL136" s="61" t="str">
        <f t="shared" si="97"/>
        <v xml:space="preserve"> </v>
      </c>
      <c r="AM136" s="218" t="str">
        <f t="shared" si="110"/>
        <v>-</v>
      </c>
      <c r="AN136" s="174"/>
      <c r="AO136" s="92" t="str">
        <f t="shared" si="132"/>
        <v>OK</v>
      </c>
      <c r="AP136" s="60"/>
      <c r="AQ136" s="170"/>
      <c r="AR136" s="61" t="str">
        <f t="shared" si="98"/>
        <v xml:space="preserve"> </v>
      </c>
      <c r="AS136" s="218" t="s">
        <v>593</v>
      </c>
      <c r="AT136" s="61"/>
      <c r="AU136" s="218" t="str">
        <f t="shared" si="94"/>
        <v>-</v>
      </c>
      <c r="AV136" s="60"/>
      <c r="AW136" s="174"/>
      <c r="AX136" s="61" t="str">
        <f t="shared" si="99"/>
        <v xml:space="preserve"> </v>
      </c>
      <c r="AY136" s="218" t="str">
        <f t="shared" si="111"/>
        <v>-</v>
      </c>
      <c r="AZ136" s="174"/>
      <c r="BA136" s="478" t="s">
        <v>594</v>
      </c>
      <c r="BB136" s="60"/>
      <c r="BC136" s="174"/>
      <c r="BD136" s="61" t="str">
        <f t="shared" si="100"/>
        <v xml:space="preserve"> </v>
      </c>
      <c r="BE136" s="218" t="str">
        <f t="shared" si="112"/>
        <v>-</v>
      </c>
      <c r="BF136" s="174"/>
      <c r="BG136" s="478" t="s">
        <v>594</v>
      </c>
      <c r="BH136" s="60"/>
      <c r="BI136" s="170" t="s">
        <v>38</v>
      </c>
      <c r="BJ136" s="61" t="str">
        <f t="shared" si="101"/>
        <v xml:space="preserve"> </v>
      </c>
      <c r="BK136" s="218" t="s">
        <v>593</v>
      </c>
      <c r="BL136" s="174"/>
      <c r="BM136" s="478" t="s">
        <v>594</v>
      </c>
      <c r="BN136" s="60"/>
      <c r="BO136" s="174"/>
      <c r="BP136" s="61" t="str">
        <f t="shared" si="102"/>
        <v xml:space="preserve"> </v>
      </c>
      <c r="BQ136" s="218" t="str">
        <f t="shared" si="113"/>
        <v>-</v>
      </c>
      <c r="BR136" s="174"/>
      <c r="BS136" s="478" t="s">
        <v>594</v>
      </c>
      <c r="BT136" s="60"/>
      <c r="BU136" s="170"/>
      <c r="BV136" s="61" t="str">
        <f t="shared" si="103"/>
        <v xml:space="preserve"> </v>
      </c>
      <c r="BW136" s="218" t="s">
        <v>593</v>
      </c>
      <c r="BX136" s="61"/>
      <c r="BY136" s="218" t="str">
        <f t="shared" si="114"/>
        <v>-</v>
      </c>
      <c r="BZ136" s="60"/>
      <c r="CA136" s="174"/>
      <c r="CB136" s="61" t="str">
        <f t="shared" si="104"/>
        <v xml:space="preserve"> </v>
      </c>
      <c r="CC136" s="218" t="str">
        <f t="shared" si="115"/>
        <v>-</v>
      </c>
      <c r="CD136" s="174"/>
      <c r="CE136" s="92" t="str">
        <f t="shared" si="133"/>
        <v>OK</v>
      </c>
      <c r="CF136" s="60"/>
      <c r="CG136" s="174"/>
      <c r="CH136" s="61" t="str">
        <f t="shared" si="105"/>
        <v xml:space="preserve"> </v>
      </c>
      <c r="CI136" s="218" t="str">
        <f t="shared" si="116"/>
        <v>-</v>
      </c>
      <c r="CJ136" s="174"/>
      <c r="CK136" s="92" t="str">
        <f t="shared" si="134"/>
        <v>OK</v>
      </c>
      <c r="CL136" s="60"/>
      <c r="CM136" s="174"/>
      <c r="CN136" s="61" t="str">
        <f t="shared" si="106"/>
        <v xml:space="preserve"> </v>
      </c>
      <c r="CO136" s="218" t="s">
        <v>593</v>
      </c>
      <c r="CP136" s="61"/>
      <c r="CQ136" s="218" t="str">
        <f t="shared" si="117"/>
        <v>-</v>
      </c>
      <c r="CR136" s="60"/>
      <c r="CS136" s="174"/>
      <c r="CT136" s="61" t="str">
        <f t="shared" si="107"/>
        <v xml:space="preserve"> </v>
      </c>
      <c r="CU136" s="218" t="str">
        <f t="shared" si="118"/>
        <v>-</v>
      </c>
      <c r="CV136" s="174"/>
      <c r="CW136" s="92" t="s">
        <v>593</v>
      </c>
      <c r="CX136" s="60"/>
      <c r="CY136" s="174"/>
      <c r="CZ136" s="61" t="str">
        <f t="shared" si="108"/>
        <v xml:space="preserve"> </v>
      </c>
      <c r="DA136" s="218" t="str">
        <f t="shared" si="119"/>
        <v>-</v>
      </c>
      <c r="DB136" s="174"/>
      <c r="DC136" s="92" t="s">
        <v>593</v>
      </c>
    </row>
    <row r="137" spans="2:107" s="26" customFormat="1" ht="138.75" customHeight="1">
      <c r="B137" s="65">
        <f t="shared" si="128"/>
        <v>130</v>
      </c>
      <c r="C137" s="7"/>
      <c r="D137" s="7"/>
      <c r="E137" s="7"/>
      <c r="F137" s="112" t="s">
        <v>143</v>
      </c>
      <c r="G137" s="16"/>
      <c r="H137" s="13"/>
      <c r="I137" s="8"/>
      <c r="J137" s="8"/>
      <c r="K137" s="8"/>
      <c r="L137" s="8"/>
      <c r="M137" s="11" t="s">
        <v>447</v>
      </c>
      <c r="N137" s="1"/>
      <c r="O137" s="57"/>
      <c r="P137" s="95">
        <f t="shared" si="135"/>
        <v>110</v>
      </c>
      <c r="Q137" s="115">
        <v>1</v>
      </c>
      <c r="R137" s="21" t="str">
        <f t="shared" ref="R137:R153" si="136">IF(AA137="M","NX",AA137)</f>
        <v>X</v>
      </c>
      <c r="S137" s="98" t="s">
        <v>189</v>
      </c>
      <c r="T137" s="96"/>
      <c r="U137" s="21" t="s">
        <v>435</v>
      </c>
      <c r="V137" s="10"/>
      <c r="W137" s="25">
        <v>3</v>
      </c>
      <c r="X137" s="1" t="s">
        <v>302</v>
      </c>
      <c r="Y137" s="1">
        <v>1</v>
      </c>
      <c r="Z137" s="1">
        <v>1</v>
      </c>
      <c r="AA137" s="8" t="s">
        <v>261</v>
      </c>
      <c r="AB137" s="8" t="s">
        <v>257</v>
      </c>
      <c r="AC137" s="12"/>
      <c r="AD137" s="60"/>
      <c r="AE137" s="174"/>
      <c r="AF137" s="61" t="str">
        <f t="shared" si="96"/>
        <v xml:space="preserve"> </v>
      </c>
      <c r="AG137" s="218" t="str">
        <f t="shared" si="129"/>
        <v>-</v>
      </c>
      <c r="AH137" s="174"/>
      <c r="AI137" s="92" t="str">
        <f t="shared" si="131"/>
        <v>OK</v>
      </c>
      <c r="AJ137" s="60"/>
      <c r="AK137" s="174"/>
      <c r="AL137" s="61" t="str">
        <f t="shared" si="97"/>
        <v xml:space="preserve"> </v>
      </c>
      <c r="AM137" s="218" t="str">
        <f t="shared" si="110"/>
        <v>-</v>
      </c>
      <c r="AN137" s="174"/>
      <c r="AO137" s="92" t="str">
        <f t="shared" si="132"/>
        <v>OK</v>
      </c>
      <c r="AP137" s="60"/>
      <c r="AQ137" s="170"/>
      <c r="AR137" s="61" t="str">
        <f t="shared" si="98"/>
        <v xml:space="preserve"> </v>
      </c>
      <c r="AS137" s="218" t="s">
        <v>593</v>
      </c>
      <c r="AT137" s="61"/>
      <c r="AU137" s="218" t="str">
        <f t="shared" si="94"/>
        <v>-</v>
      </c>
      <c r="AV137" s="60"/>
      <c r="AW137" s="174" t="s">
        <v>374</v>
      </c>
      <c r="AX137" s="61" t="str">
        <f t="shared" si="99"/>
        <v>5</v>
      </c>
      <c r="AY137" s="218" t="str">
        <f t="shared" si="111"/>
        <v>-</v>
      </c>
      <c r="AZ137" s="174" t="s">
        <v>374</v>
      </c>
      <c r="BA137" s="478" t="s">
        <v>594</v>
      </c>
      <c r="BB137" s="60"/>
      <c r="BC137" s="174" t="s">
        <v>33</v>
      </c>
      <c r="BD137" s="61" t="str">
        <f t="shared" si="100"/>
        <v>1</v>
      </c>
      <c r="BE137" s="218" t="str">
        <f t="shared" si="112"/>
        <v>-</v>
      </c>
      <c r="BF137" s="174" t="s">
        <v>33</v>
      </c>
      <c r="BG137" s="478" t="s">
        <v>594</v>
      </c>
      <c r="BH137" s="60"/>
      <c r="BI137" s="170" t="s">
        <v>374</v>
      </c>
      <c r="BJ137" s="61" t="str">
        <f t="shared" si="101"/>
        <v>5</v>
      </c>
      <c r="BK137" s="218" t="s">
        <v>593</v>
      </c>
      <c r="BL137" s="174" t="s">
        <v>374</v>
      </c>
      <c r="BM137" s="478" t="s">
        <v>594</v>
      </c>
      <c r="BN137" s="60"/>
      <c r="BO137" s="174" t="s">
        <v>33</v>
      </c>
      <c r="BP137" s="61" t="str">
        <f t="shared" si="102"/>
        <v>1</v>
      </c>
      <c r="BQ137" s="218" t="str">
        <f t="shared" si="113"/>
        <v>-</v>
      </c>
      <c r="BR137" s="174" t="s">
        <v>33</v>
      </c>
      <c r="BS137" s="478" t="s">
        <v>594</v>
      </c>
      <c r="BT137" s="60"/>
      <c r="BU137" s="170"/>
      <c r="BV137" s="61" t="str">
        <f t="shared" si="103"/>
        <v xml:space="preserve"> </v>
      </c>
      <c r="BW137" s="218" t="s">
        <v>593</v>
      </c>
      <c r="BX137" s="61"/>
      <c r="BY137" s="218" t="str">
        <f t="shared" si="114"/>
        <v>-</v>
      </c>
      <c r="BZ137" s="60"/>
      <c r="CA137" s="174"/>
      <c r="CB137" s="61" t="str">
        <f t="shared" si="104"/>
        <v xml:space="preserve"> </v>
      </c>
      <c r="CC137" s="218" t="str">
        <f t="shared" si="115"/>
        <v>-</v>
      </c>
      <c r="CD137" s="174"/>
      <c r="CE137" s="92" t="str">
        <f t="shared" si="133"/>
        <v>OK</v>
      </c>
      <c r="CF137" s="60"/>
      <c r="CG137" s="174"/>
      <c r="CH137" s="61" t="str">
        <f t="shared" si="105"/>
        <v xml:space="preserve"> </v>
      </c>
      <c r="CI137" s="218" t="str">
        <f t="shared" si="116"/>
        <v>-</v>
      </c>
      <c r="CJ137" s="174"/>
      <c r="CK137" s="92" t="str">
        <f t="shared" si="134"/>
        <v>OK</v>
      </c>
      <c r="CL137" s="60"/>
      <c r="CM137" s="174"/>
      <c r="CN137" s="61" t="str">
        <f t="shared" si="106"/>
        <v xml:space="preserve"> </v>
      </c>
      <c r="CO137" s="218" t="s">
        <v>593</v>
      </c>
      <c r="CP137" s="61"/>
      <c r="CQ137" s="218" t="str">
        <f t="shared" si="117"/>
        <v>-</v>
      </c>
      <c r="CR137" s="60"/>
      <c r="CS137" s="174"/>
      <c r="CT137" s="61" t="str">
        <f t="shared" si="107"/>
        <v xml:space="preserve"> </v>
      </c>
      <c r="CU137" s="218" t="str">
        <f t="shared" si="118"/>
        <v>-</v>
      </c>
      <c r="CV137" s="174"/>
      <c r="CW137" s="92" t="s">
        <v>593</v>
      </c>
      <c r="CX137" s="60"/>
      <c r="CY137" s="174"/>
      <c r="CZ137" s="61" t="str">
        <f t="shared" si="108"/>
        <v xml:space="preserve"> </v>
      </c>
      <c r="DA137" s="218" t="str">
        <f t="shared" si="119"/>
        <v>-</v>
      </c>
      <c r="DB137" s="174"/>
      <c r="DC137" s="92" t="s">
        <v>593</v>
      </c>
    </row>
    <row r="138" spans="2:107" s="26" customFormat="1">
      <c r="B138" s="65">
        <f t="shared" si="128"/>
        <v>131</v>
      </c>
      <c r="C138" s="7"/>
      <c r="D138" s="7"/>
      <c r="E138" s="7"/>
      <c r="F138" s="22" t="s">
        <v>144</v>
      </c>
      <c r="G138" s="16"/>
      <c r="H138" s="13"/>
      <c r="I138" s="8"/>
      <c r="J138" s="8"/>
      <c r="K138" s="8"/>
      <c r="L138" s="8"/>
      <c r="M138" s="418" t="s">
        <v>145</v>
      </c>
      <c r="N138" s="1"/>
      <c r="O138" s="57"/>
      <c r="P138" s="95">
        <f t="shared" si="135"/>
        <v>111</v>
      </c>
      <c r="Q138" s="115">
        <v>400</v>
      </c>
      <c r="R138" s="21" t="str">
        <f t="shared" si="136"/>
        <v>NX</v>
      </c>
      <c r="S138" s="98" t="s">
        <v>146</v>
      </c>
      <c r="T138" s="96"/>
      <c r="U138" s="21" t="s">
        <v>435</v>
      </c>
      <c r="V138" s="10"/>
      <c r="W138" s="25">
        <v>3</v>
      </c>
      <c r="X138" s="1" t="s">
        <v>147</v>
      </c>
      <c r="Y138" s="1">
        <v>1</v>
      </c>
      <c r="Z138" s="1">
        <v>400</v>
      </c>
      <c r="AA138" s="8" t="s">
        <v>129</v>
      </c>
      <c r="AB138" s="8" t="s">
        <v>257</v>
      </c>
      <c r="AC138" s="12"/>
      <c r="AD138" s="60"/>
      <c r="AE138" s="174"/>
      <c r="AF138" s="271" t="str">
        <f t="shared" si="96"/>
        <v xml:space="preserve">                                                                                                                                                                                                                                                                                                                                                                                                                </v>
      </c>
      <c r="AG138" s="218" t="str">
        <f t="shared" si="129"/>
        <v>-</v>
      </c>
      <c r="AH138" s="174"/>
      <c r="AI138" s="92" t="str">
        <f t="shared" si="131"/>
        <v>OK</v>
      </c>
      <c r="AJ138" s="60"/>
      <c r="AK138" s="174"/>
      <c r="AL138" s="271" t="str">
        <f t="shared" si="97"/>
        <v xml:space="preserve">                                                                                                                                                                                                                                                                                                                                                                                                                </v>
      </c>
      <c r="AM138" s="218" t="str">
        <f t="shared" si="110"/>
        <v>-</v>
      </c>
      <c r="AN138" s="174"/>
      <c r="AO138" s="92" t="str">
        <f t="shared" si="132"/>
        <v>OK</v>
      </c>
      <c r="AP138" s="60"/>
      <c r="AQ138" s="170"/>
      <c r="AR138" s="271" t="str">
        <f t="shared" si="98"/>
        <v xml:space="preserve">                                                                                                                                                                                                                                                                                                                                                                                                                </v>
      </c>
      <c r="AS138" s="218" t="s">
        <v>593</v>
      </c>
      <c r="AT138" s="271"/>
      <c r="AU138" s="218" t="str">
        <f t="shared" si="94"/>
        <v>-</v>
      </c>
      <c r="AV138" s="60"/>
      <c r="AW138" s="174" t="s">
        <v>190</v>
      </c>
      <c r="AX138" s="271" t="str">
        <f t="shared" si="99"/>
        <v xml:space="preserve">申込受付中。                                                                                                                                                                                                                                                                                                                                                                                                    </v>
      </c>
      <c r="AY138" s="218" t="str">
        <f t="shared" si="111"/>
        <v>-</v>
      </c>
      <c r="AZ138" s="174" t="s">
        <v>190</v>
      </c>
      <c r="BA138" s="478" t="s">
        <v>594</v>
      </c>
      <c r="BB138" s="60"/>
      <c r="BC138" s="174" t="s">
        <v>190</v>
      </c>
      <c r="BD138" s="271" t="str">
        <f t="shared" si="100"/>
        <v xml:space="preserve">申込受付中。                                                                                                                                                                                                                                                                                                                                                                                                    </v>
      </c>
      <c r="BE138" s="218" t="str">
        <f t="shared" si="112"/>
        <v>-</v>
      </c>
      <c r="BF138" s="174" t="s">
        <v>190</v>
      </c>
      <c r="BG138" s="478" t="s">
        <v>594</v>
      </c>
      <c r="BH138" s="60"/>
      <c r="BI138" s="170" t="s">
        <v>730</v>
      </c>
      <c r="BJ138" s="271" t="str">
        <f t="shared" si="101"/>
        <v xml:space="preserve">申込受付中。                                                                                                                                                                                                                                                                                                                                                                                                    </v>
      </c>
      <c r="BK138" s="218" t="s">
        <v>593</v>
      </c>
      <c r="BL138" s="174" t="s">
        <v>190</v>
      </c>
      <c r="BM138" s="478" t="s">
        <v>594</v>
      </c>
      <c r="BN138" s="60"/>
      <c r="BO138" s="174" t="s">
        <v>190</v>
      </c>
      <c r="BP138" s="271" t="str">
        <f t="shared" si="102"/>
        <v xml:space="preserve">申込受付中。                                                                                                                                                                                                                                                                                                                                                                                                    </v>
      </c>
      <c r="BQ138" s="218" t="str">
        <f t="shared" si="113"/>
        <v>-</v>
      </c>
      <c r="BR138" s="174" t="s">
        <v>190</v>
      </c>
      <c r="BS138" s="478" t="s">
        <v>594</v>
      </c>
      <c r="BT138" s="60"/>
      <c r="BU138" s="170"/>
      <c r="BV138" s="271" t="str">
        <f t="shared" si="103"/>
        <v xml:space="preserve">                                                                                                                                                                                                                                                                                                                                                                                                                </v>
      </c>
      <c r="BW138" s="218" t="s">
        <v>593</v>
      </c>
      <c r="BX138" s="271"/>
      <c r="BY138" s="218" t="str">
        <f t="shared" si="114"/>
        <v>-</v>
      </c>
      <c r="BZ138" s="60"/>
      <c r="CA138" s="174"/>
      <c r="CB138" s="271" t="str">
        <f t="shared" si="104"/>
        <v xml:space="preserve">                                                                                                                                                                                                                                                                                                                                                                                                                </v>
      </c>
      <c r="CC138" s="218" t="str">
        <f t="shared" si="115"/>
        <v>-</v>
      </c>
      <c r="CD138" s="174"/>
      <c r="CE138" s="92" t="str">
        <f t="shared" si="133"/>
        <v>OK</v>
      </c>
      <c r="CF138" s="60"/>
      <c r="CG138" s="174"/>
      <c r="CH138" s="271" t="str">
        <f t="shared" si="105"/>
        <v xml:space="preserve">                                                                                                                                                                                                                                                                                                                                                                                                                </v>
      </c>
      <c r="CI138" s="218" t="str">
        <f t="shared" si="116"/>
        <v>-</v>
      </c>
      <c r="CJ138" s="174"/>
      <c r="CK138" s="92" t="str">
        <f t="shared" si="134"/>
        <v>OK</v>
      </c>
      <c r="CL138" s="60"/>
      <c r="CM138" s="174"/>
      <c r="CN138" s="271" t="str">
        <f t="shared" si="106"/>
        <v xml:space="preserve">                                                                                                                                                                                                                                                                                                                                                                                                                </v>
      </c>
      <c r="CO138" s="218" t="s">
        <v>593</v>
      </c>
      <c r="CP138" s="271"/>
      <c r="CQ138" s="218" t="str">
        <f t="shared" si="117"/>
        <v>-</v>
      </c>
      <c r="CR138" s="60"/>
      <c r="CS138" s="174"/>
      <c r="CT138" s="271" t="str">
        <f t="shared" si="107"/>
        <v xml:space="preserve">                                                                                                                                                                                                                                                                                                                                                                                                                </v>
      </c>
      <c r="CU138" s="218" t="str">
        <f t="shared" si="118"/>
        <v>-</v>
      </c>
      <c r="CV138" s="174"/>
      <c r="CW138" s="92" t="s">
        <v>593</v>
      </c>
      <c r="CX138" s="60"/>
      <c r="CY138" s="174"/>
      <c r="CZ138" s="271" t="str">
        <f t="shared" si="108"/>
        <v xml:space="preserve">                                                                                                                                                                                                                                                                                                                                                                                                                </v>
      </c>
      <c r="DA138" s="218" t="str">
        <f t="shared" si="119"/>
        <v>-</v>
      </c>
      <c r="DB138" s="174"/>
      <c r="DC138" s="92" t="s">
        <v>593</v>
      </c>
    </row>
    <row r="139" spans="2:107" s="26" customFormat="1" ht="63.75">
      <c r="B139" s="65">
        <f t="shared" si="128"/>
        <v>132</v>
      </c>
      <c r="C139" s="7"/>
      <c r="D139" s="7"/>
      <c r="E139" s="7"/>
      <c r="F139" s="22" t="s">
        <v>148</v>
      </c>
      <c r="G139" s="16"/>
      <c r="H139" s="13"/>
      <c r="I139" s="8"/>
      <c r="J139" s="8"/>
      <c r="K139" s="8"/>
      <c r="L139" s="8"/>
      <c r="M139" s="418" t="s">
        <v>448</v>
      </c>
      <c r="N139" s="1"/>
      <c r="O139" s="57"/>
      <c r="P139" s="95">
        <f t="shared" si="135"/>
        <v>112</v>
      </c>
      <c r="Q139" s="115">
        <v>400</v>
      </c>
      <c r="R139" s="21" t="str">
        <f t="shared" si="136"/>
        <v>NX</v>
      </c>
      <c r="S139" s="98" t="s">
        <v>149</v>
      </c>
      <c r="T139" s="96"/>
      <c r="U139" s="21" t="s">
        <v>435</v>
      </c>
      <c r="V139" s="10"/>
      <c r="W139" s="25">
        <v>3</v>
      </c>
      <c r="X139" s="1" t="s">
        <v>150</v>
      </c>
      <c r="Y139" s="1">
        <v>1</v>
      </c>
      <c r="Z139" s="1">
        <v>400</v>
      </c>
      <c r="AA139" s="8" t="s">
        <v>129</v>
      </c>
      <c r="AB139" s="8" t="s">
        <v>257</v>
      </c>
      <c r="AC139" s="12"/>
      <c r="AD139" s="60"/>
      <c r="AE139" s="174"/>
      <c r="AF139" s="91" t="str">
        <f t="shared" si="96"/>
        <v xml:space="preserve">                                                                                                                                                                                                                                                                                                                                                                                                                </v>
      </c>
      <c r="AG139" s="218" t="str">
        <f t="shared" si="129"/>
        <v>-</v>
      </c>
      <c r="AH139" s="174"/>
      <c r="AI139" s="92" t="str">
        <f t="shared" si="131"/>
        <v>OK</v>
      </c>
      <c r="AJ139" s="60"/>
      <c r="AK139" s="174"/>
      <c r="AL139" s="91" t="str">
        <f t="shared" si="97"/>
        <v xml:space="preserve">                                                                                                                                                                                                                                                                                                                                                                                                                </v>
      </c>
      <c r="AM139" s="218" t="str">
        <f t="shared" si="110"/>
        <v>-</v>
      </c>
      <c r="AN139" s="174"/>
      <c r="AO139" s="92" t="str">
        <f t="shared" si="132"/>
        <v>OK</v>
      </c>
      <c r="AP139" s="60"/>
      <c r="AQ139" s="170"/>
      <c r="AR139" s="91" t="str">
        <f t="shared" si="98"/>
        <v xml:space="preserve">                                                                                                                                                                                                                                                                                                                                                                                                                </v>
      </c>
      <c r="AS139" s="218" t="s">
        <v>593</v>
      </c>
      <c r="AT139" s="91"/>
      <c r="AU139" s="218" t="str">
        <f t="shared" si="94"/>
        <v>-</v>
      </c>
      <c r="AV139" s="60"/>
      <c r="AW139" s="174"/>
      <c r="AX139" s="91" t="str">
        <f t="shared" si="99"/>
        <v xml:space="preserve">                                                                                                                                                                                                                                                                                                                                                                                                                </v>
      </c>
      <c r="AY139" s="218" t="str">
        <f t="shared" si="111"/>
        <v>-</v>
      </c>
      <c r="AZ139" s="174"/>
      <c r="BA139" s="478" t="s">
        <v>594</v>
      </c>
      <c r="BB139" s="60"/>
      <c r="BC139" s="174"/>
      <c r="BD139" s="91" t="str">
        <f t="shared" si="100"/>
        <v xml:space="preserve">                                                                                                                                                                                                                                                                                                                                                                                                                </v>
      </c>
      <c r="BE139" s="218" t="str">
        <f t="shared" si="112"/>
        <v>-</v>
      </c>
      <c r="BF139" s="174"/>
      <c r="BG139" s="478" t="s">
        <v>594</v>
      </c>
      <c r="BH139" s="60"/>
      <c r="BI139" s="170" t="s">
        <v>703</v>
      </c>
      <c r="BJ139" s="91" t="str">
        <f t="shared" si="101"/>
        <v xml:space="preserve">                                                                                                                                                                                                                                                                                                                                                                                                                </v>
      </c>
      <c r="BK139" s="218" t="s">
        <v>593</v>
      </c>
      <c r="BL139" s="174"/>
      <c r="BM139" s="478" t="s">
        <v>594</v>
      </c>
      <c r="BN139" s="60"/>
      <c r="BO139" s="174"/>
      <c r="BP139" s="91" t="str">
        <f t="shared" si="102"/>
        <v xml:space="preserve">                                                                                                                                                                                                                                                                                                                                                                                                                </v>
      </c>
      <c r="BQ139" s="218" t="str">
        <f t="shared" si="113"/>
        <v>-</v>
      </c>
      <c r="BR139" s="174"/>
      <c r="BS139" s="478" t="s">
        <v>594</v>
      </c>
      <c r="BT139" s="60"/>
      <c r="BU139" s="170"/>
      <c r="BV139" s="91" t="str">
        <f t="shared" si="103"/>
        <v xml:space="preserve">                                                                                                                                                                                                                                                                                                                                                                                                                </v>
      </c>
      <c r="BW139" s="218" t="s">
        <v>593</v>
      </c>
      <c r="BX139" s="91"/>
      <c r="BY139" s="218" t="str">
        <f t="shared" si="114"/>
        <v>-</v>
      </c>
      <c r="BZ139" s="60"/>
      <c r="CA139" s="174"/>
      <c r="CB139" s="91" t="str">
        <f t="shared" si="104"/>
        <v xml:space="preserve">                                                                                                                                                                                                                                                                                                                                                                                                                </v>
      </c>
      <c r="CC139" s="218" t="str">
        <f t="shared" si="115"/>
        <v>-</v>
      </c>
      <c r="CD139" s="174"/>
      <c r="CE139" s="92" t="str">
        <f t="shared" si="133"/>
        <v>OK</v>
      </c>
      <c r="CF139" s="60"/>
      <c r="CG139" s="174"/>
      <c r="CH139" s="91" t="str">
        <f t="shared" si="105"/>
        <v xml:space="preserve">                                                                                                                                                                                                                                                                                                                                                                                                                </v>
      </c>
      <c r="CI139" s="218" t="str">
        <f t="shared" si="116"/>
        <v>-</v>
      </c>
      <c r="CJ139" s="174"/>
      <c r="CK139" s="92" t="str">
        <f t="shared" si="134"/>
        <v>OK</v>
      </c>
      <c r="CL139" s="60"/>
      <c r="CM139" s="174"/>
      <c r="CN139" s="91" t="str">
        <f t="shared" si="106"/>
        <v xml:space="preserve">                                                                                                                                                                                                                                                                                                                                                                                                                </v>
      </c>
      <c r="CO139" s="218" t="s">
        <v>593</v>
      </c>
      <c r="CP139" s="91"/>
      <c r="CQ139" s="218" t="str">
        <f t="shared" si="117"/>
        <v>-</v>
      </c>
      <c r="CR139" s="60"/>
      <c r="CS139" s="174"/>
      <c r="CT139" s="91" t="str">
        <f t="shared" si="107"/>
        <v xml:space="preserve">                                                                                                                                                                                                                                                                                                                                                                                                                </v>
      </c>
      <c r="CU139" s="218" t="str">
        <f t="shared" si="118"/>
        <v>-</v>
      </c>
      <c r="CV139" s="174"/>
      <c r="CW139" s="92" t="s">
        <v>593</v>
      </c>
      <c r="CX139" s="60"/>
      <c r="CY139" s="174"/>
      <c r="CZ139" s="91" t="str">
        <f t="shared" si="108"/>
        <v xml:space="preserve">                                                                                                                                                                                                                                                                                                                                                                                                                </v>
      </c>
      <c r="DA139" s="218" t="str">
        <f t="shared" si="119"/>
        <v>-</v>
      </c>
      <c r="DB139" s="174"/>
      <c r="DC139" s="92" t="s">
        <v>593</v>
      </c>
    </row>
    <row r="140" spans="2:107" s="26" customFormat="1">
      <c r="B140" s="65">
        <f t="shared" si="128"/>
        <v>133</v>
      </c>
      <c r="C140" s="7"/>
      <c r="D140" s="7"/>
      <c r="E140" s="7"/>
      <c r="F140" s="22" t="s">
        <v>151</v>
      </c>
      <c r="G140" s="16"/>
      <c r="H140" s="13"/>
      <c r="I140" s="8"/>
      <c r="J140" s="8"/>
      <c r="K140" s="8"/>
      <c r="L140" s="8"/>
      <c r="M140" s="11" t="s">
        <v>152</v>
      </c>
      <c r="N140" s="1"/>
      <c r="O140" s="57"/>
      <c r="P140" s="95">
        <f t="shared" si="135"/>
        <v>113</v>
      </c>
      <c r="Q140" s="115">
        <v>400</v>
      </c>
      <c r="R140" s="21" t="str">
        <f t="shared" si="136"/>
        <v>NX</v>
      </c>
      <c r="S140" s="98" t="s">
        <v>153</v>
      </c>
      <c r="T140" s="96"/>
      <c r="U140" s="21" t="s">
        <v>435</v>
      </c>
      <c r="V140" s="10"/>
      <c r="W140" s="25">
        <v>3</v>
      </c>
      <c r="X140" s="1" t="s">
        <v>154</v>
      </c>
      <c r="Y140" s="1">
        <v>1</v>
      </c>
      <c r="Z140" s="1">
        <v>400</v>
      </c>
      <c r="AA140" s="8" t="s">
        <v>129</v>
      </c>
      <c r="AB140" s="8" t="s">
        <v>257</v>
      </c>
      <c r="AC140" s="12"/>
      <c r="AD140" s="60"/>
      <c r="AE140" s="169"/>
      <c r="AF140" s="91" t="str">
        <f t="shared" si="96"/>
        <v xml:space="preserve">                                                                                                                                                                                                                                                                                                                                                                                                                </v>
      </c>
      <c r="AG140" s="218" t="str">
        <f t="shared" si="129"/>
        <v>-</v>
      </c>
      <c r="AH140" s="169"/>
      <c r="AI140" s="92" t="str">
        <f t="shared" si="131"/>
        <v>OK</v>
      </c>
      <c r="AJ140" s="60"/>
      <c r="AK140" s="169"/>
      <c r="AL140" s="91" t="str">
        <f t="shared" si="97"/>
        <v xml:space="preserve">                                                                                                                                                                                                                                                                                                                                                                                                                </v>
      </c>
      <c r="AM140" s="218" t="str">
        <f t="shared" si="110"/>
        <v>-</v>
      </c>
      <c r="AN140" s="169"/>
      <c r="AO140" s="92" t="str">
        <f t="shared" si="132"/>
        <v>OK</v>
      </c>
      <c r="AP140" s="60"/>
      <c r="AQ140" s="172"/>
      <c r="AR140" s="91" t="str">
        <f t="shared" si="98"/>
        <v xml:space="preserve">                                                                                                                                                                                                                                                                                                                                                                                                                </v>
      </c>
      <c r="AS140" s="218" t="s">
        <v>593</v>
      </c>
      <c r="AT140" s="91"/>
      <c r="AU140" s="218" t="str">
        <f t="shared" ref="AU140:AU203" si="137">IF(OR(AS$8="判定対象外",AT$8="判定対象外",AT140="-"),"-",IF(AS140=AT140,"OK","NG"))</f>
        <v>-</v>
      </c>
      <c r="AV140" s="60"/>
      <c r="AW140" s="169"/>
      <c r="AX140" s="91" t="str">
        <f t="shared" si="99"/>
        <v xml:space="preserve">                                                                                                                                                                                                                                                                                                                                                                                                                </v>
      </c>
      <c r="AY140" s="218" t="str">
        <f t="shared" si="111"/>
        <v>-</v>
      </c>
      <c r="AZ140" s="169"/>
      <c r="BA140" s="478" t="s">
        <v>594</v>
      </c>
      <c r="BB140" s="60"/>
      <c r="BC140" s="169"/>
      <c r="BD140" s="91" t="str">
        <f t="shared" si="100"/>
        <v xml:space="preserve">                                                                                                                                                                                                                                                                                                                                                                                                                </v>
      </c>
      <c r="BE140" s="218" t="str">
        <f t="shared" si="112"/>
        <v>-</v>
      </c>
      <c r="BF140" s="169"/>
      <c r="BG140" s="478" t="s">
        <v>594</v>
      </c>
      <c r="BH140" s="60"/>
      <c r="BI140" s="170" t="s">
        <v>703</v>
      </c>
      <c r="BJ140" s="91" t="str">
        <f t="shared" si="101"/>
        <v xml:space="preserve">                                                                                                                                                                                                                                                                                                                                                                                                                </v>
      </c>
      <c r="BK140" s="218" t="s">
        <v>593</v>
      </c>
      <c r="BL140" s="169"/>
      <c r="BM140" s="478" t="s">
        <v>594</v>
      </c>
      <c r="BN140" s="60"/>
      <c r="BO140" s="169"/>
      <c r="BP140" s="91" t="str">
        <f t="shared" si="102"/>
        <v xml:space="preserve">                                                                                                                                                                                                                                                                                                                                                                                                                </v>
      </c>
      <c r="BQ140" s="218" t="str">
        <f t="shared" si="113"/>
        <v>-</v>
      </c>
      <c r="BR140" s="169"/>
      <c r="BS140" s="478" t="s">
        <v>594</v>
      </c>
      <c r="BT140" s="60"/>
      <c r="BU140" s="172"/>
      <c r="BV140" s="91" t="str">
        <f t="shared" si="103"/>
        <v xml:space="preserve">                                                                                                                                                                                                                                                                                                                                                                                                                </v>
      </c>
      <c r="BW140" s="218" t="s">
        <v>593</v>
      </c>
      <c r="BX140" s="91"/>
      <c r="BY140" s="218" t="str">
        <f t="shared" si="114"/>
        <v>-</v>
      </c>
      <c r="BZ140" s="60"/>
      <c r="CA140" s="169"/>
      <c r="CB140" s="91" t="str">
        <f t="shared" si="104"/>
        <v xml:space="preserve">                                                                                                                                                                                                                                                                                                                                                                                                                </v>
      </c>
      <c r="CC140" s="218" t="str">
        <f t="shared" si="115"/>
        <v>-</v>
      </c>
      <c r="CD140" s="169"/>
      <c r="CE140" s="92" t="str">
        <f t="shared" si="133"/>
        <v>OK</v>
      </c>
      <c r="CF140" s="60"/>
      <c r="CG140" s="169"/>
      <c r="CH140" s="91" t="str">
        <f t="shared" si="105"/>
        <v xml:space="preserve">                                                                                                                                                                                                                                                                                                                                                                                                                </v>
      </c>
      <c r="CI140" s="218" t="str">
        <f t="shared" si="116"/>
        <v>-</v>
      </c>
      <c r="CJ140" s="169"/>
      <c r="CK140" s="92" t="str">
        <f t="shared" si="134"/>
        <v>OK</v>
      </c>
      <c r="CL140" s="60"/>
      <c r="CM140" s="169"/>
      <c r="CN140" s="91" t="str">
        <f t="shared" si="106"/>
        <v xml:space="preserve">                                                                                                                                                                                                                                                                                                                                                                                                                </v>
      </c>
      <c r="CO140" s="218" t="s">
        <v>593</v>
      </c>
      <c r="CP140" s="91"/>
      <c r="CQ140" s="218" t="str">
        <f t="shared" si="117"/>
        <v>-</v>
      </c>
      <c r="CR140" s="60"/>
      <c r="CS140" s="169"/>
      <c r="CT140" s="91" t="str">
        <f t="shared" si="107"/>
        <v xml:space="preserve">                                                                                                                                                                                                                                                                                                                                                                                                                </v>
      </c>
      <c r="CU140" s="218" t="str">
        <f t="shared" si="118"/>
        <v>-</v>
      </c>
      <c r="CV140" s="169"/>
      <c r="CW140" s="92" t="s">
        <v>593</v>
      </c>
      <c r="CX140" s="60"/>
      <c r="CY140" s="169"/>
      <c r="CZ140" s="91" t="str">
        <f t="shared" si="108"/>
        <v xml:space="preserve">                                                                                                                                                                                                                                                                                                                                                                                                                </v>
      </c>
      <c r="DA140" s="218" t="str">
        <f t="shared" si="119"/>
        <v>-</v>
      </c>
      <c r="DB140" s="169"/>
      <c r="DC140" s="92" t="s">
        <v>593</v>
      </c>
    </row>
    <row r="141" spans="2:107" s="26" customFormat="1" ht="76.5">
      <c r="B141" s="65">
        <f t="shared" si="128"/>
        <v>134</v>
      </c>
      <c r="C141" s="7"/>
      <c r="D141" s="7"/>
      <c r="E141" s="7"/>
      <c r="F141" s="22" t="s">
        <v>155</v>
      </c>
      <c r="G141" s="16"/>
      <c r="H141" s="13"/>
      <c r="I141" s="8"/>
      <c r="J141" s="8"/>
      <c r="K141" s="8"/>
      <c r="L141" s="8"/>
      <c r="M141" s="11" t="s">
        <v>449</v>
      </c>
      <c r="N141" s="1"/>
      <c r="O141" s="57"/>
      <c r="P141" s="95">
        <f t="shared" si="135"/>
        <v>114</v>
      </c>
      <c r="Q141" s="115">
        <v>400</v>
      </c>
      <c r="R141" s="21" t="str">
        <f t="shared" si="136"/>
        <v>NX</v>
      </c>
      <c r="S141" s="98" t="s">
        <v>156</v>
      </c>
      <c r="T141" s="96"/>
      <c r="U141" s="21" t="s">
        <v>435</v>
      </c>
      <c r="V141" s="10"/>
      <c r="W141" s="25">
        <v>3</v>
      </c>
      <c r="X141" s="1" t="s">
        <v>157</v>
      </c>
      <c r="Y141" s="1">
        <v>1</v>
      </c>
      <c r="Z141" s="1">
        <v>400</v>
      </c>
      <c r="AA141" s="8" t="s">
        <v>129</v>
      </c>
      <c r="AB141" s="8" t="s">
        <v>257</v>
      </c>
      <c r="AC141" s="12"/>
      <c r="AD141" s="60"/>
      <c r="AE141" s="169"/>
      <c r="AF141" s="91" t="str">
        <f t="shared" ref="AF141:AF204" si="138">IF(AH141="-","-",AH141&amp;REPT(IF($R141="N","　",IF($R141="9","0"," ")),$Z141-LENB(AH141)))</f>
        <v xml:space="preserve">                                                                                                                                                                                                                                                                                                                                                                                                                </v>
      </c>
      <c r="AG141" s="218" t="str">
        <f t="shared" si="129"/>
        <v>-</v>
      </c>
      <c r="AH141" s="169"/>
      <c r="AI141" s="92" t="str">
        <f t="shared" si="131"/>
        <v>OK</v>
      </c>
      <c r="AJ141" s="60"/>
      <c r="AK141" s="169"/>
      <c r="AL141" s="91" t="str">
        <f t="shared" ref="AL141:AL204" si="139">IF(AN141="-","-",AN141&amp;REPT(IF($R141="N","　",IF($R141="9","0"," ")),$Z141-LENB(AN141)))</f>
        <v xml:space="preserve">                                                                                                                                                                                                                                                                                                                                                                                                                </v>
      </c>
      <c r="AM141" s="218" t="str">
        <f t="shared" si="110"/>
        <v>-</v>
      </c>
      <c r="AN141" s="169"/>
      <c r="AO141" s="92" t="str">
        <f t="shared" si="132"/>
        <v>OK</v>
      </c>
      <c r="AP141" s="60"/>
      <c r="AQ141" s="172"/>
      <c r="AR141" s="91" t="str">
        <f t="shared" ref="AR141:AR204" si="140">IF(AT141="-","-",AT141&amp;REPT(IF($R141="N","　",IF($R141="9","0"," ")),$Z141-LENB(AT141)))</f>
        <v xml:space="preserve">                                                                                                                                                                                                                                                                                                                                                                                                                </v>
      </c>
      <c r="AS141" s="218" t="s">
        <v>593</v>
      </c>
      <c r="AT141" s="91"/>
      <c r="AU141" s="218" t="str">
        <f t="shared" si="137"/>
        <v>-</v>
      </c>
      <c r="AV141" s="60"/>
      <c r="AW141" s="169"/>
      <c r="AX141" s="91" t="str">
        <f t="shared" ref="AX141:AX204" si="141">IF(AZ141="-","-",AZ141&amp;REPT(IF($R141="N","　",IF($R141="9","0"," ")),$Z141-LENB(AZ141)))</f>
        <v xml:space="preserve">                                                                                                                                                                                                                                                                                                                                                                                                                </v>
      </c>
      <c r="AY141" s="218" t="str">
        <f t="shared" si="111"/>
        <v>-</v>
      </c>
      <c r="AZ141" s="169"/>
      <c r="BA141" s="478" t="s">
        <v>594</v>
      </c>
      <c r="BB141" s="60"/>
      <c r="BC141" s="169"/>
      <c r="BD141" s="91" t="str">
        <f t="shared" ref="BD141:BD204" si="142">IF(BF141="-","-",BF141&amp;REPT(IF($R141="N","　",IF($R141="9","0"," ")),$Z141-LENB(BF141)))</f>
        <v xml:space="preserve">                                                                                                                                                                                                                                                                                                                                                                                                                </v>
      </c>
      <c r="BE141" s="218" t="str">
        <f t="shared" si="112"/>
        <v>-</v>
      </c>
      <c r="BF141" s="169"/>
      <c r="BG141" s="478" t="s">
        <v>594</v>
      </c>
      <c r="BH141" s="60"/>
      <c r="BI141" s="170" t="s">
        <v>703</v>
      </c>
      <c r="BJ141" s="91" t="str">
        <f t="shared" ref="BJ141:BJ204" si="143">IF(BL141="-","-",BL141&amp;REPT(IF($R141="N","　",IF($R141="9","0"," ")),$Z141-LENB(BL141)))</f>
        <v xml:space="preserve">                                                                                                                                                                                                                                                                                                                                                                                                                </v>
      </c>
      <c r="BK141" s="218" t="s">
        <v>593</v>
      </c>
      <c r="BL141" s="169"/>
      <c r="BM141" s="478" t="s">
        <v>594</v>
      </c>
      <c r="BN141" s="60"/>
      <c r="BO141" s="169"/>
      <c r="BP141" s="91" t="str">
        <f t="shared" ref="BP141:BP204" si="144">IF(BR141="-","-",BR141&amp;REPT(IF($R141="N","　",IF($R141="9","0"," ")),$Z141-LENB(BR141)))</f>
        <v xml:space="preserve">                                                                                                                                                                                                                                                                                                                                                                                                                </v>
      </c>
      <c r="BQ141" s="218" t="str">
        <f t="shared" si="113"/>
        <v>-</v>
      </c>
      <c r="BR141" s="169"/>
      <c r="BS141" s="478" t="s">
        <v>594</v>
      </c>
      <c r="BT141" s="60"/>
      <c r="BU141" s="172"/>
      <c r="BV141" s="91" t="str">
        <f t="shared" ref="BV141:BV204" si="145">IF(BX141="-","-",BX141&amp;REPT(IF($R141="N","　",IF($R141="9","0"," ")),$Z141-LENB(BX141)))</f>
        <v xml:space="preserve">                                                                                                                                                                                                                                                                                                                                                                                                                </v>
      </c>
      <c r="BW141" s="218" t="s">
        <v>593</v>
      </c>
      <c r="BX141" s="91"/>
      <c r="BY141" s="218" t="str">
        <f t="shared" si="114"/>
        <v>-</v>
      </c>
      <c r="BZ141" s="60"/>
      <c r="CA141" s="169"/>
      <c r="CB141" s="91" t="str">
        <f t="shared" ref="CB141:CB204" si="146">IF(CD141="-","-",CD141&amp;REPT(IF($R141="N","　",IF($R141="9","0"," ")),$Z141-LENB(CD141)))</f>
        <v xml:space="preserve">                                                                                                                                                                                                                                                                                                                                                                                                                </v>
      </c>
      <c r="CC141" s="218" t="str">
        <f t="shared" si="115"/>
        <v>-</v>
      </c>
      <c r="CD141" s="169"/>
      <c r="CE141" s="92" t="str">
        <f t="shared" si="133"/>
        <v>OK</v>
      </c>
      <c r="CF141" s="60"/>
      <c r="CG141" s="169"/>
      <c r="CH141" s="91" t="str">
        <f t="shared" ref="CH141:CH204" si="147">IF(CJ141="-","-",CJ141&amp;REPT(IF($R141="N","　",IF($R141="9","0"," ")),$Z141-LENB(CJ141)))</f>
        <v xml:space="preserve">                                                                                                                                                                                                                                                                                                                                                                                                                </v>
      </c>
      <c r="CI141" s="218" t="str">
        <f t="shared" si="116"/>
        <v>-</v>
      </c>
      <c r="CJ141" s="169"/>
      <c r="CK141" s="92" t="str">
        <f t="shared" si="134"/>
        <v>OK</v>
      </c>
      <c r="CL141" s="60"/>
      <c r="CM141" s="169"/>
      <c r="CN141" s="91" t="str">
        <f t="shared" ref="CN141:CN204" si="148">IF(CP141="-","-",CP141&amp;REPT(IF($R141="N","　",IF($R141="9","0"," ")),$Z141-LENB(CP141)))</f>
        <v xml:space="preserve">                                                                                                                                                                                                                                                                                                                                                                                                                </v>
      </c>
      <c r="CO141" s="218" t="s">
        <v>593</v>
      </c>
      <c r="CP141" s="91"/>
      <c r="CQ141" s="218" t="str">
        <f t="shared" si="117"/>
        <v>-</v>
      </c>
      <c r="CR141" s="60"/>
      <c r="CS141" s="169"/>
      <c r="CT141" s="91" t="str">
        <f t="shared" ref="CT141:CT204" si="149">IF(CV141="-","-",CV141&amp;REPT(IF($R141="N","　",IF($R141="9","0"," ")),$Z141-LENB(CV141)))</f>
        <v xml:space="preserve">                                                                                                                                                                                                                                                                                                                                                                                                                </v>
      </c>
      <c r="CU141" s="218" t="str">
        <f t="shared" si="118"/>
        <v>-</v>
      </c>
      <c r="CV141" s="169"/>
      <c r="CW141" s="92" t="s">
        <v>593</v>
      </c>
      <c r="CX141" s="60"/>
      <c r="CY141" s="169"/>
      <c r="CZ141" s="91" t="str">
        <f t="shared" ref="CZ141:CZ204" si="150">IF(DB141="-","-",DB141&amp;REPT(IF($R141="N","　",IF($R141="9","0"," ")),$Z141-LENB(DB141)))</f>
        <v xml:space="preserve">                                                                                                                                                                                                                                                                                                                                                                                                                </v>
      </c>
      <c r="DA141" s="218" t="str">
        <f t="shared" si="119"/>
        <v>-</v>
      </c>
      <c r="DB141" s="169"/>
      <c r="DC141" s="92" t="s">
        <v>593</v>
      </c>
    </row>
    <row r="142" spans="2:107" s="26" customFormat="1">
      <c r="B142" s="65">
        <f t="shared" si="128"/>
        <v>135</v>
      </c>
      <c r="C142" s="7"/>
      <c r="D142" s="7"/>
      <c r="E142" s="7"/>
      <c r="F142" s="22" t="s">
        <v>158</v>
      </c>
      <c r="G142" s="16"/>
      <c r="H142" s="13"/>
      <c r="I142" s="8"/>
      <c r="J142" s="8"/>
      <c r="K142" s="8"/>
      <c r="L142" s="8"/>
      <c r="M142" s="11" t="s">
        <v>152</v>
      </c>
      <c r="N142" s="1"/>
      <c r="O142" s="57"/>
      <c r="P142" s="95">
        <f t="shared" si="135"/>
        <v>115</v>
      </c>
      <c r="Q142" s="115">
        <v>400</v>
      </c>
      <c r="R142" s="21" t="str">
        <f t="shared" si="136"/>
        <v>NX</v>
      </c>
      <c r="S142" s="98" t="s">
        <v>159</v>
      </c>
      <c r="T142" s="96"/>
      <c r="U142" s="21" t="s">
        <v>435</v>
      </c>
      <c r="V142" s="10"/>
      <c r="W142" s="25">
        <v>3</v>
      </c>
      <c r="X142" s="1" t="s">
        <v>160</v>
      </c>
      <c r="Y142" s="1">
        <v>1</v>
      </c>
      <c r="Z142" s="1">
        <v>400</v>
      </c>
      <c r="AA142" s="8" t="s">
        <v>129</v>
      </c>
      <c r="AB142" s="8" t="s">
        <v>257</v>
      </c>
      <c r="AC142" s="12"/>
      <c r="AD142" s="60"/>
      <c r="AE142" s="169"/>
      <c r="AF142" s="91" t="str">
        <f t="shared" si="138"/>
        <v xml:space="preserve">                                                                                                                                                                                                                                                                                                                                                                                                                </v>
      </c>
      <c r="AG142" s="218" t="str">
        <f t="shared" si="129"/>
        <v>-</v>
      </c>
      <c r="AH142" s="169"/>
      <c r="AI142" s="92" t="str">
        <f t="shared" si="131"/>
        <v>OK</v>
      </c>
      <c r="AJ142" s="60"/>
      <c r="AK142" s="169"/>
      <c r="AL142" s="91" t="str">
        <f t="shared" si="139"/>
        <v xml:space="preserve">                                                                                                                                                                                                                                                                                                                                                                                                                </v>
      </c>
      <c r="AM142" s="218" t="str">
        <f t="shared" si="110"/>
        <v>-</v>
      </c>
      <c r="AN142" s="169"/>
      <c r="AO142" s="92" t="str">
        <f t="shared" si="132"/>
        <v>OK</v>
      </c>
      <c r="AP142" s="60"/>
      <c r="AQ142" s="172"/>
      <c r="AR142" s="91" t="str">
        <f t="shared" si="140"/>
        <v xml:space="preserve">                                                                                                                                                                                                                                                                                                                                                                                                                </v>
      </c>
      <c r="AS142" s="218" t="s">
        <v>593</v>
      </c>
      <c r="AT142" s="91"/>
      <c r="AU142" s="218" t="str">
        <f t="shared" si="137"/>
        <v>-</v>
      </c>
      <c r="AV142" s="60"/>
      <c r="AW142" s="169"/>
      <c r="AX142" s="91" t="str">
        <f t="shared" si="141"/>
        <v xml:space="preserve">                                                                                                                                                                                                                                                                                                                                                                                                                </v>
      </c>
      <c r="AY142" s="218" t="str">
        <f t="shared" si="111"/>
        <v>-</v>
      </c>
      <c r="AZ142" s="169"/>
      <c r="BA142" s="478" t="s">
        <v>594</v>
      </c>
      <c r="BB142" s="60"/>
      <c r="BC142" s="169"/>
      <c r="BD142" s="91" t="str">
        <f t="shared" si="142"/>
        <v xml:space="preserve">                                                                                                                                                                                                                                                                                                                                                                                                                </v>
      </c>
      <c r="BE142" s="218" t="str">
        <f t="shared" si="112"/>
        <v>-</v>
      </c>
      <c r="BF142" s="169"/>
      <c r="BG142" s="478" t="s">
        <v>594</v>
      </c>
      <c r="BH142" s="60"/>
      <c r="BI142" s="170" t="s">
        <v>703</v>
      </c>
      <c r="BJ142" s="91" t="str">
        <f t="shared" si="143"/>
        <v xml:space="preserve">                                                                                                                                                                                                                                                                                                                                                                                                                </v>
      </c>
      <c r="BK142" s="218" t="s">
        <v>593</v>
      </c>
      <c r="BL142" s="169"/>
      <c r="BM142" s="478" t="s">
        <v>594</v>
      </c>
      <c r="BN142" s="60"/>
      <c r="BO142" s="169"/>
      <c r="BP142" s="91" t="str">
        <f t="shared" si="144"/>
        <v xml:space="preserve">                                                                                                                                                                                                                                                                                                                                                                                                                </v>
      </c>
      <c r="BQ142" s="218" t="str">
        <f t="shared" si="113"/>
        <v>-</v>
      </c>
      <c r="BR142" s="169"/>
      <c r="BS142" s="478" t="s">
        <v>594</v>
      </c>
      <c r="BT142" s="60"/>
      <c r="BU142" s="172"/>
      <c r="BV142" s="91" t="str">
        <f t="shared" si="145"/>
        <v xml:space="preserve">                                                                                                                                                                                                                                                                                                                                                                                                                </v>
      </c>
      <c r="BW142" s="218" t="s">
        <v>593</v>
      </c>
      <c r="BX142" s="91"/>
      <c r="BY142" s="218" t="str">
        <f t="shared" si="114"/>
        <v>-</v>
      </c>
      <c r="BZ142" s="60"/>
      <c r="CA142" s="169"/>
      <c r="CB142" s="91" t="str">
        <f t="shared" si="146"/>
        <v xml:space="preserve">                                                                                                                                                                                                                                                                                                                                                                                                                </v>
      </c>
      <c r="CC142" s="218" t="str">
        <f t="shared" si="115"/>
        <v>-</v>
      </c>
      <c r="CD142" s="169"/>
      <c r="CE142" s="92" t="str">
        <f t="shared" si="133"/>
        <v>OK</v>
      </c>
      <c r="CF142" s="60"/>
      <c r="CG142" s="169"/>
      <c r="CH142" s="91" t="str">
        <f t="shared" si="147"/>
        <v xml:space="preserve">                                                                                                                                                                                                                                                                                                                                                                                                                </v>
      </c>
      <c r="CI142" s="218" t="str">
        <f t="shared" si="116"/>
        <v>-</v>
      </c>
      <c r="CJ142" s="169"/>
      <c r="CK142" s="92" t="str">
        <f t="shared" si="134"/>
        <v>OK</v>
      </c>
      <c r="CL142" s="60"/>
      <c r="CM142" s="169"/>
      <c r="CN142" s="91" t="str">
        <f t="shared" si="148"/>
        <v xml:space="preserve">                                                                                                                                                                                                                                                                                                                                                                                                                </v>
      </c>
      <c r="CO142" s="218" t="s">
        <v>593</v>
      </c>
      <c r="CP142" s="91"/>
      <c r="CQ142" s="218" t="str">
        <f t="shared" si="117"/>
        <v>-</v>
      </c>
      <c r="CR142" s="60"/>
      <c r="CS142" s="169"/>
      <c r="CT142" s="91" t="str">
        <f t="shared" si="149"/>
        <v xml:space="preserve">                                                                                                                                                                                                                                                                                                                                                                                                                </v>
      </c>
      <c r="CU142" s="218" t="str">
        <f t="shared" si="118"/>
        <v>-</v>
      </c>
      <c r="CV142" s="169"/>
      <c r="CW142" s="92" t="s">
        <v>593</v>
      </c>
      <c r="CX142" s="60"/>
      <c r="CY142" s="169"/>
      <c r="CZ142" s="91" t="str">
        <f t="shared" si="150"/>
        <v xml:space="preserve">                                                                                                                                                                                                                                                                                                                                                                                                                </v>
      </c>
      <c r="DA142" s="218" t="str">
        <f t="shared" si="119"/>
        <v>-</v>
      </c>
      <c r="DB142" s="169"/>
      <c r="DC142" s="92" t="s">
        <v>593</v>
      </c>
    </row>
    <row r="143" spans="2:107" s="26" customFormat="1">
      <c r="B143" s="65">
        <f t="shared" si="128"/>
        <v>136</v>
      </c>
      <c r="C143" s="7"/>
      <c r="D143" s="7"/>
      <c r="E143" s="7"/>
      <c r="F143" s="22" t="s">
        <v>161</v>
      </c>
      <c r="G143" s="16"/>
      <c r="H143" s="13"/>
      <c r="I143" s="8"/>
      <c r="J143" s="8"/>
      <c r="K143" s="8"/>
      <c r="L143" s="8"/>
      <c r="M143" s="11" t="s">
        <v>152</v>
      </c>
      <c r="N143" s="1"/>
      <c r="O143" s="57"/>
      <c r="P143" s="95">
        <f t="shared" si="135"/>
        <v>116</v>
      </c>
      <c r="Q143" s="115">
        <v>400</v>
      </c>
      <c r="R143" s="21" t="str">
        <f t="shared" si="136"/>
        <v>NX</v>
      </c>
      <c r="S143" s="98" t="s">
        <v>162</v>
      </c>
      <c r="T143" s="96"/>
      <c r="U143" s="21" t="s">
        <v>435</v>
      </c>
      <c r="V143" s="10"/>
      <c r="W143" s="25">
        <v>3</v>
      </c>
      <c r="X143" s="1" t="s">
        <v>163</v>
      </c>
      <c r="Y143" s="1">
        <v>1</v>
      </c>
      <c r="Z143" s="1">
        <v>400</v>
      </c>
      <c r="AA143" s="8" t="s">
        <v>129</v>
      </c>
      <c r="AB143" s="8" t="s">
        <v>257</v>
      </c>
      <c r="AC143" s="12"/>
      <c r="AD143" s="60"/>
      <c r="AE143" s="169"/>
      <c r="AF143" s="91" t="str">
        <f t="shared" si="138"/>
        <v xml:space="preserve">                                                                                                                                                                                                                                                                                                                                                                                                                </v>
      </c>
      <c r="AG143" s="218" t="str">
        <f t="shared" si="129"/>
        <v>-</v>
      </c>
      <c r="AH143" s="169"/>
      <c r="AI143" s="92" t="str">
        <f t="shared" si="131"/>
        <v>OK</v>
      </c>
      <c r="AJ143" s="60"/>
      <c r="AK143" s="169"/>
      <c r="AL143" s="91" t="str">
        <f t="shared" si="139"/>
        <v xml:space="preserve">                                                                                                                                                                                                                                                                                                                                                                                                                </v>
      </c>
      <c r="AM143" s="218" t="str">
        <f t="shared" si="110"/>
        <v>-</v>
      </c>
      <c r="AN143" s="169"/>
      <c r="AO143" s="92" t="str">
        <f t="shared" si="132"/>
        <v>OK</v>
      </c>
      <c r="AP143" s="60"/>
      <c r="AQ143" s="172"/>
      <c r="AR143" s="91" t="str">
        <f t="shared" si="140"/>
        <v xml:space="preserve">                                                                                                                                                                                                                                                                                                                                                                                                                </v>
      </c>
      <c r="AS143" s="218" t="s">
        <v>593</v>
      </c>
      <c r="AT143" s="91"/>
      <c r="AU143" s="218" t="str">
        <f t="shared" si="137"/>
        <v>-</v>
      </c>
      <c r="AV143" s="60"/>
      <c r="AW143" s="169"/>
      <c r="AX143" s="91" t="str">
        <f t="shared" si="141"/>
        <v xml:space="preserve">                                                                                                                                                                                                                                                                                                                                                                                                                </v>
      </c>
      <c r="AY143" s="218" t="str">
        <f t="shared" si="111"/>
        <v>-</v>
      </c>
      <c r="AZ143" s="169"/>
      <c r="BA143" s="478" t="s">
        <v>594</v>
      </c>
      <c r="BB143" s="60"/>
      <c r="BC143" s="169"/>
      <c r="BD143" s="91" t="str">
        <f t="shared" si="142"/>
        <v xml:space="preserve">                                                                                                                                                                                                                                                                                                                                                                                                                </v>
      </c>
      <c r="BE143" s="218" t="str">
        <f t="shared" si="112"/>
        <v>-</v>
      </c>
      <c r="BF143" s="169"/>
      <c r="BG143" s="478" t="s">
        <v>594</v>
      </c>
      <c r="BH143" s="60"/>
      <c r="BI143" s="170" t="s">
        <v>703</v>
      </c>
      <c r="BJ143" s="91" t="str">
        <f t="shared" si="143"/>
        <v xml:space="preserve">                                                                                                                                                                                                                                                                                                                                                                                                                </v>
      </c>
      <c r="BK143" s="218" t="s">
        <v>593</v>
      </c>
      <c r="BL143" s="169"/>
      <c r="BM143" s="478" t="s">
        <v>594</v>
      </c>
      <c r="BN143" s="60"/>
      <c r="BO143" s="169"/>
      <c r="BP143" s="91" t="str">
        <f t="shared" si="144"/>
        <v xml:space="preserve">                                                                                                                                                                                                                                                                                                                                                                                                                </v>
      </c>
      <c r="BQ143" s="218" t="str">
        <f t="shared" si="113"/>
        <v>-</v>
      </c>
      <c r="BR143" s="169"/>
      <c r="BS143" s="478" t="s">
        <v>594</v>
      </c>
      <c r="BT143" s="60"/>
      <c r="BU143" s="172"/>
      <c r="BV143" s="91" t="str">
        <f t="shared" si="145"/>
        <v xml:space="preserve">                                                                                                                                                                                                                                                                                                                                                                                                                </v>
      </c>
      <c r="BW143" s="218" t="s">
        <v>593</v>
      </c>
      <c r="BX143" s="91"/>
      <c r="BY143" s="218" t="str">
        <f t="shared" si="114"/>
        <v>-</v>
      </c>
      <c r="BZ143" s="60"/>
      <c r="CA143" s="169"/>
      <c r="CB143" s="91" t="str">
        <f t="shared" si="146"/>
        <v xml:space="preserve">                                                                                                                                                                                                                                                                                                                                                                                                                </v>
      </c>
      <c r="CC143" s="218" t="str">
        <f t="shared" si="115"/>
        <v>-</v>
      </c>
      <c r="CD143" s="169"/>
      <c r="CE143" s="92" t="str">
        <f t="shared" si="133"/>
        <v>OK</v>
      </c>
      <c r="CF143" s="60"/>
      <c r="CG143" s="169"/>
      <c r="CH143" s="91" t="str">
        <f t="shared" si="147"/>
        <v xml:space="preserve">                                                                                                                                                                                                                                                                                                                                                                                                                </v>
      </c>
      <c r="CI143" s="218" t="str">
        <f t="shared" si="116"/>
        <v>-</v>
      </c>
      <c r="CJ143" s="169"/>
      <c r="CK143" s="92" t="str">
        <f t="shared" si="134"/>
        <v>OK</v>
      </c>
      <c r="CL143" s="60"/>
      <c r="CM143" s="169"/>
      <c r="CN143" s="91" t="str">
        <f t="shared" si="148"/>
        <v xml:space="preserve">                                                                                                                                                                                                                                                                                                                                                                                                                </v>
      </c>
      <c r="CO143" s="218" t="s">
        <v>593</v>
      </c>
      <c r="CP143" s="91"/>
      <c r="CQ143" s="218" t="str">
        <f t="shared" si="117"/>
        <v>-</v>
      </c>
      <c r="CR143" s="60"/>
      <c r="CS143" s="169"/>
      <c r="CT143" s="91" t="str">
        <f t="shared" si="149"/>
        <v xml:space="preserve">                                                                                                                                                                                                                                                                                                                                                                                                                </v>
      </c>
      <c r="CU143" s="218" t="str">
        <f t="shared" si="118"/>
        <v>-</v>
      </c>
      <c r="CV143" s="169"/>
      <c r="CW143" s="92" t="s">
        <v>593</v>
      </c>
      <c r="CX143" s="60"/>
      <c r="CY143" s="169"/>
      <c r="CZ143" s="91" t="str">
        <f t="shared" si="150"/>
        <v xml:space="preserve">                                                                                                                                                                                                                                                                                                                                                                                                                </v>
      </c>
      <c r="DA143" s="218" t="str">
        <f t="shared" si="119"/>
        <v>-</v>
      </c>
      <c r="DB143" s="169"/>
      <c r="DC143" s="92" t="s">
        <v>593</v>
      </c>
    </row>
    <row r="144" spans="2:107" s="26" customFormat="1" ht="89.25">
      <c r="B144" s="65">
        <f t="shared" si="128"/>
        <v>137</v>
      </c>
      <c r="C144" s="7"/>
      <c r="D144" s="7"/>
      <c r="E144" s="7"/>
      <c r="F144" s="22" t="s">
        <v>164</v>
      </c>
      <c r="G144" s="16"/>
      <c r="H144" s="13"/>
      <c r="I144" s="8"/>
      <c r="J144" s="8"/>
      <c r="K144" s="8"/>
      <c r="L144" s="8"/>
      <c r="M144" s="11" t="s">
        <v>450</v>
      </c>
      <c r="N144" s="1"/>
      <c r="O144" s="57"/>
      <c r="P144" s="95">
        <f t="shared" si="135"/>
        <v>117</v>
      </c>
      <c r="Q144" s="115">
        <v>1</v>
      </c>
      <c r="R144" s="21" t="str">
        <f t="shared" si="136"/>
        <v>X</v>
      </c>
      <c r="S144" s="98" t="s">
        <v>165</v>
      </c>
      <c r="T144" s="96"/>
      <c r="U144" s="21" t="s">
        <v>435</v>
      </c>
      <c r="V144" s="10"/>
      <c r="W144" s="25">
        <v>3</v>
      </c>
      <c r="X144" s="1" t="s">
        <v>303</v>
      </c>
      <c r="Y144" s="1">
        <v>1</v>
      </c>
      <c r="Z144" s="1">
        <v>1</v>
      </c>
      <c r="AA144" s="8" t="s">
        <v>114</v>
      </c>
      <c r="AB144" s="8" t="s">
        <v>21</v>
      </c>
      <c r="AC144" s="104"/>
      <c r="AD144" s="60"/>
      <c r="AE144" s="174"/>
      <c r="AF144" s="61" t="str">
        <f t="shared" si="138"/>
        <v xml:space="preserve"> </v>
      </c>
      <c r="AG144" s="218" t="str">
        <f t="shared" si="129"/>
        <v>-</v>
      </c>
      <c r="AH144" s="174"/>
      <c r="AI144" s="92" t="str">
        <f t="shared" si="131"/>
        <v>OK</v>
      </c>
      <c r="AJ144" s="60"/>
      <c r="AK144" s="174"/>
      <c r="AL144" s="61" t="str">
        <f t="shared" si="139"/>
        <v xml:space="preserve"> </v>
      </c>
      <c r="AM144" s="218" t="str">
        <f t="shared" si="110"/>
        <v>-</v>
      </c>
      <c r="AN144" s="174"/>
      <c r="AO144" s="92" t="str">
        <f t="shared" si="132"/>
        <v>OK</v>
      </c>
      <c r="AP144" s="60"/>
      <c r="AQ144" s="170"/>
      <c r="AR144" s="61" t="str">
        <f t="shared" si="140"/>
        <v xml:space="preserve"> </v>
      </c>
      <c r="AS144" s="218" t="s">
        <v>593</v>
      </c>
      <c r="AT144" s="61"/>
      <c r="AU144" s="218" t="str">
        <f t="shared" si="137"/>
        <v>-</v>
      </c>
      <c r="AV144" s="60"/>
      <c r="AW144" s="174"/>
      <c r="AX144" s="61" t="str">
        <f t="shared" si="141"/>
        <v xml:space="preserve"> </v>
      </c>
      <c r="AY144" s="218" t="str">
        <f t="shared" si="111"/>
        <v>-</v>
      </c>
      <c r="AZ144" s="174"/>
      <c r="BA144" s="478" t="s">
        <v>594</v>
      </c>
      <c r="BB144" s="60"/>
      <c r="BC144" s="174"/>
      <c r="BD144" s="61" t="str">
        <f t="shared" si="142"/>
        <v xml:space="preserve"> </v>
      </c>
      <c r="BE144" s="218" t="str">
        <f t="shared" si="112"/>
        <v>-</v>
      </c>
      <c r="BF144" s="174"/>
      <c r="BG144" s="478" t="s">
        <v>594</v>
      </c>
      <c r="BH144" s="60"/>
      <c r="BI144" s="170" t="s">
        <v>38</v>
      </c>
      <c r="BJ144" s="61" t="str">
        <f t="shared" si="143"/>
        <v xml:space="preserve"> </v>
      </c>
      <c r="BK144" s="218" t="s">
        <v>593</v>
      </c>
      <c r="BL144" s="174"/>
      <c r="BM144" s="478" t="s">
        <v>594</v>
      </c>
      <c r="BN144" s="60"/>
      <c r="BO144" s="174"/>
      <c r="BP144" s="61" t="str">
        <f t="shared" si="144"/>
        <v xml:space="preserve"> </v>
      </c>
      <c r="BQ144" s="218" t="str">
        <f t="shared" si="113"/>
        <v>-</v>
      </c>
      <c r="BR144" s="174"/>
      <c r="BS144" s="478" t="s">
        <v>594</v>
      </c>
      <c r="BT144" s="60"/>
      <c r="BU144" s="170"/>
      <c r="BV144" s="61" t="str">
        <f t="shared" si="145"/>
        <v xml:space="preserve"> </v>
      </c>
      <c r="BW144" s="218" t="s">
        <v>593</v>
      </c>
      <c r="BX144" s="61"/>
      <c r="BY144" s="218" t="str">
        <f t="shared" si="114"/>
        <v>-</v>
      </c>
      <c r="BZ144" s="60"/>
      <c r="CA144" s="174"/>
      <c r="CB144" s="61" t="str">
        <f t="shared" si="146"/>
        <v xml:space="preserve"> </v>
      </c>
      <c r="CC144" s="218" t="str">
        <f t="shared" si="115"/>
        <v>-</v>
      </c>
      <c r="CD144" s="174"/>
      <c r="CE144" s="92" t="str">
        <f t="shared" si="133"/>
        <v>OK</v>
      </c>
      <c r="CF144" s="60"/>
      <c r="CG144" s="174"/>
      <c r="CH144" s="61" t="str">
        <f t="shared" si="147"/>
        <v xml:space="preserve"> </v>
      </c>
      <c r="CI144" s="218" t="str">
        <f t="shared" si="116"/>
        <v>-</v>
      </c>
      <c r="CJ144" s="174"/>
      <c r="CK144" s="92" t="str">
        <f t="shared" si="134"/>
        <v>OK</v>
      </c>
      <c r="CL144" s="60"/>
      <c r="CM144" s="174"/>
      <c r="CN144" s="61" t="str">
        <f t="shared" si="148"/>
        <v xml:space="preserve"> </v>
      </c>
      <c r="CO144" s="218" t="s">
        <v>593</v>
      </c>
      <c r="CP144" s="61"/>
      <c r="CQ144" s="218" t="str">
        <f t="shared" si="117"/>
        <v>-</v>
      </c>
      <c r="CR144" s="60"/>
      <c r="CS144" s="174"/>
      <c r="CT144" s="61" t="str">
        <f t="shared" si="149"/>
        <v xml:space="preserve"> </v>
      </c>
      <c r="CU144" s="218" t="str">
        <f t="shared" si="118"/>
        <v>-</v>
      </c>
      <c r="CV144" s="174"/>
      <c r="CW144" s="92" t="s">
        <v>593</v>
      </c>
      <c r="CX144" s="60"/>
      <c r="CY144" s="174"/>
      <c r="CZ144" s="61" t="str">
        <f t="shared" si="150"/>
        <v xml:space="preserve"> </v>
      </c>
      <c r="DA144" s="218" t="str">
        <f t="shared" si="119"/>
        <v>-</v>
      </c>
      <c r="DB144" s="174"/>
      <c r="DC144" s="92" t="s">
        <v>593</v>
      </c>
    </row>
    <row r="145" spans="1:107" s="26" customFormat="1">
      <c r="B145" s="65">
        <f t="shared" si="128"/>
        <v>138</v>
      </c>
      <c r="C145" s="7"/>
      <c r="D145" s="7"/>
      <c r="E145" s="7"/>
      <c r="F145" s="22" t="s">
        <v>166</v>
      </c>
      <c r="G145" s="16"/>
      <c r="H145" s="13"/>
      <c r="I145" s="8"/>
      <c r="J145" s="8"/>
      <c r="K145" s="8"/>
      <c r="L145" s="8"/>
      <c r="M145" s="11"/>
      <c r="N145" s="1"/>
      <c r="O145" s="57"/>
      <c r="P145" s="95">
        <f t="shared" si="135"/>
        <v>118</v>
      </c>
      <c r="Q145" s="115">
        <v>128</v>
      </c>
      <c r="R145" s="21" t="str">
        <f t="shared" si="136"/>
        <v>X</v>
      </c>
      <c r="S145" s="98" t="s">
        <v>167</v>
      </c>
      <c r="T145" s="96"/>
      <c r="U145" s="21" t="s">
        <v>435</v>
      </c>
      <c r="V145" s="10"/>
      <c r="W145" s="25">
        <v>3</v>
      </c>
      <c r="X145" s="1" t="s">
        <v>304</v>
      </c>
      <c r="Y145" s="1">
        <v>1</v>
      </c>
      <c r="Z145" s="1">
        <v>128</v>
      </c>
      <c r="AA145" s="8" t="s">
        <v>114</v>
      </c>
      <c r="AB145" s="8" t="s">
        <v>21</v>
      </c>
      <c r="AC145" s="12"/>
      <c r="AD145" s="60"/>
      <c r="AE145" s="169"/>
      <c r="AF145" s="61" t="str">
        <f t="shared" si="138"/>
        <v xml:space="preserve">                                                                                                                                </v>
      </c>
      <c r="AG145" s="218" t="str">
        <f t="shared" si="129"/>
        <v>-</v>
      </c>
      <c r="AH145" s="169"/>
      <c r="AI145" s="92" t="str">
        <f t="shared" si="131"/>
        <v>OK</v>
      </c>
      <c r="AJ145" s="60"/>
      <c r="AK145" s="169"/>
      <c r="AL145" s="61" t="str">
        <f t="shared" si="139"/>
        <v xml:space="preserve">                                                                                                                                </v>
      </c>
      <c r="AM145" s="218" t="str">
        <f t="shared" si="110"/>
        <v>-</v>
      </c>
      <c r="AN145" s="169"/>
      <c r="AO145" s="92" t="str">
        <f t="shared" si="132"/>
        <v>OK</v>
      </c>
      <c r="AP145" s="60"/>
      <c r="AQ145" s="172"/>
      <c r="AR145" s="61" t="str">
        <f t="shared" si="140"/>
        <v xml:space="preserve">                                                                                                                                </v>
      </c>
      <c r="AS145" s="218" t="s">
        <v>593</v>
      </c>
      <c r="AT145" s="61"/>
      <c r="AU145" s="218" t="str">
        <f t="shared" si="137"/>
        <v>-</v>
      </c>
      <c r="AV145" s="60"/>
      <c r="AW145" s="169"/>
      <c r="AX145" s="61" t="str">
        <f t="shared" si="141"/>
        <v xml:space="preserve">                                                                                                                                </v>
      </c>
      <c r="AY145" s="218" t="str">
        <f t="shared" si="111"/>
        <v>-</v>
      </c>
      <c r="AZ145" s="169"/>
      <c r="BA145" s="478" t="s">
        <v>594</v>
      </c>
      <c r="BB145" s="60"/>
      <c r="BC145" s="169"/>
      <c r="BD145" s="61" t="str">
        <f t="shared" si="142"/>
        <v xml:space="preserve">                                                                                                                                </v>
      </c>
      <c r="BE145" s="218" t="str">
        <f t="shared" si="112"/>
        <v>-</v>
      </c>
      <c r="BF145" s="169"/>
      <c r="BG145" s="478" t="s">
        <v>594</v>
      </c>
      <c r="BH145" s="60"/>
      <c r="BI145" s="170" t="s">
        <v>704</v>
      </c>
      <c r="BJ145" s="61" t="str">
        <f t="shared" si="143"/>
        <v xml:space="preserve">                                                                                                                                </v>
      </c>
      <c r="BK145" s="218" t="s">
        <v>593</v>
      </c>
      <c r="BL145" s="169"/>
      <c r="BM145" s="478" t="s">
        <v>594</v>
      </c>
      <c r="BN145" s="60"/>
      <c r="BO145" s="169"/>
      <c r="BP145" s="61" t="str">
        <f t="shared" si="144"/>
        <v xml:space="preserve">                                                                                                                                </v>
      </c>
      <c r="BQ145" s="218" t="str">
        <f t="shared" si="113"/>
        <v>-</v>
      </c>
      <c r="BR145" s="169"/>
      <c r="BS145" s="478" t="s">
        <v>594</v>
      </c>
      <c r="BT145" s="60"/>
      <c r="BU145" s="172"/>
      <c r="BV145" s="61" t="str">
        <f t="shared" si="145"/>
        <v xml:space="preserve">                                                                                                                                </v>
      </c>
      <c r="BW145" s="218" t="s">
        <v>593</v>
      </c>
      <c r="BX145" s="61"/>
      <c r="BY145" s="218" t="str">
        <f t="shared" si="114"/>
        <v>-</v>
      </c>
      <c r="BZ145" s="60"/>
      <c r="CA145" s="169"/>
      <c r="CB145" s="61" t="str">
        <f t="shared" si="146"/>
        <v xml:space="preserve">                                                                                                                                </v>
      </c>
      <c r="CC145" s="218" t="str">
        <f t="shared" si="115"/>
        <v>-</v>
      </c>
      <c r="CD145" s="169"/>
      <c r="CE145" s="92" t="str">
        <f t="shared" si="133"/>
        <v>OK</v>
      </c>
      <c r="CF145" s="60"/>
      <c r="CG145" s="169"/>
      <c r="CH145" s="61" t="str">
        <f t="shared" si="147"/>
        <v xml:space="preserve">                                                                                                                                </v>
      </c>
      <c r="CI145" s="218" t="str">
        <f t="shared" si="116"/>
        <v>-</v>
      </c>
      <c r="CJ145" s="169"/>
      <c r="CK145" s="92" t="str">
        <f t="shared" si="134"/>
        <v>OK</v>
      </c>
      <c r="CL145" s="60"/>
      <c r="CM145" s="169"/>
      <c r="CN145" s="61" t="str">
        <f t="shared" si="148"/>
        <v xml:space="preserve">                                                                                                                                </v>
      </c>
      <c r="CO145" s="218" t="s">
        <v>593</v>
      </c>
      <c r="CP145" s="61"/>
      <c r="CQ145" s="218" t="str">
        <f t="shared" si="117"/>
        <v>-</v>
      </c>
      <c r="CR145" s="60"/>
      <c r="CS145" s="169"/>
      <c r="CT145" s="61" t="str">
        <f t="shared" si="149"/>
        <v xml:space="preserve">                                                                                                                                </v>
      </c>
      <c r="CU145" s="218" t="str">
        <f t="shared" si="118"/>
        <v>-</v>
      </c>
      <c r="CV145" s="169"/>
      <c r="CW145" s="92" t="s">
        <v>593</v>
      </c>
      <c r="CX145" s="60"/>
      <c r="CY145" s="169"/>
      <c r="CZ145" s="61" t="str">
        <f t="shared" si="150"/>
        <v xml:space="preserve">                                                                                                                                </v>
      </c>
      <c r="DA145" s="218" t="str">
        <f t="shared" si="119"/>
        <v>-</v>
      </c>
      <c r="DB145" s="169"/>
      <c r="DC145" s="92" t="s">
        <v>593</v>
      </c>
    </row>
    <row r="146" spans="1:107" s="26" customFormat="1" ht="114.75">
      <c r="B146" s="65">
        <f t="shared" si="128"/>
        <v>139</v>
      </c>
      <c r="C146" s="7"/>
      <c r="D146" s="7"/>
      <c r="E146" s="7"/>
      <c r="F146" s="22" t="s">
        <v>168</v>
      </c>
      <c r="G146" s="16"/>
      <c r="H146" s="13"/>
      <c r="I146" s="8"/>
      <c r="J146" s="8"/>
      <c r="K146" s="8"/>
      <c r="L146" s="8"/>
      <c r="M146" s="11" t="s">
        <v>399</v>
      </c>
      <c r="N146" s="1"/>
      <c r="O146" s="57"/>
      <c r="P146" s="95">
        <f t="shared" si="135"/>
        <v>119</v>
      </c>
      <c r="Q146" s="115">
        <v>1</v>
      </c>
      <c r="R146" s="21" t="str">
        <f t="shared" si="136"/>
        <v>X</v>
      </c>
      <c r="S146" s="98" t="s">
        <v>169</v>
      </c>
      <c r="T146" s="96"/>
      <c r="U146" s="21" t="s">
        <v>435</v>
      </c>
      <c r="V146" s="10"/>
      <c r="W146" s="25">
        <v>3</v>
      </c>
      <c r="X146" s="1" t="s">
        <v>305</v>
      </c>
      <c r="Y146" s="1">
        <v>1</v>
      </c>
      <c r="Z146" s="1">
        <v>1</v>
      </c>
      <c r="AA146" s="8" t="s">
        <v>114</v>
      </c>
      <c r="AB146" s="8" t="s">
        <v>21</v>
      </c>
      <c r="AC146" s="104"/>
      <c r="AD146" s="60"/>
      <c r="AE146" s="174"/>
      <c r="AF146" s="61" t="str">
        <f t="shared" si="138"/>
        <v xml:space="preserve"> </v>
      </c>
      <c r="AG146" s="218" t="str">
        <f t="shared" si="129"/>
        <v>-</v>
      </c>
      <c r="AH146" s="174"/>
      <c r="AI146" s="92" t="str">
        <f t="shared" si="131"/>
        <v>OK</v>
      </c>
      <c r="AJ146" s="60"/>
      <c r="AK146" s="174"/>
      <c r="AL146" s="61" t="str">
        <f t="shared" si="139"/>
        <v xml:space="preserve"> </v>
      </c>
      <c r="AM146" s="218" t="str">
        <f t="shared" si="110"/>
        <v>-</v>
      </c>
      <c r="AN146" s="174"/>
      <c r="AO146" s="92" t="str">
        <f t="shared" si="132"/>
        <v>OK</v>
      </c>
      <c r="AP146" s="60"/>
      <c r="AQ146" s="170"/>
      <c r="AR146" s="61" t="str">
        <f t="shared" si="140"/>
        <v xml:space="preserve"> </v>
      </c>
      <c r="AS146" s="218" t="s">
        <v>593</v>
      </c>
      <c r="AT146" s="61"/>
      <c r="AU146" s="218" t="str">
        <f t="shared" si="137"/>
        <v>-</v>
      </c>
      <c r="AV146" s="60"/>
      <c r="AW146" s="174"/>
      <c r="AX146" s="61" t="str">
        <f t="shared" si="141"/>
        <v xml:space="preserve"> </v>
      </c>
      <c r="AY146" s="218" t="str">
        <f t="shared" si="111"/>
        <v>-</v>
      </c>
      <c r="AZ146" s="174"/>
      <c r="BA146" s="478" t="s">
        <v>594</v>
      </c>
      <c r="BB146" s="60"/>
      <c r="BC146" s="174"/>
      <c r="BD146" s="61" t="str">
        <f t="shared" si="142"/>
        <v xml:space="preserve"> </v>
      </c>
      <c r="BE146" s="218" t="str">
        <f t="shared" si="112"/>
        <v>-</v>
      </c>
      <c r="BF146" s="174"/>
      <c r="BG146" s="478" t="s">
        <v>594</v>
      </c>
      <c r="BH146" s="60"/>
      <c r="BI146" s="170" t="s">
        <v>38</v>
      </c>
      <c r="BJ146" s="61" t="str">
        <f t="shared" si="143"/>
        <v xml:space="preserve"> </v>
      </c>
      <c r="BK146" s="218" t="s">
        <v>593</v>
      </c>
      <c r="BL146" s="174"/>
      <c r="BM146" s="478" t="s">
        <v>594</v>
      </c>
      <c r="BN146" s="60"/>
      <c r="BO146" s="174"/>
      <c r="BP146" s="61" t="str">
        <f t="shared" si="144"/>
        <v xml:space="preserve"> </v>
      </c>
      <c r="BQ146" s="218" t="str">
        <f t="shared" si="113"/>
        <v>-</v>
      </c>
      <c r="BR146" s="174"/>
      <c r="BS146" s="478" t="s">
        <v>594</v>
      </c>
      <c r="BT146" s="60"/>
      <c r="BU146" s="170"/>
      <c r="BV146" s="61" t="str">
        <f t="shared" si="145"/>
        <v xml:space="preserve"> </v>
      </c>
      <c r="BW146" s="218" t="s">
        <v>593</v>
      </c>
      <c r="BX146" s="61"/>
      <c r="BY146" s="218" t="str">
        <f t="shared" si="114"/>
        <v>-</v>
      </c>
      <c r="BZ146" s="60"/>
      <c r="CA146" s="174"/>
      <c r="CB146" s="61" t="str">
        <f t="shared" si="146"/>
        <v xml:space="preserve"> </v>
      </c>
      <c r="CC146" s="218" t="str">
        <f t="shared" si="115"/>
        <v>-</v>
      </c>
      <c r="CD146" s="174"/>
      <c r="CE146" s="92" t="str">
        <f t="shared" si="133"/>
        <v>OK</v>
      </c>
      <c r="CF146" s="60"/>
      <c r="CG146" s="174"/>
      <c r="CH146" s="61" t="str">
        <f t="shared" si="147"/>
        <v xml:space="preserve"> </v>
      </c>
      <c r="CI146" s="218" t="str">
        <f t="shared" si="116"/>
        <v>-</v>
      </c>
      <c r="CJ146" s="174"/>
      <c r="CK146" s="92" t="str">
        <f t="shared" si="134"/>
        <v>OK</v>
      </c>
      <c r="CL146" s="60"/>
      <c r="CM146" s="174"/>
      <c r="CN146" s="61" t="str">
        <f t="shared" si="148"/>
        <v xml:space="preserve"> </v>
      </c>
      <c r="CO146" s="218" t="s">
        <v>593</v>
      </c>
      <c r="CP146" s="61"/>
      <c r="CQ146" s="218" t="str">
        <f t="shared" si="117"/>
        <v>-</v>
      </c>
      <c r="CR146" s="60"/>
      <c r="CS146" s="174"/>
      <c r="CT146" s="61" t="str">
        <f t="shared" si="149"/>
        <v xml:space="preserve"> </v>
      </c>
      <c r="CU146" s="218" t="str">
        <f t="shared" si="118"/>
        <v>-</v>
      </c>
      <c r="CV146" s="174"/>
      <c r="CW146" s="92" t="s">
        <v>593</v>
      </c>
      <c r="CX146" s="60"/>
      <c r="CY146" s="174"/>
      <c r="CZ146" s="61" t="str">
        <f t="shared" si="150"/>
        <v xml:space="preserve"> </v>
      </c>
      <c r="DA146" s="218" t="str">
        <f t="shared" si="119"/>
        <v>-</v>
      </c>
      <c r="DB146" s="174"/>
      <c r="DC146" s="92" t="s">
        <v>593</v>
      </c>
    </row>
    <row r="147" spans="1:107" s="26" customFormat="1" ht="127.5">
      <c r="B147" s="65">
        <f t="shared" si="128"/>
        <v>140</v>
      </c>
      <c r="C147" s="7"/>
      <c r="D147" s="7"/>
      <c r="E147" s="7"/>
      <c r="F147" s="22" t="s">
        <v>170</v>
      </c>
      <c r="G147" s="16"/>
      <c r="H147" s="13"/>
      <c r="I147" s="8"/>
      <c r="J147" s="8" t="s">
        <v>426</v>
      </c>
      <c r="K147" s="8"/>
      <c r="L147" s="8"/>
      <c r="M147" s="418" t="s">
        <v>451</v>
      </c>
      <c r="N147" s="1"/>
      <c r="O147" s="57"/>
      <c r="P147" s="95">
        <f t="shared" si="135"/>
        <v>120</v>
      </c>
      <c r="Q147" s="115">
        <v>1</v>
      </c>
      <c r="R147" s="21" t="str">
        <f t="shared" si="136"/>
        <v>X</v>
      </c>
      <c r="S147" s="98" t="s">
        <v>171</v>
      </c>
      <c r="T147" s="96"/>
      <c r="U147" s="21" t="s">
        <v>435</v>
      </c>
      <c r="V147" s="10"/>
      <c r="W147" s="25">
        <v>3</v>
      </c>
      <c r="X147" s="1" t="s">
        <v>306</v>
      </c>
      <c r="Y147" s="1">
        <v>1</v>
      </c>
      <c r="Z147" s="1">
        <v>1</v>
      </c>
      <c r="AA147" s="8" t="s">
        <v>114</v>
      </c>
      <c r="AB147" s="8" t="s">
        <v>21</v>
      </c>
      <c r="AC147" s="104"/>
      <c r="AD147" s="60"/>
      <c r="AE147" s="174"/>
      <c r="AF147" s="61" t="str">
        <f t="shared" si="138"/>
        <v xml:space="preserve"> </v>
      </c>
      <c r="AG147" s="218" t="str">
        <f t="shared" si="129"/>
        <v>-</v>
      </c>
      <c r="AH147" s="174"/>
      <c r="AI147" s="92" t="str">
        <f t="shared" si="131"/>
        <v>OK</v>
      </c>
      <c r="AJ147" s="60"/>
      <c r="AK147" s="174"/>
      <c r="AL147" s="61" t="str">
        <f t="shared" si="139"/>
        <v xml:space="preserve"> </v>
      </c>
      <c r="AM147" s="218" t="str">
        <f t="shared" si="110"/>
        <v>-</v>
      </c>
      <c r="AN147" s="174"/>
      <c r="AO147" s="92" t="str">
        <f t="shared" si="132"/>
        <v>OK</v>
      </c>
      <c r="AP147" s="60"/>
      <c r="AQ147" s="170"/>
      <c r="AR147" s="61" t="str">
        <f t="shared" si="140"/>
        <v xml:space="preserve"> </v>
      </c>
      <c r="AS147" s="218" t="s">
        <v>593</v>
      </c>
      <c r="AT147" s="61"/>
      <c r="AU147" s="218" t="str">
        <f t="shared" si="137"/>
        <v>-</v>
      </c>
      <c r="AV147" s="60"/>
      <c r="AW147" s="174" t="s">
        <v>33</v>
      </c>
      <c r="AX147" s="61" t="str">
        <f t="shared" si="141"/>
        <v>1</v>
      </c>
      <c r="AY147" s="218" t="str">
        <f t="shared" si="111"/>
        <v>-</v>
      </c>
      <c r="AZ147" s="174" t="s">
        <v>33</v>
      </c>
      <c r="BA147" s="478" t="s">
        <v>594</v>
      </c>
      <c r="BB147" s="60"/>
      <c r="BC147" s="174" t="s">
        <v>33</v>
      </c>
      <c r="BD147" s="61" t="str">
        <f t="shared" si="142"/>
        <v>1</v>
      </c>
      <c r="BE147" s="218" t="str">
        <f t="shared" si="112"/>
        <v>-</v>
      </c>
      <c r="BF147" s="174" t="s">
        <v>33</v>
      </c>
      <c r="BG147" s="478" t="s">
        <v>594</v>
      </c>
      <c r="BH147" s="60"/>
      <c r="BI147" s="170" t="s">
        <v>33</v>
      </c>
      <c r="BJ147" s="61" t="str">
        <f t="shared" si="143"/>
        <v>1</v>
      </c>
      <c r="BK147" s="218" t="s">
        <v>593</v>
      </c>
      <c r="BL147" s="174" t="s">
        <v>33</v>
      </c>
      <c r="BM147" s="478" t="s">
        <v>594</v>
      </c>
      <c r="BN147" s="60"/>
      <c r="BO147" s="174" t="s">
        <v>33</v>
      </c>
      <c r="BP147" s="61" t="str">
        <f t="shared" si="144"/>
        <v>1</v>
      </c>
      <c r="BQ147" s="218" t="str">
        <f t="shared" si="113"/>
        <v>-</v>
      </c>
      <c r="BR147" s="174" t="s">
        <v>33</v>
      </c>
      <c r="BS147" s="478" t="s">
        <v>594</v>
      </c>
      <c r="BT147" s="60"/>
      <c r="BU147" s="170"/>
      <c r="BV147" s="61" t="str">
        <f t="shared" si="145"/>
        <v xml:space="preserve"> </v>
      </c>
      <c r="BW147" s="218" t="s">
        <v>593</v>
      </c>
      <c r="BX147" s="61"/>
      <c r="BY147" s="218" t="str">
        <f t="shared" si="114"/>
        <v>-</v>
      </c>
      <c r="BZ147" s="60"/>
      <c r="CA147" s="174"/>
      <c r="CB147" s="61" t="str">
        <f t="shared" si="146"/>
        <v xml:space="preserve"> </v>
      </c>
      <c r="CC147" s="218" t="str">
        <f t="shared" si="115"/>
        <v>-</v>
      </c>
      <c r="CD147" s="174"/>
      <c r="CE147" s="92" t="str">
        <f t="shared" si="133"/>
        <v>OK</v>
      </c>
      <c r="CF147" s="60"/>
      <c r="CG147" s="174"/>
      <c r="CH147" s="61" t="str">
        <f t="shared" si="147"/>
        <v xml:space="preserve"> </v>
      </c>
      <c r="CI147" s="218" t="str">
        <f t="shared" si="116"/>
        <v>-</v>
      </c>
      <c r="CJ147" s="174"/>
      <c r="CK147" s="92" t="str">
        <f t="shared" si="134"/>
        <v>OK</v>
      </c>
      <c r="CL147" s="60"/>
      <c r="CM147" s="174"/>
      <c r="CN147" s="61" t="str">
        <f t="shared" si="148"/>
        <v xml:space="preserve"> </v>
      </c>
      <c r="CO147" s="218" t="s">
        <v>593</v>
      </c>
      <c r="CP147" s="61"/>
      <c r="CQ147" s="218" t="str">
        <f t="shared" si="117"/>
        <v>-</v>
      </c>
      <c r="CR147" s="60"/>
      <c r="CS147" s="174"/>
      <c r="CT147" s="61" t="str">
        <f t="shared" si="149"/>
        <v xml:space="preserve"> </v>
      </c>
      <c r="CU147" s="218" t="str">
        <f t="shared" si="118"/>
        <v>-</v>
      </c>
      <c r="CV147" s="174"/>
      <c r="CW147" s="92" t="s">
        <v>593</v>
      </c>
      <c r="CX147" s="60"/>
      <c r="CY147" s="174"/>
      <c r="CZ147" s="61" t="str">
        <f t="shared" si="150"/>
        <v xml:space="preserve"> </v>
      </c>
      <c r="DA147" s="218" t="str">
        <f t="shared" si="119"/>
        <v>-</v>
      </c>
      <c r="DB147" s="174"/>
      <c r="DC147" s="92" t="s">
        <v>593</v>
      </c>
    </row>
    <row r="148" spans="1:107" s="26" customFormat="1" ht="319.5" customHeight="1">
      <c r="B148" s="65">
        <f t="shared" si="128"/>
        <v>141</v>
      </c>
      <c r="C148" s="7"/>
      <c r="D148" s="7"/>
      <c r="E148" s="54"/>
      <c r="F148" s="113" t="s">
        <v>452</v>
      </c>
      <c r="G148" s="67"/>
      <c r="H148" s="62"/>
      <c r="I148" s="8"/>
      <c r="J148" s="8" t="s">
        <v>426</v>
      </c>
      <c r="K148" s="8"/>
      <c r="L148" s="8"/>
      <c r="M148" s="415" t="s">
        <v>453</v>
      </c>
      <c r="N148" s="16"/>
      <c r="O148" s="57"/>
      <c r="P148" s="95">
        <f t="shared" si="135"/>
        <v>121</v>
      </c>
      <c r="Q148" s="115">
        <v>2</v>
      </c>
      <c r="R148" s="21" t="str">
        <f t="shared" si="136"/>
        <v>X</v>
      </c>
      <c r="S148" s="98" t="s">
        <v>172</v>
      </c>
      <c r="T148" s="96"/>
      <c r="U148" s="21" t="s">
        <v>435</v>
      </c>
      <c r="V148" s="10"/>
      <c r="W148" s="25">
        <v>3</v>
      </c>
      <c r="X148" s="1" t="s">
        <v>308</v>
      </c>
      <c r="Y148" s="1">
        <v>2</v>
      </c>
      <c r="Z148" s="1">
        <v>2</v>
      </c>
      <c r="AA148" s="8" t="s">
        <v>261</v>
      </c>
      <c r="AB148" s="8" t="s">
        <v>257</v>
      </c>
      <c r="AC148" s="68"/>
      <c r="AD148" s="60"/>
      <c r="AE148" s="174"/>
      <c r="AF148" s="273" t="str">
        <f t="shared" si="138"/>
        <v xml:space="preserve">  </v>
      </c>
      <c r="AG148" s="218" t="str">
        <f t="shared" si="129"/>
        <v>-</v>
      </c>
      <c r="AH148" s="174"/>
      <c r="AI148" s="92" t="str">
        <f t="shared" si="131"/>
        <v>OK</v>
      </c>
      <c r="AJ148" s="60"/>
      <c r="AK148" s="174"/>
      <c r="AL148" s="273" t="str">
        <f t="shared" si="139"/>
        <v xml:space="preserve">  </v>
      </c>
      <c r="AM148" s="218" t="str">
        <f t="shared" si="110"/>
        <v>-</v>
      </c>
      <c r="AN148" s="174"/>
      <c r="AO148" s="92" t="str">
        <f t="shared" si="132"/>
        <v>OK</v>
      </c>
      <c r="AP148" s="60"/>
      <c r="AQ148" s="170"/>
      <c r="AR148" s="273" t="str">
        <f t="shared" si="140"/>
        <v xml:space="preserve">  </v>
      </c>
      <c r="AS148" s="218" t="s">
        <v>593</v>
      </c>
      <c r="AT148" s="273"/>
      <c r="AU148" s="218" t="str">
        <f t="shared" si="137"/>
        <v>-</v>
      </c>
      <c r="AV148" s="60"/>
      <c r="AW148" s="174" t="s">
        <v>196</v>
      </c>
      <c r="AX148" s="273" t="str">
        <f t="shared" si="141"/>
        <v>C2</v>
      </c>
      <c r="AY148" s="218" t="str">
        <f t="shared" si="111"/>
        <v>-</v>
      </c>
      <c r="AZ148" s="174" t="s">
        <v>196</v>
      </c>
      <c r="BA148" s="92" t="str">
        <f>IF(EXACT(AW148,AZ148),"OK","NG")</f>
        <v>OK</v>
      </c>
      <c r="BB148" s="60"/>
      <c r="BC148" s="174" t="s">
        <v>117</v>
      </c>
      <c r="BD148" s="273" t="str">
        <f t="shared" si="142"/>
        <v>B1</v>
      </c>
      <c r="BE148" s="218" t="str">
        <f t="shared" si="112"/>
        <v>-</v>
      </c>
      <c r="BF148" s="174" t="s">
        <v>117</v>
      </c>
      <c r="BG148" s="92" t="str">
        <f>IF(EXACT(BC148,BF148),"OK","NG")</f>
        <v>OK</v>
      </c>
      <c r="BH148" s="60"/>
      <c r="BI148" s="170" t="s">
        <v>196</v>
      </c>
      <c r="BJ148" s="273" t="str">
        <f t="shared" si="143"/>
        <v>C2</v>
      </c>
      <c r="BK148" s="218" t="s">
        <v>593</v>
      </c>
      <c r="BL148" s="174" t="s">
        <v>196</v>
      </c>
      <c r="BM148" s="92" t="str">
        <f>IF(EXACT(BI148,BL148),"OK","NG")</f>
        <v>OK</v>
      </c>
      <c r="BN148" s="60"/>
      <c r="BO148" s="174" t="s">
        <v>117</v>
      </c>
      <c r="BP148" s="273" t="str">
        <f t="shared" si="144"/>
        <v>B1</v>
      </c>
      <c r="BQ148" s="218" t="str">
        <f t="shared" si="113"/>
        <v>-</v>
      </c>
      <c r="BR148" s="174" t="s">
        <v>117</v>
      </c>
      <c r="BS148" s="92" t="str">
        <f>IF(EXACT(BO148,BR148),"OK","NG")</f>
        <v>OK</v>
      </c>
      <c r="BT148" s="60"/>
      <c r="BU148" s="170"/>
      <c r="BV148" s="273" t="str">
        <f t="shared" si="145"/>
        <v xml:space="preserve">  </v>
      </c>
      <c r="BW148" s="218" t="s">
        <v>593</v>
      </c>
      <c r="BX148" s="273"/>
      <c r="BY148" s="218" t="str">
        <f t="shared" si="114"/>
        <v>-</v>
      </c>
      <c r="BZ148" s="60"/>
      <c r="CA148" s="174"/>
      <c r="CB148" s="273" t="str">
        <f t="shared" si="146"/>
        <v xml:space="preserve">  </v>
      </c>
      <c r="CC148" s="218" t="str">
        <f t="shared" si="115"/>
        <v>-</v>
      </c>
      <c r="CD148" s="174"/>
      <c r="CE148" s="92" t="str">
        <f t="shared" si="133"/>
        <v>OK</v>
      </c>
      <c r="CF148" s="60"/>
      <c r="CG148" s="174"/>
      <c r="CH148" s="273" t="str">
        <f t="shared" si="147"/>
        <v xml:space="preserve">  </v>
      </c>
      <c r="CI148" s="218" t="str">
        <f t="shared" si="116"/>
        <v>-</v>
      </c>
      <c r="CJ148" s="174"/>
      <c r="CK148" s="92" t="str">
        <f t="shared" si="134"/>
        <v>OK</v>
      </c>
      <c r="CL148" s="60"/>
      <c r="CM148" s="174"/>
      <c r="CN148" s="273" t="str">
        <f t="shared" si="148"/>
        <v xml:space="preserve">  </v>
      </c>
      <c r="CO148" s="218" t="s">
        <v>593</v>
      </c>
      <c r="CP148" s="273"/>
      <c r="CQ148" s="218" t="str">
        <f t="shared" si="117"/>
        <v>-</v>
      </c>
      <c r="CR148" s="60"/>
      <c r="CS148" s="174"/>
      <c r="CT148" s="273" t="str">
        <f t="shared" si="149"/>
        <v xml:space="preserve">  </v>
      </c>
      <c r="CU148" s="218" t="str">
        <f t="shared" si="118"/>
        <v>-</v>
      </c>
      <c r="CV148" s="174"/>
      <c r="CW148" s="92" t="s">
        <v>593</v>
      </c>
      <c r="CX148" s="60"/>
      <c r="CY148" s="174"/>
      <c r="CZ148" s="273" t="str">
        <f t="shared" si="150"/>
        <v xml:space="preserve">  </v>
      </c>
      <c r="DA148" s="218" t="str">
        <f t="shared" si="119"/>
        <v>-</v>
      </c>
      <c r="DB148" s="174"/>
      <c r="DC148" s="92" t="s">
        <v>593</v>
      </c>
    </row>
    <row r="149" spans="1:107" s="26" customFormat="1" ht="25.5">
      <c r="B149" s="65">
        <f t="shared" si="128"/>
        <v>142</v>
      </c>
      <c r="C149" s="7"/>
      <c r="D149" s="7"/>
      <c r="E149" s="54"/>
      <c r="F149" s="66" t="s">
        <v>173</v>
      </c>
      <c r="G149" s="67"/>
      <c r="H149" s="62"/>
      <c r="I149" s="8"/>
      <c r="J149" s="8"/>
      <c r="K149" s="8"/>
      <c r="L149" s="8"/>
      <c r="M149" s="11" t="s">
        <v>354</v>
      </c>
      <c r="N149" s="16"/>
      <c r="O149" s="57"/>
      <c r="P149" s="95">
        <f t="shared" si="135"/>
        <v>122</v>
      </c>
      <c r="Q149" s="115">
        <v>7</v>
      </c>
      <c r="R149" s="21" t="str">
        <f t="shared" si="136"/>
        <v>X</v>
      </c>
      <c r="S149" s="98" t="s">
        <v>174</v>
      </c>
      <c r="T149" s="96"/>
      <c r="U149" s="21" t="s">
        <v>257</v>
      </c>
      <c r="V149" s="10"/>
      <c r="W149" s="25">
        <v>3</v>
      </c>
      <c r="X149" s="1" t="s">
        <v>309</v>
      </c>
      <c r="Y149" s="1">
        <v>7</v>
      </c>
      <c r="Z149" s="1">
        <v>7</v>
      </c>
      <c r="AA149" s="8" t="s">
        <v>261</v>
      </c>
      <c r="AB149" s="8" t="s">
        <v>257</v>
      </c>
      <c r="AC149" s="105"/>
      <c r="AD149" s="60"/>
      <c r="AE149" s="169"/>
      <c r="AF149" s="61" t="str">
        <f t="shared" si="138"/>
        <v xml:space="preserve">       </v>
      </c>
      <c r="AG149" s="218" t="str">
        <f t="shared" si="129"/>
        <v>-</v>
      </c>
      <c r="AH149" s="169"/>
      <c r="AI149" s="92" t="str">
        <f t="shared" si="131"/>
        <v>OK</v>
      </c>
      <c r="AJ149" s="60"/>
      <c r="AK149" s="169"/>
      <c r="AL149" s="61" t="str">
        <f t="shared" si="139"/>
        <v xml:space="preserve">       </v>
      </c>
      <c r="AM149" s="218" t="str">
        <f t="shared" si="110"/>
        <v>-</v>
      </c>
      <c r="AN149" s="169"/>
      <c r="AO149" s="92" t="str">
        <f t="shared" si="132"/>
        <v>OK</v>
      </c>
      <c r="AP149" s="60"/>
      <c r="AQ149" s="172"/>
      <c r="AR149" s="61" t="str">
        <f t="shared" si="140"/>
        <v xml:space="preserve">       </v>
      </c>
      <c r="AS149" s="218" t="s">
        <v>593</v>
      </c>
      <c r="AT149" s="61"/>
      <c r="AU149" s="218" t="str">
        <f t="shared" si="137"/>
        <v>-</v>
      </c>
      <c r="AV149" s="60"/>
      <c r="AW149" s="169"/>
      <c r="AX149" s="61" t="str">
        <f t="shared" si="141"/>
        <v xml:space="preserve">       </v>
      </c>
      <c r="AY149" s="218" t="str">
        <f t="shared" si="111"/>
        <v>-</v>
      </c>
      <c r="AZ149" s="169"/>
      <c r="BA149" s="478" t="s">
        <v>594</v>
      </c>
      <c r="BB149" s="60"/>
      <c r="BC149" s="169"/>
      <c r="BD149" s="61" t="str">
        <f t="shared" si="142"/>
        <v xml:space="preserve">       </v>
      </c>
      <c r="BE149" s="218" t="str">
        <f t="shared" si="112"/>
        <v>-</v>
      </c>
      <c r="BF149" s="169"/>
      <c r="BG149" s="478" t="s">
        <v>594</v>
      </c>
      <c r="BH149" s="60"/>
      <c r="BI149" s="170" t="s">
        <v>705</v>
      </c>
      <c r="BJ149" s="61" t="str">
        <f t="shared" si="143"/>
        <v xml:space="preserve">       </v>
      </c>
      <c r="BK149" s="218" t="s">
        <v>593</v>
      </c>
      <c r="BL149" s="169"/>
      <c r="BM149" s="478" t="s">
        <v>594</v>
      </c>
      <c r="BN149" s="60"/>
      <c r="BO149" s="169"/>
      <c r="BP149" s="61" t="str">
        <f t="shared" si="144"/>
        <v xml:space="preserve">       </v>
      </c>
      <c r="BQ149" s="218" t="str">
        <f t="shared" si="113"/>
        <v>-</v>
      </c>
      <c r="BR149" s="169"/>
      <c r="BS149" s="478" t="s">
        <v>594</v>
      </c>
      <c r="BT149" s="60"/>
      <c r="BU149" s="172"/>
      <c r="BV149" s="61" t="str">
        <f t="shared" si="145"/>
        <v xml:space="preserve">       </v>
      </c>
      <c r="BW149" s="218" t="s">
        <v>593</v>
      </c>
      <c r="BX149" s="61"/>
      <c r="BY149" s="218" t="str">
        <f t="shared" si="114"/>
        <v>-</v>
      </c>
      <c r="BZ149" s="60"/>
      <c r="CA149" s="169"/>
      <c r="CB149" s="61" t="str">
        <f t="shared" si="146"/>
        <v xml:space="preserve">       </v>
      </c>
      <c r="CC149" s="218" t="str">
        <f t="shared" si="115"/>
        <v>-</v>
      </c>
      <c r="CD149" s="169"/>
      <c r="CE149" s="92" t="str">
        <f t="shared" si="133"/>
        <v>OK</v>
      </c>
      <c r="CF149" s="60"/>
      <c r="CG149" s="169"/>
      <c r="CH149" s="61" t="str">
        <f t="shared" si="147"/>
        <v xml:space="preserve">       </v>
      </c>
      <c r="CI149" s="218" t="str">
        <f t="shared" si="116"/>
        <v>-</v>
      </c>
      <c r="CJ149" s="169"/>
      <c r="CK149" s="92" t="str">
        <f t="shared" si="134"/>
        <v>OK</v>
      </c>
      <c r="CL149" s="60"/>
      <c r="CM149" s="169"/>
      <c r="CN149" s="61" t="str">
        <f t="shared" si="148"/>
        <v xml:space="preserve">       </v>
      </c>
      <c r="CO149" s="218" t="s">
        <v>593</v>
      </c>
      <c r="CP149" s="61"/>
      <c r="CQ149" s="218" t="str">
        <f t="shared" si="117"/>
        <v>-</v>
      </c>
      <c r="CR149" s="60"/>
      <c r="CS149" s="169"/>
      <c r="CT149" s="61" t="str">
        <f t="shared" si="149"/>
        <v xml:space="preserve">       </v>
      </c>
      <c r="CU149" s="218" t="str">
        <f t="shared" si="118"/>
        <v>-</v>
      </c>
      <c r="CV149" s="169"/>
      <c r="CW149" s="92" t="s">
        <v>593</v>
      </c>
      <c r="CX149" s="60"/>
      <c r="CY149" s="169"/>
      <c r="CZ149" s="61" t="str">
        <f t="shared" si="150"/>
        <v xml:space="preserve">       </v>
      </c>
      <c r="DA149" s="218" t="str">
        <f t="shared" si="119"/>
        <v>-</v>
      </c>
      <c r="DB149" s="169"/>
      <c r="DC149" s="92" t="s">
        <v>593</v>
      </c>
    </row>
    <row r="150" spans="1:107" s="81" customFormat="1" ht="25.5">
      <c r="B150" s="65">
        <f t="shared" si="128"/>
        <v>143</v>
      </c>
      <c r="C150" s="69"/>
      <c r="D150" s="69"/>
      <c r="E150" s="70"/>
      <c r="F150" s="71" t="s">
        <v>355</v>
      </c>
      <c r="G150" s="72"/>
      <c r="H150" s="73"/>
      <c r="I150" s="74"/>
      <c r="J150" s="74"/>
      <c r="K150" s="75"/>
      <c r="L150" s="75"/>
      <c r="M150" s="84" t="s">
        <v>354</v>
      </c>
      <c r="N150" s="76"/>
      <c r="O150" s="77"/>
      <c r="P150" s="95">
        <f t="shared" si="135"/>
        <v>123</v>
      </c>
      <c r="Q150" s="119">
        <v>10</v>
      </c>
      <c r="R150" s="21" t="str">
        <f t="shared" si="136"/>
        <v>X</v>
      </c>
      <c r="S150" s="98" t="s">
        <v>175</v>
      </c>
      <c r="T150" s="106"/>
      <c r="U150" s="21" t="s">
        <v>257</v>
      </c>
      <c r="V150" s="77"/>
      <c r="W150" s="78">
        <v>3</v>
      </c>
      <c r="X150" s="56" t="s">
        <v>176</v>
      </c>
      <c r="Y150" s="56">
        <v>10</v>
      </c>
      <c r="Z150" s="56">
        <v>10</v>
      </c>
      <c r="AA150" s="74" t="s">
        <v>114</v>
      </c>
      <c r="AB150" s="74" t="s">
        <v>21</v>
      </c>
      <c r="AC150" s="105"/>
      <c r="AD150" s="79"/>
      <c r="AE150" s="481"/>
      <c r="AF150" s="80" t="str">
        <f t="shared" si="138"/>
        <v xml:space="preserve">          </v>
      </c>
      <c r="AG150" s="218" t="str">
        <f t="shared" si="129"/>
        <v>-</v>
      </c>
      <c r="AH150" s="274"/>
      <c r="AI150" s="92" t="str">
        <f t="shared" si="131"/>
        <v>OK</v>
      </c>
      <c r="AJ150" s="79"/>
      <c r="AK150" s="481"/>
      <c r="AL150" s="80" t="str">
        <f t="shared" si="139"/>
        <v xml:space="preserve">          </v>
      </c>
      <c r="AM150" s="218" t="str">
        <f t="shared" si="110"/>
        <v>-</v>
      </c>
      <c r="AN150" s="274"/>
      <c r="AO150" s="92" t="str">
        <f t="shared" si="132"/>
        <v>OK</v>
      </c>
      <c r="AP150" s="79"/>
      <c r="AQ150" s="512"/>
      <c r="AR150" s="80" t="str">
        <f t="shared" si="140"/>
        <v xml:space="preserve">          </v>
      </c>
      <c r="AS150" s="218" t="s">
        <v>593</v>
      </c>
      <c r="AT150" s="80"/>
      <c r="AU150" s="218" t="str">
        <f t="shared" si="137"/>
        <v>-</v>
      </c>
      <c r="AV150" s="79"/>
      <c r="AW150" s="481"/>
      <c r="AX150" s="80" t="str">
        <f t="shared" si="141"/>
        <v xml:space="preserve">          </v>
      </c>
      <c r="AY150" s="218" t="str">
        <f t="shared" si="111"/>
        <v>-</v>
      </c>
      <c r="AZ150" s="274"/>
      <c r="BA150" s="478" t="s">
        <v>594</v>
      </c>
      <c r="BB150" s="79"/>
      <c r="BC150" s="481"/>
      <c r="BD150" s="80" t="str">
        <f t="shared" si="142"/>
        <v xml:space="preserve">          </v>
      </c>
      <c r="BE150" s="218" t="str">
        <f t="shared" si="112"/>
        <v>-</v>
      </c>
      <c r="BF150" s="274"/>
      <c r="BG150" s="478" t="s">
        <v>594</v>
      </c>
      <c r="BH150" s="79"/>
      <c r="BI150" s="508" t="s">
        <v>706</v>
      </c>
      <c r="BJ150" s="80" t="str">
        <f t="shared" si="143"/>
        <v xml:space="preserve">          </v>
      </c>
      <c r="BK150" s="218" t="s">
        <v>593</v>
      </c>
      <c r="BL150" s="274"/>
      <c r="BM150" s="478" t="s">
        <v>594</v>
      </c>
      <c r="BN150" s="79"/>
      <c r="BO150" s="481"/>
      <c r="BP150" s="80" t="str">
        <f t="shared" si="144"/>
        <v xml:space="preserve">          </v>
      </c>
      <c r="BQ150" s="218" t="str">
        <f t="shared" si="113"/>
        <v>-</v>
      </c>
      <c r="BR150" s="274"/>
      <c r="BS150" s="478" t="s">
        <v>594</v>
      </c>
      <c r="BT150" s="79"/>
      <c r="BU150" s="512"/>
      <c r="BV150" s="80" t="str">
        <f t="shared" si="145"/>
        <v xml:space="preserve">          </v>
      </c>
      <c r="BW150" s="218" t="s">
        <v>593</v>
      </c>
      <c r="BX150" s="80"/>
      <c r="BY150" s="218" t="str">
        <f t="shared" si="114"/>
        <v>-</v>
      </c>
      <c r="BZ150" s="79"/>
      <c r="CA150" s="481"/>
      <c r="CB150" s="80" t="str">
        <f t="shared" si="146"/>
        <v xml:space="preserve">          </v>
      </c>
      <c r="CC150" s="218" t="str">
        <f t="shared" si="115"/>
        <v>-</v>
      </c>
      <c r="CD150" s="274"/>
      <c r="CE150" s="92" t="str">
        <f t="shared" si="133"/>
        <v>OK</v>
      </c>
      <c r="CF150" s="79"/>
      <c r="CG150" s="481"/>
      <c r="CH150" s="80" t="str">
        <f t="shared" si="147"/>
        <v xml:space="preserve">          </v>
      </c>
      <c r="CI150" s="218" t="str">
        <f t="shared" si="116"/>
        <v>-</v>
      </c>
      <c r="CJ150" s="274"/>
      <c r="CK150" s="92" t="str">
        <f t="shared" si="134"/>
        <v>OK</v>
      </c>
      <c r="CL150" s="79"/>
      <c r="CM150" s="481"/>
      <c r="CN150" s="80" t="str">
        <f t="shared" si="148"/>
        <v xml:space="preserve">          </v>
      </c>
      <c r="CO150" s="218" t="s">
        <v>593</v>
      </c>
      <c r="CP150" s="80"/>
      <c r="CQ150" s="218" t="str">
        <f t="shared" si="117"/>
        <v>-</v>
      </c>
      <c r="CR150" s="79"/>
      <c r="CS150" s="481"/>
      <c r="CT150" s="80" t="str">
        <f t="shared" si="149"/>
        <v xml:space="preserve">          </v>
      </c>
      <c r="CU150" s="218" t="str">
        <f t="shared" si="118"/>
        <v>-</v>
      </c>
      <c r="CV150" s="274"/>
      <c r="CW150" s="92" t="s">
        <v>593</v>
      </c>
      <c r="CX150" s="79"/>
      <c r="CY150" s="481"/>
      <c r="CZ150" s="80" t="str">
        <f t="shared" si="150"/>
        <v xml:space="preserve">          </v>
      </c>
      <c r="DA150" s="218" t="str">
        <f t="shared" si="119"/>
        <v>-</v>
      </c>
      <c r="DB150" s="274"/>
      <c r="DC150" s="92" t="s">
        <v>593</v>
      </c>
    </row>
    <row r="151" spans="1:107" s="81" customFormat="1" ht="25.5">
      <c r="B151" s="65">
        <f t="shared" ref="B151:B214" si="151">ROW()-7</f>
        <v>144</v>
      </c>
      <c r="C151" s="69"/>
      <c r="D151" s="69"/>
      <c r="E151" s="69"/>
      <c r="F151" s="82" t="s">
        <v>177</v>
      </c>
      <c r="G151" s="14"/>
      <c r="H151" s="83"/>
      <c r="I151" s="74"/>
      <c r="J151" s="74"/>
      <c r="K151" s="75"/>
      <c r="L151" s="75"/>
      <c r="M151" s="84" t="s">
        <v>354</v>
      </c>
      <c r="N151" s="76"/>
      <c r="O151" s="77"/>
      <c r="P151" s="95">
        <f t="shared" si="135"/>
        <v>124</v>
      </c>
      <c r="Q151" s="119">
        <v>3</v>
      </c>
      <c r="R151" s="21" t="str">
        <f t="shared" si="136"/>
        <v>X</v>
      </c>
      <c r="S151" s="98" t="s">
        <v>178</v>
      </c>
      <c r="T151" s="106"/>
      <c r="U151" s="21" t="s">
        <v>257</v>
      </c>
      <c r="V151" s="77"/>
      <c r="W151" s="78">
        <v>3</v>
      </c>
      <c r="X151" s="56" t="s">
        <v>179</v>
      </c>
      <c r="Y151" s="56">
        <v>3</v>
      </c>
      <c r="Z151" s="56">
        <v>3</v>
      </c>
      <c r="AA151" s="74" t="s">
        <v>114</v>
      </c>
      <c r="AB151" s="74" t="s">
        <v>21</v>
      </c>
      <c r="AC151" s="105"/>
      <c r="AD151" s="79"/>
      <c r="AE151" s="481"/>
      <c r="AF151" s="80" t="str">
        <f t="shared" si="138"/>
        <v xml:space="preserve">   </v>
      </c>
      <c r="AG151" s="218" t="str">
        <f t="shared" si="129"/>
        <v>-</v>
      </c>
      <c r="AH151" s="274"/>
      <c r="AI151" s="92" t="str">
        <f t="shared" si="131"/>
        <v>OK</v>
      </c>
      <c r="AJ151" s="79"/>
      <c r="AK151" s="481"/>
      <c r="AL151" s="80" t="str">
        <f t="shared" si="139"/>
        <v xml:space="preserve">   </v>
      </c>
      <c r="AM151" s="218" t="str">
        <f t="shared" ref="AM151:AM214" si="152">IF(OR(AK$8="判定対象外",AL$8="判定対象外",AL151="-"),"-",IF(AK151=AL151,"OK","NG"))</f>
        <v>-</v>
      </c>
      <c r="AN151" s="274"/>
      <c r="AO151" s="92" t="str">
        <f t="shared" si="132"/>
        <v>OK</v>
      </c>
      <c r="AP151" s="79"/>
      <c r="AQ151" s="512"/>
      <c r="AR151" s="80" t="str">
        <f t="shared" si="140"/>
        <v xml:space="preserve">   </v>
      </c>
      <c r="AS151" s="218" t="s">
        <v>593</v>
      </c>
      <c r="AT151" s="80"/>
      <c r="AU151" s="218" t="str">
        <f t="shared" si="137"/>
        <v>-</v>
      </c>
      <c r="AV151" s="79"/>
      <c r="AW151" s="481"/>
      <c r="AX151" s="80" t="str">
        <f t="shared" si="141"/>
        <v xml:space="preserve">   </v>
      </c>
      <c r="AY151" s="218" t="str">
        <f t="shared" ref="AY151:AY214" si="153">IF(OR(AW$8="判定対象外",AX$8="判定対象外",AX151="-"),"-",IF(AW151=AX151,"OK","NG"))</f>
        <v>-</v>
      </c>
      <c r="AZ151" s="274"/>
      <c r="BA151" s="478" t="s">
        <v>594</v>
      </c>
      <c r="BB151" s="79"/>
      <c r="BC151" s="481"/>
      <c r="BD151" s="80" t="str">
        <f t="shared" si="142"/>
        <v xml:space="preserve">   </v>
      </c>
      <c r="BE151" s="218" t="str">
        <f t="shared" ref="BE151:BE214" si="154">IF(OR(BC$8="判定対象外",BD$8="判定対象外",BD151="-"),"-",IF(BC151=BD151,"OK","NG"))</f>
        <v>-</v>
      </c>
      <c r="BF151" s="274"/>
      <c r="BG151" s="478" t="s">
        <v>594</v>
      </c>
      <c r="BH151" s="79"/>
      <c r="BI151" s="508" t="s">
        <v>707</v>
      </c>
      <c r="BJ151" s="80" t="str">
        <f t="shared" si="143"/>
        <v xml:space="preserve">   </v>
      </c>
      <c r="BK151" s="218" t="s">
        <v>593</v>
      </c>
      <c r="BL151" s="274"/>
      <c r="BM151" s="478" t="s">
        <v>594</v>
      </c>
      <c r="BN151" s="79"/>
      <c r="BO151" s="481"/>
      <c r="BP151" s="80" t="str">
        <f t="shared" si="144"/>
        <v xml:space="preserve">   </v>
      </c>
      <c r="BQ151" s="218" t="str">
        <f t="shared" ref="BQ151:BQ214" si="155">IF(OR(BO$8="判定対象外",BP$8="判定対象外",BP151="-"),"-",IF(BO151=BP151,"OK","NG"))</f>
        <v>-</v>
      </c>
      <c r="BR151" s="274"/>
      <c r="BS151" s="478" t="s">
        <v>594</v>
      </c>
      <c r="BT151" s="79"/>
      <c r="BU151" s="512"/>
      <c r="BV151" s="80" t="str">
        <f t="shared" si="145"/>
        <v xml:space="preserve">   </v>
      </c>
      <c r="BW151" s="218" t="s">
        <v>593</v>
      </c>
      <c r="BX151" s="80"/>
      <c r="BY151" s="218" t="str">
        <f t="shared" ref="BY151:BY214" si="156">IF(OR(BW$8="判定対象外",BX$8="判定対象外",BX151="-"),"-",IF(BW151=BX151,"OK","NG"))</f>
        <v>-</v>
      </c>
      <c r="BZ151" s="79"/>
      <c r="CA151" s="481"/>
      <c r="CB151" s="80" t="str">
        <f t="shared" si="146"/>
        <v xml:space="preserve">   </v>
      </c>
      <c r="CC151" s="218" t="str">
        <f t="shared" ref="CC151:CC214" si="157">IF(OR(CA$8="判定対象外",CB$8="判定対象外",CB151="-"),"-",IF(CA151=CB151,"OK","NG"))</f>
        <v>-</v>
      </c>
      <c r="CD151" s="274"/>
      <c r="CE151" s="92" t="str">
        <f t="shared" si="133"/>
        <v>OK</v>
      </c>
      <c r="CF151" s="79"/>
      <c r="CG151" s="481"/>
      <c r="CH151" s="80" t="str">
        <f t="shared" si="147"/>
        <v xml:space="preserve">   </v>
      </c>
      <c r="CI151" s="218" t="str">
        <f t="shared" ref="CI151:CI214" si="158">IF(OR(CG$8="判定対象外",CH$8="判定対象外",CH151="-"),"-",IF(CG151=CH151,"OK","NG"))</f>
        <v>-</v>
      </c>
      <c r="CJ151" s="274"/>
      <c r="CK151" s="92" t="str">
        <f t="shared" si="134"/>
        <v>OK</v>
      </c>
      <c r="CL151" s="79"/>
      <c r="CM151" s="481"/>
      <c r="CN151" s="80" t="str">
        <f t="shared" si="148"/>
        <v xml:space="preserve">   </v>
      </c>
      <c r="CO151" s="218" t="s">
        <v>593</v>
      </c>
      <c r="CP151" s="80"/>
      <c r="CQ151" s="218" t="str">
        <f t="shared" ref="CQ151:CQ214" si="159">IF(OR(CO$8="判定対象外",CP$8="判定対象外",CP151="-"),"-",IF(CO151=CP151,"OK","NG"))</f>
        <v>-</v>
      </c>
      <c r="CR151" s="79"/>
      <c r="CS151" s="481"/>
      <c r="CT151" s="80" t="str">
        <f t="shared" si="149"/>
        <v xml:space="preserve">   </v>
      </c>
      <c r="CU151" s="218" t="str">
        <f t="shared" ref="CU151:CU214" si="160">IF(OR(CS$8="判定対象外",CT$8="判定対象外",CT151="-"),"-",IF(CS151=CT151,"OK","NG"))</f>
        <v>-</v>
      </c>
      <c r="CV151" s="274"/>
      <c r="CW151" s="92" t="s">
        <v>593</v>
      </c>
      <c r="CX151" s="79"/>
      <c r="CY151" s="481"/>
      <c r="CZ151" s="80" t="str">
        <f t="shared" si="150"/>
        <v xml:space="preserve">   </v>
      </c>
      <c r="DA151" s="218" t="str">
        <f t="shared" ref="DA151:DA214" si="161">IF(OR(CY$8="判定対象外",CZ$8="判定対象外",CZ151="-"),"-",IF(CY151=CZ151,"OK","NG"))</f>
        <v>-</v>
      </c>
      <c r="DB151" s="274"/>
      <c r="DC151" s="92" t="s">
        <v>593</v>
      </c>
    </row>
    <row r="152" spans="1:107" s="81" customFormat="1" ht="25.5">
      <c r="B152" s="65">
        <f t="shared" si="151"/>
        <v>145</v>
      </c>
      <c r="C152" s="69"/>
      <c r="D152" s="69"/>
      <c r="E152" s="69"/>
      <c r="F152" s="82" t="s">
        <v>180</v>
      </c>
      <c r="G152" s="14"/>
      <c r="H152" s="83"/>
      <c r="I152" s="74"/>
      <c r="J152" s="74"/>
      <c r="K152" s="75"/>
      <c r="L152" s="75"/>
      <c r="M152" s="84" t="s">
        <v>354</v>
      </c>
      <c r="N152" s="76"/>
      <c r="O152" s="77"/>
      <c r="P152" s="95">
        <f>P151+1</f>
        <v>125</v>
      </c>
      <c r="Q152" s="119">
        <v>2</v>
      </c>
      <c r="R152" s="21" t="str">
        <f t="shared" si="136"/>
        <v>X</v>
      </c>
      <c r="S152" s="98" t="s">
        <v>181</v>
      </c>
      <c r="T152" s="106"/>
      <c r="U152" s="21" t="s">
        <v>257</v>
      </c>
      <c r="V152" s="77"/>
      <c r="W152" s="78">
        <v>3</v>
      </c>
      <c r="X152" s="56" t="s">
        <v>182</v>
      </c>
      <c r="Y152" s="56">
        <v>2</v>
      </c>
      <c r="Z152" s="56">
        <v>2</v>
      </c>
      <c r="AA152" s="74" t="s">
        <v>114</v>
      </c>
      <c r="AB152" s="74" t="s">
        <v>21</v>
      </c>
      <c r="AC152" s="105"/>
      <c r="AD152" s="79"/>
      <c r="AE152" s="481"/>
      <c r="AF152" s="80" t="str">
        <f t="shared" si="138"/>
        <v xml:space="preserve">  </v>
      </c>
      <c r="AG152" s="218" t="str">
        <f t="shared" si="129"/>
        <v>-</v>
      </c>
      <c r="AH152" s="274"/>
      <c r="AI152" s="92" t="str">
        <f t="shared" si="131"/>
        <v>OK</v>
      </c>
      <c r="AJ152" s="79"/>
      <c r="AK152" s="481"/>
      <c r="AL152" s="80" t="str">
        <f t="shared" si="139"/>
        <v xml:space="preserve">  </v>
      </c>
      <c r="AM152" s="218" t="str">
        <f t="shared" si="152"/>
        <v>-</v>
      </c>
      <c r="AN152" s="274"/>
      <c r="AO152" s="92" t="str">
        <f t="shared" si="132"/>
        <v>OK</v>
      </c>
      <c r="AP152" s="79"/>
      <c r="AQ152" s="512"/>
      <c r="AR152" s="80" t="str">
        <f t="shared" si="140"/>
        <v xml:space="preserve">  </v>
      </c>
      <c r="AS152" s="218" t="s">
        <v>593</v>
      </c>
      <c r="AT152" s="80"/>
      <c r="AU152" s="218" t="str">
        <f t="shared" si="137"/>
        <v>-</v>
      </c>
      <c r="AV152" s="79"/>
      <c r="AW152" s="481"/>
      <c r="AX152" s="80" t="str">
        <f t="shared" si="141"/>
        <v xml:space="preserve">  </v>
      </c>
      <c r="AY152" s="218" t="str">
        <f t="shared" si="153"/>
        <v>-</v>
      </c>
      <c r="AZ152" s="274"/>
      <c r="BA152" s="478" t="s">
        <v>594</v>
      </c>
      <c r="BB152" s="79"/>
      <c r="BC152" s="481"/>
      <c r="BD152" s="80" t="str">
        <f t="shared" si="142"/>
        <v xml:space="preserve">  </v>
      </c>
      <c r="BE152" s="218" t="str">
        <f t="shared" si="154"/>
        <v>-</v>
      </c>
      <c r="BF152" s="274"/>
      <c r="BG152" s="478" t="s">
        <v>594</v>
      </c>
      <c r="BH152" s="79"/>
      <c r="BI152" s="508" t="s">
        <v>698</v>
      </c>
      <c r="BJ152" s="80" t="str">
        <f t="shared" si="143"/>
        <v xml:space="preserve">  </v>
      </c>
      <c r="BK152" s="218" t="s">
        <v>593</v>
      </c>
      <c r="BL152" s="274"/>
      <c r="BM152" s="478" t="s">
        <v>594</v>
      </c>
      <c r="BN152" s="79"/>
      <c r="BO152" s="481"/>
      <c r="BP152" s="80" t="str">
        <f t="shared" si="144"/>
        <v xml:space="preserve">  </v>
      </c>
      <c r="BQ152" s="218" t="str">
        <f t="shared" si="155"/>
        <v>-</v>
      </c>
      <c r="BR152" s="274"/>
      <c r="BS152" s="478" t="s">
        <v>594</v>
      </c>
      <c r="BT152" s="79"/>
      <c r="BU152" s="512"/>
      <c r="BV152" s="80" t="str">
        <f t="shared" si="145"/>
        <v xml:space="preserve">  </v>
      </c>
      <c r="BW152" s="218" t="s">
        <v>593</v>
      </c>
      <c r="BX152" s="80"/>
      <c r="BY152" s="218" t="str">
        <f t="shared" si="156"/>
        <v>-</v>
      </c>
      <c r="BZ152" s="79"/>
      <c r="CA152" s="481"/>
      <c r="CB152" s="80" t="str">
        <f t="shared" si="146"/>
        <v xml:space="preserve">  </v>
      </c>
      <c r="CC152" s="218" t="str">
        <f t="shared" si="157"/>
        <v>-</v>
      </c>
      <c r="CD152" s="274"/>
      <c r="CE152" s="92" t="str">
        <f t="shared" si="133"/>
        <v>OK</v>
      </c>
      <c r="CF152" s="79"/>
      <c r="CG152" s="481"/>
      <c r="CH152" s="80" t="str">
        <f t="shared" si="147"/>
        <v xml:space="preserve">  </v>
      </c>
      <c r="CI152" s="218" t="str">
        <f t="shared" si="158"/>
        <v>-</v>
      </c>
      <c r="CJ152" s="274"/>
      <c r="CK152" s="92" t="str">
        <f t="shared" si="134"/>
        <v>OK</v>
      </c>
      <c r="CL152" s="79"/>
      <c r="CM152" s="481"/>
      <c r="CN152" s="80" t="str">
        <f t="shared" si="148"/>
        <v xml:space="preserve">  </v>
      </c>
      <c r="CO152" s="218" t="s">
        <v>593</v>
      </c>
      <c r="CP152" s="80"/>
      <c r="CQ152" s="218" t="str">
        <f t="shared" si="159"/>
        <v>-</v>
      </c>
      <c r="CR152" s="79"/>
      <c r="CS152" s="481"/>
      <c r="CT152" s="80" t="str">
        <f t="shared" si="149"/>
        <v xml:space="preserve">  </v>
      </c>
      <c r="CU152" s="218" t="str">
        <f t="shared" si="160"/>
        <v>-</v>
      </c>
      <c r="CV152" s="274"/>
      <c r="CW152" s="92" t="s">
        <v>593</v>
      </c>
      <c r="CX152" s="79"/>
      <c r="CY152" s="481"/>
      <c r="CZ152" s="80" t="str">
        <f t="shared" si="150"/>
        <v xml:space="preserve">  </v>
      </c>
      <c r="DA152" s="218" t="str">
        <f t="shared" si="161"/>
        <v>-</v>
      </c>
      <c r="DB152" s="274"/>
      <c r="DC152" s="92" t="s">
        <v>593</v>
      </c>
    </row>
    <row r="153" spans="1:107" s="81" customFormat="1" ht="51.75" customHeight="1">
      <c r="B153" s="65">
        <f t="shared" si="151"/>
        <v>146</v>
      </c>
      <c r="C153" s="69"/>
      <c r="D153" s="69"/>
      <c r="E153" s="69"/>
      <c r="F153" s="233" t="s">
        <v>183</v>
      </c>
      <c r="G153" s="234"/>
      <c r="H153" s="235"/>
      <c r="I153" s="74"/>
      <c r="J153" s="74"/>
      <c r="K153" s="75"/>
      <c r="L153" s="75"/>
      <c r="M153" s="84" t="s">
        <v>184</v>
      </c>
      <c r="N153" s="76"/>
      <c r="O153" s="77"/>
      <c r="P153" s="95">
        <f>P152+1</f>
        <v>126</v>
      </c>
      <c r="Q153" s="119">
        <v>5</v>
      </c>
      <c r="R153" s="21" t="str">
        <f t="shared" si="136"/>
        <v>X</v>
      </c>
      <c r="S153" s="98" t="s">
        <v>185</v>
      </c>
      <c r="T153" s="106"/>
      <c r="U153" s="21" t="s">
        <v>257</v>
      </c>
      <c r="V153" s="77"/>
      <c r="W153" s="78">
        <v>3</v>
      </c>
      <c r="X153" s="56" t="s">
        <v>310</v>
      </c>
      <c r="Y153" s="56">
        <v>5</v>
      </c>
      <c r="Z153" s="56">
        <v>5</v>
      </c>
      <c r="AA153" s="74" t="s">
        <v>114</v>
      </c>
      <c r="AB153" s="74" t="s">
        <v>21</v>
      </c>
      <c r="AC153" s="85"/>
      <c r="AD153" s="79"/>
      <c r="AE153" s="481"/>
      <c r="AF153" s="80" t="str">
        <f t="shared" si="138"/>
        <v xml:space="preserve">     </v>
      </c>
      <c r="AG153" s="218" t="str">
        <f t="shared" si="129"/>
        <v>-</v>
      </c>
      <c r="AH153" s="274"/>
      <c r="AI153" s="92" t="str">
        <f t="shared" si="131"/>
        <v>OK</v>
      </c>
      <c r="AJ153" s="79"/>
      <c r="AK153" s="481"/>
      <c r="AL153" s="80" t="str">
        <f t="shared" si="139"/>
        <v xml:space="preserve">     </v>
      </c>
      <c r="AM153" s="218" t="str">
        <f t="shared" si="152"/>
        <v>-</v>
      </c>
      <c r="AN153" s="274"/>
      <c r="AO153" s="92" t="str">
        <f t="shared" si="132"/>
        <v>OK</v>
      </c>
      <c r="AP153" s="79"/>
      <c r="AQ153" s="512"/>
      <c r="AR153" s="80" t="str">
        <f t="shared" si="140"/>
        <v xml:space="preserve">     </v>
      </c>
      <c r="AS153" s="218" t="s">
        <v>593</v>
      </c>
      <c r="AT153" s="80"/>
      <c r="AU153" s="218" t="str">
        <f t="shared" si="137"/>
        <v>-</v>
      </c>
      <c r="AV153" s="79"/>
      <c r="AW153" s="487" t="s">
        <v>337</v>
      </c>
      <c r="AX153" s="80" t="str">
        <f t="shared" si="141"/>
        <v>03902</v>
      </c>
      <c r="AY153" s="218" t="str">
        <f t="shared" si="153"/>
        <v>-</v>
      </c>
      <c r="AZ153" s="381" t="s">
        <v>337</v>
      </c>
      <c r="BA153" s="478" t="s">
        <v>594</v>
      </c>
      <c r="BB153" s="79"/>
      <c r="BC153" s="481"/>
      <c r="BD153" s="80" t="str">
        <f t="shared" si="142"/>
        <v xml:space="preserve">     </v>
      </c>
      <c r="BE153" s="218" t="str">
        <f t="shared" si="154"/>
        <v>-</v>
      </c>
      <c r="BF153" s="274"/>
      <c r="BG153" s="478" t="s">
        <v>594</v>
      </c>
      <c r="BH153" s="79"/>
      <c r="BI153" s="508" t="s">
        <v>337</v>
      </c>
      <c r="BJ153" s="80" t="str">
        <f t="shared" si="143"/>
        <v>03902</v>
      </c>
      <c r="BK153" s="218" t="s">
        <v>593</v>
      </c>
      <c r="BL153" s="381" t="s">
        <v>337</v>
      </c>
      <c r="BM153" s="478" t="s">
        <v>594</v>
      </c>
      <c r="BN153" s="79"/>
      <c r="BO153" s="481"/>
      <c r="BP153" s="80" t="str">
        <f t="shared" si="144"/>
        <v xml:space="preserve">     </v>
      </c>
      <c r="BQ153" s="218" t="str">
        <f t="shared" si="155"/>
        <v>-</v>
      </c>
      <c r="BR153" s="274"/>
      <c r="BS153" s="478" t="s">
        <v>594</v>
      </c>
      <c r="BT153" s="79"/>
      <c r="BU153" s="512"/>
      <c r="BV153" s="80" t="str">
        <f t="shared" si="145"/>
        <v xml:space="preserve">     </v>
      </c>
      <c r="BW153" s="218" t="s">
        <v>593</v>
      </c>
      <c r="BX153" s="80"/>
      <c r="BY153" s="218" t="str">
        <f t="shared" si="156"/>
        <v>-</v>
      </c>
      <c r="BZ153" s="79"/>
      <c r="CA153" s="481"/>
      <c r="CB153" s="80" t="str">
        <f t="shared" si="146"/>
        <v xml:space="preserve">     </v>
      </c>
      <c r="CC153" s="218" t="str">
        <f t="shared" si="157"/>
        <v>-</v>
      </c>
      <c r="CD153" s="274"/>
      <c r="CE153" s="92" t="str">
        <f t="shared" si="133"/>
        <v>OK</v>
      </c>
      <c r="CF153" s="79"/>
      <c r="CG153" s="481"/>
      <c r="CH153" s="80" t="str">
        <f t="shared" si="147"/>
        <v xml:space="preserve">     </v>
      </c>
      <c r="CI153" s="218" t="str">
        <f t="shared" si="158"/>
        <v>-</v>
      </c>
      <c r="CJ153" s="274"/>
      <c r="CK153" s="92" t="str">
        <f t="shared" si="134"/>
        <v>OK</v>
      </c>
      <c r="CL153" s="79"/>
      <c r="CM153" s="481"/>
      <c r="CN153" s="80" t="str">
        <f t="shared" si="148"/>
        <v xml:space="preserve">     </v>
      </c>
      <c r="CO153" s="218" t="s">
        <v>593</v>
      </c>
      <c r="CP153" s="80"/>
      <c r="CQ153" s="218" t="str">
        <f t="shared" si="159"/>
        <v>-</v>
      </c>
      <c r="CR153" s="79"/>
      <c r="CS153" s="481"/>
      <c r="CT153" s="80" t="str">
        <f t="shared" si="149"/>
        <v xml:space="preserve">     </v>
      </c>
      <c r="CU153" s="218" t="str">
        <f t="shared" si="160"/>
        <v>-</v>
      </c>
      <c r="CV153" s="381"/>
      <c r="CW153" s="92" t="s">
        <v>593</v>
      </c>
      <c r="CX153" s="79"/>
      <c r="CY153" s="481"/>
      <c r="CZ153" s="80" t="str">
        <f t="shared" si="150"/>
        <v xml:space="preserve">     </v>
      </c>
      <c r="DA153" s="218" t="str">
        <f t="shared" si="161"/>
        <v>-</v>
      </c>
      <c r="DB153" s="381"/>
      <c r="DC153" s="92" t="s">
        <v>593</v>
      </c>
    </row>
    <row r="154" spans="1:107" s="81" customFormat="1" ht="51.75" customHeight="1">
      <c r="B154" s="65">
        <f t="shared" si="151"/>
        <v>147</v>
      </c>
      <c r="C154" s="69"/>
      <c r="D154" s="69"/>
      <c r="E154" s="69"/>
      <c r="F154" s="233" t="s">
        <v>186</v>
      </c>
      <c r="G154" s="234"/>
      <c r="H154" s="235"/>
      <c r="I154" s="74"/>
      <c r="J154" s="74"/>
      <c r="K154" s="75"/>
      <c r="L154" s="75"/>
      <c r="M154" s="84" t="s">
        <v>187</v>
      </c>
      <c r="N154" s="76"/>
      <c r="O154" s="77"/>
      <c r="P154" s="95">
        <f>P153+1</f>
        <v>127</v>
      </c>
      <c r="Q154" s="119">
        <v>64</v>
      </c>
      <c r="R154" s="21" t="str">
        <f>IF(AA154="M","NX",AA154)</f>
        <v>NX</v>
      </c>
      <c r="S154" s="98" t="s">
        <v>188</v>
      </c>
      <c r="T154" s="106"/>
      <c r="U154" s="21" t="s">
        <v>257</v>
      </c>
      <c r="V154" s="77" t="s">
        <v>311</v>
      </c>
      <c r="W154" s="78">
        <v>3</v>
      </c>
      <c r="X154" s="56" t="s">
        <v>312</v>
      </c>
      <c r="Y154" s="56">
        <v>1</v>
      </c>
      <c r="Z154" s="56">
        <v>64</v>
      </c>
      <c r="AA154" s="74" t="s">
        <v>300</v>
      </c>
      <c r="AB154" s="74" t="s">
        <v>21</v>
      </c>
      <c r="AC154" s="85" t="s">
        <v>311</v>
      </c>
      <c r="AD154" s="79"/>
      <c r="AE154" s="481"/>
      <c r="AF154" s="80" t="str">
        <f t="shared" si="138"/>
        <v xml:space="preserve">                                                                </v>
      </c>
      <c r="AG154" s="218" t="str">
        <f t="shared" si="129"/>
        <v>-</v>
      </c>
      <c r="AH154" s="274"/>
      <c r="AI154" s="92" t="str">
        <f t="shared" si="131"/>
        <v>OK</v>
      </c>
      <c r="AJ154" s="79"/>
      <c r="AK154" s="481"/>
      <c r="AL154" s="80" t="str">
        <f t="shared" si="139"/>
        <v xml:space="preserve">                                                                </v>
      </c>
      <c r="AM154" s="218" t="str">
        <f t="shared" si="152"/>
        <v>-</v>
      </c>
      <c r="AN154" s="274"/>
      <c r="AO154" s="92" t="str">
        <f t="shared" si="132"/>
        <v>OK</v>
      </c>
      <c r="AP154" s="79"/>
      <c r="AQ154" s="512"/>
      <c r="AR154" s="80" t="str">
        <f t="shared" si="140"/>
        <v xml:space="preserve">                                                                </v>
      </c>
      <c r="AS154" s="218" t="s">
        <v>593</v>
      </c>
      <c r="AT154" s="80"/>
      <c r="AU154" s="218" t="str">
        <f t="shared" si="137"/>
        <v>-</v>
      </c>
      <c r="AV154" s="79"/>
      <c r="AW154" s="487" t="s">
        <v>338</v>
      </c>
      <c r="AX154" s="80" t="str">
        <f t="shared" si="141"/>
        <v xml:space="preserve">株式会社ケイ・オプティコム                                      </v>
      </c>
      <c r="AY154" s="218" t="str">
        <f t="shared" si="153"/>
        <v>-</v>
      </c>
      <c r="AZ154" s="381" t="s">
        <v>338</v>
      </c>
      <c r="BA154" s="478" t="s">
        <v>594</v>
      </c>
      <c r="BB154" s="79"/>
      <c r="BC154" s="481"/>
      <c r="BD154" s="80" t="str">
        <f t="shared" si="142"/>
        <v xml:space="preserve">                                                                </v>
      </c>
      <c r="BE154" s="218" t="str">
        <f t="shared" si="154"/>
        <v>-</v>
      </c>
      <c r="BF154" s="274"/>
      <c r="BG154" s="478" t="s">
        <v>594</v>
      </c>
      <c r="BH154" s="79"/>
      <c r="BI154" s="508" t="s">
        <v>734</v>
      </c>
      <c r="BJ154" s="80" t="str">
        <f t="shared" si="143"/>
        <v xml:space="preserve">株式会社ケイ・オプティコム                                      </v>
      </c>
      <c r="BK154" s="218" t="s">
        <v>593</v>
      </c>
      <c r="BL154" s="381" t="s">
        <v>338</v>
      </c>
      <c r="BM154" s="478" t="s">
        <v>594</v>
      </c>
      <c r="BN154" s="79"/>
      <c r="BO154" s="481"/>
      <c r="BP154" s="80" t="str">
        <f t="shared" si="144"/>
        <v xml:space="preserve">                                                                </v>
      </c>
      <c r="BQ154" s="218" t="str">
        <f t="shared" si="155"/>
        <v>-</v>
      </c>
      <c r="BR154" s="274"/>
      <c r="BS154" s="478" t="s">
        <v>594</v>
      </c>
      <c r="BT154" s="79"/>
      <c r="BU154" s="512"/>
      <c r="BV154" s="80" t="str">
        <f t="shared" si="145"/>
        <v xml:space="preserve">                                                                </v>
      </c>
      <c r="BW154" s="218" t="s">
        <v>593</v>
      </c>
      <c r="BX154" s="80"/>
      <c r="BY154" s="218" t="str">
        <f t="shared" si="156"/>
        <v>-</v>
      </c>
      <c r="BZ154" s="79"/>
      <c r="CA154" s="481"/>
      <c r="CB154" s="80" t="str">
        <f t="shared" si="146"/>
        <v xml:space="preserve">                                                                </v>
      </c>
      <c r="CC154" s="218" t="str">
        <f t="shared" si="157"/>
        <v>-</v>
      </c>
      <c r="CD154" s="274"/>
      <c r="CE154" s="92" t="str">
        <f t="shared" si="133"/>
        <v>OK</v>
      </c>
      <c r="CF154" s="79"/>
      <c r="CG154" s="481"/>
      <c r="CH154" s="80" t="str">
        <f t="shared" si="147"/>
        <v xml:space="preserve">                                                                </v>
      </c>
      <c r="CI154" s="218" t="str">
        <f t="shared" si="158"/>
        <v>-</v>
      </c>
      <c r="CJ154" s="274"/>
      <c r="CK154" s="92" t="str">
        <f t="shared" si="134"/>
        <v>OK</v>
      </c>
      <c r="CL154" s="79"/>
      <c r="CM154" s="481"/>
      <c r="CN154" s="80" t="str">
        <f t="shared" si="148"/>
        <v xml:space="preserve">                                                                </v>
      </c>
      <c r="CO154" s="218" t="s">
        <v>593</v>
      </c>
      <c r="CP154" s="80"/>
      <c r="CQ154" s="218" t="str">
        <f t="shared" si="159"/>
        <v>-</v>
      </c>
      <c r="CR154" s="79"/>
      <c r="CS154" s="481"/>
      <c r="CT154" s="80" t="str">
        <f t="shared" si="149"/>
        <v xml:space="preserve">                                                                </v>
      </c>
      <c r="CU154" s="218" t="str">
        <f t="shared" si="160"/>
        <v>-</v>
      </c>
      <c r="CV154" s="381"/>
      <c r="CW154" s="92" t="s">
        <v>593</v>
      </c>
      <c r="CX154" s="79"/>
      <c r="CY154" s="481"/>
      <c r="CZ154" s="80" t="str">
        <f t="shared" si="150"/>
        <v xml:space="preserve">                                                                </v>
      </c>
      <c r="DA154" s="218" t="str">
        <f t="shared" si="161"/>
        <v>-</v>
      </c>
      <c r="DB154" s="381"/>
      <c r="DC154" s="92" t="s">
        <v>593</v>
      </c>
    </row>
    <row r="155" spans="1:107" s="81" customFormat="1" ht="92.25" customHeight="1">
      <c r="B155" s="65">
        <f t="shared" si="151"/>
        <v>148</v>
      </c>
      <c r="C155" s="69"/>
      <c r="D155" s="69"/>
      <c r="E155" s="69"/>
      <c r="F155" s="82" t="s">
        <v>356</v>
      </c>
      <c r="G155" s="14"/>
      <c r="H155" s="83"/>
      <c r="I155" s="74"/>
      <c r="J155" s="74"/>
      <c r="K155" s="75"/>
      <c r="L155" s="75"/>
      <c r="M155" s="84" t="s">
        <v>222</v>
      </c>
      <c r="N155" s="76"/>
      <c r="O155" s="77"/>
      <c r="P155" s="95">
        <f>P154+1</f>
        <v>128</v>
      </c>
      <c r="Q155" s="119">
        <v>7</v>
      </c>
      <c r="R155" s="21" t="s">
        <v>261</v>
      </c>
      <c r="S155" s="98" t="s">
        <v>313</v>
      </c>
      <c r="T155" s="106"/>
      <c r="U155" s="21" t="s">
        <v>257</v>
      </c>
      <c r="V155" s="77"/>
      <c r="W155" s="78">
        <v>3</v>
      </c>
      <c r="X155" s="56" t="s">
        <v>314</v>
      </c>
      <c r="Y155" s="56">
        <v>7</v>
      </c>
      <c r="Z155" s="56">
        <v>7</v>
      </c>
      <c r="AA155" s="74" t="s">
        <v>261</v>
      </c>
      <c r="AB155" s="74" t="s">
        <v>21</v>
      </c>
      <c r="AC155" s="85"/>
      <c r="AD155" s="79"/>
      <c r="AE155" s="481"/>
      <c r="AF155" s="80" t="str">
        <f t="shared" si="138"/>
        <v xml:space="preserve">       </v>
      </c>
      <c r="AG155" s="218" t="str">
        <f t="shared" si="129"/>
        <v>-</v>
      </c>
      <c r="AH155" s="274"/>
      <c r="AI155" s="406" t="str">
        <f t="shared" si="131"/>
        <v>OK</v>
      </c>
      <c r="AJ155" s="79"/>
      <c r="AK155" s="481"/>
      <c r="AL155" s="80" t="str">
        <f t="shared" si="139"/>
        <v xml:space="preserve">       </v>
      </c>
      <c r="AM155" s="218" t="str">
        <f t="shared" si="152"/>
        <v>-</v>
      </c>
      <c r="AN155" s="274"/>
      <c r="AO155" s="406" t="str">
        <f t="shared" si="132"/>
        <v>OK</v>
      </c>
      <c r="AP155" s="79"/>
      <c r="AQ155" s="512"/>
      <c r="AR155" s="80" t="str">
        <f t="shared" si="140"/>
        <v xml:space="preserve">       </v>
      </c>
      <c r="AS155" s="218" t="s">
        <v>593</v>
      </c>
      <c r="AT155" s="80"/>
      <c r="AU155" s="218" t="str">
        <f t="shared" si="137"/>
        <v>-</v>
      </c>
      <c r="AV155" s="79"/>
      <c r="AW155" s="481"/>
      <c r="AX155" s="80" t="str">
        <f t="shared" si="141"/>
        <v xml:space="preserve">       </v>
      </c>
      <c r="AY155" s="218" t="str">
        <f t="shared" si="153"/>
        <v>-</v>
      </c>
      <c r="AZ155" s="274"/>
      <c r="BA155" s="478" t="s">
        <v>594</v>
      </c>
      <c r="BB155" s="79"/>
      <c r="BC155" s="481"/>
      <c r="BD155" s="80" t="str">
        <f t="shared" si="142"/>
        <v xml:space="preserve">       </v>
      </c>
      <c r="BE155" s="218" t="str">
        <f t="shared" si="154"/>
        <v>-</v>
      </c>
      <c r="BF155" s="274"/>
      <c r="BG155" s="478" t="s">
        <v>594</v>
      </c>
      <c r="BH155" s="79"/>
      <c r="BI155" s="508" t="s">
        <v>705</v>
      </c>
      <c r="BJ155" s="80" t="str">
        <f t="shared" si="143"/>
        <v xml:space="preserve">       </v>
      </c>
      <c r="BK155" s="218" t="s">
        <v>593</v>
      </c>
      <c r="BL155" s="274"/>
      <c r="BM155" s="478" t="s">
        <v>594</v>
      </c>
      <c r="BN155" s="79"/>
      <c r="BO155" s="481"/>
      <c r="BP155" s="80" t="str">
        <f t="shared" si="144"/>
        <v xml:space="preserve">       </v>
      </c>
      <c r="BQ155" s="218" t="str">
        <f t="shared" si="155"/>
        <v>-</v>
      </c>
      <c r="BR155" s="274"/>
      <c r="BS155" s="478" t="s">
        <v>594</v>
      </c>
      <c r="BT155" s="79"/>
      <c r="BU155" s="512"/>
      <c r="BV155" s="80" t="str">
        <f t="shared" si="145"/>
        <v xml:space="preserve">       </v>
      </c>
      <c r="BW155" s="218" t="s">
        <v>593</v>
      </c>
      <c r="BX155" s="80"/>
      <c r="BY155" s="218" t="str">
        <f t="shared" si="156"/>
        <v>-</v>
      </c>
      <c r="BZ155" s="79"/>
      <c r="CA155" s="481"/>
      <c r="CB155" s="80" t="str">
        <f t="shared" si="146"/>
        <v xml:space="preserve">       </v>
      </c>
      <c r="CC155" s="218" t="str">
        <f t="shared" si="157"/>
        <v>-</v>
      </c>
      <c r="CD155" s="274"/>
      <c r="CE155" s="406" t="str">
        <f t="shared" si="133"/>
        <v>OK</v>
      </c>
      <c r="CF155" s="79"/>
      <c r="CG155" s="481"/>
      <c r="CH155" s="80" t="str">
        <f t="shared" si="147"/>
        <v xml:space="preserve">       </v>
      </c>
      <c r="CI155" s="218" t="str">
        <f t="shared" si="158"/>
        <v>-</v>
      </c>
      <c r="CJ155" s="274"/>
      <c r="CK155" s="406" t="str">
        <f t="shared" si="134"/>
        <v>OK</v>
      </c>
      <c r="CL155" s="79"/>
      <c r="CM155" s="481"/>
      <c r="CN155" s="80" t="str">
        <f t="shared" si="148"/>
        <v xml:space="preserve">       </v>
      </c>
      <c r="CO155" s="218" t="s">
        <v>593</v>
      </c>
      <c r="CP155" s="80"/>
      <c r="CQ155" s="218" t="str">
        <f t="shared" si="159"/>
        <v>-</v>
      </c>
      <c r="CR155" s="79"/>
      <c r="CS155" s="481"/>
      <c r="CT155" s="80" t="str">
        <f t="shared" si="149"/>
        <v xml:space="preserve">       </v>
      </c>
      <c r="CU155" s="218" t="str">
        <f t="shared" si="160"/>
        <v>-</v>
      </c>
      <c r="CV155" s="274"/>
      <c r="CW155" s="92" t="s">
        <v>593</v>
      </c>
      <c r="CX155" s="79"/>
      <c r="CY155" s="481"/>
      <c r="CZ155" s="80" t="str">
        <f t="shared" si="150"/>
        <v xml:space="preserve">       </v>
      </c>
      <c r="DA155" s="218" t="str">
        <f t="shared" si="161"/>
        <v>-</v>
      </c>
      <c r="DB155" s="274"/>
      <c r="DC155" s="92" t="s">
        <v>593</v>
      </c>
    </row>
    <row r="156" spans="1:107" s="81" customFormat="1" ht="127.9" thickBot="1">
      <c r="A156" s="221"/>
      <c r="B156" s="243">
        <f t="shared" si="151"/>
        <v>149</v>
      </c>
      <c r="C156" s="244"/>
      <c r="D156" s="244"/>
      <c r="E156" s="244"/>
      <c r="F156" s="246" t="s">
        <v>315</v>
      </c>
      <c r="G156" s="247"/>
      <c r="H156" s="248"/>
      <c r="I156" s="249"/>
      <c r="J156" s="249"/>
      <c r="K156" s="249"/>
      <c r="L156" s="249"/>
      <c r="M156" s="392" t="s">
        <v>357</v>
      </c>
      <c r="N156" s="399"/>
      <c r="O156" s="400"/>
      <c r="P156" s="279">
        <f>P155+1</f>
        <v>129</v>
      </c>
      <c r="Q156" s="410">
        <v>1</v>
      </c>
      <c r="R156" s="37">
        <v>9</v>
      </c>
      <c r="S156" s="410" t="s">
        <v>316</v>
      </c>
      <c r="T156" s="142"/>
      <c r="U156" s="141" t="s">
        <v>257</v>
      </c>
      <c r="V156" s="238"/>
      <c r="W156" s="191" t="str">
        <f>IF(C156&lt;&gt;"","0",IF(D156&lt;&gt;"","1",IF(E156&lt;&gt;"","2",IF(F156&lt;&gt;"","3",IF(G156&lt;&gt;"","4",IF(H156&lt;&gt;"","5"))))))</f>
        <v>3</v>
      </c>
      <c r="X156" s="144" t="s">
        <v>317</v>
      </c>
      <c r="Y156" s="144">
        <v>1</v>
      </c>
      <c r="Z156" s="144">
        <v>1</v>
      </c>
      <c r="AA156" s="239">
        <v>9</v>
      </c>
      <c r="AB156" s="137" t="s">
        <v>257</v>
      </c>
      <c r="AC156" s="240"/>
      <c r="AD156" s="216"/>
      <c r="AE156" s="396"/>
      <c r="AF156" s="217" t="str">
        <f t="shared" si="138"/>
        <v xml:space="preserve"> </v>
      </c>
      <c r="AG156" s="231" t="str">
        <f t="shared" si="129"/>
        <v>-</v>
      </c>
      <c r="AH156" s="383"/>
      <c r="AI156" s="395" t="str">
        <f t="shared" si="131"/>
        <v>OK</v>
      </c>
      <c r="AJ156" s="216"/>
      <c r="AK156" s="396"/>
      <c r="AL156" s="217" t="str">
        <f t="shared" si="139"/>
        <v xml:space="preserve"> </v>
      </c>
      <c r="AM156" s="231" t="str">
        <f t="shared" si="152"/>
        <v>-</v>
      </c>
      <c r="AN156" s="396"/>
      <c r="AO156" s="395" t="str">
        <f t="shared" si="132"/>
        <v>OK</v>
      </c>
      <c r="AP156" s="216"/>
      <c r="AQ156" s="509"/>
      <c r="AR156" s="217" t="str">
        <f t="shared" si="140"/>
        <v xml:space="preserve"> </v>
      </c>
      <c r="AS156" s="231" t="s">
        <v>593</v>
      </c>
      <c r="AT156" s="217"/>
      <c r="AU156" s="231" t="str">
        <f t="shared" si="137"/>
        <v>-</v>
      </c>
      <c r="AV156" s="216"/>
      <c r="AW156" s="396" t="s">
        <v>33</v>
      </c>
      <c r="AX156" s="217" t="str">
        <f t="shared" si="141"/>
        <v>1</v>
      </c>
      <c r="AY156" s="231" t="str">
        <f t="shared" si="153"/>
        <v>-</v>
      </c>
      <c r="AZ156" s="396" t="s">
        <v>33</v>
      </c>
      <c r="BA156" s="479" t="s">
        <v>245</v>
      </c>
      <c r="BB156" s="216"/>
      <c r="BC156" s="396" t="s">
        <v>374</v>
      </c>
      <c r="BD156" s="217" t="str">
        <f t="shared" si="142"/>
        <v>5</v>
      </c>
      <c r="BE156" s="231" t="str">
        <f t="shared" si="154"/>
        <v>-</v>
      </c>
      <c r="BF156" s="396" t="s">
        <v>374</v>
      </c>
      <c r="BG156" s="479" t="s">
        <v>245</v>
      </c>
      <c r="BH156" s="216"/>
      <c r="BI156" s="509" t="s">
        <v>33</v>
      </c>
      <c r="BJ156" s="217" t="str">
        <f t="shared" si="143"/>
        <v>1</v>
      </c>
      <c r="BK156" s="231" t="s">
        <v>593</v>
      </c>
      <c r="BL156" s="396" t="s">
        <v>33</v>
      </c>
      <c r="BM156" s="479" t="s">
        <v>245</v>
      </c>
      <c r="BN156" s="216"/>
      <c r="BO156" s="396" t="s">
        <v>374</v>
      </c>
      <c r="BP156" s="217" t="str">
        <f t="shared" si="144"/>
        <v>5</v>
      </c>
      <c r="BQ156" s="231" t="str">
        <f t="shared" si="155"/>
        <v>-</v>
      </c>
      <c r="BR156" s="396" t="s">
        <v>374</v>
      </c>
      <c r="BS156" s="479" t="s">
        <v>245</v>
      </c>
      <c r="BT156" s="216"/>
      <c r="BU156" s="509"/>
      <c r="BV156" s="217" t="str">
        <f t="shared" si="145"/>
        <v xml:space="preserve"> </v>
      </c>
      <c r="BW156" s="231" t="s">
        <v>593</v>
      </c>
      <c r="BX156" s="217"/>
      <c r="BY156" s="231" t="str">
        <f t="shared" si="156"/>
        <v>-</v>
      </c>
      <c r="BZ156" s="216"/>
      <c r="CA156" s="396"/>
      <c r="CB156" s="217" t="str">
        <f t="shared" si="146"/>
        <v xml:space="preserve"> </v>
      </c>
      <c r="CC156" s="231" t="str">
        <f t="shared" si="157"/>
        <v>-</v>
      </c>
      <c r="CD156" s="396"/>
      <c r="CE156" s="395" t="str">
        <f t="shared" si="133"/>
        <v>OK</v>
      </c>
      <c r="CF156" s="216"/>
      <c r="CG156" s="396"/>
      <c r="CH156" s="217" t="str">
        <f t="shared" si="147"/>
        <v xml:space="preserve"> </v>
      </c>
      <c r="CI156" s="231" t="str">
        <f t="shared" si="158"/>
        <v>-</v>
      </c>
      <c r="CJ156" s="396"/>
      <c r="CK156" s="395" t="str">
        <f t="shared" si="134"/>
        <v>OK</v>
      </c>
      <c r="CL156" s="216"/>
      <c r="CM156" s="396"/>
      <c r="CN156" s="217" t="str">
        <f t="shared" si="148"/>
        <v xml:space="preserve"> </v>
      </c>
      <c r="CO156" s="231" t="s">
        <v>593</v>
      </c>
      <c r="CP156" s="217"/>
      <c r="CQ156" s="231" t="str">
        <f t="shared" si="159"/>
        <v>-</v>
      </c>
      <c r="CR156" s="216"/>
      <c r="CS156" s="396"/>
      <c r="CT156" s="217" t="str">
        <f t="shared" si="149"/>
        <v xml:space="preserve"> </v>
      </c>
      <c r="CU156" s="231" t="str">
        <f t="shared" si="160"/>
        <v>-</v>
      </c>
      <c r="CV156" s="396"/>
      <c r="CW156" s="395" t="s">
        <v>593</v>
      </c>
      <c r="CX156" s="216"/>
      <c r="CY156" s="396"/>
      <c r="CZ156" s="217" t="str">
        <f t="shared" si="150"/>
        <v xml:space="preserve"> </v>
      </c>
      <c r="DA156" s="231" t="str">
        <f t="shared" si="161"/>
        <v>-</v>
      </c>
      <c r="DB156" s="396"/>
      <c r="DC156" s="395" t="s">
        <v>593</v>
      </c>
    </row>
    <row r="157" spans="1:107" s="26" customFormat="1" ht="18.75" customHeight="1" thickTop="1">
      <c r="B157" s="2">
        <f t="shared" si="151"/>
        <v>150</v>
      </c>
      <c r="C157" s="253"/>
      <c r="D157" s="253"/>
      <c r="E157" s="254" t="s">
        <v>439</v>
      </c>
      <c r="F157" s="254"/>
      <c r="G157" s="254"/>
      <c r="H157" s="87"/>
      <c r="I157" s="88" t="s">
        <v>31</v>
      </c>
      <c r="J157" s="88" t="s">
        <v>426</v>
      </c>
      <c r="K157" s="88"/>
      <c r="L157" s="88"/>
      <c r="M157" s="89" t="s">
        <v>352</v>
      </c>
      <c r="N157" s="287"/>
      <c r="O157" s="288"/>
      <c r="P157" s="183"/>
      <c r="Q157" s="121"/>
      <c r="R157" s="107"/>
      <c r="S157" s="289"/>
      <c r="T157" s="287"/>
      <c r="U157" s="107"/>
      <c r="V157" s="290"/>
      <c r="W157" s="25" t="str">
        <f>IF(C157&lt;&gt;"","0",IF(D157&lt;&gt;"","1",IF(E157&lt;&gt;"","2",IF(F157&lt;&gt;"","3",IF(G157&lt;&gt;"","4",IF(H157&lt;&gt;"","5"))))))</f>
        <v>2</v>
      </c>
      <c r="X157" s="1" t="s">
        <v>122</v>
      </c>
      <c r="Y157" s="1"/>
      <c r="Z157" s="1"/>
      <c r="AA157" s="8"/>
      <c r="AB157" s="8" t="s">
        <v>257</v>
      </c>
      <c r="AC157" s="63"/>
      <c r="AD157" s="60"/>
      <c r="AE157" s="169"/>
      <c r="AF157" s="61" t="str">
        <f t="shared" si="138"/>
        <v/>
      </c>
      <c r="AG157" s="218" t="str">
        <f t="shared" ref="AG157:AG186" si="162">IF(OR(AE$8="判定対象外",AF$8="判定対象外",AF157="-"),"-",IF(AE157=AF157,"OK","NG"))</f>
        <v>-</v>
      </c>
      <c r="AH157" s="169"/>
      <c r="AI157" s="92" t="str">
        <f>IF(EXACT(AE157,AH157),"OK","NG")</f>
        <v>OK</v>
      </c>
      <c r="AJ157" s="60"/>
      <c r="AK157" s="169"/>
      <c r="AL157" s="61" t="str">
        <f t="shared" si="139"/>
        <v/>
      </c>
      <c r="AM157" s="218" t="str">
        <f t="shared" si="152"/>
        <v>-</v>
      </c>
      <c r="AN157" s="169"/>
      <c r="AO157" s="92" t="str">
        <f>IF(EXACT(AK157,AN157),"OK","NG")</f>
        <v>OK</v>
      </c>
      <c r="AP157" s="60"/>
      <c r="AQ157" s="172"/>
      <c r="AR157" s="61" t="str">
        <f t="shared" si="140"/>
        <v/>
      </c>
      <c r="AS157" s="218" t="s">
        <v>593</v>
      </c>
      <c r="AT157" s="61"/>
      <c r="AU157" s="218" t="str">
        <f t="shared" si="137"/>
        <v>-</v>
      </c>
      <c r="AV157" s="60"/>
      <c r="AW157" s="169"/>
      <c r="AX157" s="61" t="str">
        <f t="shared" si="141"/>
        <v/>
      </c>
      <c r="AY157" s="218" t="str">
        <f t="shared" si="153"/>
        <v>-</v>
      </c>
      <c r="AZ157" s="169"/>
      <c r="BA157" s="92" t="str">
        <f>IF(EXACT(AW157,AZ157),"OK","NG")</f>
        <v>OK</v>
      </c>
      <c r="BB157" s="60"/>
      <c r="BC157" s="169"/>
      <c r="BD157" s="61" t="str">
        <f t="shared" si="142"/>
        <v/>
      </c>
      <c r="BE157" s="218" t="str">
        <f t="shared" si="154"/>
        <v>-</v>
      </c>
      <c r="BF157" s="169"/>
      <c r="BG157" s="92" t="str">
        <f>IF(EXACT(BC157,BF157),"OK","NG")</f>
        <v>OK</v>
      </c>
      <c r="BH157" s="60"/>
      <c r="BI157" s="172"/>
      <c r="BJ157" s="61" t="str">
        <f t="shared" si="143"/>
        <v/>
      </c>
      <c r="BK157" s="218" t="s">
        <v>593</v>
      </c>
      <c r="BL157" s="169"/>
      <c r="BM157" s="92" t="str">
        <f>IF(EXACT(BI157,BL157),"OK","NG")</f>
        <v>OK</v>
      </c>
      <c r="BN157" s="60"/>
      <c r="BO157" s="169"/>
      <c r="BP157" s="61" t="str">
        <f t="shared" si="144"/>
        <v/>
      </c>
      <c r="BQ157" s="218" t="str">
        <f t="shared" si="155"/>
        <v>-</v>
      </c>
      <c r="BR157" s="169"/>
      <c r="BS157" s="92" t="str">
        <f>IF(EXACT(BO157,BR157),"OK","NG")</f>
        <v>OK</v>
      </c>
      <c r="BT157" s="60"/>
      <c r="BU157" s="172"/>
      <c r="BV157" s="61" t="str">
        <f t="shared" si="145"/>
        <v/>
      </c>
      <c r="BW157" s="218" t="s">
        <v>593</v>
      </c>
      <c r="BX157" s="61"/>
      <c r="BY157" s="218" t="str">
        <f t="shared" si="156"/>
        <v>-</v>
      </c>
      <c r="BZ157" s="60"/>
      <c r="CA157" s="169"/>
      <c r="CB157" s="61" t="str">
        <f t="shared" si="146"/>
        <v/>
      </c>
      <c r="CC157" s="218" t="str">
        <f t="shared" si="157"/>
        <v>-</v>
      </c>
      <c r="CD157" s="169"/>
      <c r="CE157" s="92" t="str">
        <f>IF(EXACT(CA157,CD157),"OK","NG")</f>
        <v>OK</v>
      </c>
      <c r="CF157" s="60"/>
      <c r="CG157" s="169"/>
      <c r="CH157" s="61" t="str">
        <f t="shared" si="147"/>
        <v/>
      </c>
      <c r="CI157" s="218" t="str">
        <f t="shared" si="158"/>
        <v>-</v>
      </c>
      <c r="CJ157" s="169"/>
      <c r="CK157" s="92" t="str">
        <f>IF(EXACT(CG157,CJ157),"OK","NG")</f>
        <v>OK</v>
      </c>
      <c r="CL157" s="60"/>
      <c r="CM157" s="169"/>
      <c r="CN157" s="61" t="str">
        <f t="shared" si="148"/>
        <v/>
      </c>
      <c r="CO157" s="218" t="s">
        <v>593</v>
      </c>
      <c r="CP157" s="61"/>
      <c r="CQ157" s="218" t="str">
        <f t="shared" si="159"/>
        <v>-</v>
      </c>
      <c r="CR157" s="60"/>
      <c r="CS157" s="169"/>
      <c r="CT157" s="61" t="str">
        <f t="shared" si="149"/>
        <v/>
      </c>
      <c r="CU157" s="218" t="str">
        <f t="shared" si="160"/>
        <v>-</v>
      </c>
      <c r="CV157" s="169"/>
      <c r="CW157" s="92" t="s">
        <v>593</v>
      </c>
      <c r="CX157" s="60"/>
      <c r="CY157" s="169"/>
      <c r="CZ157" s="61" t="str">
        <f t="shared" si="150"/>
        <v/>
      </c>
      <c r="DA157" s="218" t="str">
        <f t="shared" si="161"/>
        <v>-</v>
      </c>
      <c r="DB157" s="169"/>
      <c r="DC157" s="92" t="s">
        <v>593</v>
      </c>
    </row>
    <row r="158" spans="1:107" s="26" customFormat="1" ht="63.75">
      <c r="B158" s="2">
        <f t="shared" si="151"/>
        <v>151</v>
      </c>
      <c r="C158" s="129"/>
      <c r="D158" s="7"/>
      <c r="E158" s="7"/>
      <c r="F158" s="112" t="s">
        <v>92</v>
      </c>
      <c r="G158" s="16"/>
      <c r="H158" s="13"/>
      <c r="I158" s="6"/>
      <c r="J158" s="6"/>
      <c r="K158" s="6"/>
      <c r="L158" s="8"/>
      <c r="M158" s="23" t="s">
        <v>296</v>
      </c>
      <c r="N158" s="1"/>
      <c r="O158" s="57"/>
      <c r="P158" s="95">
        <f>P156+1</f>
        <v>130</v>
      </c>
      <c r="Q158" s="117">
        <v>2</v>
      </c>
      <c r="R158" s="21" t="str">
        <f t="shared" ref="R158:R164" si="163">IF(AA158="M","NX",AA158)</f>
        <v>X</v>
      </c>
      <c r="S158" s="98" t="s">
        <v>440</v>
      </c>
      <c r="T158" s="96"/>
      <c r="U158" s="21" t="s">
        <v>435</v>
      </c>
      <c r="V158" s="118" t="s">
        <v>199</v>
      </c>
      <c r="W158" s="25" t="str">
        <f>IF(C158&lt;&gt;"","0",IF(D158&lt;&gt;"","1",IF(E158&lt;&gt;"","2",IF(F158&lt;&gt;"","3",IF(G158&lt;&gt;"","4",IF(H158&lt;&gt;"","5"))))))</f>
        <v>3</v>
      </c>
      <c r="X158" s="5" t="s">
        <v>297</v>
      </c>
      <c r="Y158" s="58">
        <v>2</v>
      </c>
      <c r="Z158" s="58">
        <v>2</v>
      </c>
      <c r="AA158" s="59" t="s">
        <v>114</v>
      </c>
      <c r="AB158" s="59" t="s">
        <v>21</v>
      </c>
      <c r="AC158" s="12"/>
      <c r="AD158" s="60"/>
      <c r="AE158" s="174"/>
      <c r="AF158" s="273" t="str">
        <f t="shared" si="138"/>
        <v xml:space="preserve">  </v>
      </c>
      <c r="AG158" s="218" t="str">
        <f t="shared" si="162"/>
        <v>-</v>
      </c>
      <c r="AH158" s="174"/>
      <c r="AI158" s="92" t="str">
        <f>IF(EXACT(AE158,AH158),"OK","NG")</f>
        <v>OK</v>
      </c>
      <c r="AJ158" s="60"/>
      <c r="AK158" s="174"/>
      <c r="AL158" s="273" t="str">
        <f t="shared" si="139"/>
        <v xml:space="preserve">  </v>
      </c>
      <c r="AM158" s="218" t="str">
        <f t="shared" si="152"/>
        <v>-</v>
      </c>
      <c r="AN158" s="174"/>
      <c r="AO158" s="92" t="str">
        <f>IF(EXACT(AK158,AN158),"OK","NG")</f>
        <v>OK</v>
      </c>
      <c r="AP158" s="60"/>
      <c r="AQ158" s="170"/>
      <c r="AR158" s="273" t="str">
        <f t="shared" si="140"/>
        <v xml:space="preserve">  </v>
      </c>
      <c r="AS158" s="218" t="s">
        <v>593</v>
      </c>
      <c r="AT158" s="273"/>
      <c r="AU158" s="218" t="str">
        <f t="shared" si="137"/>
        <v>-</v>
      </c>
      <c r="AV158" s="60"/>
      <c r="AW158" s="174" t="s">
        <v>102</v>
      </c>
      <c r="AX158" s="273" t="str">
        <f t="shared" si="141"/>
        <v>01</v>
      </c>
      <c r="AY158" s="218" t="str">
        <f t="shared" si="153"/>
        <v>-</v>
      </c>
      <c r="AZ158" s="174" t="s">
        <v>102</v>
      </c>
      <c r="BA158" s="478" t="s">
        <v>594</v>
      </c>
      <c r="BB158" s="60"/>
      <c r="BC158" s="174" t="s">
        <v>102</v>
      </c>
      <c r="BD158" s="273" t="str">
        <f t="shared" si="142"/>
        <v>01</v>
      </c>
      <c r="BE158" s="218" t="str">
        <f t="shared" si="154"/>
        <v>-</v>
      </c>
      <c r="BF158" s="174" t="s">
        <v>102</v>
      </c>
      <c r="BG158" s="478" t="s">
        <v>594</v>
      </c>
      <c r="BH158" s="60"/>
      <c r="BI158" s="170" t="s">
        <v>102</v>
      </c>
      <c r="BJ158" s="273" t="str">
        <f t="shared" si="143"/>
        <v>01</v>
      </c>
      <c r="BK158" s="218" t="s">
        <v>593</v>
      </c>
      <c r="BL158" s="174" t="s">
        <v>102</v>
      </c>
      <c r="BM158" s="478" t="s">
        <v>594</v>
      </c>
      <c r="BN158" s="60"/>
      <c r="BO158" s="174" t="s">
        <v>102</v>
      </c>
      <c r="BP158" s="273" t="str">
        <f t="shared" si="144"/>
        <v>01</v>
      </c>
      <c r="BQ158" s="218" t="str">
        <f t="shared" si="155"/>
        <v>-</v>
      </c>
      <c r="BR158" s="174" t="s">
        <v>102</v>
      </c>
      <c r="BS158" s="478" t="s">
        <v>594</v>
      </c>
      <c r="BT158" s="60"/>
      <c r="BU158" s="170"/>
      <c r="BV158" s="273" t="str">
        <f t="shared" si="145"/>
        <v xml:space="preserve">  </v>
      </c>
      <c r="BW158" s="218" t="s">
        <v>593</v>
      </c>
      <c r="BX158" s="273"/>
      <c r="BY158" s="218" t="str">
        <f t="shared" si="156"/>
        <v>-</v>
      </c>
      <c r="BZ158" s="60"/>
      <c r="CA158" s="174"/>
      <c r="CB158" s="273" t="str">
        <f t="shared" si="146"/>
        <v xml:space="preserve">  </v>
      </c>
      <c r="CC158" s="218" t="str">
        <f t="shared" si="157"/>
        <v>-</v>
      </c>
      <c r="CD158" s="174"/>
      <c r="CE158" s="92" t="str">
        <f>IF(EXACT(CA158,CD158),"OK","NG")</f>
        <v>OK</v>
      </c>
      <c r="CF158" s="60"/>
      <c r="CG158" s="174"/>
      <c r="CH158" s="273" t="str">
        <f t="shared" si="147"/>
        <v xml:space="preserve">  </v>
      </c>
      <c r="CI158" s="218" t="str">
        <f t="shared" si="158"/>
        <v>-</v>
      </c>
      <c r="CJ158" s="174"/>
      <c r="CK158" s="92" t="str">
        <f>IF(EXACT(CG158,CJ158),"OK","NG")</f>
        <v>OK</v>
      </c>
      <c r="CL158" s="60"/>
      <c r="CM158" s="174"/>
      <c r="CN158" s="273" t="str">
        <f t="shared" si="148"/>
        <v xml:space="preserve">  </v>
      </c>
      <c r="CO158" s="218" t="s">
        <v>593</v>
      </c>
      <c r="CP158" s="273"/>
      <c r="CQ158" s="218" t="str">
        <f t="shared" si="159"/>
        <v>-</v>
      </c>
      <c r="CR158" s="60"/>
      <c r="CS158" s="174"/>
      <c r="CT158" s="273" t="str">
        <f t="shared" si="149"/>
        <v xml:space="preserve">  </v>
      </c>
      <c r="CU158" s="218" t="str">
        <f t="shared" si="160"/>
        <v>-</v>
      </c>
      <c r="CV158" s="174"/>
      <c r="CW158" s="92" t="s">
        <v>593</v>
      </c>
      <c r="CX158" s="60"/>
      <c r="CY158" s="174"/>
      <c r="CZ158" s="273" t="str">
        <f t="shared" si="150"/>
        <v xml:space="preserve">  </v>
      </c>
      <c r="DA158" s="218" t="str">
        <f t="shared" si="161"/>
        <v>-</v>
      </c>
      <c r="DB158" s="174"/>
      <c r="DC158" s="92" t="s">
        <v>593</v>
      </c>
    </row>
    <row r="159" spans="1:107" s="26" customFormat="1" ht="293.25">
      <c r="B159" s="2">
        <f t="shared" si="151"/>
        <v>152</v>
      </c>
      <c r="C159" s="7"/>
      <c r="D159" s="7"/>
      <c r="E159" s="7"/>
      <c r="F159" s="112" t="s">
        <v>424</v>
      </c>
      <c r="G159" s="16"/>
      <c r="H159" s="13"/>
      <c r="I159" s="8"/>
      <c r="J159" s="8" t="s">
        <v>426</v>
      </c>
      <c r="K159" s="8"/>
      <c r="L159" s="8"/>
      <c r="M159" s="414" t="s">
        <v>441</v>
      </c>
      <c r="N159" s="11"/>
      <c r="O159" s="57"/>
      <c r="P159" s="95">
        <f>P158+1</f>
        <v>131</v>
      </c>
      <c r="Q159" s="115">
        <v>2</v>
      </c>
      <c r="R159" s="21" t="str">
        <f t="shared" si="163"/>
        <v>X</v>
      </c>
      <c r="S159" s="98" t="s">
        <v>442</v>
      </c>
      <c r="T159" s="96"/>
      <c r="U159" s="21" t="s">
        <v>443</v>
      </c>
      <c r="V159" s="10"/>
      <c r="W159" s="25">
        <v>3</v>
      </c>
      <c r="X159" s="1" t="s">
        <v>288</v>
      </c>
      <c r="Y159" s="1">
        <v>2</v>
      </c>
      <c r="Z159" s="1">
        <v>2</v>
      </c>
      <c r="AA159" s="8" t="s">
        <v>114</v>
      </c>
      <c r="AB159" s="8" t="s">
        <v>21</v>
      </c>
      <c r="AC159" s="12"/>
      <c r="AD159" s="60"/>
      <c r="AE159" s="174"/>
      <c r="AF159" s="273" t="str">
        <f t="shared" si="138"/>
        <v xml:space="preserve">  </v>
      </c>
      <c r="AG159" s="218" t="str">
        <f t="shared" si="162"/>
        <v>-</v>
      </c>
      <c r="AH159" s="174"/>
      <c r="AI159" s="92" t="str">
        <f t="shared" ref="AI159:AI186" si="164">IF(EXACT(AE159,AH159),"OK","NG")</f>
        <v>OK</v>
      </c>
      <c r="AJ159" s="60"/>
      <c r="AK159" s="174"/>
      <c r="AL159" s="273" t="str">
        <f t="shared" si="139"/>
        <v xml:space="preserve">  </v>
      </c>
      <c r="AM159" s="218" t="str">
        <f t="shared" si="152"/>
        <v>-</v>
      </c>
      <c r="AN159" s="174"/>
      <c r="AO159" s="92" t="str">
        <f t="shared" ref="AO159:AO186" si="165">IF(EXACT(AK159,AN159),"OK","NG")</f>
        <v>OK</v>
      </c>
      <c r="AP159" s="60"/>
      <c r="AQ159" s="170"/>
      <c r="AR159" s="273" t="str">
        <f t="shared" si="140"/>
        <v xml:space="preserve">  </v>
      </c>
      <c r="AS159" s="218" t="s">
        <v>593</v>
      </c>
      <c r="AT159" s="273"/>
      <c r="AU159" s="218" t="str">
        <f t="shared" si="137"/>
        <v>-</v>
      </c>
      <c r="AV159" s="60"/>
      <c r="AW159" s="174" t="s">
        <v>208</v>
      </c>
      <c r="AX159" s="273" t="str">
        <f t="shared" si="141"/>
        <v>B0</v>
      </c>
      <c r="AY159" s="218" t="str">
        <f t="shared" si="153"/>
        <v>-</v>
      </c>
      <c r="AZ159" s="174" t="s">
        <v>208</v>
      </c>
      <c r="BA159" s="92" t="str">
        <f>IF(EXACT(AW159,AZ159),"OK","NG")</f>
        <v>OK</v>
      </c>
      <c r="BB159" s="60"/>
      <c r="BC159" s="174" t="s">
        <v>192</v>
      </c>
      <c r="BD159" s="273" t="str">
        <f t="shared" si="142"/>
        <v>A1</v>
      </c>
      <c r="BE159" s="218" t="str">
        <f t="shared" si="154"/>
        <v>-</v>
      </c>
      <c r="BF159" s="174" t="s">
        <v>192</v>
      </c>
      <c r="BG159" s="92" t="str">
        <f>IF(EXACT(BC159,BF159),"OK","NG")</f>
        <v>OK</v>
      </c>
      <c r="BH159" s="60"/>
      <c r="BI159" s="170" t="s">
        <v>208</v>
      </c>
      <c r="BJ159" s="273" t="str">
        <f t="shared" si="143"/>
        <v>B0</v>
      </c>
      <c r="BK159" s="218" t="s">
        <v>593</v>
      </c>
      <c r="BL159" s="174" t="s">
        <v>208</v>
      </c>
      <c r="BM159" s="92" t="str">
        <f>IF(EXACT(BI159,BL159),"OK","NG")</f>
        <v>OK</v>
      </c>
      <c r="BN159" s="60"/>
      <c r="BO159" s="174" t="s">
        <v>192</v>
      </c>
      <c r="BP159" s="273" t="str">
        <f t="shared" si="144"/>
        <v>A1</v>
      </c>
      <c r="BQ159" s="218" t="str">
        <f t="shared" si="155"/>
        <v>-</v>
      </c>
      <c r="BR159" s="174" t="s">
        <v>192</v>
      </c>
      <c r="BS159" s="92" t="str">
        <f>IF(EXACT(BO159,BR159),"OK","NG")</f>
        <v>OK</v>
      </c>
      <c r="BT159" s="60"/>
      <c r="BU159" s="170"/>
      <c r="BV159" s="273" t="str">
        <f t="shared" si="145"/>
        <v xml:space="preserve">  </v>
      </c>
      <c r="BW159" s="218" t="s">
        <v>593</v>
      </c>
      <c r="BX159" s="273"/>
      <c r="BY159" s="218" t="str">
        <f t="shared" si="156"/>
        <v>-</v>
      </c>
      <c r="BZ159" s="60"/>
      <c r="CA159" s="174"/>
      <c r="CB159" s="273" t="str">
        <f t="shared" si="146"/>
        <v xml:space="preserve">  </v>
      </c>
      <c r="CC159" s="218" t="str">
        <f t="shared" si="157"/>
        <v>-</v>
      </c>
      <c r="CD159" s="174"/>
      <c r="CE159" s="92" t="str">
        <f t="shared" ref="CE159:CE186" si="166">IF(EXACT(CA159,CD159),"OK","NG")</f>
        <v>OK</v>
      </c>
      <c r="CF159" s="60"/>
      <c r="CG159" s="174"/>
      <c r="CH159" s="273" t="str">
        <f t="shared" si="147"/>
        <v xml:space="preserve">  </v>
      </c>
      <c r="CI159" s="218" t="str">
        <f t="shared" si="158"/>
        <v>-</v>
      </c>
      <c r="CJ159" s="174"/>
      <c r="CK159" s="92" t="str">
        <f t="shared" ref="CK159:CK186" si="167">IF(EXACT(CG159,CJ159),"OK","NG")</f>
        <v>OK</v>
      </c>
      <c r="CL159" s="60"/>
      <c r="CM159" s="174"/>
      <c r="CN159" s="273" t="str">
        <f t="shared" si="148"/>
        <v xml:space="preserve">  </v>
      </c>
      <c r="CO159" s="218" t="s">
        <v>593</v>
      </c>
      <c r="CP159" s="273"/>
      <c r="CQ159" s="218" t="str">
        <f t="shared" si="159"/>
        <v>-</v>
      </c>
      <c r="CR159" s="60"/>
      <c r="CS159" s="174"/>
      <c r="CT159" s="273" t="str">
        <f t="shared" si="149"/>
        <v xml:space="preserve">  </v>
      </c>
      <c r="CU159" s="218" t="str">
        <f t="shared" si="160"/>
        <v>-</v>
      </c>
      <c r="CV159" s="174"/>
      <c r="CW159" s="92" t="s">
        <v>593</v>
      </c>
      <c r="CX159" s="60"/>
      <c r="CY159" s="174"/>
      <c r="CZ159" s="273" t="str">
        <f t="shared" si="150"/>
        <v xml:space="preserve">  </v>
      </c>
      <c r="DA159" s="218" t="str">
        <f t="shared" si="161"/>
        <v>-</v>
      </c>
      <c r="DB159" s="174"/>
      <c r="DC159" s="92" t="s">
        <v>593</v>
      </c>
    </row>
    <row r="160" spans="1:107" s="26" customFormat="1">
      <c r="B160" s="2">
        <f t="shared" si="151"/>
        <v>153</v>
      </c>
      <c r="C160" s="7"/>
      <c r="D160" s="7"/>
      <c r="E160" s="7"/>
      <c r="F160" s="22" t="s">
        <v>353</v>
      </c>
      <c r="G160" s="16"/>
      <c r="H160" s="13"/>
      <c r="I160" s="8"/>
      <c r="J160" s="8"/>
      <c r="K160" s="8"/>
      <c r="L160" s="8"/>
      <c r="M160" s="417" t="s">
        <v>220</v>
      </c>
      <c r="N160" s="11"/>
      <c r="O160" s="57"/>
      <c r="P160" s="95">
        <f t="shared" ref="P160:P181" si="168">P159+1</f>
        <v>132</v>
      </c>
      <c r="Q160" s="115">
        <v>2</v>
      </c>
      <c r="R160" s="21" t="str">
        <f t="shared" si="163"/>
        <v>X</v>
      </c>
      <c r="S160" s="98" t="s">
        <v>124</v>
      </c>
      <c r="T160" s="96"/>
      <c r="U160" s="21" t="s">
        <v>257</v>
      </c>
      <c r="V160" s="10"/>
      <c r="W160" s="25">
        <v>3</v>
      </c>
      <c r="X160" s="1" t="s">
        <v>125</v>
      </c>
      <c r="Y160" s="1">
        <v>2</v>
      </c>
      <c r="Z160" s="1">
        <v>2</v>
      </c>
      <c r="AA160" s="8" t="s">
        <v>114</v>
      </c>
      <c r="AB160" s="8" t="s">
        <v>21</v>
      </c>
      <c r="AC160" s="12"/>
      <c r="AD160" s="60"/>
      <c r="AE160" s="169"/>
      <c r="AF160" s="61" t="str">
        <f t="shared" si="138"/>
        <v xml:space="preserve">  </v>
      </c>
      <c r="AG160" s="218" t="str">
        <f t="shared" si="162"/>
        <v>-</v>
      </c>
      <c r="AH160" s="169"/>
      <c r="AI160" s="92" t="str">
        <f t="shared" si="164"/>
        <v>OK</v>
      </c>
      <c r="AJ160" s="60"/>
      <c r="AK160" s="169"/>
      <c r="AL160" s="61" t="str">
        <f t="shared" si="139"/>
        <v xml:space="preserve">  </v>
      </c>
      <c r="AM160" s="218" t="str">
        <f t="shared" si="152"/>
        <v>-</v>
      </c>
      <c r="AN160" s="169"/>
      <c r="AO160" s="92" t="str">
        <f t="shared" si="165"/>
        <v>OK</v>
      </c>
      <c r="AP160" s="60"/>
      <c r="AQ160" s="172"/>
      <c r="AR160" s="61" t="str">
        <f t="shared" si="140"/>
        <v xml:space="preserve">  </v>
      </c>
      <c r="AS160" s="218" t="s">
        <v>593</v>
      </c>
      <c r="AT160" s="61"/>
      <c r="AU160" s="218" t="str">
        <f t="shared" si="137"/>
        <v>-</v>
      </c>
      <c r="AV160" s="60"/>
      <c r="AW160" s="169"/>
      <c r="AX160" s="61" t="str">
        <f t="shared" si="141"/>
        <v xml:space="preserve">  </v>
      </c>
      <c r="AY160" s="218" t="str">
        <f t="shared" si="153"/>
        <v>-</v>
      </c>
      <c r="AZ160" s="169"/>
      <c r="BA160" s="92" t="str">
        <f>IF(EXACT(AW160,AZ160),"OK","NG")</f>
        <v>OK</v>
      </c>
      <c r="BB160" s="60"/>
      <c r="BC160" s="169"/>
      <c r="BD160" s="61" t="str">
        <f t="shared" si="142"/>
        <v xml:space="preserve">  </v>
      </c>
      <c r="BE160" s="218" t="str">
        <f t="shared" si="154"/>
        <v>-</v>
      </c>
      <c r="BF160" s="169"/>
      <c r="BG160" s="92" t="str">
        <f>IF(EXACT(BC160,BF160),"OK","NG")</f>
        <v>OK</v>
      </c>
      <c r="BH160" s="60"/>
      <c r="BI160" s="170" t="s">
        <v>698</v>
      </c>
      <c r="BJ160" s="61" t="str">
        <f t="shared" si="143"/>
        <v xml:space="preserve">  </v>
      </c>
      <c r="BK160" s="218" t="s">
        <v>593</v>
      </c>
      <c r="BL160" s="169"/>
      <c r="BM160" s="92" t="str">
        <f>IF(EXACT(BI160,BL160),"OK","NG")</f>
        <v>NG</v>
      </c>
      <c r="BN160" s="60"/>
      <c r="BO160" s="169"/>
      <c r="BP160" s="61" t="str">
        <f t="shared" si="144"/>
        <v xml:space="preserve">  </v>
      </c>
      <c r="BQ160" s="218" t="str">
        <f t="shared" si="155"/>
        <v>-</v>
      </c>
      <c r="BR160" s="169"/>
      <c r="BS160" s="92" t="str">
        <f>IF(EXACT(BO160,BR160),"OK","NG")</f>
        <v>OK</v>
      </c>
      <c r="BT160" s="60"/>
      <c r="BU160" s="172"/>
      <c r="BV160" s="61" t="str">
        <f t="shared" si="145"/>
        <v xml:space="preserve">  </v>
      </c>
      <c r="BW160" s="218" t="s">
        <v>593</v>
      </c>
      <c r="BX160" s="61"/>
      <c r="BY160" s="218" t="str">
        <f t="shared" si="156"/>
        <v>-</v>
      </c>
      <c r="BZ160" s="60"/>
      <c r="CA160" s="169"/>
      <c r="CB160" s="61" t="str">
        <f t="shared" si="146"/>
        <v xml:space="preserve">  </v>
      </c>
      <c r="CC160" s="218" t="str">
        <f t="shared" si="157"/>
        <v>-</v>
      </c>
      <c r="CD160" s="169"/>
      <c r="CE160" s="92" t="str">
        <f t="shared" si="166"/>
        <v>OK</v>
      </c>
      <c r="CF160" s="60"/>
      <c r="CG160" s="169"/>
      <c r="CH160" s="61" t="str">
        <f t="shared" si="147"/>
        <v xml:space="preserve">  </v>
      </c>
      <c r="CI160" s="218" t="str">
        <f t="shared" si="158"/>
        <v>-</v>
      </c>
      <c r="CJ160" s="169"/>
      <c r="CK160" s="92" t="str">
        <f t="shared" si="167"/>
        <v>OK</v>
      </c>
      <c r="CL160" s="60"/>
      <c r="CM160" s="169"/>
      <c r="CN160" s="61" t="str">
        <f t="shared" si="148"/>
        <v xml:space="preserve">  </v>
      </c>
      <c r="CO160" s="218" t="s">
        <v>593</v>
      </c>
      <c r="CP160" s="61"/>
      <c r="CQ160" s="218" t="str">
        <f t="shared" si="159"/>
        <v>-</v>
      </c>
      <c r="CR160" s="60"/>
      <c r="CS160" s="169"/>
      <c r="CT160" s="61" t="str">
        <f t="shared" si="149"/>
        <v xml:space="preserve">  </v>
      </c>
      <c r="CU160" s="218" t="str">
        <f t="shared" si="160"/>
        <v>-</v>
      </c>
      <c r="CV160" s="169"/>
      <c r="CW160" s="92" t="s">
        <v>593</v>
      </c>
      <c r="CX160" s="60"/>
      <c r="CY160" s="169"/>
      <c r="CZ160" s="61" t="str">
        <f t="shared" si="150"/>
        <v xml:space="preserve">  </v>
      </c>
      <c r="DA160" s="218" t="str">
        <f t="shared" si="161"/>
        <v>-</v>
      </c>
      <c r="DB160" s="169"/>
      <c r="DC160" s="92" t="s">
        <v>593</v>
      </c>
    </row>
    <row r="161" spans="2:107" s="26" customFormat="1">
      <c r="B161" s="2">
        <f t="shared" si="151"/>
        <v>154</v>
      </c>
      <c r="C161" s="7"/>
      <c r="D161" s="7"/>
      <c r="E161" s="7"/>
      <c r="F161" s="22" t="s">
        <v>126</v>
      </c>
      <c r="G161" s="16"/>
      <c r="H161" s="13"/>
      <c r="I161" s="8"/>
      <c r="J161" s="8" t="s">
        <v>269</v>
      </c>
      <c r="K161" s="8"/>
      <c r="L161" s="8"/>
      <c r="M161" s="1" t="s">
        <v>127</v>
      </c>
      <c r="N161" s="1"/>
      <c r="O161" s="57"/>
      <c r="P161" s="95">
        <f t="shared" si="168"/>
        <v>133</v>
      </c>
      <c r="Q161" s="115">
        <v>255</v>
      </c>
      <c r="R161" s="21" t="str">
        <f t="shared" si="163"/>
        <v>NX</v>
      </c>
      <c r="S161" s="98" t="s">
        <v>128</v>
      </c>
      <c r="T161" s="96"/>
      <c r="U161" s="21" t="s">
        <v>257</v>
      </c>
      <c r="V161" s="10"/>
      <c r="W161" s="25">
        <v>3</v>
      </c>
      <c r="X161" s="1" t="s">
        <v>298</v>
      </c>
      <c r="Y161" s="1">
        <v>1</v>
      </c>
      <c r="Z161" s="1">
        <v>255</v>
      </c>
      <c r="AA161" s="8" t="s">
        <v>129</v>
      </c>
      <c r="AB161" s="8" t="s">
        <v>21</v>
      </c>
      <c r="AC161" s="12"/>
      <c r="AD161" s="60"/>
      <c r="AE161" s="174"/>
      <c r="AF161" s="228" t="str">
        <f t="shared" si="138"/>
        <v xml:space="preserve">                                                                                                                                                                                                                                                               </v>
      </c>
      <c r="AG161" s="218" t="str">
        <f t="shared" si="162"/>
        <v>-</v>
      </c>
      <c r="AH161" s="174"/>
      <c r="AI161" s="92" t="str">
        <f t="shared" si="164"/>
        <v>OK</v>
      </c>
      <c r="AJ161" s="60"/>
      <c r="AK161" s="174"/>
      <c r="AL161" s="228" t="str">
        <f t="shared" si="139"/>
        <v xml:space="preserve">                                                                                                                                                                                                                                                               </v>
      </c>
      <c r="AM161" s="218" t="str">
        <f t="shared" si="152"/>
        <v>-</v>
      </c>
      <c r="AN161" s="174"/>
      <c r="AO161" s="92" t="str">
        <f t="shared" si="165"/>
        <v>OK</v>
      </c>
      <c r="AP161" s="60"/>
      <c r="AQ161" s="170"/>
      <c r="AR161" s="228" t="str">
        <f t="shared" si="140"/>
        <v xml:space="preserve">                                                                                                                                                                                                                                                               </v>
      </c>
      <c r="AS161" s="218" t="s">
        <v>593</v>
      </c>
      <c r="AT161" s="228"/>
      <c r="AU161" s="218" t="str">
        <f t="shared" si="137"/>
        <v>-</v>
      </c>
      <c r="AV161" s="60"/>
      <c r="AW161" s="174" t="s">
        <v>333</v>
      </c>
      <c r="AX161" s="228" t="str">
        <f t="shared" si="141"/>
        <v xml:space="preserve">コミュファ光 マンション                                                                                                                                                                                                                                        </v>
      </c>
      <c r="AY161" s="218" t="str">
        <f t="shared" si="153"/>
        <v>-</v>
      </c>
      <c r="AZ161" s="174" t="s">
        <v>333</v>
      </c>
      <c r="BA161" s="92" t="str">
        <f>IF(EXACT(AW161,AZ161),"OK","NG")</f>
        <v>OK</v>
      </c>
      <c r="BB161" s="60"/>
      <c r="BC161" s="174" t="s">
        <v>347</v>
      </c>
      <c r="BD161" s="228" t="str">
        <f t="shared" si="142"/>
        <v xml:space="preserve">ｅｏ光 ホーム                                                                                                                                                                                                                                                  </v>
      </c>
      <c r="BE161" s="218" t="str">
        <f t="shared" si="154"/>
        <v>-</v>
      </c>
      <c r="BF161" s="174" t="s">
        <v>347</v>
      </c>
      <c r="BG161" s="92" t="str">
        <f>IF(EXACT(BC161,BF161),"OK","NG")</f>
        <v>OK</v>
      </c>
      <c r="BH161" s="60"/>
      <c r="BI161" s="170" t="s">
        <v>735</v>
      </c>
      <c r="BJ161" s="228" t="str">
        <f t="shared" si="143"/>
        <v xml:space="preserve">コミュファ光 マンション                                                                                                                                                                                                                                        </v>
      </c>
      <c r="BK161" s="218" t="s">
        <v>593</v>
      </c>
      <c r="BL161" s="174" t="s">
        <v>333</v>
      </c>
      <c r="BM161" s="92" t="str">
        <f>IF(EXACT(BI161,BL161),"OK","NG")</f>
        <v>NG</v>
      </c>
      <c r="BN161" s="60"/>
      <c r="BO161" s="174" t="s">
        <v>347</v>
      </c>
      <c r="BP161" s="228" t="str">
        <f t="shared" si="144"/>
        <v xml:space="preserve">ｅｏ光 ホーム                                                                                                                                                                                                                                                  </v>
      </c>
      <c r="BQ161" s="218" t="str">
        <f t="shared" si="155"/>
        <v>-</v>
      </c>
      <c r="BR161" s="174" t="s">
        <v>347</v>
      </c>
      <c r="BS161" s="92" t="str">
        <f>IF(EXACT(BO161,BR161),"OK","NG")</f>
        <v>OK</v>
      </c>
      <c r="BT161" s="60"/>
      <c r="BU161" s="170"/>
      <c r="BV161" s="228" t="str">
        <f t="shared" si="145"/>
        <v xml:space="preserve">                                                                                                                                                                                                                                                               </v>
      </c>
      <c r="BW161" s="218" t="s">
        <v>593</v>
      </c>
      <c r="BX161" s="228"/>
      <c r="BY161" s="218" t="str">
        <f t="shared" si="156"/>
        <v>-</v>
      </c>
      <c r="BZ161" s="60"/>
      <c r="CA161" s="174"/>
      <c r="CB161" s="228" t="str">
        <f t="shared" si="146"/>
        <v xml:space="preserve">                                                                                                                                                                                                                                                               </v>
      </c>
      <c r="CC161" s="218" t="str">
        <f t="shared" si="157"/>
        <v>-</v>
      </c>
      <c r="CD161" s="174"/>
      <c r="CE161" s="92" t="str">
        <f t="shared" si="166"/>
        <v>OK</v>
      </c>
      <c r="CF161" s="60"/>
      <c r="CG161" s="174"/>
      <c r="CH161" s="228" t="str">
        <f t="shared" si="147"/>
        <v xml:space="preserve">                                                                                                                                                                                                                                                               </v>
      </c>
      <c r="CI161" s="218" t="str">
        <f t="shared" si="158"/>
        <v>-</v>
      </c>
      <c r="CJ161" s="174"/>
      <c r="CK161" s="92" t="str">
        <f t="shared" si="167"/>
        <v>OK</v>
      </c>
      <c r="CL161" s="60"/>
      <c r="CM161" s="174"/>
      <c r="CN161" s="228" t="str">
        <f t="shared" si="148"/>
        <v xml:space="preserve">                                                                                                                                                                                                                                                               </v>
      </c>
      <c r="CO161" s="218" t="s">
        <v>593</v>
      </c>
      <c r="CP161" s="228"/>
      <c r="CQ161" s="218" t="str">
        <f t="shared" si="159"/>
        <v>-</v>
      </c>
      <c r="CR161" s="60"/>
      <c r="CS161" s="174"/>
      <c r="CT161" s="228" t="str">
        <f t="shared" si="149"/>
        <v xml:space="preserve">                                                                                                                                                                                                                                                               </v>
      </c>
      <c r="CU161" s="218" t="str">
        <f t="shared" si="160"/>
        <v>-</v>
      </c>
      <c r="CV161" s="174"/>
      <c r="CW161" s="92" t="s">
        <v>593</v>
      </c>
      <c r="CX161" s="60"/>
      <c r="CY161" s="174"/>
      <c r="CZ161" s="228" t="str">
        <f t="shared" si="150"/>
        <v xml:space="preserve">                                                                                                                                                                                                                                                               </v>
      </c>
      <c r="DA161" s="218" t="str">
        <f t="shared" si="161"/>
        <v>-</v>
      </c>
      <c r="DB161" s="174"/>
      <c r="DC161" s="92" t="s">
        <v>593</v>
      </c>
    </row>
    <row r="162" spans="2:107" s="26" customFormat="1">
      <c r="B162" s="19">
        <f t="shared" si="151"/>
        <v>155</v>
      </c>
      <c r="C162" s="7"/>
      <c r="D162" s="7"/>
      <c r="E162" s="7"/>
      <c r="F162" s="3" t="s">
        <v>130</v>
      </c>
      <c r="G162" s="3"/>
      <c r="H162" s="4"/>
      <c r="I162" s="6"/>
      <c r="J162" s="6"/>
      <c r="K162" s="6"/>
      <c r="L162" s="6"/>
      <c r="M162" s="23" t="s">
        <v>131</v>
      </c>
      <c r="N162" s="5"/>
      <c r="O162" s="55"/>
      <c r="P162" s="95">
        <f t="shared" si="168"/>
        <v>134</v>
      </c>
      <c r="Q162" s="116">
        <v>256</v>
      </c>
      <c r="R162" s="21" t="str">
        <f t="shared" si="163"/>
        <v>NX</v>
      </c>
      <c r="S162" s="98" t="s">
        <v>132</v>
      </c>
      <c r="T162" s="96"/>
      <c r="U162" s="21" t="s">
        <v>435</v>
      </c>
      <c r="V162" s="10"/>
      <c r="W162" s="28">
        <v>3</v>
      </c>
      <c r="X162" s="5" t="s">
        <v>299</v>
      </c>
      <c r="Y162" s="5">
        <v>1</v>
      </c>
      <c r="Z162" s="5">
        <v>256</v>
      </c>
      <c r="AA162" s="6" t="s">
        <v>300</v>
      </c>
      <c r="AB162" s="6" t="s">
        <v>257</v>
      </c>
      <c r="AC162" s="64"/>
      <c r="AD162" s="60"/>
      <c r="AE162" s="169"/>
      <c r="AF162" s="61" t="str">
        <f t="shared" si="138"/>
        <v xml:space="preserve">                                                                                                                                                                                                                                                                </v>
      </c>
      <c r="AG162" s="218" t="str">
        <f t="shared" si="162"/>
        <v>-</v>
      </c>
      <c r="AH162" s="169"/>
      <c r="AI162" s="92" t="str">
        <f t="shared" si="164"/>
        <v>OK</v>
      </c>
      <c r="AJ162" s="60"/>
      <c r="AK162" s="169"/>
      <c r="AL162" s="61" t="str">
        <f t="shared" si="139"/>
        <v xml:space="preserve">                                                                                                                                                                                                                                                                </v>
      </c>
      <c r="AM162" s="218" t="str">
        <f t="shared" si="152"/>
        <v>-</v>
      </c>
      <c r="AN162" s="169"/>
      <c r="AO162" s="92" t="str">
        <f t="shared" si="165"/>
        <v>OK</v>
      </c>
      <c r="AP162" s="60"/>
      <c r="AQ162" s="172"/>
      <c r="AR162" s="61" t="str">
        <f t="shared" si="140"/>
        <v xml:space="preserve">                                                                                                                                                                                                                                                                </v>
      </c>
      <c r="AS162" s="218" t="s">
        <v>593</v>
      </c>
      <c r="AT162" s="61"/>
      <c r="AU162" s="218" t="str">
        <f t="shared" si="137"/>
        <v>-</v>
      </c>
      <c r="AV162" s="60"/>
      <c r="AW162" s="169"/>
      <c r="AX162" s="61" t="str">
        <f t="shared" si="141"/>
        <v xml:space="preserve">                                                                                                                                                                                                                                                                </v>
      </c>
      <c r="AY162" s="218" t="str">
        <f t="shared" si="153"/>
        <v>-</v>
      </c>
      <c r="AZ162" s="169"/>
      <c r="BA162" s="92" t="str">
        <f>IF(EXACT(AW162,AZ162),"OK","NG")</f>
        <v>OK</v>
      </c>
      <c r="BB162" s="60"/>
      <c r="BC162" s="169"/>
      <c r="BD162" s="61" t="str">
        <f t="shared" si="142"/>
        <v xml:space="preserve">                                                                                                                                                                                                                                                                </v>
      </c>
      <c r="BE162" s="218" t="str">
        <f t="shared" si="154"/>
        <v>-</v>
      </c>
      <c r="BF162" s="169"/>
      <c r="BG162" s="92" t="str">
        <f>IF(EXACT(BC162,BF162),"OK","NG")</f>
        <v>OK</v>
      </c>
      <c r="BH162" s="60"/>
      <c r="BI162" s="170" t="s">
        <v>700</v>
      </c>
      <c r="BJ162" s="61" t="str">
        <f t="shared" si="143"/>
        <v xml:space="preserve">                                                                                                                                                                                                                                                                </v>
      </c>
      <c r="BK162" s="218" t="s">
        <v>593</v>
      </c>
      <c r="BL162" s="169"/>
      <c r="BM162" s="92" t="str">
        <f>IF(EXACT(BI162,BL162),"OK","NG")</f>
        <v>NG</v>
      </c>
      <c r="BN162" s="60"/>
      <c r="BO162" s="169"/>
      <c r="BP162" s="61" t="str">
        <f t="shared" si="144"/>
        <v xml:space="preserve">                                                                                                                                                                                                                                                                </v>
      </c>
      <c r="BQ162" s="218" t="str">
        <f t="shared" si="155"/>
        <v>-</v>
      </c>
      <c r="BR162" s="169"/>
      <c r="BS162" s="92" t="str">
        <f>IF(EXACT(BO162,BR162),"OK","NG")</f>
        <v>OK</v>
      </c>
      <c r="BT162" s="60"/>
      <c r="BU162" s="172"/>
      <c r="BV162" s="61" t="str">
        <f t="shared" si="145"/>
        <v xml:space="preserve">                                                                                                                                                                                                                                                                </v>
      </c>
      <c r="BW162" s="218" t="s">
        <v>593</v>
      </c>
      <c r="BX162" s="61"/>
      <c r="BY162" s="218" t="str">
        <f t="shared" si="156"/>
        <v>-</v>
      </c>
      <c r="BZ162" s="60"/>
      <c r="CA162" s="169"/>
      <c r="CB162" s="61" t="str">
        <f t="shared" si="146"/>
        <v xml:space="preserve">                                                                                                                                                                                                                                                                </v>
      </c>
      <c r="CC162" s="218" t="str">
        <f t="shared" si="157"/>
        <v>-</v>
      </c>
      <c r="CD162" s="169"/>
      <c r="CE162" s="92" t="str">
        <f t="shared" si="166"/>
        <v>OK</v>
      </c>
      <c r="CF162" s="60"/>
      <c r="CG162" s="169"/>
      <c r="CH162" s="61" t="str">
        <f t="shared" si="147"/>
        <v xml:space="preserve">                                                                                                                                                                                                                                                                </v>
      </c>
      <c r="CI162" s="218" t="str">
        <f t="shared" si="158"/>
        <v>-</v>
      </c>
      <c r="CJ162" s="169"/>
      <c r="CK162" s="92" t="str">
        <f t="shared" si="167"/>
        <v>OK</v>
      </c>
      <c r="CL162" s="60"/>
      <c r="CM162" s="169"/>
      <c r="CN162" s="61" t="str">
        <f t="shared" si="148"/>
        <v xml:space="preserve">                                                                                                                                                                                                                                                                </v>
      </c>
      <c r="CO162" s="218" t="s">
        <v>593</v>
      </c>
      <c r="CP162" s="61"/>
      <c r="CQ162" s="218" t="str">
        <f t="shared" si="159"/>
        <v>-</v>
      </c>
      <c r="CR162" s="60"/>
      <c r="CS162" s="169"/>
      <c r="CT162" s="61" t="str">
        <f t="shared" si="149"/>
        <v xml:space="preserve">                                                                                                                                                                                                                                                                </v>
      </c>
      <c r="CU162" s="218" t="str">
        <f t="shared" si="160"/>
        <v>-</v>
      </c>
      <c r="CV162" s="169"/>
      <c r="CW162" s="92" t="s">
        <v>593</v>
      </c>
      <c r="CX162" s="60"/>
      <c r="CY162" s="169"/>
      <c r="CZ162" s="61" t="str">
        <f t="shared" si="150"/>
        <v xml:space="preserve">                                                                                                                                                                                                                                                                </v>
      </c>
      <c r="DA162" s="218" t="str">
        <f t="shared" si="161"/>
        <v>-</v>
      </c>
      <c r="DB162" s="169"/>
      <c r="DC162" s="92" t="s">
        <v>593</v>
      </c>
    </row>
    <row r="163" spans="2:107" s="26" customFormat="1" ht="63.75">
      <c r="B163" s="2">
        <f t="shared" si="151"/>
        <v>156</v>
      </c>
      <c r="C163" s="7"/>
      <c r="D163" s="7"/>
      <c r="E163" s="7"/>
      <c r="F163" s="22" t="s">
        <v>133</v>
      </c>
      <c r="G163" s="16"/>
      <c r="H163" s="13"/>
      <c r="I163" s="8"/>
      <c r="J163" s="8"/>
      <c r="K163" s="8"/>
      <c r="L163" s="8"/>
      <c r="M163" s="11" t="s">
        <v>444</v>
      </c>
      <c r="N163" s="1"/>
      <c r="O163" s="57"/>
      <c r="P163" s="95">
        <f t="shared" si="168"/>
        <v>135</v>
      </c>
      <c r="Q163" s="115">
        <v>256</v>
      </c>
      <c r="R163" s="21" t="str">
        <f t="shared" si="163"/>
        <v>NX</v>
      </c>
      <c r="S163" s="98" t="s">
        <v>134</v>
      </c>
      <c r="T163" s="96"/>
      <c r="U163" s="21" t="s">
        <v>435</v>
      </c>
      <c r="V163" s="10"/>
      <c r="W163" s="25">
        <v>3</v>
      </c>
      <c r="X163" s="1" t="s">
        <v>135</v>
      </c>
      <c r="Y163" s="1">
        <v>1</v>
      </c>
      <c r="Z163" s="1">
        <v>256</v>
      </c>
      <c r="AA163" s="8" t="s">
        <v>129</v>
      </c>
      <c r="AB163" s="8" t="s">
        <v>257</v>
      </c>
      <c r="AC163" s="12"/>
      <c r="AD163" s="60"/>
      <c r="AE163" s="174"/>
      <c r="AF163" s="170" t="str">
        <f t="shared" si="138"/>
        <v xml:space="preserve">                                                                                                                                                                                                                                                                </v>
      </c>
      <c r="AG163" s="218" t="str">
        <f t="shared" si="162"/>
        <v>-</v>
      </c>
      <c r="AH163" s="174"/>
      <c r="AI163" s="92" t="str">
        <f t="shared" si="164"/>
        <v>OK</v>
      </c>
      <c r="AJ163" s="60"/>
      <c r="AK163" s="174"/>
      <c r="AL163" s="170" t="str">
        <f t="shared" si="139"/>
        <v xml:space="preserve">                                                                                                                                                                                                                                                                </v>
      </c>
      <c r="AM163" s="218" t="str">
        <f t="shared" si="152"/>
        <v>-</v>
      </c>
      <c r="AN163" s="174"/>
      <c r="AO163" s="92" t="str">
        <f t="shared" si="165"/>
        <v>OK</v>
      </c>
      <c r="AP163" s="60"/>
      <c r="AQ163" s="170"/>
      <c r="AR163" s="170" t="str">
        <f t="shared" si="140"/>
        <v xml:space="preserve">                                                                                                                                                                                                                                                                </v>
      </c>
      <c r="AS163" s="218" t="s">
        <v>593</v>
      </c>
      <c r="AT163" s="170"/>
      <c r="AU163" s="218" t="str">
        <f t="shared" si="137"/>
        <v>-</v>
      </c>
      <c r="AV163" s="60"/>
      <c r="AW163" s="174"/>
      <c r="AX163" s="170" t="str">
        <f t="shared" si="141"/>
        <v xml:space="preserve">                                                                                                                                                                                                                                                                </v>
      </c>
      <c r="AY163" s="218" t="str">
        <f t="shared" si="153"/>
        <v>-</v>
      </c>
      <c r="AZ163" s="174"/>
      <c r="BA163" s="478" t="s">
        <v>594</v>
      </c>
      <c r="BB163" s="60"/>
      <c r="BC163" s="174"/>
      <c r="BD163" s="170" t="str">
        <f t="shared" si="142"/>
        <v xml:space="preserve">                                                                                                                                                                                                                                                                </v>
      </c>
      <c r="BE163" s="218" t="str">
        <f t="shared" si="154"/>
        <v>-</v>
      </c>
      <c r="BF163" s="174"/>
      <c r="BG163" s="478" t="s">
        <v>594</v>
      </c>
      <c r="BH163" s="60"/>
      <c r="BI163" s="170" t="s">
        <v>700</v>
      </c>
      <c r="BJ163" s="170" t="str">
        <f t="shared" si="143"/>
        <v xml:space="preserve">                                                                                                                                                                                                                                                                </v>
      </c>
      <c r="BK163" s="218" t="s">
        <v>593</v>
      </c>
      <c r="BL163" s="174"/>
      <c r="BM163" s="478" t="s">
        <v>594</v>
      </c>
      <c r="BN163" s="60"/>
      <c r="BO163" s="174"/>
      <c r="BP163" s="170" t="str">
        <f t="shared" si="144"/>
        <v xml:space="preserve">                                                                                                                                                                                                                                                                </v>
      </c>
      <c r="BQ163" s="218" t="str">
        <f t="shared" si="155"/>
        <v>-</v>
      </c>
      <c r="BR163" s="174"/>
      <c r="BS163" s="478" t="s">
        <v>594</v>
      </c>
      <c r="BT163" s="60"/>
      <c r="BU163" s="170"/>
      <c r="BV163" s="170" t="str">
        <f t="shared" si="145"/>
        <v xml:space="preserve">                                                                                                                                                                                                                                                                </v>
      </c>
      <c r="BW163" s="218" t="s">
        <v>593</v>
      </c>
      <c r="BX163" s="170"/>
      <c r="BY163" s="218" t="str">
        <f t="shared" si="156"/>
        <v>-</v>
      </c>
      <c r="BZ163" s="60"/>
      <c r="CA163" s="174"/>
      <c r="CB163" s="170" t="str">
        <f t="shared" si="146"/>
        <v xml:space="preserve">                                                                                                                                                                                                                                                                </v>
      </c>
      <c r="CC163" s="218" t="str">
        <f t="shared" si="157"/>
        <v>-</v>
      </c>
      <c r="CD163" s="174"/>
      <c r="CE163" s="92" t="str">
        <f t="shared" si="166"/>
        <v>OK</v>
      </c>
      <c r="CF163" s="60"/>
      <c r="CG163" s="174"/>
      <c r="CH163" s="170" t="str">
        <f t="shared" si="147"/>
        <v xml:space="preserve">                                                                                                                                                                                                                                                                </v>
      </c>
      <c r="CI163" s="218" t="str">
        <f t="shared" si="158"/>
        <v>-</v>
      </c>
      <c r="CJ163" s="174"/>
      <c r="CK163" s="92" t="str">
        <f t="shared" si="167"/>
        <v>OK</v>
      </c>
      <c r="CL163" s="60"/>
      <c r="CM163" s="174"/>
      <c r="CN163" s="170" t="str">
        <f t="shared" si="148"/>
        <v xml:space="preserve">                                                                                                                                                                                                                                                                </v>
      </c>
      <c r="CO163" s="218" t="s">
        <v>593</v>
      </c>
      <c r="CP163" s="170"/>
      <c r="CQ163" s="218" t="str">
        <f t="shared" si="159"/>
        <v>-</v>
      </c>
      <c r="CR163" s="60"/>
      <c r="CS163" s="174"/>
      <c r="CT163" s="170" t="str">
        <f t="shared" si="149"/>
        <v xml:space="preserve">                                                                                                                                                                                                                                                                </v>
      </c>
      <c r="CU163" s="218" t="str">
        <f t="shared" si="160"/>
        <v>-</v>
      </c>
      <c r="CV163" s="174"/>
      <c r="CW163" s="92" t="s">
        <v>593</v>
      </c>
      <c r="CX163" s="60"/>
      <c r="CY163" s="174"/>
      <c r="CZ163" s="170" t="str">
        <f t="shared" si="150"/>
        <v xml:space="preserve">                                                                                                                                                                                                                                                                </v>
      </c>
      <c r="DA163" s="218" t="str">
        <f t="shared" si="161"/>
        <v>-</v>
      </c>
      <c r="DB163" s="174"/>
      <c r="DC163" s="92" t="s">
        <v>593</v>
      </c>
    </row>
    <row r="164" spans="2:107" s="26" customFormat="1" ht="63.75">
      <c r="B164" s="2">
        <f t="shared" si="151"/>
        <v>157</v>
      </c>
      <c r="C164" s="7"/>
      <c r="D164" s="7"/>
      <c r="E164" s="7"/>
      <c r="F164" s="22" t="s">
        <v>136</v>
      </c>
      <c r="G164" s="16"/>
      <c r="H164" s="13"/>
      <c r="I164" s="8"/>
      <c r="J164" s="8"/>
      <c r="K164" s="8"/>
      <c r="L164" s="8"/>
      <c r="M164" s="11" t="s">
        <v>445</v>
      </c>
      <c r="N164" s="1"/>
      <c r="O164" s="57"/>
      <c r="P164" s="95">
        <f t="shared" si="168"/>
        <v>136</v>
      </c>
      <c r="Q164" s="115">
        <v>256</v>
      </c>
      <c r="R164" s="21" t="str">
        <f t="shared" si="163"/>
        <v>NX</v>
      </c>
      <c r="S164" s="98" t="s">
        <v>137</v>
      </c>
      <c r="T164" s="96"/>
      <c r="U164" s="21" t="s">
        <v>435</v>
      </c>
      <c r="V164" s="10"/>
      <c r="W164" s="25">
        <v>3</v>
      </c>
      <c r="X164" s="1" t="s">
        <v>138</v>
      </c>
      <c r="Y164" s="1">
        <v>1</v>
      </c>
      <c r="Z164" s="1">
        <v>256</v>
      </c>
      <c r="AA164" s="8" t="s">
        <v>129</v>
      </c>
      <c r="AB164" s="8" t="s">
        <v>257</v>
      </c>
      <c r="AC164" s="12"/>
      <c r="AD164" s="60"/>
      <c r="AE164" s="174"/>
      <c r="AF164" s="170" t="str">
        <f t="shared" si="138"/>
        <v xml:space="preserve">                                                                                                                                                                                                                                                                </v>
      </c>
      <c r="AG164" s="218" t="str">
        <f t="shared" si="162"/>
        <v>-</v>
      </c>
      <c r="AH164" s="174"/>
      <c r="AI164" s="92" t="str">
        <f t="shared" si="164"/>
        <v>OK</v>
      </c>
      <c r="AJ164" s="60"/>
      <c r="AK164" s="174"/>
      <c r="AL164" s="170" t="str">
        <f t="shared" si="139"/>
        <v xml:space="preserve">                                                                                                                                                                                                                                                                </v>
      </c>
      <c r="AM164" s="218" t="str">
        <f t="shared" si="152"/>
        <v>-</v>
      </c>
      <c r="AN164" s="174"/>
      <c r="AO164" s="92" t="str">
        <f t="shared" si="165"/>
        <v>OK</v>
      </c>
      <c r="AP164" s="60"/>
      <c r="AQ164" s="170"/>
      <c r="AR164" s="170" t="str">
        <f t="shared" si="140"/>
        <v xml:space="preserve">                                                                                                                                                                                                                                                                </v>
      </c>
      <c r="AS164" s="218" t="s">
        <v>593</v>
      </c>
      <c r="AT164" s="170"/>
      <c r="AU164" s="218" t="str">
        <f t="shared" si="137"/>
        <v>-</v>
      </c>
      <c r="AV164" s="60"/>
      <c r="AW164" s="174"/>
      <c r="AX164" s="170" t="str">
        <f t="shared" si="141"/>
        <v xml:space="preserve">                                                                                                                                                                                                                                                                </v>
      </c>
      <c r="AY164" s="218" t="str">
        <f t="shared" si="153"/>
        <v>-</v>
      </c>
      <c r="AZ164" s="174"/>
      <c r="BA164" s="478" t="s">
        <v>594</v>
      </c>
      <c r="BB164" s="60"/>
      <c r="BC164" s="174"/>
      <c r="BD164" s="170" t="str">
        <f t="shared" si="142"/>
        <v xml:space="preserve">                                                                                                                                                                                                                                                                </v>
      </c>
      <c r="BE164" s="218" t="str">
        <f t="shared" si="154"/>
        <v>-</v>
      </c>
      <c r="BF164" s="174"/>
      <c r="BG164" s="478" t="s">
        <v>594</v>
      </c>
      <c r="BH164" s="60"/>
      <c r="BI164" s="170" t="s">
        <v>700</v>
      </c>
      <c r="BJ164" s="170" t="str">
        <f t="shared" si="143"/>
        <v xml:space="preserve">                                                                                                                                                                                                                                                                </v>
      </c>
      <c r="BK164" s="218" t="s">
        <v>593</v>
      </c>
      <c r="BL164" s="174"/>
      <c r="BM164" s="478" t="s">
        <v>594</v>
      </c>
      <c r="BN164" s="60"/>
      <c r="BO164" s="174"/>
      <c r="BP164" s="170" t="str">
        <f t="shared" si="144"/>
        <v xml:space="preserve">                                                                                                                                                                                                                                                                </v>
      </c>
      <c r="BQ164" s="218" t="str">
        <f t="shared" si="155"/>
        <v>-</v>
      </c>
      <c r="BR164" s="174"/>
      <c r="BS164" s="478" t="s">
        <v>594</v>
      </c>
      <c r="BT164" s="60"/>
      <c r="BU164" s="170"/>
      <c r="BV164" s="170" t="str">
        <f t="shared" si="145"/>
        <v xml:space="preserve">                                                                                                                                                                                                                                                                </v>
      </c>
      <c r="BW164" s="218" t="s">
        <v>593</v>
      </c>
      <c r="BX164" s="170"/>
      <c r="BY164" s="218" t="str">
        <f t="shared" si="156"/>
        <v>-</v>
      </c>
      <c r="BZ164" s="60"/>
      <c r="CA164" s="174"/>
      <c r="CB164" s="170" t="str">
        <f t="shared" si="146"/>
        <v xml:space="preserve">                                                                                                                                                                                                                                                                </v>
      </c>
      <c r="CC164" s="218" t="str">
        <f t="shared" si="157"/>
        <v>-</v>
      </c>
      <c r="CD164" s="174"/>
      <c r="CE164" s="92" t="str">
        <f t="shared" si="166"/>
        <v>OK</v>
      </c>
      <c r="CF164" s="60"/>
      <c r="CG164" s="174"/>
      <c r="CH164" s="170" t="str">
        <f t="shared" si="147"/>
        <v xml:space="preserve">                                                                                                                                                                                                                                                                </v>
      </c>
      <c r="CI164" s="218" t="str">
        <f t="shared" si="158"/>
        <v>-</v>
      </c>
      <c r="CJ164" s="174"/>
      <c r="CK164" s="92" t="str">
        <f t="shared" si="167"/>
        <v>OK</v>
      </c>
      <c r="CL164" s="60"/>
      <c r="CM164" s="174"/>
      <c r="CN164" s="170" t="str">
        <f t="shared" si="148"/>
        <v xml:space="preserve">                                                                                                                                                                                                                                                                </v>
      </c>
      <c r="CO164" s="218" t="s">
        <v>593</v>
      </c>
      <c r="CP164" s="170"/>
      <c r="CQ164" s="218" t="str">
        <f t="shared" si="159"/>
        <v>-</v>
      </c>
      <c r="CR164" s="60"/>
      <c r="CS164" s="174"/>
      <c r="CT164" s="170" t="str">
        <f t="shared" si="149"/>
        <v xml:space="preserve">                                                                                                                                                                                                                                                                </v>
      </c>
      <c r="CU164" s="218" t="str">
        <f t="shared" si="160"/>
        <v>-</v>
      </c>
      <c r="CV164" s="174"/>
      <c r="CW164" s="92" t="s">
        <v>593</v>
      </c>
      <c r="CX164" s="60"/>
      <c r="CY164" s="174"/>
      <c r="CZ164" s="170" t="str">
        <f t="shared" si="150"/>
        <v xml:space="preserve">                                                                                                                                                                                                                                                                </v>
      </c>
      <c r="DA164" s="218" t="str">
        <f t="shared" si="161"/>
        <v>-</v>
      </c>
      <c r="DB164" s="174"/>
      <c r="DC164" s="92" t="s">
        <v>593</v>
      </c>
    </row>
    <row r="165" spans="2:107" s="26" customFormat="1" ht="69" customHeight="1">
      <c r="B165" s="19">
        <f t="shared" si="151"/>
        <v>158</v>
      </c>
      <c r="C165" s="7"/>
      <c r="D165" s="7"/>
      <c r="E165" s="7"/>
      <c r="F165" s="112" t="s">
        <v>446</v>
      </c>
      <c r="G165" s="16"/>
      <c r="H165" s="13"/>
      <c r="I165" s="8"/>
      <c r="J165" s="8" t="s">
        <v>426</v>
      </c>
      <c r="K165" s="8"/>
      <c r="L165" s="8"/>
      <c r="M165" s="11" t="s">
        <v>301</v>
      </c>
      <c r="N165" s="1"/>
      <c r="O165" s="57"/>
      <c r="P165" s="95">
        <f t="shared" si="168"/>
        <v>137</v>
      </c>
      <c r="Q165" s="115">
        <v>1</v>
      </c>
      <c r="R165" s="21" t="s">
        <v>418</v>
      </c>
      <c r="S165" s="98" t="s">
        <v>139</v>
      </c>
      <c r="T165" s="96"/>
      <c r="U165" s="21" t="s">
        <v>435</v>
      </c>
      <c r="V165" s="10"/>
      <c r="W165" s="25">
        <v>3</v>
      </c>
      <c r="X165" s="1" t="s">
        <v>140</v>
      </c>
      <c r="Y165" s="1">
        <v>1</v>
      </c>
      <c r="Z165" s="1">
        <v>1</v>
      </c>
      <c r="AA165" s="8">
        <v>9</v>
      </c>
      <c r="AB165" s="8" t="s">
        <v>21</v>
      </c>
      <c r="AC165" s="12"/>
      <c r="AD165" s="60"/>
      <c r="AE165" s="174"/>
      <c r="AF165" s="61" t="str">
        <f t="shared" si="138"/>
        <v xml:space="preserve"> </v>
      </c>
      <c r="AG165" s="218" t="str">
        <f t="shared" si="162"/>
        <v>-</v>
      </c>
      <c r="AH165" s="174"/>
      <c r="AI165" s="92" t="str">
        <f t="shared" si="164"/>
        <v>OK</v>
      </c>
      <c r="AJ165" s="60"/>
      <c r="AK165" s="174"/>
      <c r="AL165" s="61" t="str">
        <f t="shared" si="139"/>
        <v xml:space="preserve"> </v>
      </c>
      <c r="AM165" s="218" t="str">
        <f t="shared" si="152"/>
        <v>-</v>
      </c>
      <c r="AN165" s="174"/>
      <c r="AO165" s="92" t="str">
        <f t="shared" si="165"/>
        <v>OK</v>
      </c>
      <c r="AP165" s="60"/>
      <c r="AQ165" s="170"/>
      <c r="AR165" s="61" t="str">
        <f t="shared" si="140"/>
        <v xml:space="preserve"> </v>
      </c>
      <c r="AS165" s="218" t="s">
        <v>593</v>
      </c>
      <c r="AT165" s="61"/>
      <c r="AU165" s="218" t="str">
        <f t="shared" si="137"/>
        <v>-</v>
      </c>
      <c r="AV165" s="60"/>
      <c r="AW165" s="174" t="s">
        <v>33</v>
      </c>
      <c r="AX165" s="61" t="str">
        <f t="shared" si="141"/>
        <v>1</v>
      </c>
      <c r="AY165" s="218" t="str">
        <f t="shared" si="153"/>
        <v>-</v>
      </c>
      <c r="AZ165" s="174" t="s">
        <v>33</v>
      </c>
      <c r="BA165" s="478" t="s">
        <v>594</v>
      </c>
      <c r="BB165" s="60"/>
      <c r="BC165" s="174" t="s">
        <v>33</v>
      </c>
      <c r="BD165" s="61" t="str">
        <f t="shared" si="142"/>
        <v>1</v>
      </c>
      <c r="BE165" s="218" t="str">
        <f t="shared" si="154"/>
        <v>-</v>
      </c>
      <c r="BF165" s="174" t="s">
        <v>33</v>
      </c>
      <c r="BG165" s="478" t="s">
        <v>594</v>
      </c>
      <c r="BH165" s="60"/>
      <c r="BI165" s="170" t="s">
        <v>33</v>
      </c>
      <c r="BJ165" s="61" t="str">
        <f t="shared" si="143"/>
        <v>1</v>
      </c>
      <c r="BK165" s="218" t="s">
        <v>593</v>
      </c>
      <c r="BL165" s="174" t="s">
        <v>33</v>
      </c>
      <c r="BM165" s="478" t="s">
        <v>594</v>
      </c>
      <c r="BN165" s="60"/>
      <c r="BO165" s="174" t="s">
        <v>33</v>
      </c>
      <c r="BP165" s="61" t="str">
        <f t="shared" si="144"/>
        <v>1</v>
      </c>
      <c r="BQ165" s="218" t="str">
        <f t="shared" si="155"/>
        <v>-</v>
      </c>
      <c r="BR165" s="174" t="s">
        <v>33</v>
      </c>
      <c r="BS165" s="478" t="s">
        <v>594</v>
      </c>
      <c r="BT165" s="60"/>
      <c r="BU165" s="170"/>
      <c r="BV165" s="61" t="str">
        <f t="shared" si="145"/>
        <v xml:space="preserve"> </v>
      </c>
      <c r="BW165" s="218" t="s">
        <v>593</v>
      </c>
      <c r="BX165" s="61"/>
      <c r="BY165" s="218" t="str">
        <f t="shared" si="156"/>
        <v>-</v>
      </c>
      <c r="BZ165" s="60"/>
      <c r="CA165" s="174"/>
      <c r="CB165" s="61" t="str">
        <f t="shared" si="146"/>
        <v xml:space="preserve"> </v>
      </c>
      <c r="CC165" s="218" t="str">
        <f t="shared" si="157"/>
        <v>-</v>
      </c>
      <c r="CD165" s="174"/>
      <c r="CE165" s="92" t="str">
        <f t="shared" si="166"/>
        <v>OK</v>
      </c>
      <c r="CF165" s="60"/>
      <c r="CG165" s="174"/>
      <c r="CH165" s="61" t="str">
        <f t="shared" si="147"/>
        <v xml:space="preserve"> </v>
      </c>
      <c r="CI165" s="218" t="str">
        <f t="shared" si="158"/>
        <v>-</v>
      </c>
      <c r="CJ165" s="174"/>
      <c r="CK165" s="92" t="str">
        <f t="shared" si="167"/>
        <v>OK</v>
      </c>
      <c r="CL165" s="60"/>
      <c r="CM165" s="174"/>
      <c r="CN165" s="61" t="str">
        <f t="shared" si="148"/>
        <v xml:space="preserve"> </v>
      </c>
      <c r="CO165" s="218" t="s">
        <v>593</v>
      </c>
      <c r="CP165" s="61"/>
      <c r="CQ165" s="218" t="str">
        <f t="shared" si="159"/>
        <v>-</v>
      </c>
      <c r="CR165" s="60"/>
      <c r="CS165" s="174"/>
      <c r="CT165" s="61" t="str">
        <f t="shared" si="149"/>
        <v xml:space="preserve"> </v>
      </c>
      <c r="CU165" s="218" t="str">
        <f t="shared" si="160"/>
        <v>-</v>
      </c>
      <c r="CV165" s="174"/>
      <c r="CW165" s="92" t="s">
        <v>593</v>
      </c>
      <c r="CX165" s="60"/>
      <c r="CY165" s="174"/>
      <c r="CZ165" s="61" t="str">
        <f t="shared" si="150"/>
        <v xml:space="preserve"> </v>
      </c>
      <c r="DA165" s="218" t="str">
        <f t="shared" si="161"/>
        <v>-</v>
      </c>
      <c r="DB165" s="174"/>
      <c r="DC165" s="92" t="s">
        <v>593</v>
      </c>
    </row>
    <row r="166" spans="2:107" s="26" customFormat="1" ht="114.75">
      <c r="B166" s="2">
        <f t="shared" si="151"/>
        <v>159</v>
      </c>
      <c r="C166" s="7"/>
      <c r="D166" s="7"/>
      <c r="E166" s="7"/>
      <c r="F166" s="22" t="s">
        <v>141</v>
      </c>
      <c r="G166" s="16"/>
      <c r="H166" s="13"/>
      <c r="I166" s="8"/>
      <c r="J166" s="8"/>
      <c r="K166" s="8"/>
      <c r="L166" s="8"/>
      <c r="M166" s="418" t="s">
        <v>221</v>
      </c>
      <c r="N166" s="1"/>
      <c r="O166" s="57"/>
      <c r="P166" s="95">
        <f t="shared" si="168"/>
        <v>138</v>
      </c>
      <c r="Q166" s="115">
        <v>1</v>
      </c>
      <c r="R166" s="21" t="s">
        <v>418</v>
      </c>
      <c r="S166" s="98" t="s">
        <v>142</v>
      </c>
      <c r="T166" s="96"/>
      <c r="U166" s="21" t="s">
        <v>435</v>
      </c>
      <c r="V166" s="10"/>
      <c r="W166" s="25">
        <v>3</v>
      </c>
      <c r="X166" s="1" t="s">
        <v>20</v>
      </c>
      <c r="Y166" s="1">
        <v>1</v>
      </c>
      <c r="Z166" s="1">
        <v>1</v>
      </c>
      <c r="AA166" s="8">
        <v>9</v>
      </c>
      <c r="AB166" s="8" t="s">
        <v>21</v>
      </c>
      <c r="AC166" s="103"/>
      <c r="AD166" s="60"/>
      <c r="AE166" s="174"/>
      <c r="AF166" s="61" t="str">
        <f t="shared" si="138"/>
        <v xml:space="preserve"> </v>
      </c>
      <c r="AG166" s="218" t="str">
        <f t="shared" si="162"/>
        <v>-</v>
      </c>
      <c r="AH166" s="174"/>
      <c r="AI166" s="92" t="str">
        <f t="shared" si="164"/>
        <v>OK</v>
      </c>
      <c r="AJ166" s="60"/>
      <c r="AK166" s="174"/>
      <c r="AL166" s="61" t="str">
        <f t="shared" si="139"/>
        <v xml:space="preserve"> </v>
      </c>
      <c r="AM166" s="218" t="str">
        <f t="shared" si="152"/>
        <v>-</v>
      </c>
      <c r="AN166" s="174"/>
      <c r="AO166" s="92" t="str">
        <f t="shared" si="165"/>
        <v>OK</v>
      </c>
      <c r="AP166" s="60"/>
      <c r="AQ166" s="170"/>
      <c r="AR166" s="61" t="str">
        <f t="shared" si="140"/>
        <v xml:space="preserve"> </v>
      </c>
      <c r="AS166" s="218" t="s">
        <v>593</v>
      </c>
      <c r="AT166" s="61"/>
      <c r="AU166" s="218" t="str">
        <f t="shared" si="137"/>
        <v>-</v>
      </c>
      <c r="AV166" s="60"/>
      <c r="AW166" s="174"/>
      <c r="AX166" s="61" t="str">
        <f t="shared" si="141"/>
        <v xml:space="preserve"> </v>
      </c>
      <c r="AY166" s="218" t="str">
        <f t="shared" si="153"/>
        <v>-</v>
      </c>
      <c r="AZ166" s="174"/>
      <c r="BA166" s="478" t="s">
        <v>594</v>
      </c>
      <c r="BB166" s="60"/>
      <c r="BC166" s="174"/>
      <c r="BD166" s="61" t="str">
        <f t="shared" si="142"/>
        <v xml:space="preserve"> </v>
      </c>
      <c r="BE166" s="218" t="str">
        <f t="shared" si="154"/>
        <v>-</v>
      </c>
      <c r="BF166" s="174"/>
      <c r="BG166" s="478" t="s">
        <v>594</v>
      </c>
      <c r="BH166" s="60"/>
      <c r="BI166" s="170" t="s">
        <v>38</v>
      </c>
      <c r="BJ166" s="61" t="str">
        <f t="shared" si="143"/>
        <v xml:space="preserve"> </v>
      </c>
      <c r="BK166" s="218" t="s">
        <v>593</v>
      </c>
      <c r="BL166" s="174"/>
      <c r="BM166" s="478" t="s">
        <v>594</v>
      </c>
      <c r="BN166" s="60"/>
      <c r="BO166" s="174"/>
      <c r="BP166" s="61" t="str">
        <f t="shared" si="144"/>
        <v xml:space="preserve"> </v>
      </c>
      <c r="BQ166" s="218" t="str">
        <f t="shared" si="155"/>
        <v>-</v>
      </c>
      <c r="BR166" s="174"/>
      <c r="BS166" s="478" t="s">
        <v>594</v>
      </c>
      <c r="BT166" s="60"/>
      <c r="BU166" s="170"/>
      <c r="BV166" s="61" t="str">
        <f t="shared" si="145"/>
        <v xml:space="preserve"> </v>
      </c>
      <c r="BW166" s="218" t="s">
        <v>593</v>
      </c>
      <c r="BX166" s="61"/>
      <c r="BY166" s="218" t="str">
        <f t="shared" si="156"/>
        <v>-</v>
      </c>
      <c r="BZ166" s="60"/>
      <c r="CA166" s="174"/>
      <c r="CB166" s="61" t="str">
        <f t="shared" si="146"/>
        <v xml:space="preserve"> </v>
      </c>
      <c r="CC166" s="218" t="str">
        <f t="shared" si="157"/>
        <v>-</v>
      </c>
      <c r="CD166" s="174"/>
      <c r="CE166" s="92" t="str">
        <f t="shared" si="166"/>
        <v>OK</v>
      </c>
      <c r="CF166" s="60"/>
      <c r="CG166" s="174"/>
      <c r="CH166" s="61" t="str">
        <f t="shared" si="147"/>
        <v xml:space="preserve"> </v>
      </c>
      <c r="CI166" s="218" t="str">
        <f t="shared" si="158"/>
        <v>-</v>
      </c>
      <c r="CJ166" s="174"/>
      <c r="CK166" s="92" t="str">
        <f t="shared" si="167"/>
        <v>OK</v>
      </c>
      <c r="CL166" s="60"/>
      <c r="CM166" s="174"/>
      <c r="CN166" s="61" t="str">
        <f t="shared" si="148"/>
        <v xml:space="preserve"> </v>
      </c>
      <c r="CO166" s="218" t="s">
        <v>593</v>
      </c>
      <c r="CP166" s="61"/>
      <c r="CQ166" s="218" t="str">
        <f t="shared" si="159"/>
        <v>-</v>
      </c>
      <c r="CR166" s="60"/>
      <c r="CS166" s="174"/>
      <c r="CT166" s="61" t="str">
        <f t="shared" si="149"/>
        <v xml:space="preserve"> </v>
      </c>
      <c r="CU166" s="218" t="str">
        <f t="shared" si="160"/>
        <v>-</v>
      </c>
      <c r="CV166" s="174"/>
      <c r="CW166" s="92" t="s">
        <v>593</v>
      </c>
      <c r="CX166" s="60"/>
      <c r="CY166" s="174"/>
      <c r="CZ166" s="61" t="str">
        <f t="shared" si="150"/>
        <v xml:space="preserve"> </v>
      </c>
      <c r="DA166" s="218" t="str">
        <f t="shared" si="161"/>
        <v>-</v>
      </c>
      <c r="DB166" s="174"/>
      <c r="DC166" s="92" t="s">
        <v>593</v>
      </c>
    </row>
    <row r="167" spans="2:107" s="26" customFormat="1" ht="122.25" customHeight="1">
      <c r="B167" s="65">
        <f t="shared" si="151"/>
        <v>160</v>
      </c>
      <c r="C167" s="7"/>
      <c r="D167" s="7"/>
      <c r="E167" s="7"/>
      <c r="F167" s="112" t="s">
        <v>143</v>
      </c>
      <c r="G167" s="16"/>
      <c r="H167" s="13"/>
      <c r="I167" s="8"/>
      <c r="J167" s="8"/>
      <c r="K167" s="8"/>
      <c r="L167" s="8"/>
      <c r="M167" s="11" t="s">
        <v>447</v>
      </c>
      <c r="N167" s="1"/>
      <c r="O167" s="57"/>
      <c r="P167" s="95">
        <f t="shared" si="168"/>
        <v>139</v>
      </c>
      <c r="Q167" s="115">
        <v>1</v>
      </c>
      <c r="R167" s="21" t="str">
        <f t="shared" ref="R167:R183" si="169">IF(AA167="M","NX",AA167)</f>
        <v>X</v>
      </c>
      <c r="S167" s="98" t="s">
        <v>189</v>
      </c>
      <c r="T167" s="96"/>
      <c r="U167" s="21" t="s">
        <v>435</v>
      </c>
      <c r="V167" s="10"/>
      <c r="W167" s="25">
        <v>3</v>
      </c>
      <c r="X167" s="1" t="s">
        <v>302</v>
      </c>
      <c r="Y167" s="1">
        <v>1</v>
      </c>
      <c r="Z167" s="1">
        <v>1</v>
      </c>
      <c r="AA167" s="8" t="s">
        <v>261</v>
      </c>
      <c r="AB167" s="8" t="s">
        <v>257</v>
      </c>
      <c r="AC167" s="12"/>
      <c r="AD167" s="60"/>
      <c r="AE167" s="174"/>
      <c r="AF167" s="61" t="str">
        <f t="shared" si="138"/>
        <v xml:space="preserve"> </v>
      </c>
      <c r="AG167" s="218" t="str">
        <f t="shared" si="162"/>
        <v>-</v>
      </c>
      <c r="AH167" s="174"/>
      <c r="AI167" s="92" t="str">
        <f t="shared" si="164"/>
        <v>OK</v>
      </c>
      <c r="AJ167" s="60"/>
      <c r="AK167" s="174"/>
      <c r="AL167" s="61" t="str">
        <f t="shared" si="139"/>
        <v xml:space="preserve"> </v>
      </c>
      <c r="AM167" s="218" t="str">
        <f t="shared" si="152"/>
        <v>-</v>
      </c>
      <c r="AN167" s="174"/>
      <c r="AO167" s="92" t="str">
        <f t="shared" si="165"/>
        <v>OK</v>
      </c>
      <c r="AP167" s="60"/>
      <c r="AQ167" s="170"/>
      <c r="AR167" s="61" t="str">
        <f t="shared" si="140"/>
        <v xml:space="preserve"> </v>
      </c>
      <c r="AS167" s="218" t="s">
        <v>593</v>
      </c>
      <c r="AT167" s="61"/>
      <c r="AU167" s="218" t="str">
        <f t="shared" si="137"/>
        <v>-</v>
      </c>
      <c r="AV167" s="60"/>
      <c r="AW167" s="174" t="s">
        <v>374</v>
      </c>
      <c r="AX167" s="61" t="str">
        <f t="shared" si="141"/>
        <v>5</v>
      </c>
      <c r="AY167" s="218" t="str">
        <f t="shared" si="153"/>
        <v>-</v>
      </c>
      <c r="AZ167" s="174" t="s">
        <v>374</v>
      </c>
      <c r="BA167" s="478" t="s">
        <v>594</v>
      </c>
      <c r="BB167" s="60"/>
      <c r="BC167" s="174" t="s">
        <v>374</v>
      </c>
      <c r="BD167" s="61" t="str">
        <f t="shared" si="142"/>
        <v>5</v>
      </c>
      <c r="BE167" s="218" t="str">
        <f t="shared" si="154"/>
        <v>-</v>
      </c>
      <c r="BF167" s="174" t="s">
        <v>374</v>
      </c>
      <c r="BG167" s="478" t="s">
        <v>594</v>
      </c>
      <c r="BH167" s="60"/>
      <c r="BI167" s="170" t="s">
        <v>374</v>
      </c>
      <c r="BJ167" s="61" t="str">
        <f t="shared" si="143"/>
        <v>5</v>
      </c>
      <c r="BK167" s="218" t="s">
        <v>593</v>
      </c>
      <c r="BL167" s="174" t="s">
        <v>374</v>
      </c>
      <c r="BM167" s="478" t="s">
        <v>594</v>
      </c>
      <c r="BN167" s="60"/>
      <c r="BO167" s="174" t="s">
        <v>374</v>
      </c>
      <c r="BP167" s="61" t="str">
        <f t="shared" si="144"/>
        <v>5</v>
      </c>
      <c r="BQ167" s="218" t="str">
        <f t="shared" si="155"/>
        <v>-</v>
      </c>
      <c r="BR167" s="174" t="s">
        <v>374</v>
      </c>
      <c r="BS167" s="478" t="s">
        <v>594</v>
      </c>
      <c r="BT167" s="60"/>
      <c r="BU167" s="170"/>
      <c r="BV167" s="61" t="str">
        <f t="shared" si="145"/>
        <v xml:space="preserve"> </v>
      </c>
      <c r="BW167" s="218" t="s">
        <v>593</v>
      </c>
      <c r="BX167" s="61"/>
      <c r="BY167" s="218" t="str">
        <f t="shared" si="156"/>
        <v>-</v>
      </c>
      <c r="BZ167" s="60"/>
      <c r="CA167" s="174"/>
      <c r="CB167" s="61" t="str">
        <f t="shared" si="146"/>
        <v xml:space="preserve"> </v>
      </c>
      <c r="CC167" s="218" t="str">
        <f t="shared" si="157"/>
        <v>-</v>
      </c>
      <c r="CD167" s="174"/>
      <c r="CE167" s="92" t="str">
        <f t="shared" si="166"/>
        <v>OK</v>
      </c>
      <c r="CF167" s="60"/>
      <c r="CG167" s="174"/>
      <c r="CH167" s="61" t="str">
        <f t="shared" si="147"/>
        <v xml:space="preserve"> </v>
      </c>
      <c r="CI167" s="218" t="str">
        <f t="shared" si="158"/>
        <v>-</v>
      </c>
      <c r="CJ167" s="174"/>
      <c r="CK167" s="92" t="str">
        <f t="shared" si="167"/>
        <v>OK</v>
      </c>
      <c r="CL167" s="60"/>
      <c r="CM167" s="174"/>
      <c r="CN167" s="61" t="str">
        <f t="shared" si="148"/>
        <v xml:space="preserve"> </v>
      </c>
      <c r="CO167" s="218" t="s">
        <v>593</v>
      </c>
      <c r="CP167" s="61"/>
      <c r="CQ167" s="218" t="str">
        <f t="shared" si="159"/>
        <v>-</v>
      </c>
      <c r="CR167" s="60"/>
      <c r="CS167" s="174"/>
      <c r="CT167" s="61" t="str">
        <f t="shared" si="149"/>
        <v xml:space="preserve"> </v>
      </c>
      <c r="CU167" s="218" t="str">
        <f t="shared" si="160"/>
        <v>-</v>
      </c>
      <c r="CV167" s="174"/>
      <c r="CW167" s="92" t="s">
        <v>593</v>
      </c>
      <c r="CX167" s="60"/>
      <c r="CY167" s="174"/>
      <c r="CZ167" s="61" t="str">
        <f t="shared" si="150"/>
        <v xml:space="preserve"> </v>
      </c>
      <c r="DA167" s="218" t="str">
        <f t="shared" si="161"/>
        <v>-</v>
      </c>
      <c r="DB167" s="174"/>
      <c r="DC167" s="92" t="s">
        <v>593</v>
      </c>
    </row>
    <row r="168" spans="2:107" s="26" customFormat="1">
      <c r="B168" s="65">
        <f t="shared" si="151"/>
        <v>161</v>
      </c>
      <c r="C168" s="7"/>
      <c r="D168" s="7"/>
      <c r="E168" s="7"/>
      <c r="F168" s="22" t="s">
        <v>144</v>
      </c>
      <c r="G168" s="16"/>
      <c r="H168" s="13"/>
      <c r="I168" s="8"/>
      <c r="J168" s="8"/>
      <c r="K168" s="8"/>
      <c r="L168" s="8"/>
      <c r="M168" s="418" t="s">
        <v>145</v>
      </c>
      <c r="N168" s="1"/>
      <c r="O168" s="57"/>
      <c r="P168" s="95">
        <f t="shared" si="168"/>
        <v>140</v>
      </c>
      <c r="Q168" s="115">
        <v>400</v>
      </c>
      <c r="R168" s="21" t="str">
        <f t="shared" si="169"/>
        <v>NX</v>
      </c>
      <c r="S168" s="98" t="s">
        <v>146</v>
      </c>
      <c r="T168" s="96"/>
      <c r="U168" s="21" t="s">
        <v>435</v>
      </c>
      <c r="V168" s="10"/>
      <c r="W168" s="25">
        <v>3</v>
      </c>
      <c r="X168" s="1" t="s">
        <v>147</v>
      </c>
      <c r="Y168" s="1">
        <v>1</v>
      </c>
      <c r="Z168" s="1">
        <v>400</v>
      </c>
      <c r="AA168" s="8" t="s">
        <v>129</v>
      </c>
      <c r="AB168" s="8" t="s">
        <v>257</v>
      </c>
      <c r="AC168" s="12"/>
      <c r="AD168" s="60"/>
      <c r="AE168" s="174"/>
      <c r="AF168" s="271" t="str">
        <f t="shared" si="138"/>
        <v xml:space="preserve">                                                                                                                                                                                                                                                                                                                                                                                                                </v>
      </c>
      <c r="AG168" s="218" t="str">
        <f t="shared" si="162"/>
        <v>-</v>
      </c>
      <c r="AH168" s="174"/>
      <c r="AI168" s="92" t="str">
        <f t="shared" si="164"/>
        <v>OK</v>
      </c>
      <c r="AJ168" s="60"/>
      <c r="AK168" s="174"/>
      <c r="AL168" s="271" t="str">
        <f t="shared" si="139"/>
        <v xml:space="preserve">                                                                                                                                                                                                                                                                                                                                                                                                                </v>
      </c>
      <c r="AM168" s="218" t="str">
        <f t="shared" si="152"/>
        <v>-</v>
      </c>
      <c r="AN168" s="174"/>
      <c r="AO168" s="92" t="str">
        <f t="shared" si="165"/>
        <v>OK</v>
      </c>
      <c r="AP168" s="60"/>
      <c r="AQ168" s="170"/>
      <c r="AR168" s="271" t="str">
        <f t="shared" si="140"/>
        <v xml:space="preserve">                                                                                                                                                                                                                                                                                                                                                                                                                </v>
      </c>
      <c r="AS168" s="218" t="s">
        <v>593</v>
      </c>
      <c r="AT168" s="271"/>
      <c r="AU168" s="218" t="str">
        <f t="shared" si="137"/>
        <v>-</v>
      </c>
      <c r="AV168" s="60"/>
      <c r="AW168" s="174" t="s">
        <v>190</v>
      </c>
      <c r="AX168" s="271" t="str">
        <f t="shared" si="141"/>
        <v xml:space="preserve">申込受付中。                                                                                                                                                                                                                                                                                                                                                                                                    </v>
      </c>
      <c r="AY168" s="218" t="str">
        <f t="shared" si="153"/>
        <v>-</v>
      </c>
      <c r="AZ168" s="174" t="s">
        <v>190</v>
      </c>
      <c r="BA168" s="478" t="s">
        <v>594</v>
      </c>
      <c r="BB168" s="60"/>
      <c r="BC168" s="174" t="s">
        <v>190</v>
      </c>
      <c r="BD168" s="271" t="str">
        <f t="shared" si="142"/>
        <v xml:space="preserve">申込受付中。                                                                                                                                                                                                                                                                                                                                                                                                    </v>
      </c>
      <c r="BE168" s="218" t="str">
        <f t="shared" si="154"/>
        <v>-</v>
      </c>
      <c r="BF168" s="174" t="s">
        <v>190</v>
      </c>
      <c r="BG168" s="478" t="s">
        <v>594</v>
      </c>
      <c r="BH168" s="60"/>
      <c r="BI168" s="170" t="s">
        <v>730</v>
      </c>
      <c r="BJ168" s="271" t="str">
        <f t="shared" si="143"/>
        <v xml:space="preserve">申込受付中。                                                                                                                                                                                                                                                                                                                                                                                                    </v>
      </c>
      <c r="BK168" s="218" t="s">
        <v>593</v>
      </c>
      <c r="BL168" s="174" t="s">
        <v>190</v>
      </c>
      <c r="BM168" s="478" t="s">
        <v>594</v>
      </c>
      <c r="BN168" s="60"/>
      <c r="BO168" s="174" t="s">
        <v>190</v>
      </c>
      <c r="BP168" s="271" t="str">
        <f t="shared" si="144"/>
        <v xml:space="preserve">申込受付中。                                                                                                                                                                                                                                                                                                                                                                                                    </v>
      </c>
      <c r="BQ168" s="218" t="str">
        <f t="shared" si="155"/>
        <v>-</v>
      </c>
      <c r="BR168" s="174" t="s">
        <v>190</v>
      </c>
      <c r="BS168" s="478" t="s">
        <v>594</v>
      </c>
      <c r="BT168" s="60"/>
      <c r="BU168" s="170"/>
      <c r="BV168" s="271" t="str">
        <f t="shared" si="145"/>
        <v xml:space="preserve">                                                                                                                                                                                                                                                                                                                                                                                                                </v>
      </c>
      <c r="BW168" s="218" t="s">
        <v>593</v>
      </c>
      <c r="BX168" s="271"/>
      <c r="BY168" s="218" t="str">
        <f t="shared" si="156"/>
        <v>-</v>
      </c>
      <c r="BZ168" s="60"/>
      <c r="CA168" s="174"/>
      <c r="CB168" s="271" t="str">
        <f t="shared" si="146"/>
        <v xml:space="preserve">                                                                                                                                                                                                                                                                                                                                                                                                                </v>
      </c>
      <c r="CC168" s="218" t="str">
        <f t="shared" si="157"/>
        <v>-</v>
      </c>
      <c r="CD168" s="174"/>
      <c r="CE168" s="92" t="str">
        <f t="shared" si="166"/>
        <v>OK</v>
      </c>
      <c r="CF168" s="60"/>
      <c r="CG168" s="174"/>
      <c r="CH168" s="271" t="str">
        <f t="shared" si="147"/>
        <v xml:space="preserve">                                                                                                                                                                                                                                                                                                                                                                                                                </v>
      </c>
      <c r="CI168" s="218" t="str">
        <f t="shared" si="158"/>
        <v>-</v>
      </c>
      <c r="CJ168" s="174"/>
      <c r="CK168" s="92" t="str">
        <f t="shared" si="167"/>
        <v>OK</v>
      </c>
      <c r="CL168" s="60"/>
      <c r="CM168" s="174"/>
      <c r="CN168" s="271" t="str">
        <f t="shared" si="148"/>
        <v xml:space="preserve">                                                                                                                                                                                                                                                                                                                                                                                                                </v>
      </c>
      <c r="CO168" s="218" t="s">
        <v>593</v>
      </c>
      <c r="CP168" s="271"/>
      <c r="CQ168" s="218" t="str">
        <f t="shared" si="159"/>
        <v>-</v>
      </c>
      <c r="CR168" s="60"/>
      <c r="CS168" s="174"/>
      <c r="CT168" s="271" t="str">
        <f t="shared" si="149"/>
        <v xml:space="preserve">                                                                                                                                                                                                                                                                                                                                                                                                                </v>
      </c>
      <c r="CU168" s="218" t="str">
        <f t="shared" si="160"/>
        <v>-</v>
      </c>
      <c r="CV168" s="174"/>
      <c r="CW168" s="92" t="s">
        <v>593</v>
      </c>
      <c r="CX168" s="60"/>
      <c r="CY168" s="174"/>
      <c r="CZ168" s="271" t="str">
        <f t="shared" si="150"/>
        <v xml:space="preserve">                                                                                                                                                                                                                                                                                                                                                                                                                </v>
      </c>
      <c r="DA168" s="218" t="str">
        <f t="shared" si="161"/>
        <v>-</v>
      </c>
      <c r="DB168" s="174"/>
      <c r="DC168" s="92" t="s">
        <v>593</v>
      </c>
    </row>
    <row r="169" spans="2:107" s="26" customFormat="1" ht="63.75">
      <c r="B169" s="65">
        <f t="shared" si="151"/>
        <v>162</v>
      </c>
      <c r="C169" s="7"/>
      <c r="D169" s="7"/>
      <c r="E169" s="7"/>
      <c r="F169" s="22" t="s">
        <v>148</v>
      </c>
      <c r="G169" s="16"/>
      <c r="H169" s="13"/>
      <c r="I169" s="8"/>
      <c r="J169" s="8"/>
      <c r="K169" s="8"/>
      <c r="L169" s="8"/>
      <c r="M169" s="418" t="s">
        <v>448</v>
      </c>
      <c r="N169" s="1"/>
      <c r="O169" s="57"/>
      <c r="P169" s="95">
        <f t="shared" si="168"/>
        <v>141</v>
      </c>
      <c r="Q169" s="115">
        <v>400</v>
      </c>
      <c r="R169" s="21" t="str">
        <f t="shared" si="169"/>
        <v>NX</v>
      </c>
      <c r="S169" s="98" t="s">
        <v>149</v>
      </c>
      <c r="T169" s="96"/>
      <c r="U169" s="21" t="s">
        <v>435</v>
      </c>
      <c r="V169" s="10"/>
      <c r="W169" s="25">
        <v>3</v>
      </c>
      <c r="X169" s="1" t="s">
        <v>150</v>
      </c>
      <c r="Y169" s="1">
        <v>1</v>
      </c>
      <c r="Z169" s="1">
        <v>400</v>
      </c>
      <c r="AA169" s="8" t="s">
        <v>129</v>
      </c>
      <c r="AB169" s="8" t="s">
        <v>257</v>
      </c>
      <c r="AC169" s="12"/>
      <c r="AD169" s="60"/>
      <c r="AE169" s="174"/>
      <c r="AF169" s="91" t="str">
        <f t="shared" si="138"/>
        <v xml:space="preserve">                                                                                                                                                                                                                                                                                                                                                                                                                </v>
      </c>
      <c r="AG169" s="218" t="str">
        <f t="shared" si="162"/>
        <v>-</v>
      </c>
      <c r="AH169" s="174"/>
      <c r="AI169" s="92" t="str">
        <f t="shared" si="164"/>
        <v>OK</v>
      </c>
      <c r="AJ169" s="60"/>
      <c r="AK169" s="174"/>
      <c r="AL169" s="91" t="str">
        <f t="shared" si="139"/>
        <v xml:space="preserve">                                                                                                                                                                                                                                                                                                                                                                                                                </v>
      </c>
      <c r="AM169" s="218" t="str">
        <f t="shared" si="152"/>
        <v>-</v>
      </c>
      <c r="AN169" s="174"/>
      <c r="AO169" s="92" t="str">
        <f t="shared" si="165"/>
        <v>OK</v>
      </c>
      <c r="AP169" s="60"/>
      <c r="AQ169" s="170"/>
      <c r="AR169" s="91" t="str">
        <f t="shared" si="140"/>
        <v xml:space="preserve">                                                                                                                                                                                                                                                                                                                                                                                                                </v>
      </c>
      <c r="AS169" s="218" t="s">
        <v>593</v>
      </c>
      <c r="AT169" s="91"/>
      <c r="AU169" s="218" t="str">
        <f t="shared" si="137"/>
        <v>-</v>
      </c>
      <c r="AV169" s="60"/>
      <c r="AW169" s="174"/>
      <c r="AX169" s="91" t="str">
        <f t="shared" si="141"/>
        <v xml:space="preserve">                                                                                                                                                                                                                                                                                                                                                                                                                </v>
      </c>
      <c r="AY169" s="218" t="str">
        <f t="shared" si="153"/>
        <v>-</v>
      </c>
      <c r="AZ169" s="174"/>
      <c r="BA169" s="478" t="s">
        <v>594</v>
      </c>
      <c r="BB169" s="60"/>
      <c r="BC169" s="174"/>
      <c r="BD169" s="91" t="str">
        <f t="shared" si="142"/>
        <v xml:space="preserve">                                                                                                                                                                                                                                                                                                                                                                                                                </v>
      </c>
      <c r="BE169" s="218" t="str">
        <f t="shared" si="154"/>
        <v>-</v>
      </c>
      <c r="BF169" s="174"/>
      <c r="BG169" s="478" t="s">
        <v>594</v>
      </c>
      <c r="BH169" s="60"/>
      <c r="BI169" s="170" t="s">
        <v>703</v>
      </c>
      <c r="BJ169" s="91" t="str">
        <f t="shared" si="143"/>
        <v xml:space="preserve">                                                                                                                                                                                                                                                                                                                                                                                                                </v>
      </c>
      <c r="BK169" s="218" t="s">
        <v>593</v>
      </c>
      <c r="BL169" s="174"/>
      <c r="BM169" s="478" t="s">
        <v>594</v>
      </c>
      <c r="BN169" s="60"/>
      <c r="BO169" s="174"/>
      <c r="BP169" s="91" t="str">
        <f t="shared" si="144"/>
        <v xml:space="preserve">                                                                                                                                                                                                                                                                                                                                                                                                                </v>
      </c>
      <c r="BQ169" s="218" t="str">
        <f t="shared" si="155"/>
        <v>-</v>
      </c>
      <c r="BR169" s="174"/>
      <c r="BS169" s="478" t="s">
        <v>594</v>
      </c>
      <c r="BT169" s="60"/>
      <c r="BU169" s="170"/>
      <c r="BV169" s="91" t="str">
        <f t="shared" si="145"/>
        <v xml:space="preserve">                                                                                                                                                                                                                                                                                                                                                                                                                </v>
      </c>
      <c r="BW169" s="218" t="s">
        <v>593</v>
      </c>
      <c r="BX169" s="91"/>
      <c r="BY169" s="218" t="str">
        <f t="shared" si="156"/>
        <v>-</v>
      </c>
      <c r="BZ169" s="60"/>
      <c r="CA169" s="174"/>
      <c r="CB169" s="91" t="str">
        <f t="shared" si="146"/>
        <v xml:space="preserve">                                                                                                                                                                                                                                                                                                                                                                                                                </v>
      </c>
      <c r="CC169" s="218" t="str">
        <f t="shared" si="157"/>
        <v>-</v>
      </c>
      <c r="CD169" s="174"/>
      <c r="CE169" s="92" t="str">
        <f t="shared" si="166"/>
        <v>OK</v>
      </c>
      <c r="CF169" s="60"/>
      <c r="CG169" s="174"/>
      <c r="CH169" s="91" t="str">
        <f t="shared" si="147"/>
        <v xml:space="preserve">                                                                                                                                                                                                                                                                                                                                                                                                                </v>
      </c>
      <c r="CI169" s="218" t="str">
        <f t="shared" si="158"/>
        <v>-</v>
      </c>
      <c r="CJ169" s="174"/>
      <c r="CK169" s="92" t="str">
        <f t="shared" si="167"/>
        <v>OK</v>
      </c>
      <c r="CL169" s="60"/>
      <c r="CM169" s="174"/>
      <c r="CN169" s="91" t="str">
        <f t="shared" si="148"/>
        <v xml:space="preserve">                                                                                                                                                                                                                                                                                                                                                                                                                </v>
      </c>
      <c r="CO169" s="218" t="s">
        <v>593</v>
      </c>
      <c r="CP169" s="91"/>
      <c r="CQ169" s="218" t="str">
        <f t="shared" si="159"/>
        <v>-</v>
      </c>
      <c r="CR169" s="60"/>
      <c r="CS169" s="174"/>
      <c r="CT169" s="91" t="str">
        <f t="shared" si="149"/>
        <v xml:space="preserve">                                                                                                                                                                                                                                                                                                                                                                                                                </v>
      </c>
      <c r="CU169" s="218" t="str">
        <f t="shared" si="160"/>
        <v>-</v>
      </c>
      <c r="CV169" s="174"/>
      <c r="CW169" s="92" t="s">
        <v>593</v>
      </c>
      <c r="CX169" s="60"/>
      <c r="CY169" s="174"/>
      <c r="CZ169" s="91" t="str">
        <f t="shared" si="150"/>
        <v xml:space="preserve">                                                                                                                                                                                                                                                                                                                                                                                                                </v>
      </c>
      <c r="DA169" s="218" t="str">
        <f t="shared" si="161"/>
        <v>-</v>
      </c>
      <c r="DB169" s="174"/>
      <c r="DC169" s="92" t="s">
        <v>593</v>
      </c>
    </row>
    <row r="170" spans="2:107" s="26" customFormat="1">
      <c r="B170" s="65">
        <f t="shared" si="151"/>
        <v>163</v>
      </c>
      <c r="C170" s="7"/>
      <c r="D170" s="7"/>
      <c r="E170" s="7"/>
      <c r="F170" s="22" t="s">
        <v>151</v>
      </c>
      <c r="G170" s="16"/>
      <c r="H170" s="13"/>
      <c r="I170" s="8"/>
      <c r="J170" s="8"/>
      <c r="K170" s="8"/>
      <c r="L170" s="8"/>
      <c r="M170" s="11" t="s">
        <v>152</v>
      </c>
      <c r="N170" s="1"/>
      <c r="O170" s="57"/>
      <c r="P170" s="95">
        <f t="shared" si="168"/>
        <v>142</v>
      </c>
      <c r="Q170" s="115">
        <v>400</v>
      </c>
      <c r="R170" s="21" t="str">
        <f t="shared" si="169"/>
        <v>NX</v>
      </c>
      <c r="S170" s="98" t="s">
        <v>153</v>
      </c>
      <c r="T170" s="96"/>
      <c r="U170" s="21" t="s">
        <v>435</v>
      </c>
      <c r="V170" s="10"/>
      <c r="W170" s="25">
        <v>3</v>
      </c>
      <c r="X170" s="1" t="s">
        <v>154</v>
      </c>
      <c r="Y170" s="1">
        <v>1</v>
      </c>
      <c r="Z170" s="1">
        <v>400</v>
      </c>
      <c r="AA170" s="8" t="s">
        <v>129</v>
      </c>
      <c r="AB170" s="8" t="s">
        <v>257</v>
      </c>
      <c r="AC170" s="12"/>
      <c r="AD170" s="60"/>
      <c r="AE170" s="169"/>
      <c r="AF170" s="91" t="str">
        <f t="shared" si="138"/>
        <v xml:space="preserve">                                                                                                                                                                                                                                                                                                                                                                                                                </v>
      </c>
      <c r="AG170" s="218" t="str">
        <f t="shared" si="162"/>
        <v>-</v>
      </c>
      <c r="AH170" s="169"/>
      <c r="AI170" s="92" t="str">
        <f t="shared" si="164"/>
        <v>OK</v>
      </c>
      <c r="AJ170" s="60"/>
      <c r="AK170" s="169"/>
      <c r="AL170" s="91" t="str">
        <f t="shared" si="139"/>
        <v xml:space="preserve">                                                                                                                                                                                                                                                                                                                                                                                                                </v>
      </c>
      <c r="AM170" s="218" t="str">
        <f t="shared" si="152"/>
        <v>-</v>
      </c>
      <c r="AN170" s="169"/>
      <c r="AO170" s="92" t="str">
        <f t="shared" si="165"/>
        <v>OK</v>
      </c>
      <c r="AP170" s="60"/>
      <c r="AQ170" s="172"/>
      <c r="AR170" s="91" t="str">
        <f t="shared" si="140"/>
        <v xml:space="preserve">                                                                                                                                                                                                                                                                                                                                                                                                                </v>
      </c>
      <c r="AS170" s="218" t="s">
        <v>593</v>
      </c>
      <c r="AT170" s="91"/>
      <c r="AU170" s="218" t="str">
        <f t="shared" si="137"/>
        <v>-</v>
      </c>
      <c r="AV170" s="60"/>
      <c r="AW170" s="169"/>
      <c r="AX170" s="91" t="str">
        <f t="shared" si="141"/>
        <v xml:space="preserve">                                                                                                                                                                                                                                                                                                                                                                                                                </v>
      </c>
      <c r="AY170" s="218" t="str">
        <f t="shared" si="153"/>
        <v>-</v>
      </c>
      <c r="AZ170" s="169"/>
      <c r="BA170" s="478" t="s">
        <v>594</v>
      </c>
      <c r="BB170" s="60"/>
      <c r="BC170" s="169"/>
      <c r="BD170" s="91" t="str">
        <f t="shared" si="142"/>
        <v xml:space="preserve">                                                                                                                                                                                                                                                                                                                                                                                                                </v>
      </c>
      <c r="BE170" s="218" t="str">
        <f t="shared" si="154"/>
        <v>-</v>
      </c>
      <c r="BF170" s="169"/>
      <c r="BG170" s="478" t="s">
        <v>594</v>
      </c>
      <c r="BH170" s="60"/>
      <c r="BI170" s="170" t="s">
        <v>703</v>
      </c>
      <c r="BJ170" s="91" t="str">
        <f t="shared" si="143"/>
        <v xml:space="preserve">                                                                                                                                                                                                                                                                                                                                                                                                                </v>
      </c>
      <c r="BK170" s="218" t="s">
        <v>593</v>
      </c>
      <c r="BL170" s="169"/>
      <c r="BM170" s="478" t="s">
        <v>594</v>
      </c>
      <c r="BN170" s="60"/>
      <c r="BO170" s="169"/>
      <c r="BP170" s="91" t="str">
        <f t="shared" si="144"/>
        <v xml:space="preserve">                                                                                                                                                                                                                                                                                                                                                                                                                </v>
      </c>
      <c r="BQ170" s="218" t="str">
        <f t="shared" si="155"/>
        <v>-</v>
      </c>
      <c r="BR170" s="169"/>
      <c r="BS170" s="478" t="s">
        <v>594</v>
      </c>
      <c r="BT170" s="60"/>
      <c r="BU170" s="172"/>
      <c r="BV170" s="91" t="str">
        <f t="shared" si="145"/>
        <v xml:space="preserve">                                                                                                                                                                                                                                                                                                                                                                                                                </v>
      </c>
      <c r="BW170" s="218" t="s">
        <v>593</v>
      </c>
      <c r="BX170" s="91"/>
      <c r="BY170" s="218" t="str">
        <f t="shared" si="156"/>
        <v>-</v>
      </c>
      <c r="BZ170" s="60"/>
      <c r="CA170" s="169"/>
      <c r="CB170" s="91" t="str">
        <f t="shared" si="146"/>
        <v xml:space="preserve">                                                                                                                                                                                                                                                                                                                                                                                                                </v>
      </c>
      <c r="CC170" s="218" t="str">
        <f t="shared" si="157"/>
        <v>-</v>
      </c>
      <c r="CD170" s="169"/>
      <c r="CE170" s="92" t="str">
        <f t="shared" si="166"/>
        <v>OK</v>
      </c>
      <c r="CF170" s="60"/>
      <c r="CG170" s="169"/>
      <c r="CH170" s="91" t="str">
        <f t="shared" si="147"/>
        <v xml:space="preserve">                                                                                                                                                                                                                                                                                                                                                                                                                </v>
      </c>
      <c r="CI170" s="218" t="str">
        <f t="shared" si="158"/>
        <v>-</v>
      </c>
      <c r="CJ170" s="169"/>
      <c r="CK170" s="92" t="str">
        <f t="shared" si="167"/>
        <v>OK</v>
      </c>
      <c r="CL170" s="60"/>
      <c r="CM170" s="169"/>
      <c r="CN170" s="91" t="str">
        <f t="shared" si="148"/>
        <v xml:space="preserve">                                                                                                                                                                                                                                                                                                                                                                                                                </v>
      </c>
      <c r="CO170" s="218" t="s">
        <v>593</v>
      </c>
      <c r="CP170" s="91"/>
      <c r="CQ170" s="218" t="str">
        <f t="shared" si="159"/>
        <v>-</v>
      </c>
      <c r="CR170" s="60"/>
      <c r="CS170" s="169"/>
      <c r="CT170" s="91" t="str">
        <f t="shared" si="149"/>
        <v xml:space="preserve">                                                                                                                                                                                                                                                                                                                                                                                                                </v>
      </c>
      <c r="CU170" s="218" t="str">
        <f t="shared" si="160"/>
        <v>-</v>
      </c>
      <c r="CV170" s="169"/>
      <c r="CW170" s="92" t="s">
        <v>593</v>
      </c>
      <c r="CX170" s="60"/>
      <c r="CY170" s="169"/>
      <c r="CZ170" s="91" t="str">
        <f t="shared" si="150"/>
        <v xml:space="preserve">                                                                                                                                                                                                                                                                                                                                                                                                                </v>
      </c>
      <c r="DA170" s="218" t="str">
        <f t="shared" si="161"/>
        <v>-</v>
      </c>
      <c r="DB170" s="169"/>
      <c r="DC170" s="92" t="s">
        <v>593</v>
      </c>
    </row>
    <row r="171" spans="2:107" s="26" customFormat="1" ht="76.5">
      <c r="B171" s="65">
        <f t="shared" si="151"/>
        <v>164</v>
      </c>
      <c r="C171" s="7"/>
      <c r="D171" s="7"/>
      <c r="E171" s="7"/>
      <c r="F171" s="22" t="s">
        <v>155</v>
      </c>
      <c r="G171" s="16"/>
      <c r="H171" s="13"/>
      <c r="I171" s="8"/>
      <c r="J171" s="8"/>
      <c r="K171" s="8"/>
      <c r="L171" s="8"/>
      <c r="M171" s="11" t="s">
        <v>449</v>
      </c>
      <c r="N171" s="1"/>
      <c r="O171" s="57"/>
      <c r="P171" s="95">
        <f t="shared" si="168"/>
        <v>143</v>
      </c>
      <c r="Q171" s="115">
        <v>400</v>
      </c>
      <c r="R171" s="21" t="str">
        <f t="shared" si="169"/>
        <v>NX</v>
      </c>
      <c r="S171" s="98" t="s">
        <v>156</v>
      </c>
      <c r="T171" s="96"/>
      <c r="U171" s="21" t="s">
        <v>435</v>
      </c>
      <c r="V171" s="10"/>
      <c r="W171" s="25">
        <v>3</v>
      </c>
      <c r="X171" s="1" t="s">
        <v>157</v>
      </c>
      <c r="Y171" s="1">
        <v>1</v>
      </c>
      <c r="Z171" s="1">
        <v>400</v>
      </c>
      <c r="AA171" s="8" t="s">
        <v>129</v>
      </c>
      <c r="AB171" s="8" t="s">
        <v>257</v>
      </c>
      <c r="AC171" s="12"/>
      <c r="AD171" s="60"/>
      <c r="AE171" s="169"/>
      <c r="AF171" s="91" t="str">
        <f t="shared" si="138"/>
        <v xml:space="preserve">                                                                                                                                                                                                                                                                                                                                                                                                                </v>
      </c>
      <c r="AG171" s="218" t="str">
        <f t="shared" si="162"/>
        <v>-</v>
      </c>
      <c r="AH171" s="169"/>
      <c r="AI171" s="92" t="str">
        <f t="shared" si="164"/>
        <v>OK</v>
      </c>
      <c r="AJ171" s="60"/>
      <c r="AK171" s="169"/>
      <c r="AL171" s="91" t="str">
        <f t="shared" si="139"/>
        <v xml:space="preserve">                                                                                                                                                                                                                                                                                                                                                                                                                </v>
      </c>
      <c r="AM171" s="218" t="str">
        <f t="shared" si="152"/>
        <v>-</v>
      </c>
      <c r="AN171" s="169"/>
      <c r="AO171" s="92" t="str">
        <f t="shared" si="165"/>
        <v>OK</v>
      </c>
      <c r="AP171" s="60"/>
      <c r="AQ171" s="172"/>
      <c r="AR171" s="91" t="str">
        <f t="shared" si="140"/>
        <v xml:space="preserve">                                                                                                                                                                                                                                                                                                                                                                                                                </v>
      </c>
      <c r="AS171" s="218" t="s">
        <v>593</v>
      </c>
      <c r="AT171" s="91"/>
      <c r="AU171" s="218" t="str">
        <f t="shared" si="137"/>
        <v>-</v>
      </c>
      <c r="AV171" s="60"/>
      <c r="AW171" s="169"/>
      <c r="AX171" s="91" t="str">
        <f t="shared" si="141"/>
        <v xml:space="preserve">                                                                                                                                                                                                                                                                                                                                                                                                                </v>
      </c>
      <c r="AY171" s="218" t="str">
        <f t="shared" si="153"/>
        <v>-</v>
      </c>
      <c r="AZ171" s="169"/>
      <c r="BA171" s="478" t="s">
        <v>594</v>
      </c>
      <c r="BB171" s="60"/>
      <c r="BC171" s="169"/>
      <c r="BD171" s="91" t="str">
        <f t="shared" si="142"/>
        <v xml:space="preserve">                                                                                                                                                                                                                                                                                                                                                                                                                </v>
      </c>
      <c r="BE171" s="218" t="str">
        <f t="shared" si="154"/>
        <v>-</v>
      </c>
      <c r="BF171" s="169"/>
      <c r="BG171" s="478" t="s">
        <v>594</v>
      </c>
      <c r="BH171" s="60"/>
      <c r="BI171" s="170" t="s">
        <v>703</v>
      </c>
      <c r="BJ171" s="91" t="str">
        <f t="shared" si="143"/>
        <v xml:space="preserve">                                                                                                                                                                                                                                                                                                                                                                                                                </v>
      </c>
      <c r="BK171" s="218" t="s">
        <v>593</v>
      </c>
      <c r="BL171" s="169"/>
      <c r="BM171" s="478" t="s">
        <v>594</v>
      </c>
      <c r="BN171" s="60"/>
      <c r="BO171" s="169"/>
      <c r="BP171" s="91" t="str">
        <f t="shared" si="144"/>
        <v xml:space="preserve">                                                                                                                                                                                                                                                                                                                                                                                                                </v>
      </c>
      <c r="BQ171" s="218" t="str">
        <f t="shared" si="155"/>
        <v>-</v>
      </c>
      <c r="BR171" s="169"/>
      <c r="BS171" s="478" t="s">
        <v>594</v>
      </c>
      <c r="BT171" s="60"/>
      <c r="BU171" s="172"/>
      <c r="BV171" s="91" t="str">
        <f t="shared" si="145"/>
        <v xml:space="preserve">                                                                                                                                                                                                                                                                                                                                                                                                                </v>
      </c>
      <c r="BW171" s="218" t="s">
        <v>593</v>
      </c>
      <c r="BX171" s="91"/>
      <c r="BY171" s="218" t="str">
        <f t="shared" si="156"/>
        <v>-</v>
      </c>
      <c r="BZ171" s="60"/>
      <c r="CA171" s="169"/>
      <c r="CB171" s="91" t="str">
        <f t="shared" si="146"/>
        <v xml:space="preserve">                                                                                                                                                                                                                                                                                                                                                                                                                </v>
      </c>
      <c r="CC171" s="218" t="str">
        <f t="shared" si="157"/>
        <v>-</v>
      </c>
      <c r="CD171" s="169"/>
      <c r="CE171" s="92" t="str">
        <f t="shared" si="166"/>
        <v>OK</v>
      </c>
      <c r="CF171" s="60"/>
      <c r="CG171" s="169"/>
      <c r="CH171" s="91" t="str">
        <f t="shared" si="147"/>
        <v xml:space="preserve">                                                                                                                                                                                                                                                                                                                                                                                                                </v>
      </c>
      <c r="CI171" s="218" t="str">
        <f t="shared" si="158"/>
        <v>-</v>
      </c>
      <c r="CJ171" s="169"/>
      <c r="CK171" s="92" t="str">
        <f t="shared" si="167"/>
        <v>OK</v>
      </c>
      <c r="CL171" s="60"/>
      <c r="CM171" s="169"/>
      <c r="CN171" s="91" t="str">
        <f t="shared" si="148"/>
        <v xml:space="preserve">                                                                                                                                                                                                                                                                                                                                                                                                                </v>
      </c>
      <c r="CO171" s="218" t="s">
        <v>593</v>
      </c>
      <c r="CP171" s="91"/>
      <c r="CQ171" s="218" t="str">
        <f t="shared" si="159"/>
        <v>-</v>
      </c>
      <c r="CR171" s="60"/>
      <c r="CS171" s="169"/>
      <c r="CT171" s="91" t="str">
        <f t="shared" si="149"/>
        <v xml:space="preserve">                                                                                                                                                                                                                                                                                                                                                                                                                </v>
      </c>
      <c r="CU171" s="218" t="str">
        <f t="shared" si="160"/>
        <v>-</v>
      </c>
      <c r="CV171" s="169"/>
      <c r="CW171" s="92" t="s">
        <v>593</v>
      </c>
      <c r="CX171" s="60"/>
      <c r="CY171" s="169"/>
      <c r="CZ171" s="91" t="str">
        <f t="shared" si="150"/>
        <v xml:space="preserve">                                                                                                                                                                                                                                                                                                                                                                                                                </v>
      </c>
      <c r="DA171" s="218" t="str">
        <f t="shared" si="161"/>
        <v>-</v>
      </c>
      <c r="DB171" s="169"/>
      <c r="DC171" s="92" t="s">
        <v>593</v>
      </c>
    </row>
    <row r="172" spans="2:107" s="26" customFormat="1">
      <c r="B172" s="65">
        <f t="shared" si="151"/>
        <v>165</v>
      </c>
      <c r="C172" s="7"/>
      <c r="D172" s="7"/>
      <c r="E172" s="7"/>
      <c r="F172" s="22" t="s">
        <v>158</v>
      </c>
      <c r="G172" s="16"/>
      <c r="H172" s="13"/>
      <c r="I172" s="8"/>
      <c r="J172" s="8"/>
      <c r="K172" s="8"/>
      <c r="L172" s="8"/>
      <c r="M172" s="11" t="s">
        <v>152</v>
      </c>
      <c r="N172" s="1"/>
      <c r="O172" s="57"/>
      <c r="P172" s="95">
        <f t="shared" si="168"/>
        <v>144</v>
      </c>
      <c r="Q172" s="115">
        <v>400</v>
      </c>
      <c r="R172" s="21" t="str">
        <f t="shared" si="169"/>
        <v>NX</v>
      </c>
      <c r="S172" s="98" t="s">
        <v>159</v>
      </c>
      <c r="T172" s="96"/>
      <c r="U172" s="21" t="s">
        <v>435</v>
      </c>
      <c r="V172" s="10"/>
      <c r="W172" s="25">
        <v>3</v>
      </c>
      <c r="X172" s="1" t="s">
        <v>160</v>
      </c>
      <c r="Y172" s="1">
        <v>1</v>
      </c>
      <c r="Z172" s="1">
        <v>400</v>
      </c>
      <c r="AA172" s="8" t="s">
        <v>129</v>
      </c>
      <c r="AB172" s="8" t="s">
        <v>257</v>
      </c>
      <c r="AC172" s="12"/>
      <c r="AD172" s="60"/>
      <c r="AE172" s="169"/>
      <c r="AF172" s="91" t="str">
        <f t="shared" si="138"/>
        <v xml:space="preserve">                                                                                                                                                                                                                                                                                                                                                                                                                </v>
      </c>
      <c r="AG172" s="218" t="str">
        <f t="shared" si="162"/>
        <v>-</v>
      </c>
      <c r="AH172" s="169"/>
      <c r="AI172" s="92" t="str">
        <f t="shared" si="164"/>
        <v>OK</v>
      </c>
      <c r="AJ172" s="60"/>
      <c r="AK172" s="169"/>
      <c r="AL172" s="91" t="str">
        <f t="shared" si="139"/>
        <v xml:space="preserve">                                                                                                                                                                                                                                                                                                                                                                                                                </v>
      </c>
      <c r="AM172" s="218" t="str">
        <f t="shared" si="152"/>
        <v>-</v>
      </c>
      <c r="AN172" s="169"/>
      <c r="AO172" s="92" t="str">
        <f t="shared" si="165"/>
        <v>OK</v>
      </c>
      <c r="AP172" s="60"/>
      <c r="AQ172" s="172"/>
      <c r="AR172" s="91" t="str">
        <f t="shared" si="140"/>
        <v xml:space="preserve">                                                                                                                                                                                                                                                                                                                                                                                                                </v>
      </c>
      <c r="AS172" s="218" t="s">
        <v>593</v>
      </c>
      <c r="AT172" s="91"/>
      <c r="AU172" s="218" t="str">
        <f t="shared" si="137"/>
        <v>-</v>
      </c>
      <c r="AV172" s="60"/>
      <c r="AW172" s="169"/>
      <c r="AX172" s="91" t="str">
        <f t="shared" si="141"/>
        <v xml:space="preserve">                                                                                                                                                                                                                                                                                                                                                                                                                </v>
      </c>
      <c r="AY172" s="218" t="str">
        <f t="shared" si="153"/>
        <v>-</v>
      </c>
      <c r="AZ172" s="169"/>
      <c r="BA172" s="478" t="s">
        <v>594</v>
      </c>
      <c r="BB172" s="60"/>
      <c r="BC172" s="169"/>
      <c r="BD172" s="91" t="str">
        <f t="shared" si="142"/>
        <v xml:space="preserve">                                                                                                                                                                                                                                                                                                                                                                                                                </v>
      </c>
      <c r="BE172" s="218" t="str">
        <f t="shared" si="154"/>
        <v>-</v>
      </c>
      <c r="BF172" s="169"/>
      <c r="BG172" s="478" t="s">
        <v>594</v>
      </c>
      <c r="BH172" s="60"/>
      <c r="BI172" s="170" t="s">
        <v>703</v>
      </c>
      <c r="BJ172" s="91" t="str">
        <f t="shared" si="143"/>
        <v xml:space="preserve">                                                                                                                                                                                                                                                                                                                                                                                                                </v>
      </c>
      <c r="BK172" s="218" t="s">
        <v>593</v>
      </c>
      <c r="BL172" s="169"/>
      <c r="BM172" s="478" t="s">
        <v>594</v>
      </c>
      <c r="BN172" s="60"/>
      <c r="BO172" s="169"/>
      <c r="BP172" s="91" t="str">
        <f t="shared" si="144"/>
        <v xml:space="preserve">                                                                                                                                                                                                                                                                                                                                                                                                                </v>
      </c>
      <c r="BQ172" s="218" t="str">
        <f t="shared" si="155"/>
        <v>-</v>
      </c>
      <c r="BR172" s="169"/>
      <c r="BS172" s="478" t="s">
        <v>594</v>
      </c>
      <c r="BT172" s="60"/>
      <c r="BU172" s="172"/>
      <c r="BV172" s="91" t="str">
        <f t="shared" si="145"/>
        <v xml:space="preserve">                                                                                                                                                                                                                                                                                                                                                                                                                </v>
      </c>
      <c r="BW172" s="218" t="s">
        <v>593</v>
      </c>
      <c r="BX172" s="91"/>
      <c r="BY172" s="218" t="str">
        <f t="shared" si="156"/>
        <v>-</v>
      </c>
      <c r="BZ172" s="60"/>
      <c r="CA172" s="169"/>
      <c r="CB172" s="91" t="str">
        <f t="shared" si="146"/>
        <v xml:space="preserve">                                                                                                                                                                                                                                                                                                                                                                                                                </v>
      </c>
      <c r="CC172" s="218" t="str">
        <f t="shared" si="157"/>
        <v>-</v>
      </c>
      <c r="CD172" s="169"/>
      <c r="CE172" s="92" t="str">
        <f t="shared" si="166"/>
        <v>OK</v>
      </c>
      <c r="CF172" s="60"/>
      <c r="CG172" s="169"/>
      <c r="CH172" s="91" t="str">
        <f t="shared" si="147"/>
        <v xml:space="preserve">                                                                                                                                                                                                                                                                                                                                                                                                                </v>
      </c>
      <c r="CI172" s="218" t="str">
        <f t="shared" si="158"/>
        <v>-</v>
      </c>
      <c r="CJ172" s="169"/>
      <c r="CK172" s="92" t="str">
        <f t="shared" si="167"/>
        <v>OK</v>
      </c>
      <c r="CL172" s="60"/>
      <c r="CM172" s="169"/>
      <c r="CN172" s="91" t="str">
        <f t="shared" si="148"/>
        <v xml:space="preserve">                                                                                                                                                                                                                                                                                                                                                                                                                </v>
      </c>
      <c r="CO172" s="218" t="s">
        <v>593</v>
      </c>
      <c r="CP172" s="91"/>
      <c r="CQ172" s="218" t="str">
        <f t="shared" si="159"/>
        <v>-</v>
      </c>
      <c r="CR172" s="60"/>
      <c r="CS172" s="169"/>
      <c r="CT172" s="91" t="str">
        <f t="shared" si="149"/>
        <v xml:space="preserve">                                                                                                                                                                                                                                                                                                                                                                                                                </v>
      </c>
      <c r="CU172" s="218" t="str">
        <f t="shared" si="160"/>
        <v>-</v>
      </c>
      <c r="CV172" s="169"/>
      <c r="CW172" s="92" t="s">
        <v>593</v>
      </c>
      <c r="CX172" s="60"/>
      <c r="CY172" s="169"/>
      <c r="CZ172" s="91" t="str">
        <f t="shared" si="150"/>
        <v xml:space="preserve">                                                                                                                                                                                                                                                                                                                                                                                                                </v>
      </c>
      <c r="DA172" s="218" t="str">
        <f t="shared" si="161"/>
        <v>-</v>
      </c>
      <c r="DB172" s="169"/>
      <c r="DC172" s="92" t="s">
        <v>593</v>
      </c>
    </row>
    <row r="173" spans="2:107" s="26" customFormat="1">
      <c r="B173" s="65">
        <f t="shared" si="151"/>
        <v>166</v>
      </c>
      <c r="C173" s="7"/>
      <c r="D173" s="7"/>
      <c r="E173" s="7"/>
      <c r="F173" s="22" t="s">
        <v>161</v>
      </c>
      <c r="G173" s="16"/>
      <c r="H173" s="13"/>
      <c r="I173" s="8"/>
      <c r="J173" s="8"/>
      <c r="K173" s="8"/>
      <c r="L173" s="8"/>
      <c r="M173" s="11" t="s">
        <v>152</v>
      </c>
      <c r="N173" s="1"/>
      <c r="O173" s="57"/>
      <c r="P173" s="95">
        <f t="shared" si="168"/>
        <v>145</v>
      </c>
      <c r="Q173" s="115">
        <v>400</v>
      </c>
      <c r="R173" s="21" t="str">
        <f t="shared" si="169"/>
        <v>NX</v>
      </c>
      <c r="S173" s="98" t="s">
        <v>162</v>
      </c>
      <c r="T173" s="96"/>
      <c r="U173" s="21" t="s">
        <v>435</v>
      </c>
      <c r="V173" s="10"/>
      <c r="W173" s="25">
        <v>3</v>
      </c>
      <c r="X173" s="1" t="s">
        <v>163</v>
      </c>
      <c r="Y173" s="1">
        <v>1</v>
      </c>
      <c r="Z173" s="1">
        <v>400</v>
      </c>
      <c r="AA173" s="8" t="s">
        <v>129</v>
      </c>
      <c r="AB173" s="8" t="s">
        <v>257</v>
      </c>
      <c r="AC173" s="12"/>
      <c r="AD173" s="60"/>
      <c r="AE173" s="169"/>
      <c r="AF173" s="91" t="str">
        <f t="shared" si="138"/>
        <v xml:space="preserve">                                                                                                                                                                                                                                                                                                                                                                                                                </v>
      </c>
      <c r="AG173" s="218" t="str">
        <f t="shared" si="162"/>
        <v>-</v>
      </c>
      <c r="AH173" s="169"/>
      <c r="AI173" s="92" t="str">
        <f t="shared" si="164"/>
        <v>OK</v>
      </c>
      <c r="AJ173" s="60"/>
      <c r="AK173" s="169"/>
      <c r="AL173" s="91" t="str">
        <f t="shared" si="139"/>
        <v xml:space="preserve">                                                                                                                                                                                                                                                                                                                                                                                                                </v>
      </c>
      <c r="AM173" s="218" t="str">
        <f t="shared" si="152"/>
        <v>-</v>
      </c>
      <c r="AN173" s="169"/>
      <c r="AO173" s="92" t="str">
        <f t="shared" si="165"/>
        <v>OK</v>
      </c>
      <c r="AP173" s="60"/>
      <c r="AQ173" s="172"/>
      <c r="AR173" s="91" t="str">
        <f t="shared" si="140"/>
        <v xml:space="preserve">                                                                                                                                                                                                                                                                                                                                                                                                                </v>
      </c>
      <c r="AS173" s="218" t="s">
        <v>593</v>
      </c>
      <c r="AT173" s="91"/>
      <c r="AU173" s="218" t="str">
        <f t="shared" si="137"/>
        <v>-</v>
      </c>
      <c r="AV173" s="60"/>
      <c r="AW173" s="169"/>
      <c r="AX173" s="91" t="str">
        <f t="shared" si="141"/>
        <v xml:space="preserve">                                                                                                                                                                                                                                                                                                                                                                                                                </v>
      </c>
      <c r="AY173" s="218" t="str">
        <f t="shared" si="153"/>
        <v>-</v>
      </c>
      <c r="AZ173" s="169"/>
      <c r="BA173" s="478" t="s">
        <v>594</v>
      </c>
      <c r="BB173" s="60"/>
      <c r="BC173" s="169"/>
      <c r="BD173" s="91" t="str">
        <f t="shared" si="142"/>
        <v xml:space="preserve">                                                                                                                                                                                                                                                                                                                                                                                                                </v>
      </c>
      <c r="BE173" s="218" t="str">
        <f t="shared" si="154"/>
        <v>-</v>
      </c>
      <c r="BF173" s="169"/>
      <c r="BG173" s="478" t="s">
        <v>594</v>
      </c>
      <c r="BH173" s="60"/>
      <c r="BI173" s="170" t="s">
        <v>703</v>
      </c>
      <c r="BJ173" s="91" t="str">
        <f t="shared" si="143"/>
        <v xml:space="preserve">                                                                                                                                                                                                                                                                                                                                                                                                                </v>
      </c>
      <c r="BK173" s="218" t="s">
        <v>593</v>
      </c>
      <c r="BL173" s="169"/>
      <c r="BM173" s="478" t="s">
        <v>594</v>
      </c>
      <c r="BN173" s="60"/>
      <c r="BO173" s="169"/>
      <c r="BP173" s="91" t="str">
        <f t="shared" si="144"/>
        <v xml:space="preserve">                                                                                                                                                                                                                                                                                                                                                                                                                </v>
      </c>
      <c r="BQ173" s="218" t="str">
        <f t="shared" si="155"/>
        <v>-</v>
      </c>
      <c r="BR173" s="169"/>
      <c r="BS173" s="478" t="s">
        <v>594</v>
      </c>
      <c r="BT173" s="60"/>
      <c r="BU173" s="172"/>
      <c r="BV173" s="91" t="str">
        <f t="shared" si="145"/>
        <v xml:space="preserve">                                                                                                                                                                                                                                                                                                                                                                                                                </v>
      </c>
      <c r="BW173" s="218" t="s">
        <v>593</v>
      </c>
      <c r="BX173" s="91"/>
      <c r="BY173" s="218" t="str">
        <f t="shared" si="156"/>
        <v>-</v>
      </c>
      <c r="BZ173" s="60"/>
      <c r="CA173" s="169"/>
      <c r="CB173" s="91" t="str">
        <f t="shared" si="146"/>
        <v xml:space="preserve">                                                                                                                                                                                                                                                                                                                                                                                                                </v>
      </c>
      <c r="CC173" s="218" t="str">
        <f t="shared" si="157"/>
        <v>-</v>
      </c>
      <c r="CD173" s="169"/>
      <c r="CE173" s="92" t="str">
        <f t="shared" si="166"/>
        <v>OK</v>
      </c>
      <c r="CF173" s="60"/>
      <c r="CG173" s="169"/>
      <c r="CH173" s="91" t="str">
        <f t="shared" si="147"/>
        <v xml:space="preserve">                                                                                                                                                                                                                                                                                                                                                                                                                </v>
      </c>
      <c r="CI173" s="218" t="str">
        <f t="shared" si="158"/>
        <v>-</v>
      </c>
      <c r="CJ173" s="169"/>
      <c r="CK173" s="92" t="str">
        <f t="shared" si="167"/>
        <v>OK</v>
      </c>
      <c r="CL173" s="60"/>
      <c r="CM173" s="169"/>
      <c r="CN173" s="91" t="str">
        <f t="shared" si="148"/>
        <v xml:space="preserve">                                                                                                                                                                                                                                                                                                                                                                                                                </v>
      </c>
      <c r="CO173" s="218" t="s">
        <v>593</v>
      </c>
      <c r="CP173" s="91"/>
      <c r="CQ173" s="218" t="str">
        <f t="shared" si="159"/>
        <v>-</v>
      </c>
      <c r="CR173" s="60"/>
      <c r="CS173" s="169"/>
      <c r="CT173" s="91" t="str">
        <f t="shared" si="149"/>
        <v xml:space="preserve">                                                                                                                                                                                                                                                                                                                                                                                                                </v>
      </c>
      <c r="CU173" s="218" t="str">
        <f t="shared" si="160"/>
        <v>-</v>
      </c>
      <c r="CV173" s="169"/>
      <c r="CW173" s="92" t="s">
        <v>593</v>
      </c>
      <c r="CX173" s="60"/>
      <c r="CY173" s="169"/>
      <c r="CZ173" s="91" t="str">
        <f t="shared" si="150"/>
        <v xml:space="preserve">                                                                                                                                                                                                                                                                                                                                                                                                                </v>
      </c>
      <c r="DA173" s="218" t="str">
        <f t="shared" si="161"/>
        <v>-</v>
      </c>
      <c r="DB173" s="169"/>
      <c r="DC173" s="92" t="s">
        <v>593</v>
      </c>
    </row>
    <row r="174" spans="2:107" s="26" customFormat="1" ht="89.25">
      <c r="B174" s="65">
        <f t="shared" si="151"/>
        <v>167</v>
      </c>
      <c r="C174" s="7"/>
      <c r="D174" s="7"/>
      <c r="E174" s="7"/>
      <c r="F174" s="22" t="s">
        <v>164</v>
      </c>
      <c r="G174" s="16"/>
      <c r="H174" s="13"/>
      <c r="I174" s="8"/>
      <c r="J174" s="8"/>
      <c r="K174" s="8"/>
      <c r="L174" s="8"/>
      <c r="M174" s="11" t="s">
        <v>450</v>
      </c>
      <c r="N174" s="1"/>
      <c r="O174" s="57"/>
      <c r="P174" s="95">
        <f t="shared" si="168"/>
        <v>146</v>
      </c>
      <c r="Q174" s="115">
        <v>1</v>
      </c>
      <c r="R174" s="21" t="str">
        <f t="shared" si="169"/>
        <v>X</v>
      </c>
      <c r="S174" s="98" t="s">
        <v>165</v>
      </c>
      <c r="T174" s="96"/>
      <c r="U174" s="21" t="s">
        <v>435</v>
      </c>
      <c r="V174" s="10"/>
      <c r="W174" s="25">
        <v>3</v>
      </c>
      <c r="X174" s="1" t="s">
        <v>303</v>
      </c>
      <c r="Y174" s="1">
        <v>1</v>
      </c>
      <c r="Z174" s="1">
        <v>1</v>
      </c>
      <c r="AA174" s="8" t="s">
        <v>114</v>
      </c>
      <c r="AB174" s="8" t="s">
        <v>21</v>
      </c>
      <c r="AC174" s="104"/>
      <c r="AD174" s="60"/>
      <c r="AE174" s="174"/>
      <c r="AF174" s="61" t="str">
        <f t="shared" si="138"/>
        <v xml:space="preserve"> </v>
      </c>
      <c r="AG174" s="218" t="str">
        <f t="shared" si="162"/>
        <v>-</v>
      </c>
      <c r="AH174" s="174"/>
      <c r="AI174" s="92" t="str">
        <f t="shared" si="164"/>
        <v>OK</v>
      </c>
      <c r="AJ174" s="60"/>
      <c r="AK174" s="174"/>
      <c r="AL174" s="61" t="str">
        <f t="shared" si="139"/>
        <v xml:space="preserve"> </v>
      </c>
      <c r="AM174" s="218" t="str">
        <f t="shared" si="152"/>
        <v>-</v>
      </c>
      <c r="AN174" s="174"/>
      <c r="AO174" s="92" t="str">
        <f t="shared" si="165"/>
        <v>OK</v>
      </c>
      <c r="AP174" s="60"/>
      <c r="AQ174" s="170"/>
      <c r="AR174" s="61" t="str">
        <f t="shared" si="140"/>
        <v xml:space="preserve"> </v>
      </c>
      <c r="AS174" s="218" t="s">
        <v>593</v>
      </c>
      <c r="AT174" s="61"/>
      <c r="AU174" s="218" t="str">
        <f t="shared" si="137"/>
        <v>-</v>
      </c>
      <c r="AV174" s="60"/>
      <c r="AW174" s="174"/>
      <c r="AX174" s="61" t="str">
        <f t="shared" si="141"/>
        <v xml:space="preserve"> </v>
      </c>
      <c r="AY174" s="218" t="str">
        <f t="shared" si="153"/>
        <v>-</v>
      </c>
      <c r="AZ174" s="174"/>
      <c r="BA174" s="478" t="s">
        <v>594</v>
      </c>
      <c r="BB174" s="60"/>
      <c r="BC174" s="174"/>
      <c r="BD174" s="61" t="str">
        <f t="shared" si="142"/>
        <v xml:space="preserve"> </v>
      </c>
      <c r="BE174" s="218" t="str">
        <f t="shared" si="154"/>
        <v>-</v>
      </c>
      <c r="BF174" s="174"/>
      <c r="BG174" s="478" t="s">
        <v>594</v>
      </c>
      <c r="BH174" s="60"/>
      <c r="BI174" s="170" t="s">
        <v>38</v>
      </c>
      <c r="BJ174" s="61" t="str">
        <f t="shared" si="143"/>
        <v xml:space="preserve"> </v>
      </c>
      <c r="BK174" s="218" t="s">
        <v>593</v>
      </c>
      <c r="BL174" s="174"/>
      <c r="BM174" s="478" t="s">
        <v>594</v>
      </c>
      <c r="BN174" s="60"/>
      <c r="BO174" s="174"/>
      <c r="BP174" s="61" t="str">
        <f t="shared" si="144"/>
        <v xml:space="preserve"> </v>
      </c>
      <c r="BQ174" s="218" t="str">
        <f t="shared" si="155"/>
        <v>-</v>
      </c>
      <c r="BR174" s="174"/>
      <c r="BS174" s="478" t="s">
        <v>594</v>
      </c>
      <c r="BT174" s="60"/>
      <c r="BU174" s="170"/>
      <c r="BV174" s="61" t="str">
        <f t="shared" si="145"/>
        <v xml:space="preserve"> </v>
      </c>
      <c r="BW174" s="218" t="s">
        <v>593</v>
      </c>
      <c r="BX174" s="61"/>
      <c r="BY174" s="218" t="str">
        <f t="shared" si="156"/>
        <v>-</v>
      </c>
      <c r="BZ174" s="60"/>
      <c r="CA174" s="174"/>
      <c r="CB174" s="61" t="str">
        <f t="shared" si="146"/>
        <v xml:space="preserve"> </v>
      </c>
      <c r="CC174" s="218" t="str">
        <f t="shared" si="157"/>
        <v>-</v>
      </c>
      <c r="CD174" s="174"/>
      <c r="CE174" s="92" t="str">
        <f t="shared" si="166"/>
        <v>OK</v>
      </c>
      <c r="CF174" s="60"/>
      <c r="CG174" s="174"/>
      <c r="CH174" s="61" t="str">
        <f t="shared" si="147"/>
        <v xml:space="preserve"> </v>
      </c>
      <c r="CI174" s="218" t="str">
        <f t="shared" si="158"/>
        <v>-</v>
      </c>
      <c r="CJ174" s="174"/>
      <c r="CK174" s="92" t="str">
        <f t="shared" si="167"/>
        <v>OK</v>
      </c>
      <c r="CL174" s="60"/>
      <c r="CM174" s="174"/>
      <c r="CN174" s="61" t="str">
        <f t="shared" si="148"/>
        <v xml:space="preserve"> </v>
      </c>
      <c r="CO174" s="218" t="s">
        <v>593</v>
      </c>
      <c r="CP174" s="61"/>
      <c r="CQ174" s="218" t="str">
        <f t="shared" si="159"/>
        <v>-</v>
      </c>
      <c r="CR174" s="60"/>
      <c r="CS174" s="174"/>
      <c r="CT174" s="61" t="str">
        <f t="shared" si="149"/>
        <v xml:space="preserve"> </v>
      </c>
      <c r="CU174" s="218" t="str">
        <f t="shared" si="160"/>
        <v>-</v>
      </c>
      <c r="CV174" s="174"/>
      <c r="CW174" s="92" t="s">
        <v>593</v>
      </c>
      <c r="CX174" s="60"/>
      <c r="CY174" s="174"/>
      <c r="CZ174" s="61" t="str">
        <f t="shared" si="150"/>
        <v xml:space="preserve"> </v>
      </c>
      <c r="DA174" s="218" t="str">
        <f t="shared" si="161"/>
        <v>-</v>
      </c>
      <c r="DB174" s="174"/>
      <c r="DC174" s="92" t="s">
        <v>593</v>
      </c>
    </row>
    <row r="175" spans="2:107" s="26" customFormat="1">
      <c r="B175" s="65">
        <f t="shared" si="151"/>
        <v>168</v>
      </c>
      <c r="C175" s="7"/>
      <c r="D175" s="7"/>
      <c r="E175" s="7"/>
      <c r="F175" s="22" t="s">
        <v>166</v>
      </c>
      <c r="G175" s="16"/>
      <c r="H175" s="13"/>
      <c r="I175" s="8"/>
      <c r="J175" s="8"/>
      <c r="K175" s="8"/>
      <c r="L175" s="8"/>
      <c r="M175" s="11"/>
      <c r="N175" s="1"/>
      <c r="O175" s="57"/>
      <c r="P175" s="95">
        <f t="shared" si="168"/>
        <v>147</v>
      </c>
      <c r="Q175" s="115">
        <v>128</v>
      </c>
      <c r="R175" s="21" t="str">
        <f t="shared" si="169"/>
        <v>X</v>
      </c>
      <c r="S175" s="98" t="s">
        <v>167</v>
      </c>
      <c r="T175" s="96"/>
      <c r="U175" s="21" t="s">
        <v>435</v>
      </c>
      <c r="V175" s="10"/>
      <c r="W175" s="25">
        <v>3</v>
      </c>
      <c r="X175" s="1" t="s">
        <v>304</v>
      </c>
      <c r="Y175" s="1">
        <v>1</v>
      </c>
      <c r="Z175" s="1">
        <v>128</v>
      </c>
      <c r="AA175" s="8" t="s">
        <v>114</v>
      </c>
      <c r="AB175" s="8" t="s">
        <v>21</v>
      </c>
      <c r="AC175" s="12"/>
      <c r="AD175" s="60"/>
      <c r="AE175" s="169"/>
      <c r="AF175" s="61" t="str">
        <f t="shared" si="138"/>
        <v xml:space="preserve">                                                                                                                                </v>
      </c>
      <c r="AG175" s="218" t="str">
        <f t="shared" si="162"/>
        <v>-</v>
      </c>
      <c r="AH175" s="169"/>
      <c r="AI175" s="92" t="str">
        <f t="shared" si="164"/>
        <v>OK</v>
      </c>
      <c r="AJ175" s="60"/>
      <c r="AK175" s="169"/>
      <c r="AL175" s="61" t="str">
        <f t="shared" si="139"/>
        <v xml:space="preserve">                                                                                                                                </v>
      </c>
      <c r="AM175" s="218" t="str">
        <f t="shared" si="152"/>
        <v>-</v>
      </c>
      <c r="AN175" s="169"/>
      <c r="AO175" s="92" t="str">
        <f t="shared" si="165"/>
        <v>OK</v>
      </c>
      <c r="AP175" s="60"/>
      <c r="AQ175" s="172"/>
      <c r="AR175" s="61" t="str">
        <f t="shared" si="140"/>
        <v xml:space="preserve">                                                                                                                                </v>
      </c>
      <c r="AS175" s="218" t="s">
        <v>593</v>
      </c>
      <c r="AT175" s="61"/>
      <c r="AU175" s="218" t="str">
        <f t="shared" si="137"/>
        <v>-</v>
      </c>
      <c r="AV175" s="60"/>
      <c r="AW175" s="169"/>
      <c r="AX175" s="61" t="str">
        <f t="shared" si="141"/>
        <v xml:space="preserve">                                                                                                                                </v>
      </c>
      <c r="AY175" s="218" t="str">
        <f t="shared" si="153"/>
        <v>-</v>
      </c>
      <c r="AZ175" s="169"/>
      <c r="BA175" s="478" t="s">
        <v>594</v>
      </c>
      <c r="BB175" s="60"/>
      <c r="BC175" s="169"/>
      <c r="BD175" s="61" t="str">
        <f t="shared" si="142"/>
        <v xml:space="preserve">                                                                                                                                </v>
      </c>
      <c r="BE175" s="218" t="str">
        <f t="shared" si="154"/>
        <v>-</v>
      </c>
      <c r="BF175" s="169"/>
      <c r="BG175" s="478" t="s">
        <v>594</v>
      </c>
      <c r="BH175" s="60"/>
      <c r="BI175" s="170" t="s">
        <v>704</v>
      </c>
      <c r="BJ175" s="61" t="str">
        <f t="shared" si="143"/>
        <v xml:space="preserve">                                                                                                                                </v>
      </c>
      <c r="BK175" s="218" t="s">
        <v>593</v>
      </c>
      <c r="BL175" s="169"/>
      <c r="BM175" s="478" t="s">
        <v>594</v>
      </c>
      <c r="BN175" s="60"/>
      <c r="BO175" s="169"/>
      <c r="BP175" s="61" t="str">
        <f t="shared" si="144"/>
        <v xml:space="preserve">                                                                                                                                </v>
      </c>
      <c r="BQ175" s="218" t="str">
        <f t="shared" si="155"/>
        <v>-</v>
      </c>
      <c r="BR175" s="169"/>
      <c r="BS175" s="478" t="s">
        <v>594</v>
      </c>
      <c r="BT175" s="60"/>
      <c r="BU175" s="172"/>
      <c r="BV175" s="61" t="str">
        <f t="shared" si="145"/>
        <v xml:space="preserve">                                                                                                                                </v>
      </c>
      <c r="BW175" s="218" t="s">
        <v>593</v>
      </c>
      <c r="BX175" s="61"/>
      <c r="BY175" s="218" t="str">
        <f t="shared" si="156"/>
        <v>-</v>
      </c>
      <c r="BZ175" s="60"/>
      <c r="CA175" s="169"/>
      <c r="CB175" s="61" t="str">
        <f t="shared" si="146"/>
        <v xml:space="preserve">                                                                                                                                </v>
      </c>
      <c r="CC175" s="218" t="str">
        <f t="shared" si="157"/>
        <v>-</v>
      </c>
      <c r="CD175" s="169"/>
      <c r="CE175" s="92" t="str">
        <f t="shared" si="166"/>
        <v>OK</v>
      </c>
      <c r="CF175" s="60"/>
      <c r="CG175" s="169"/>
      <c r="CH175" s="61" t="str">
        <f t="shared" si="147"/>
        <v xml:space="preserve">                                                                                                                                </v>
      </c>
      <c r="CI175" s="218" t="str">
        <f t="shared" si="158"/>
        <v>-</v>
      </c>
      <c r="CJ175" s="169"/>
      <c r="CK175" s="92" t="str">
        <f t="shared" si="167"/>
        <v>OK</v>
      </c>
      <c r="CL175" s="60"/>
      <c r="CM175" s="169"/>
      <c r="CN175" s="61" t="str">
        <f t="shared" si="148"/>
        <v xml:space="preserve">                                                                                                                                </v>
      </c>
      <c r="CO175" s="218" t="s">
        <v>593</v>
      </c>
      <c r="CP175" s="61"/>
      <c r="CQ175" s="218" t="str">
        <f t="shared" si="159"/>
        <v>-</v>
      </c>
      <c r="CR175" s="60"/>
      <c r="CS175" s="169"/>
      <c r="CT175" s="61" t="str">
        <f t="shared" si="149"/>
        <v xml:space="preserve">                                                                                                                                </v>
      </c>
      <c r="CU175" s="218" t="str">
        <f t="shared" si="160"/>
        <v>-</v>
      </c>
      <c r="CV175" s="169"/>
      <c r="CW175" s="92" t="s">
        <v>593</v>
      </c>
      <c r="CX175" s="60"/>
      <c r="CY175" s="169"/>
      <c r="CZ175" s="61" t="str">
        <f t="shared" si="150"/>
        <v xml:space="preserve">                                                                                                                                </v>
      </c>
      <c r="DA175" s="218" t="str">
        <f t="shared" si="161"/>
        <v>-</v>
      </c>
      <c r="DB175" s="169"/>
      <c r="DC175" s="92" t="s">
        <v>593</v>
      </c>
    </row>
    <row r="176" spans="2:107" s="26" customFormat="1" ht="114.75">
      <c r="B176" s="65">
        <f t="shared" si="151"/>
        <v>169</v>
      </c>
      <c r="C176" s="7"/>
      <c r="D176" s="7"/>
      <c r="E176" s="7"/>
      <c r="F176" s="22" t="s">
        <v>168</v>
      </c>
      <c r="G176" s="16"/>
      <c r="H176" s="13"/>
      <c r="I176" s="8"/>
      <c r="J176" s="8"/>
      <c r="K176" s="8"/>
      <c r="L176" s="8"/>
      <c r="M176" s="11" t="s">
        <v>399</v>
      </c>
      <c r="N176" s="1"/>
      <c r="O176" s="57"/>
      <c r="P176" s="95">
        <f t="shared" si="168"/>
        <v>148</v>
      </c>
      <c r="Q176" s="115">
        <v>1</v>
      </c>
      <c r="R176" s="21" t="str">
        <f t="shared" si="169"/>
        <v>X</v>
      </c>
      <c r="S176" s="98" t="s">
        <v>169</v>
      </c>
      <c r="T176" s="96"/>
      <c r="U176" s="21" t="s">
        <v>435</v>
      </c>
      <c r="V176" s="10"/>
      <c r="W176" s="25">
        <v>3</v>
      </c>
      <c r="X176" s="1" t="s">
        <v>305</v>
      </c>
      <c r="Y176" s="1">
        <v>1</v>
      </c>
      <c r="Z176" s="1">
        <v>1</v>
      </c>
      <c r="AA176" s="8" t="s">
        <v>114</v>
      </c>
      <c r="AB176" s="8" t="s">
        <v>21</v>
      </c>
      <c r="AC176" s="104"/>
      <c r="AD176" s="60"/>
      <c r="AE176" s="174"/>
      <c r="AF176" s="61" t="str">
        <f t="shared" si="138"/>
        <v xml:space="preserve"> </v>
      </c>
      <c r="AG176" s="218" t="str">
        <f t="shared" si="162"/>
        <v>-</v>
      </c>
      <c r="AH176" s="174"/>
      <c r="AI176" s="92" t="str">
        <f t="shared" si="164"/>
        <v>OK</v>
      </c>
      <c r="AJ176" s="60"/>
      <c r="AK176" s="174"/>
      <c r="AL176" s="61" t="str">
        <f t="shared" si="139"/>
        <v xml:space="preserve"> </v>
      </c>
      <c r="AM176" s="218" t="str">
        <f t="shared" si="152"/>
        <v>-</v>
      </c>
      <c r="AN176" s="174"/>
      <c r="AO176" s="92" t="str">
        <f t="shared" si="165"/>
        <v>OK</v>
      </c>
      <c r="AP176" s="60"/>
      <c r="AQ176" s="170"/>
      <c r="AR176" s="61" t="str">
        <f t="shared" si="140"/>
        <v xml:space="preserve"> </v>
      </c>
      <c r="AS176" s="218" t="s">
        <v>593</v>
      </c>
      <c r="AT176" s="61"/>
      <c r="AU176" s="218" t="str">
        <f t="shared" si="137"/>
        <v>-</v>
      </c>
      <c r="AV176" s="60"/>
      <c r="AW176" s="174"/>
      <c r="AX176" s="61" t="str">
        <f t="shared" si="141"/>
        <v xml:space="preserve"> </v>
      </c>
      <c r="AY176" s="218" t="str">
        <f t="shared" si="153"/>
        <v>-</v>
      </c>
      <c r="AZ176" s="174"/>
      <c r="BA176" s="478" t="s">
        <v>594</v>
      </c>
      <c r="BB176" s="60"/>
      <c r="BC176" s="174"/>
      <c r="BD176" s="61" t="str">
        <f t="shared" si="142"/>
        <v xml:space="preserve"> </v>
      </c>
      <c r="BE176" s="218" t="str">
        <f t="shared" si="154"/>
        <v>-</v>
      </c>
      <c r="BF176" s="174"/>
      <c r="BG176" s="478" t="s">
        <v>594</v>
      </c>
      <c r="BH176" s="60"/>
      <c r="BI176" s="170" t="s">
        <v>38</v>
      </c>
      <c r="BJ176" s="61" t="str">
        <f t="shared" si="143"/>
        <v xml:space="preserve"> </v>
      </c>
      <c r="BK176" s="218" t="s">
        <v>593</v>
      </c>
      <c r="BL176" s="174"/>
      <c r="BM176" s="478" t="s">
        <v>594</v>
      </c>
      <c r="BN176" s="60"/>
      <c r="BO176" s="174"/>
      <c r="BP176" s="61" t="str">
        <f t="shared" si="144"/>
        <v xml:space="preserve"> </v>
      </c>
      <c r="BQ176" s="218" t="str">
        <f t="shared" si="155"/>
        <v>-</v>
      </c>
      <c r="BR176" s="174"/>
      <c r="BS176" s="478" t="s">
        <v>594</v>
      </c>
      <c r="BT176" s="60"/>
      <c r="BU176" s="170"/>
      <c r="BV176" s="61" t="str">
        <f t="shared" si="145"/>
        <v xml:space="preserve"> </v>
      </c>
      <c r="BW176" s="218" t="s">
        <v>593</v>
      </c>
      <c r="BX176" s="61"/>
      <c r="BY176" s="218" t="str">
        <f t="shared" si="156"/>
        <v>-</v>
      </c>
      <c r="BZ176" s="60"/>
      <c r="CA176" s="174"/>
      <c r="CB176" s="61" t="str">
        <f t="shared" si="146"/>
        <v xml:space="preserve"> </v>
      </c>
      <c r="CC176" s="218" t="str">
        <f t="shared" si="157"/>
        <v>-</v>
      </c>
      <c r="CD176" s="174"/>
      <c r="CE176" s="92" t="str">
        <f t="shared" si="166"/>
        <v>OK</v>
      </c>
      <c r="CF176" s="60"/>
      <c r="CG176" s="174"/>
      <c r="CH176" s="61" t="str">
        <f t="shared" si="147"/>
        <v xml:space="preserve"> </v>
      </c>
      <c r="CI176" s="218" t="str">
        <f t="shared" si="158"/>
        <v>-</v>
      </c>
      <c r="CJ176" s="174"/>
      <c r="CK176" s="92" t="str">
        <f t="shared" si="167"/>
        <v>OK</v>
      </c>
      <c r="CL176" s="60"/>
      <c r="CM176" s="174"/>
      <c r="CN176" s="61" t="str">
        <f t="shared" si="148"/>
        <v xml:space="preserve"> </v>
      </c>
      <c r="CO176" s="218" t="s">
        <v>593</v>
      </c>
      <c r="CP176" s="61"/>
      <c r="CQ176" s="218" t="str">
        <f t="shared" si="159"/>
        <v>-</v>
      </c>
      <c r="CR176" s="60"/>
      <c r="CS176" s="174"/>
      <c r="CT176" s="61" t="str">
        <f t="shared" si="149"/>
        <v xml:space="preserve"> </v>
      </c>
      <c r="CU176" s="218" t="str">
        <f t="shared" si="160"/>
        <v>-</v>
      </c>
      <c r="CV176" s="174"/>
      <c r="CW176" s="92" t="s">
        <v>593</v>
      </c>
      <c r="CX176" s="60"/>
      <c r="CY176" s="174"/>
      <c r="CZ176" s="61" t="str">
        <f t="shared" si="150"/>
        <v xml:space="preserve"> </v>
      </c>
      <c r="DA176" s="218" t="str">
        <f t="shared" si="161"/>
        <v>-</v>
      </c>
      <c r="DB176" s="174"/>
      <c r="DC176" s="92" t="s">
        <v>593</v>
      </c>
    </row>
    <row r="177" spans="1:107" s="26" customFormat="1" ht="127.5">
      <c r="B177" s="65">
        <f t="shared" si="151"/>
        <v>170</v>
      </c>
      <c r="C177" s="7"/>
      <c r="D177" s="7"/>
      <c r="E177" s="7"/>
      <c r="F177" s="22" t="s">
        <v>170</v>
      </c>
      <c r="G177" s="16"/>
      <c r="H177" s="13"/>
      <c r="I177" s="8"/>
      <c r="J177" s="8" t="s">
        <v>426</v>
      </c>
      <c r="K177" s="8"/>
      <c r="L177" s="8"/>
      <c r="M177" s="418" t="s">
        <v>451</v>
      </c>
      <c r="N177" s="1"/>
      <c r="O177" s="57"/>
      <c r="P177" s="95">
        <f t="shared" si="168"/>
        <v>149</v>
      </c>
      <c r="Q177" s="115">
        <v>1</v>
      </c>
      <c r="R177" s="21" t="str">
        <f t="shared" si="169"/>
        <v>X</v>
      </c>
      <c r="S177" s="98" t="s">
        <v>171</v>
      </c>
      <c r="T177" s="96"/>
      <c r="U177" s="21" t="s">
        <v>435</v>
      </c>
      <c r="V177" s="10"/>
      <c r="W177" s="25">
        <v>3</v>
      </c>
      <c r="X177" s="1" t="s">
        <v>306</v>
      </c>
      <c r="Y177" s="1">
        <v>1</v>
      </c>
      <c r="Z177" s="1">
        <v>1</v>
      </c>
      <c r="AA177" s="8" t="s">
        <v>114</v>
      </c>
      <c r="AB177" s="8" t="s">
        <v>21</v>
      </c>
      <c r="AC177" s="104"/>
      <c r="AD177" s="60"/>
      <c r="AE177" s="174"/>
      <c r="AF177" s="61" t="str">
        <f t="shared" si="138"/>
        <v xml:space="preserve"> </v>
      </c>
      <c r="AG177" s="218" t="str">
        <f t="shared" si="162"/>
        <v>-</v>
      </c>
      <c r="AH177" s="174"/>
      <c r="AI177" s="92" t="str">
        <f t="shared" si="164"/>
        <v>OK</v>
      </c>
      <c r="AJ177" s="60"/>
      <c r="AK177" s="174"/>
      <c r="AL177" s="61" t="str">
        <f t="shared" si="139"/>
        <v xml:space="preserve"> </v>
      </c>
      <c r="AM177" s="218" t="str">
        <f t="shared" si="152"/>
        <v>-</v>
      </c>
      <c r="AN177" s="174"/>
      <c r="AO177" s="92" t="str">
        <f t="shared" si="165"/>
        <v>OK</v>
      </c>
      <c r="AP177" s="60"/>
      <c r="AQ177" s="170"/>
      <c r="AR177" s="61" t="str">
        <f t="shared" si="140"/>
        <v xml:space="preserve"> </v>
      </c>
      <c r="AS177" s="218" t="s">
        <v>593</v>
      </c>
      <c r="AT177" s="61"/>
      <c r="AU177" s="218" t="str">
        <f t="shared" si="137"/>
        <v>-</v>
      </c>
      <c r="AV177" s="60"/>
      <c r="AW177" s="174" t="s">
        <v>33</v>
      </c>
      <c r="AX177" s="61" t="str">
        <f t="shared" si="141"/>
        <v>1</v>
      </c>
      <c r="AY177" s="218" t="str">
        <f t="shared" si="153"/>
        <v>-</v>
      </c>
      <c r="AZ177" s="174" t="s">
        <v>33</v>
      </c>
      <c r="BA177" s="478" t="s">
        <v>594</v>
      </c>
      <c r="BB177" s="60"/>
      <c r="BC177" s="174" t="s">
        <v>33</v>
      </c>
      <c r="BD177" s="61" t="str">
        <f t="shared" si="142"/>
        <v>1</v>
      </c>
      <c r="BE177" s="218" t="str">
        <f t="shared" si="154"/>
        <v>-</v>
      </c>
      <c r="BF177" s="174" t="s">
        <v>33</v>
      </c>
      <c r="BG177" s="478" t="s">
        <v>594</v>
      </c>
      <c r="BH177" s="60"/>
      <c r="BI177" s="170" t="s">
        <v>33</v>
      </c>
      <c r="BJ177" s="61" t="str">
        <f t="shared" si="143"/>
        <v>1</v>
      </c>
      <c r="BK177" s="218" t="s">
        <v>593</v>
      </c>
      <c r="BL177" s="174" t="s">
        <v>33</v>
      </c>
      <c r="BM177" s="478" t="s">
        <v>594</v>
      </c>
      <c r="BN177" s="60"/>
      <c r="BO177" s="174" t="s">
        <v>33</v>
      </c>
      <c r="BP177" s="61" t="str">
        <f t="shared" si="144"/>
        <v>1</v>
      </c>
      <c r="BQ177" s="218" t="str">
        <f t="shared" si="155"/>
        <v>-</v>
      </c>
      <c r="BR177" s="174" t="s">
        <v>33</v>
      </c>
      <c r="BS177" s="478" t="s">
        <v>594</v>
      </c>
      <c r="BT177" s="60"/>
      <c r="BU177" s="170"/>
      <c r="BV177" s="61" t="str">
        <f t="shared" si="145"/>
        <v xml:space="preserve"> </v>
      </c>
      <c r="BW177" s="218" t="s">
        <v>593</v>
      </c>
      <c r="BX177" s="61"/>
      <c r="BY177" s="218" t="str">
        <f t="shared" si="156"/>
        <v>-</v>
      </c>
      <c r="BZ177" s="60"/>
      <c r="CA177" s="174"/>
      <c r="CB177" s="61" t="str">
        <f t="shared" si="146"/>
        <v xml:space="preserve"> </v>
      </c>
      <c r="CC177" s="218" t="str">
        <f t="shared" si="157"/>
        <v>-</v>
      </c>
      <c r="CD177" s="174"/>
      <c r="CE177" s="92" t="str">
        <f t="shared" si="166"/>
        <v>OK</v>
      </c>
      <c r="CF177" s="60"/>
      <c r="CG177" s="174"/>
      <c r="CH177" s="61" t="str">
        <f t="shared" si="147"/>
        <v xml:space="preserve"> </v>
      </c>
      <c r="CI177" s="218" t="str">
        <f t="shared" si="158"/>
        <v>-</v>
      </c>
      <c r="CJ177" s="174"/>
      <c r="CK177" s="92" t="str">
        <f t="shared" si="167"/>
        <v>OK</v>
      </c>
      <c r="CL177" s="60"/>
      <c r="CM177" s="174"/>
      <c r="CN177" s="61" t="str">
        <f t="shared" si="148"/>
        <v xml:space="preserve"> </v>
      </c>
      <c r="CO177" s="218" t="s">
        <v>593</v>
      </c>
      <c r="CP177" s="61"/>
      <c r="CQ177" s="218" t="str">
        <f t="shared" si="159"/>
        <v>-</v>
      </c>
      <c r="CR177" s="60"/>
      <c r="CS177" s="174"/>
      <c r="CT177" s="61" t="str">
        <f t="shared" si="149"/>
        <v xml:space="preserve"> </v>
      </c>
      <c r="CU177" s="218" t="str">
        <f t="shared" si="160"/>
        <v>-</v>
      </c>
      <c r="CV177" s="174"/>
      <c r="CW177" s="92" t="s">
        <v>593</v>
      </c>
      <c r="CX177" s="60"/>
      <c r="CY177" s="174"/>
      <c r="CZ177" s="61" t="str">
        <f t="shared" si="150"/>
        <v xml:space="preserve"> </v>
      </c>
      <c r="DA177" s="218" t="str">
        <f t="shared" si="161"/>
        <v>-</v>
      </c>
      <c r="DB177" s="174"/>
      <c r="DC177" s="92" t="s">
        <v>593</v>
      </c>
    </row>
    <row r="178" spans="1:107" s="26" customFormat="1" ht="319.5" customHeight="1">
      <c r="B178" s="65">
        <f t="shared" si="151"/>
        <v>171</v>
      </c>
      <c r="C178" s="7"/>
      <c r="D178" s="7"/>
      <c r="E178" s="54"/>
      <c r="F178" s="113" t="s">
        <v>452</v>
      </c>
      <c r="G178" s="67"/>
      <c r="H178" s="62"/>
      <c r="I178" s="8"/>
      <c r="J178" s="8" t="s">
        <v>426</v>
      </c>
      <c r="K178" s="8"/>
      <c r="L178" s="8"/>
      <c r="M178" s="415" t="s">
        <v>453</v>
      </c>
      <c r="N178" s="16"/>
      <c r="O178" s="57"/>
      <c r="P178" s="95">
        <f t="shared" si="168"/>
        <v>150</v>
      </c>
      <c r="Q178" s="115">
        <v>2</v>
      </c>
      <c r="R178" s="21" t="str">
        <f t="shared" si="169"/>
        <v>X</v>
      </c>
      <c r="S178" s="98" t="s">
        <v>172</v>
      </c>
      <c r="T178" s="96"/>
      <c r="U178" s="21" t="s">
        <v>435</v>
      </c>
      <c r="V178" s="10"/>
      <c r="W178" s="25">
        <v>3</v>
      </c>
      <c r="X178" s="1" t="s">
        <v>308</v>
      </c>
      <c r="Y178" s="1">
        <v>2</v>
      </c>
      <c r="Z178" s="1">
        <v>2</v>
      </c>
      <c r="AA178" s="8" t="s">
        <v>261</v>
      </c>
      <c r="AB178" s="8" t="s">
        <v>257</v>
      </c>
      <c r="AC178" s="68"/>
      <c r="AD178" s="60"/>
      <c r="AE178" s="174"/>
      <c r="AF178" s="273" t="str">
        <f t="shared" si="138"/>
        <v xml:space="preserve">  </v>
      </c>
      <c r="AG178" s="218" t="str">
        <f t="shared" si="162"/>
        <v>-</v>
      </c>
      <c r="AH178" s="174"/>
      <c r="AI178" s="92" t="str">
        <f t="shared" si="164"/>
        <v>OK</v>
      </c>
      <c r="AJ178" s="60"/>
      <c r="AK178" s="174"/>
      <c r="AL178" s="273" t="str">
        <f t="shared" si="139"/>
        <v xml:space="preserve">  </v>
      </c>
      <c r="AM178" s="218" t="str">
        <f t="shared" si="152"/>
        <v>-</v>
      </c>
      <c r="AN178" s="174"/>
      <c r="AO178" s="92" t="str">
        <f t="shared" si="165"/>
        <v>OK</v>
      </c>
      <c r="AP178" s="60"/>
      <c r="AQ178" s="170"/>
      <c r="AR178" s="273" t="str">
        <f t="shared" si="140"/>
        <v xml:space="preserve">  </v>
      </c>
      <c r="AS178" s="218" t="s">
        <v>593</v>
      </c>
      <c r="AT178" s="273"/>
      <c r="AU178" s="218" t="str">
        <f t="shared" si="137"/>
        <v>-</v>
      </c>
      <c r="AV178" s="60"/>
      <c r="AW178" s="174" t="s">
        <v>197</v>
      </c>
      <c r="AX178" s="273" t="str">
        <f t="shared" si="141"/>
        <v>D2</v>
      </c>
      <c r="AY178" s="218" t="str">
        <f t="shared" si="153"/>
        <v>-</v>
      </c>
      <c r="AZ178" s="174" t="s">
        <v>197</v>
      </c>
      <c r="BA178" s="92" t="str">
        <f>IF(EXACT(AW178,AZ178),"OK","NG")</f>
        <v>OK</v>
      </c>
      <c r="BB178" s="60"/>
      <c r="BC178" s="174" t="s">
        <v>248</v>
      </c>
      <c r="BD178" s="273" t="str">
        <f t="shared" si="142"/>
        <v>C1</v>
      </c>
      <c r="BE178" s="218" t="str">
        <f t="shared" si="154"/>
        <v>-</v>
      </c>
      <c r="BF178" s="174" t="s">
        <v>248</v>
      </c>
      <c r="BG178" s="92" t="str">
        <f>IF(EXACT(BC178,BF178),"OK","NG")</f>
        <v>OK</v>
      </c>
      <c r="BH178" s="60"/>
      <c r="BI178" s="170" t="s">
        <v>197</v>
      </c>
      <c r="BJ178" s="273" t="str">
        <f t="shared" si="143"/>
        <v>D2</v>
      </c>
      <c r="BK178" s="218" t="s">
        <v>593</v>
      </c>
      <c r="BL178" s="174" t="s">
        <v>197</v>
      </c>
      <c r="BM178" s="92" t="str">
        <f>IF(EXACT(BI178,BL178),"OK","NG")</f>
        <v>OK</v>
      </c>
      <c r="BN178" s="60"/>
      <c r="BO178" s="174" t="s">
        <v>248</v>
      </c>
      <c r="BP178" s="273" t="str">
        <f t="shared" si="144"/>
        <v>C1</v>
      </c>
      <c r="BQ178" s="218" t="str">
        <f t="shared" si="155"/>
        <v>-</v>
      </c>
      <c r="BR178" s="174" t="s">
        <v>248</v>
      </c>
      <c r="BS178" s="92" t="str">
        <f>IF(EXACT(BO178,BR178),"OK","NG")</f>
        <v>OK</v>
      </c>
      <c r="BT178" s="60"/>
      <c r="BU178" s="170"/>
      <c r="BV178" s="273" t="str">
        <f t="shared" si="145"/>
        <v xml:space="preserve">  </v>
      </c>
      <c r="BW178" s="218" t="s">
        <v>593</v>
      </c>
      <c r="BX178" s="273"/>
      <c r="BY178" s="218" t="str">
        <f t="shared" si="156"/>
        <v>-</v>
      </c>
      <c r="BZ178" s="60"/>
      <c r="CA178" s="174"/>
      <c r="CB178" s="273" t="str">
        <f t="shared" si="146"/>
        <v xml:space="preserve">  </v>
      </c>
      <c r="CC178" s="218" t="str">
        <f t="shared" si="157"/>
        <v>-</v>
      </c>
      <c r="CD178" s="174"/>
      <c r="CE178" s="92" t="str">
        <f t="shared" si="166"/>
        <v>OK</v>
      </c>
      <c r="CF178" s="60"/>
      <c r="CG178" s="174"/>
      <c r="CH178" s="273" t="str">
        <f t="shared" si="147"/>
        <v xml:space="preserve">  </v>
      </c>
      <c r="CI178" s="218" t="str">
        <f t="shared" si="158"/>
        <v>-</v>
      </c>
      <c r="CJ178" s="174"/>
      <c r="CK178" s="92" t="str">
        <f t="shared" si="167"/>
        <v>OK</v>
      </c>
      <c r="CL178" s="60"/>
      <c r="CM178" s="174"/>
      <c r="CN178" s="273" t="str">
        <f t="shared" si="148"/>
        <v xml:space="preserve">  </v>
      </c>
      <c r="CO178" s="218" t="s">
        <v>593</v>
      </c>
      <c r="CP178" s="273"/>
      <c r="CQ178" s="218" t="str">
        <f t="shared" si="159"/>
        <v>-</v>
      </c>
      <c r="CR178" s="60"/>
      <c r="CS178" s="174"/>
      <c r="CT178" s="273" t="str">
        <f t="shared" si="149"/>
        <v xml:space="preserve">  </v>
      </c>
      <c r="CU178" s="218" t="str">
        <f t="shared" si="160"/>
        <v>-</v>
      </c>
      <c r="CV178" s="174"/>
      <c r="CW178" s="92" t="s">
        <v>593</v>
      </c>
      <c r="CX178" s="60"/>
      <c r="CY178" s="174"/>
      <c r="CZ178" s="273" t="str">
        <f t="shared" si="150"/>
        <v xml:space="preserve">  </v>
      </c>
      <c r="DA178" s="218" t="str">
        <f t="shared" si="161"/>
        <v>-</v>
      </c>
      <c r="DB178" s="174"/>
      <c r="DC178" s="92" t="s">
        <v>593</v>
      </c>
    </row>
    <row r="179" spans="1:107" s="26" customFormat="1" ht="25.5">
      <c r="B179" s="65">
        <f t="shared" si="151"/>
        <v>172</v>
      </c>
      <c r="C179" s="7"/>
      <c r="D179" s="7"/>
      <c r="E179" s="54"/>
      <c r="F179" s="66" t="s">
        <v>173</v>
      </c>
      <c r="G179" s="67"/>
      <c r="H179" s="62"/>
      <c r="I179" s="8"/>
      <c r="J179" s="8"/>
      <c r="K179" s="8"/>
      <c r="L179" s="8"/>
      <c r="M179" s="11" t="s">
        <v>354</v>
      </c>
      <c r="N179" s="16"/>
      <c r="O179" s="57"/>
      <c r="P179" s="95">
        <f t="shared" si="168"/>
        <v>151</v>
      </c>
      <c r="Q179" s="115">
        <v>7</v>
      </c>
      <c r="R179" s="21" t="str">
        <f t="shared" si="169"/>
        <v>X</v>
      </c>
      <c r="S179" s="98" t="s">
        <v>174</v>
      </c>
      <c r="T179" s="96"/>
      <c r="U179" s="21" t="s">
        <v>257</v>
      </c>
      <c r="V179" s="10"/>
      <c r="W179" s="25">
        <v>3</v>
      </c>
      <c r="X179" s="1" t="s">
        <v>309</v>
      </c>
      <c r="Y179" s="1">
        <v>7</v>
      </c>
      <c r="Z179" s="1">
        <v>7</v>
      </c>
      <c r="AA179" s="8" t="s">
        <v>261</v>
      </c>
      <c r="AB179" s="8" t="s">
        <v>257</v>
      </c>
      <c r="AC179" s="105"/>
      <c r="AD179" s="60"/>
      <c r="AE179" s="169"/>
      <c r="AF179" s="61" t="str">
        <f t="shared" si="138"/>
        <v xml:space="preserve">       </v>
      </c>
      <c r="AG179" s="218" t="str">
        <f t="shared" si="162"/>
        <v>-</v>
      </c>
      <c r="AH179" s="169"/>
      <c r="AI179" s="92" t="str">
        <f t="shared" si="164"/>
        <v>OK</v>
      </c>
      <c r="AJ179" s="60"/>
      <c r="AK179" s="169"/>
      <c r="AL179" s="61" t="str">
        <f t="shared" si="139"/>
        <v xml:space="preserve">       </v>
      </c>
      <c r="AM179" s="218" t="str">
        <f t="shared" si="152"/>
        <v>-</v>
      </c>
      <c r="AN179" s="169"/>
      <c r="AO179" s="92" t="str">
        <f t="shared" si="165"/>
        <v>OK</v>
      </c>
      <c r="AP179" s="60"/>
      <c r="AQ179" s="172"/>
      <c r="AR179" s="61" t="str">
        <f t="shared" si="140"/>
        <v xml:space="preserve">       </v>
      </c>
      <c r="AS179" s="218" t="s">
        <v>593</v>
      </c>
      <c r="AT179" s="61"/>
      <c r="AU179" s="218" t="str">
        <f t="shared" si="137"/>
        <v>-</v>
      </c>
      <c r="AV179" s="60"/>
      <c r="AW179" s="169"/>
      <c r="AX179" s="61" t="str">
        <f t="shared" si="141"/>
        <v xml:space="preserve">       </v>
      </c>
      <c r="AY179" s="218" t="str">
        <f t="shared" si="153"/>
        <v>-</v>
      </c>
      <c r="AZ179" s="169"/>
      <c r="BA179" s="478" t="s">
        <v>594</v>
      </c>
      <c r="BB179" s="60"/>
      <c r="BC179" s="169"/>
      <c r="BD179" s="61" t="str">
        <f t="shared" si="142"/>
        <v xml:space="preserve">       </v>
      </c>
      <c r="BE179" s="218" t="str">
        <f t="shared" si="154"/>
        <v>-</v>
      </c>
      <c r="BF179" s="169"/>
      <c r="BG179" s="478" t="s">
        <v>594</v>
      </c>
      <c r="BH179" s="60"/>
      <c r="BI179" s="170" t="s">
        <v>705</v>
      </c>
      <c r="BJ179" s="61" t="str">
        <f t="shared" si="143"/>
        <v xml:space="preserve">       </v>
      </c>
      <c r="BK179" s="218" t="s">
        <v>593</v>
      </c>
      <c r="BL179" s="169"/>
      <c r="BM179" s="478" t="s">
        <v>594</v>
      </c>
      <c r="BN179" s="60"/>
      <c r="BO179" s="169"/>
      <c r="BP179" s="61" t="str">
        <f t="shared" si="144"/>
        <v xml:space="preserve">       </v>
      </c>
      <c r="BQ179" s="218" t="str">
        <f t="shared" si="155"/>
        <v>-</v>
      </c>
      <c r="BR179" s="169"/>
      <c r="BS179" s="478" t="s">
        <v>594</v>
      </c>
      <c r="BT179" s="60"/>
      <c r="BU179" s="172"/>
      <c r="BV179" s="61" t="str">
        <f t="shared" si="145"/>
        <v xml:space="preserve">       </v>
      </c>
      <c r="BW179" s="218" t="s">
        <v>593</v>
      </c>
      <c r="BX179" s="61"/>
      <c r="BY179" s="218" t="str">
        <f t="shared" si="156"/>
        <v>-</v>
      </c>
      <c r="BZ179" s="60"/>
      <c r="CA179" s="169"/>
      <c r="CB179" s="61" t="str">
        <f t="shared" si="146"/>
        <v xml:space="preserve">       </v>
      </c>
      <c r="CC179" s="218" t="str">
        <f t="shared" si="157"/>
        <v>-</v>
      </c>
      <c r="CD179" s="169"/>
      <c r="CE179" s="92" t="str">
        <f t="shared" si="166"/>
        <v>OK</v>
      </c>
      <c r="CF179" s="60"/>
      <c r="CG179" s="169"/>
      <c r="CH179" s="61" t="str">
        <f t="shared" si="147"/>
        <v xml:space="preserve">       </v>
      </c>
      <c r="CI179" s="218" t="str">
        <f t="shared" si="158"/>
        <v>-</v>
      </c>
      <c r="CJ179" s="169"/>
      <c r="CK179" s="92" t="str">
        <f t="shared" si="167"/>
        <v>OK</v>
      </c>
      <c r="CL179" s="60"/>
      <c r="CM179" s="169"/>
      <c r="CN179" s="61" t="str">
        <f t="shared" si="148"/>
        <v xml:space="preserve">       </v>
      </c>
      <c r="CO179" s="218" t="s">
        <v>593</v>
      </c>
      <c r="CP179" s="61"/>
      <c r="CQ179" s="218" t="str">
        <f t="shared" si="159"/>
        <v>-</v>
      </c>
      <c r="CR179" s="60"/>
      <c r="CS179" s="169"/>
      <c r="CT179" s="61" t="str">
        <f t="shared" si="149"/>
        <v xml:space="preserve">       </v>
      </c>
      <c r="CU179" s="218" t="str">
        <f t="shared" si="160"/>
        <v>-</v>
      </c>
      <c r="CV179" s="169"/>
      <c r="CW179" s="92" t="s">
        <v>593</v>
      </c>
      <c r="CX179" s="60"/>
      <c r="CY179" s="169"/>
      <c r="CZ179" s="61" t="str">
        <f t="shared" si="150"/>
        <v xml:space="preserve">       </v>
      </c>
      <c r="DA179" s="218" t="str">
        <f t="shared" si="161"/>
        <v>-</v>
      </c>
      <c r="DB179" s="169"/>
      <c r="DC179" s="92" t="s">
        <v>593</v>
      </c>
    </row>
    <row r="180" spans="1:107" s="81" customFormat="1" ht="25.5">
      <c r="B180" s="65">
        <f t="shared" si="151"/>
        <v>173</v>
      </c>
      <c r="C180" s="69"/>
      <c r="D180" s="69"/>
      <c r="E180" s="70"/>
      <c r="F180" s="71" t="s">
        <v>355</v>
      </c>
      <c r="G180" s="72"/>
      <c r="H180" s="73"/>
      <c r="I180" s="74"/>
      <c r="J180" s="74"/>
      <c r="K180" s="75"/>
      <c r="L180" s="75"/>
      <c r="M180" s="84" t="s">
        <v>354</v>
      </c>
      <c r="N180" s="76"/>
      <c r="O180" s="77"/>
      <c r="P180" s="95">
        <f t="shared" si="168"/>
        <v>152</v>
      </c>
      <c r="Q180" s="119">
        <v>10</v>
      </c>
      <c r="R180" s="21" t="str">
        <f t="shared" si="169"/>
        <v>X</v>
      </c>
      <c r="S180" s="98" t="s">
        <v>175</v>
      </c>
      <c r="T180" s="106"/>
      <c r="U180" s="21" t="s">
        <v>257</v>
      </c>
      <c r="V180" s="77"/>
      <c r="W180" s="78">
        <v>3</v>
      </c>
      <c r="X180" s="56" t="s">
        <v>176</v>
      </c>
      <c r="Y180" s="56">
        <v>10</v>
      </c>
      <c r="Z180" s="56">
        <v>10</v>
      </c>
      <c r="AA180" s="74" t="s">
        <v>114</v>
      </c>
      <c r="AB180" s="74" t="s">
        <v>21</v>
      </c>
      <c r="AC180" s="105"/>
      <c r="AD180" s="79"/>
      <c r="AE180" s="481"/>
      <c r="AF180" s="80" t="str">
        <f t="shared" si="138"/>
        <v xml:space="preserve">          </v>
      </c>
      <c r="AG180" s="218" t="str">
        <f t="shared" si="162"/>
        <v>-</v>
      </c>
      <c r="AH180" s="274"/>
      <c r="AI180" s="92" t="str">
        <f t="shared" si="164"/>
        <v>OK</v>
      </c>
      <c r="AJ180" s="79"/>
      <c r="AK180" s="481"/>
      <c r="AL180" s="80" t="str">
        <f t="shared" si="139"/>
        <v xml:space="preserve">          </v>
      </c>
      <c r="AM180" s="218" t="str">
        <f t="shared" si="152"/>
        <v>-</v>
      </c>
      <c r="AN180" s="274"/>
      <c r="AO180" s="92" t="str">
        <f t="shared" si="165"/>
        <v>OK</v>
      </c>
      <c r="AP180" s="79"/>
      <c r="AQ180" s="512"/>
      <c r="AR180" s="80" t="str">
        <f t="shared" si="140"/>
        <v xml:space="preserve">          </v>
      </c>
      <c r="AS180" s="218" t="s">
        <v>593</v>
      </c>
      <c r="AT180" s="80"/>
      <c r="AU180" s="218" t="str">
        <f t="shared" si="137"/>
        <v>-</v>
      </c>
      <c r="AV180" s="79"/>
      <c r="AW180" s="481"/>
      <c r="AX180" s="80" t="str">
        <f t="shared" si="141"/>
        <v xml:space="preserve">          </v>
      </c>
      <c r="AY180" s="218" t="str">
        <f t="shared" si="153"/>
        <v>-</v>
      </c>
      <c r="AZ180" s="274"/>
      <c r="BA180" s="478" t="s">
        <v>594</v>
      </c>
      <c r="BB180" s="79"/>
      <c r="BC180" s="481"/>
      <c r="BD180" s="80" t="str">
        <f t="shared" si="142"/>
        <v xml:space="preserve">          </v>
      </c>
      <c r="BE180" s="218" t="str">
        <f t="shared" si="154"/>
        <v>-</v>
      </c>
      <c r="BF180" s="274"/>
      <c r="BG180" s="478" t="s">
        <v>594</v>
      </c>
      <c r="BH180" s="79"/>
      <c r="BI180" s="508" t="s">
        <v>706</v>
      </c>
      <c r="BJ180" s="80" t="str">
        <f t="shared" si="143"/>
        <v xml:space="preserve">          </v>
      </c>
      <c r="BK180" s="218" t="s">
        <v>593</v>
      </c>
      <c r="BL180" s="274"/>
      <c r="BM180" s="478" t="s">
        <v>594</v>
      </c>
      <c r="BN180" s="79"/>
      <c r="BO180" s="481"/>
      <c r="BP180" s="80" t="str">
        <f t="shared" si="144"/>
        <v xml:space="preserve">          </v>
      </c>
      <c r="BQ180" s="218" t="str">
        <f t="shared" si="155"/>
        <v>-</v>
      </c>
      <c r="BR180" s="274"/>
      <c r="BS180" s="478" t="s">
        <v>594</v>
      </c>
      <c r="BT180" s="79"/>
      <c r="BU180" s="512"/>
      <c r="BV180" s="80" t="str">
        <f t="shared" si="145"/>
        <v xml:space="preserve">          </v>
      </c>
      <c r="BW180" s="218" t="s">
        <v>593</v>
      </c>
      <c r="BX180" s="80"/>
      <c r="BY180" s="218" t="str">
        <f t="shared" si="156"/>
        <v>-</v>
      </c>
      <c r="BZ180" s="79"/>
      <c r="CA180" s="481"/>
      <c r="CB180" s="80" t="str">
        <f t="shared" si="146"/>
        <v xml:space="preserve">          </v>
      </c>
      <c r="CC180" s="218" t="str">
        <f t="shared" si="157"/>
        <v>-</v>
      </c>
      <c r="CD180" s="274"/>
      <c r="CE180" s="92" t="str">
        <f t="shared" si="166"/>
        <v>OK</v>
      </c>
      <c r="CF180" s="79"/>
      <c r="CG180" s="481"/>
      <c r="CH180" s="80" t="str">
        <f t="shared" si="147"/>
        <v xml:space="preserve">          </v>
      </c>
      <c r="CI180" s="218" t="str">
        <f t="shared" si="158"/>
        <v>-</v>
      </c>
      <c r="CJ180" s="274"/>
      <c r="CK180" s="92" t="str">
        <f t="shared" si="167"/>
        <v>OK</v>
      </c>
      <c r="CL180" s="79"/>
      <c r="CM180" s="481"/>
      <c r="CN180" s="80" t="str">
        <f t="shared" si="148"/>
        <v xml:space="preserve">          </v>
      </c>
      <c r="CO180" s="218" t="s">
        <v>593</v>
      </c>
      <c r="CP180" s="80"/>
      <c r="CQ180" s="218" t="str">
        <f t="shared" si="159"/>
        <v>-</v>
      </c>
      <c r="CR180" s="79"/>
      <c r="CS180" s="481"/>
      <c r="CT180" s="80" t="str">
        <f t="shared" si="149"/>
        <v xml:space="preserve">          </v>
      </c>
      <c r="CU180" s="218" t="str">
        <f t="shared" si="160"/>
        <v>-</v>
      </c>
      <c r="CV180" s="274"/>
      <c r="CW180" s="92" t="s">
        <v>593</v>
      </c>
      <c r="CX180" s="79"/>
      <c r="CY180" s="481"/>
      <c r="CZ180" s="80" t="str">
        <f t="shared" si="150"/>
        <v xml:space="preserve">          </v>
      </c>
      <c r="DA180" s="218" t="str">
        <f t="shared" si="161"/>
        <v>-</v>
      </c>
      <c r="DB180" s="274"/>
      <c r="DC180" s="92" t="s">
        <v>593</v>
      </c>
    </row>
    <row r="181" spans="1:107" s="81" customFormat="1" ht="25.5">
      <c r="B181" s="65">
        <f t="shared" si="151"/>
        <v>174</v>
      </c>
      <c r="C181" s="69"/>
      <c r="D181" s="69"/>
      <c r="E181" s="69"/>
      <c r="F181" s="82" t="s">
        <v>177</v>
      </c>
      <c r="G181" s="14"/>
      <c r="H181" s="83"/>
      <c r="I181" s="74"/>
      <c r="J181" s="74"/>
      <c r="K181" s="75"/>
      <c r="L181" s="75"/>
      <c r="M181" s="84" t="s">
        <v>354</v>
      </c>
      <c r="N181" s="76"/>
      <c r="O181" s="77"/>
      <c r="P181" s="95">
        <f t="shared" si="168"/>
        <v>153</v>
      </c>
      <c r="Q181" s="119">
        <v>3</v>
      </c>
      <c r="R181" s="21" t="str">
        <f t="shared" si="169"/>
        <v>X</v>
      </c>
      <c r="S181" s="98" t="s">
        <v>178</v>
      </c>
      <c r="T181" s="106"/>
      <c r="U181" s="21" t="s">
        <v>257</v>
      </c>
      <c r="V181" s="77"/>
      <c r="W181" s="78">
        <v>3</v>
      </c>
      <c r="X181" s="56" t="s">
        <v>179</v>
      </c>
      <c r="Y181" s="56">
        <v>3</v>
      </c>
      <c r="Z181" s="56">
        <v>3</v>
      </c>
      <c r="AA181" s="74" t="s">
        <v>114</v>
      </c>
      <c r="AB181" s="74" t="s">
        <v>21</v>
      </c>
      <c r="AC181" s="105"/>
      <c r="AD181" s="79"/>
      <c r="AE181" s="481"/>
      <c r="AF181" s="80" t="str">
        <f t="shared" si="138"/>
        <v xml:space="preserve">   </v>
      </c>
      <c r="AG181" s="218" t="str">
        <f t="shared" si="162"/>
        <v>-</v>
      </c>
      <c r="AH181" s="274"/>
      <c r="AI181" s="92" t="str">
        <f t="shared" si="164"/>
        <v>OK</v>
      </c>
      <c r="AJ181" s="79"/>
      <c r="AK181" s="481"/>
      <c r="AL181" s="80" t="str">
        <f t="shared" si="139"/>
        <v xml:space="preserve">   </v>
      </c>
      <c r="AM181" s="218" t="str">
        <f t="shared" si="152"/>
        <v>-</v>
      </c>
      <c r="AN181" s="274"/>
      <c r="AO181" s="92" t="str">
        <f t="shared" si="165"/>
        <v>OK</v>
      </c>
      <c r="AP181" s="79"/>
      <c r="AQ181" s="512"/>
      <c r="AR181" s="80" t="str">
        <f t="shared" si="140"/>
        <v xml:space="preserve">   </v>
      </c>
      <c r="AS181" s="218" t="s">
        <v>593</v>
      </c>
      <c r="AT181" s="80"/>
      <c r="AU181" s="218" t="str">
        <f t="shared" si="137"/>
        <v>-</v>
      </c>
      <c r="AV181" s="79"/>
      <c r="AW181" s="481"/>
      <c r="AX181" s="80" t="str">
        <f t="shared" si="141"/>
        <v xml:space="preserve">   </v>
      </c>
      <c r="AY181" s="218" t="str">
        <f t="shared" si="153"/>
        <v>-</v>
      </c>
      <c r="AZ181" s="274"/>
      <c r="BA181" s="478" t="s">
        <v>594</v>
      </c>
      <c r="BB181" s="79"/>
      <c r="BC181" s="481"/>
      <c r="BD181" s="80" t="str">
        <f t="shared" si="142"/>
        <v xml:space="preserve">   </v>
      </c>
      <c r="BE181" s="218" t="str">
        <f t="shared" si="154"/>
        <v>-</v>
      </c>
      <c r="BF181" s="274"/>
      <c r="BG181" s="478" t="s">
        <v>594</v>
      </c>
      <c r="BH181" s="79"/>
      <c r="BI181" s="508" t="s">
        <v>707</v>
      </c>
      <c r="BJ181" s="80" t="str">
        <f t="shared" si="143"/>
        <v xml:space="preserve">   </v>
      </c>
      <c r="BK181" s="218" t="s">
        <v>593</v>
      </c>
      <c r="BL181" s="274"/>
      <c r="BM181" s="478" t="s">
        <v>594</v>
      </c>
      <c r="BN181" s="79"/>
      <c r="BO181" s="481"/>
      <c r="BP181" s="80" t="str">
        <f t="shared" si="144"/>
        <v xml:space="preserve">   </v>
      </c>
      <c r="BQ181" s="218" t="str">
        <f t="shared" si="155"/>
        <v>-</v>
      </c>
      <c r="BR181" s="274"/>
      <c r="BS181" s="478" t="s">
        <v>594</v>
      </c>
      <c r="BT181" s="79"/>
      <c r="BU181" s="512"/>
      <c r="BV181" s="80" t="str">
        <f t="shared" si="145"/>
        <v xml:space="preserve">   </v>
      </c>
      <c r="BW181" s="218" t="s">
        <v>593</v>
      </c>
      <c r="BX181" s="80"/>
      <c r="BY181" s="218" t="str">
        <f t="shared" si="156"/>
        <v>-</v>
      </c>
      <c r="BZ181" s="79"/>
      <c r="CA181" s="481"/>
      <c r="CB181" s="80" t="str">
        <f t="shared" si="146"/>
        <v xml:space="preserve">   </v>
      </c>
      <c r="CC181" s="218" t="str">
        <f t="shared" si="157"/>
        <v>-</v>
      </c>
      <c r="CD181" s="274"/>
      <c r="CE181" s="92" t="str">
        <f t="shared" si="166"/>
        <v>OK</v>
      </c>
      <c r="CF181" s="79"/>
      <c r="CG181" s="481"/>
      <c r="CH181" s="80" t="str">
        <f t="shared" si="147"/>
        <v xml:space="preserve">   </v>
      </c>
      <c r="CI181" s="218" t="str">
        <f t="shared" si="158"/>
        <v>-</v>
      </c>
      <c r="CJ181" s="274"/>
      <c r="CK181" s="92" t="str">
        <f t="shared" si="167"/>
        <v>OK</v>
      </c>
      <c r="CL181" s="79"/>
      <c r="CM181" s="481"/>
      <c r="CN181" s="80" t="str">
        <f t="shared" si="148"/>
        <v xml:space="preserve">   </v>
      </c>
      <c r="CO181" s="218" t="s">
        <v>593</v>
      </c>
      <c r="CP181" s="80"/>
      <c r="CQ181" s="218" t="str">
        <f t="shared" si="159"/>
        <v>-</v>
      </c>
      <c r="CR181" s="79"/>
      <c r="CS181" s="481"/>
      <c r="CT181" s="80" t="str">
        <f t="shared" si="149"/>
        <v xml:space="preserve">   </v>
      </c>
      <c r="CU181" s="218" t="str">
        <f t="shared" si="160"/>
        <v>-</v>
      </c>
      <c r="CV181" s="274"/>
      <c r="CW181" s="92" t="s">
        <v>593</v>
      </c>
      <c r="CX181" s="79"/>
      <c r="CY181" s="481"/>
      <c r="CZ181" s="80" t="str">
        <f t="shared" si="150"/>
        <v xml:space="preserve">   </v>
      </c>
      <c r="DA181" s="218" t="str">
        <f t="shared" si="161"/>
        <v>-</v>
      </c>
      <c r="DB181" s="274"/>
      <c r="DC181" s="92" t="s">
        <v>593</v>
      </c>
    </row>
    <row r="182" spans="1:107" s="81" customFormat="1" ht="25.5">
      <c r="B182" s="65">
        <f t="shared" si="151"/>
        <v>175</v>
      </c>
      <c r="C182" s="69"/>
      <c r="D182" s="69"/>
      <c r="E182" s="69"/>
      <c r="F182" s="82" t="s">
        <v>180</v>
      </c>
      <c r="G182" s="14"/>
      <c r="H182" s="83"/>
      <c r="I182" s="74"/>
      <c r="J182" s="74"/>
      <c r="K182" s="75"/>
      <c r="L182" s="75"/>
      <c r="M182" s="84" t="s">
        <v>354</v>
      </c>
      <c r="N182" s="76"/>
      <c r="O182" s="77"/>
      <c r="P182" s="95">
        <f>P181+1</f>
        <v>154</v>
      </c>
      <c r="Q182" s="119">
        <v>2</v>
      </c>
      <c r="R182" s="21" t="str">
        <f t="shared" si="169"/>
        <v>X</v>
      </c>
      <c r="S182" s="98" t="s">
        <v>181</v>
      </c>
      <c r="T182" s="106"/>
      <c r="U182" s="21" t="s">
        <v>257</v>
      </c>
      <c r="V182" s="77"/>
      <c r="W182" s="78">
        <v>3</v>
      </c>
      <c r="X182" s="56" t="s">
        <v>182</v>
      </c>
      <c r="Y182" s="56">
        <v>2</v>
      </c>
      <c r="Z182" s="56">
        <v>2</v>
      </c>
      <c r="AA182" s="74" t="s">
        <v>114</v>
      </c>
      <c r="AB182" s="74" t="s">
        <v>21</v>
      </c>
      <c r="AC182" s="105"/>
      <c r="AD182" s="79"/>
      <c r="AE182" s="481"/>
      <c r="AF182" s="80" t="str">
        <f t="shared" si="138"/>
        <v xml:space="preserve">  </v>
      </c>
      <c r="AG182" s="218" t="str">
        <f t="shared" si="162"/>
        <v>-</v>
      </c>
      <c r="AH182" s="274"/>
      <c r="AI182" s="92" t="str">
        <f t="shared" si="164"/>
        <v>OK</v>
      </c>
      <c r="AJ182" s="79"/>
      <c r="AK182" s="481"/>
      <c r="AL182" s="80" t="str">
        <f t="shared" si="139"/>
        <v xml:space="preserve">  </v>
      </c>
      <c r="AM182" s="218" t="str">
        <f t="shared" si="152"/>
        <v>-</v>
      </c>
      <c r="AN182" s="274"/>
      <c r="AO182" s="92" t="str">
        <f t="shared" si="165"/>
        <v>OK</v>
      </c>
      <c r="AP182" s="79"/>
      <c r="AQ182" s="512"/>
      <c r="AR182" s="80" t="str">
        <f t="shared" si="140"/>
        <v xml:space="preserve">  </v>
      </c>
      <c r="AS182" s="218" t="s">
        <v>593</v>
      </c>
      <c r="AT182" s="80"/>
      <c r="AU182" s="218" t="str">
        <f t="shared" si="137"/>
        <v>-</v>
      </c>
      <c r="AV182" s="79"/>
      <c r="AW182" s="481"/>
      <c r="AX182" s="80" t="str">
        <f t="shared" si="141"/>
        <v xml:space="preserve">  </v>
      </c>
      <c r="AY182" s="218" t="str">
        <f t="shared" si="153"/>
        <v>-</v>
      </c>
      <c r="AZ182" s="274"/>
      <c r="BA182" s="478" t="s">
        <v>594</v>
      </c>
      <c r="BB182" s="79"/>
      <c r="BC182" s="481"/>
      <c r="BD182" s="80" t="str">
        <f t="shared" si="142"/>
        <v xml:space="preserve">  </v>
      </c>
      <c r="BE182" s="218" t="str">
        <f t="shared" si="154"/>
        <v>-</v>
      </c>
      <c r="BF182" s="274"/>
      <c r="BG182" s="478" t="s">
        <v>594</v>
      </c>
      <c r="BH182" s="79"/>
      <c r="BI182" s="508" t="s">
        <v>698</v>
      </c>
      <c r="BJ182" s="80" t="str">
        <f t="shared" si="143"/>
        <v xml:space="preserve">  </v>
      </c>
      <c r="BK182" s="218" t="s">
        <v>593</v>
      </c>
      <c r="BL182" s="274"/>
      <c r="BM182" s="478" t="s">
        <v>594</v>
      </c>
      <c r="BN182" s="79"/>
      <c r="BO182" s="481"/>
      <c r="BP182" s="80" t="str">
        <f t="shared" si="144"/>
        <v xml:space="preserve">  </v>
      </c>
      <c r="BQ182" s="218" t="str">
        <f t="shared" si="155"/>
        <v>-</v>
      </c>
      <c r="BR182" s="274"/>
      <c r="BS182" s="478" t="s">
        <v>594</v>
      </c>
      <c r="BT182" s="79"/>
      <c r="BU182" s="512"/>
      <c r="BV182" s="80" t="str">
        <f t="shared" si="145"/>
        <v xml:space="preserve">  </v>
      </c>
      <c r="BW182" s="218" t="s">
        <v>593</v>
      </c>
      <c r="BX182" s="80"/>
      <c r="BY182" s="218" t="str">
        <f t="shared" si="156"/>
        <v>-</v>
      </c>
      <c r="BZ182" s="79"/>
      <c r="CA182" s="481"/>
      <c r="CB182" s="80" t="str">
        <f t="shared" si="146"/>
        <v xml:space="preserve">  </v>
      </c>
      <c r="CC182" s="218" t="str">
        <f t="shared" si="157"/>
        <v>-</v>
      </c>
      <c r="CD182" s="274"/>
      <c r="CE182" s="92" t="str">
        <f t="shared" si="166"/>
        <v>OK</v>
      </c>
      <c r="CF182" s="79"/>
      <c r="CG182" s="481"/>
      <c r="CH182" s="80" t="str">
        <f t="shared" si="147"/>
        <v xml:space="preserve">  </v>
      </c>
      <c r="CI182" s="218" t="str">
        <f t="shared" si="158"/>
        <v>-</v>
      </c>
      <c r="CJ182" s="274"/>
      <c r="CK182" s="92" t="str">
        <f t="shared" si="167"/>
        <v>OK</v>
      </c>
      <c r="CL182" s="79"/>
      <c r="CM182" s="481"/>
      <c r="CN182" s="80" t="str">
        <f t="shared" si="148"/>
        <v xml:space="preserve">  </v>
      </c>
      <c r="CO182" s="218" t="s">
        <v>593</v>
      </c>
      <c r="CP182" s="80"/>
      <c r="CQ182" s="218" t="str">
        <f t="shared" si="159"/>
        <v>-</v>
      </c>
      <c r="CR182" s="79"/>
      <c r="CS182" s="481"/>
      <c r="CT182" s="80" t="str">
        <f t="shared" si="149"/>
        <v xml:space="preserve">  </v>
      </c>
      <c r="CU182" s="218" t="str">
        <f t="shared" si="160"/>
        <v>-</v>
      </c>
      <c r="CV182" s="274"/>
      <c r="CW182" s="92" t="s">
        <v>593</v>
      </c>
      <c r="CX182" s="79"/>
      <c r="CY182" s="481"/>
      <c r="CZ182" s="80" t="str">
        <f t="shared" si="150"/>
        <v xml:space="preserve">  </v>
      </c>
      <c r="DA182" s="218" t="str">
        <f t="shared" si="161"/>
        <v>-</v>
      </c>
      <c r="DB182" s="274"/>
      <c r="DC182" s="92" t="s">
        <v>593</v>
      </c>
    </row>
    <row r="183" spans="1:107" s="81" customFormat="1" ht="51.75" customHeight="1">
      <c r="B183" s="65">
        <f t="shared" si="151"/>
        <v>176</v>
      </c>
      <c r="C183" s="69"/>
      <c r="D183" s="69"/>
      <c r="E183" s="69"/>
      <c r="F183" s="233" t="s">
        <v>183</v>
      </c>
      <c r="G183" s="234"/>
      <c r="H183" s="235"/>
      <c r="I183" s="74"/>
      <c r="J183" s="74"/>
      <c r="K183" s="75"/>
      <c r="L183" s="75"/>
      <c r="M183" s="84" t="s">
        <v>184</v>
      </c>
      <c r="N183" s="76"/>
      <c r="O183" s="77"/>
      <c r="P183" s="95">
        <f>P182+1</f>
        <v>155</v>
      </c>
      <c r="Q183" s="119">
        <v>5</v>
      </c>
      <c r="R183" s="21" t="str">
        <f t="shared" si="169"/>
        <v>X</v>
      </c>
      <c r="S183" s="98" t="s">
        <v>185</v>
      </c>
      <c r="T183" s="106"/>
      <c r="U183" s="21" t="s">
        <v>257</v>
      </c>
      <c r="V183" s="77"/>
      <c r="W183" s="78">
        <v>3</v>
      </c>
      <c r="X183" s="56" t="s">
        <v>310</v>
      </c>
      <c r="Y183" s="56">
        <v>5</v>
      </c>
      <c r="Z183" s="56">
        <v>5</v>
      </c>
      <c r="AA183" s="74" t="s">
        <v>114</v>
      </c>
      <c r="AB183" s="74" t="s">
        <v>21</v>
      </c>
      <c r="AC183" s="85"/>
      <c r="AD183" s="79"/>
      <c r="AE183" s="487"/>
      <c r="AF183" s="80" t="str">
        <f t="shared" si="138"/>
        <v xml:space="preserve">     </v>
      </c>
      <c r="AG183" s="218" t="str">
        <f t="shared" si="162"/>
        <v>-</v>
      </c>
      <c r="AH183" s="381"/>
      <c r="AI183" s="92" t="str">
        <f t="shared" si="164"/>
        <v>OK</v>
      </c>
      <c r="AJ183" s="79"/>
      <c r="AK183" s="487"/>
      <c r="AL183" s="80" t="str">
        <f t="shared" si="139"/>
        <v xml:space="preserve">     </v>
      </c>
      <c r="AM183" s="218" t="str">
        <f t="shared" si="152"/>
        <v>-</v>
      </c>
      <c r="AN183" s="381"/>
      <c r="AO183" s="92" t="str">
        <f t="shared" si="165"/>
        <v>OK</v>
      </c>
      <c r="AP183" s="79"/>
      <c r="AQ183" s="508"/>
      <c r="AR183" s="80" t="str">
        <f t="shared" si="140"/>
        <v xml:space="preserve">     </v>
      </c>
      <c r="AS183" s="218" t="s">
        <v>593</v>
      </c>
      <c r="AT183" s="80"/>
      <c r="AU183" s="218" t="str">
        <f t="shared" si="137"/>
        <v>-</v>
      </c>
      <c r="AV183" s="79"/>
      <c r="AW183" s="487" t="s">
        <v>334</v>
      </c>
      <c r="AX183" s="80" t="str">
        <f t="shared" si="141"/>
        <v>03901</v>
      </c>
      <c r="AY183" s="218" t="str">
        <f t="shared" si="153"/>
        <v>-</v>
      </c>
      <c r="AZ183" s="381" t="s">
        <v>334</v>
      </c>
      <c r="BA183" s="478" t="s">
        <v>594</v>
      </c>
      <c r="BB183" s="79"/>
      <c r="BC183" s="487" t="s">
        <v>337</v>
      </c>
      <c r="BD183" s="80" t="str">
        <f t="shared" si="142"/>
        <v>03902</v>
      </c>
      <c r="BE183" s="218" t="str">
        <f t="shared" si="154"/>
        <v>-</v>
      </c>
      <c r="BF183" s="381" t="s">
        <v>337</v>
      </c>
      <c r="BG183" s="478" t="s">
        <v>594</v>
      </c>
      <c r="BH183" s="79"/>
      <c r="BI183" s="508" t="s">
        <v>334</v>
      </c>
      <c r="BJ183" s="80" t="str">
        <f t="shared" si="143"/>
        <v>03901</v>
      </c>
      <c r="BK183" s="218" t="s">
        <v>593</v>
      </c>
      <c r="BL183" s="381" t="s">
        <v>334</v>
      </c>
      <c r="BM183" s="478" t="s">
        <v>594</v>
      </c>
      <c r="BN183" s="79"/>
      <c r="BO183" s="487" t="s">
        <v>337</v>
      </c>
      <c r="BP183" s="80" t="str">
        <f t="shared" si="144"/>
        <v>03902</v>
      </c>
      <c r="BQ183" s="218" t="str">
        <f t="shared" si="155"/>
        <v>-</v>
      </c>
      <c r="BR183" s="381" t="s">
        <v>337</v>
      </c>
      <c r="BS183" s="478" t="s">
        <v>594</v>
      </c>
      <c r="BT183" s="79"/>
      <c r="BU183" s="508"/>
      <c r="BV183" s="80" t="str">
        <f t="shared" si="145"/>
        <v xml:space="preserve">     </v>
      </c>
      <c r="BW183" s="218" t="s">
        <v>593</v>
      </c>
      <c r="BX183" s="80"/>
      <c r="BY183" s="218" t="str">
        <f t="shared" si="156"/>
        <v>-</v>
      </c>
      <c r="BZ183" s="79"/>
      <c r="CA183" s="487"/>
      <c r="CB183" s="80" t="str">
        <f t="shared" si="146"/>
        <v xml:space="preserve">     </v>
      </c>
      <c r="CC183" s="218" t="str">
        <f t="shared" si="157"/>
        <v>-</v>
      </c>
      <c r="CD183" s="381"/>
      <c r="CE183" s="92" t="str">
        <f t="shared" si="166"/>
        <v>OK</v>
      </c>
      <c r="CF183" s="79"/>
      <c r="CG183" s="487"/>
      <c r="CH183" s="80" t="str">
        <f t="shared" si="147"/>
        <v xml:space="preserve">     </v>
      </c>
      <c r="CI183" s="218" t="str">
        <f t="shared" si="158"/>
        <v>-</v>
      </c>
      <c r="CJ183" s="381"/>
      <c r="CK183" s="92" t="str">
        <f t="shared" si="167"/>
        <v>OK</v>
      </c>
      <c r="CL183" s="79"/>
      <c r="CM183" s="487"/>
      <c r="CN183" s="80" t="str">
        <f t="shared" si="148"/>
        <v xml:space="preserve">     </v>
      </c>
      <c r="CO183" s="218" t="s">
        <v>593</v>
      </c>
      <c r="CP183" s="80"/>
      <c r="CQ183" s="218" t="str">
        <f t="shared" si="159"/>
        <v>-</v>
      </c>
      <c r="CR183" s="79"/>
      <c r="CS183" s="487"/>
      <c r="CT183" s="80" t="str">
        <f t="shared" si="149"/>
        <v xml:space="preserve">     </v>
      </c>
      <c r="CU183" s="218" t="str">
        <f t="shared" si="160"/>
        <v>-</v>
      </c>
      <c r="CV183" s="381"/>
      <c r="CW183" s="92" t="s">
        <v>593</v>
      </c>
      <c r="CX183" s="79"/>
      <c r="CY183" s="487"/>
      <c r="CZ183" s="80" t="str">
        <f t="shared" si="150"/>
        <v xml:space="preserve">     </v>
      </c>
      <c r="DA183" s="218" t="str">
        <f t="shared" si="161"/>
        <v>-</v>
      </c>
      <c r="DB183" s="381"/>
      <c r="DC183" s="92" t="s">
        <v>593</v>
      </c>
    </row>
    <row r="184" spans="1:107" s="81" customFormat="1" ht="51.75" customHeight="1">
      <c r="B184" s="65">
        <f t="shared" si="151"/>
        <v>177</v>
      </c>
      <c r="C184" s="69"/>
      <c r="D184" s="69"/>
      <c r="E184" s="69"/>
      <c r="F184" s="233" t="s">
        <v>186</v>
      </c>
      <c r="G184" s="234"/>
      <c r="H184" s="235"/>
      <c r="I184" s="74"/>
      <c r="J184" s="74"/>
      <c r="K184" s="75"/>
      <c r="L184" s="75"/>
      <c r="M184" s="84" t="s">
        <v>187</v>
      </c>
      <c r="N184" s="76"/>
      <c r="O184" s="77"/>
      <c r="P184" s="95">
        <f>P183+1</f>
        <v>156</v>
      </c>
      <c r="Q184" s="119">
        <v>64</v>
      </c>
      <c r="R184" s="21" t="str">
        <f>IF(AA184="M","NX",AA184)</f>
        <v>NX</v>
      </c>
      <c r="S184" s="98" t="s">
        <v>188</v>
      </c>
      <c r="T184" s="106"/>
      <c r="U184" s="21" t="s">
        <v>257</v>
      </c>
      <c r="V184" s="77" t="s">
        <v>311</v>
      </c>
      <c r="W184" s="78">
        <v>3</v>
      </c>
      <c r="X184" s="56" t="s">
        <v>312</v>
      </c>
      <c r="Y184" s="56">
        <v>1</v>
      </c>
      <c r="Z184" s="56">
        <v>64</v>
      </c>
      <c r="AA184" s="74" t="s">
        <v>300</v>
      </c>
      <c r="AB184" s="74" t="s">
        <v>21</v>
      </c>
      <c r="AC184" s="85" t="s">
        <v>311</v>
      </c>
      <c r="AD184" s="79"/>
      <c r="AE184" s="487"/>
      <c r="AF184" s="80" t="str">
        <f t="shared" si="138"/>
        <v xml:space="preserve">                                                                </v>
      </c>
      <c r="AG184" s="218" t="str">
        <f t="shared" si="162"/>
        <v>-</v>
      </c>
      <c r="AH184" s="381"/>
      <c r="AI184" s="92" t="str">
        <f t="shared" si="164"/>
        <v>OK</v>
      </c>
      <c r="AJ184" s="79"/>
      <c r="AK184" s="487"/>
      <c r="AL184" s="80" t="str">
        <f t="shared" si="139"/>
        <v xml:space="preserve">                                                                </v>
      </c>
      <c r="AM184" s="218" t="str">
        <f t="shared" si="152"/>
        <v>-</v>
      </c>
      <c r="AN184" s="381"/>
      <c r="AO184" s="92" t="str">
        <f t="shared" si="165"/>
        <v>OK</v>
      </c>
      <c r="AP184" s="79"/>
      <c r="AQ184" s="508"/>
      <c r="AR184" s="80" t="str">
        <f t="shared" si="140"/>
        <v xml:space="preserve">                                                                </v>
      </c>
      <c r="AS184" s="218" t="s">
        <v>593</v>
      </c>
      <c r="AT184" s="80"/>
      <c r="AU184" s="218" t="str">
        <f t="shared" si="137"/>
        <v>-</v>
      </c>
      <c r="AV184" s="79"/>
      <c r="AW184" s="487" t="s">
        <v>335</v>
      </c>
      <c r="AX184" s="80" t="str">
        <f t="shared" si="141"/>
        <v xml:space="preserve">中部テレコミュニケーション株式会社                              </v>
      </c>
      <c r="AY184" s="218" t="str">
        <f t="shared" si="153"/>
        <v>-</v>
      </c>
      <c r="AZ184" s="381" t="s">
        <v>335</v>
      </c>
      <c r="BA184" s="478" t="s">
        <v>594</v>
      </c>
      <c r="BB184" s="79"/>
      <c r="BC184" s="487" t="s">
        <v>338</v>
      </c>
      <c r="BD184" s="80" t="str">
        <f t="shared" si="142"/>
        <v xml:space="preserve">株式会社ケイ・オプティコム                                      </v>
      </c>
      <c r="BE184" s="218" t="str">
        <f t="shared" si="154"/>
        <v>-</v>
      </c>
      <c r="BF184" s="381" t="s">
        <v>338</v>
      </c>
      <c r="BG184" s="478" t="s">
        <v>594</v>
      </c>
      <c r="BH184" s="79"/>
      <c r="BI184" s="508" t="s">
        <v>736</v>
      </c>
      <c r="BJ184" s="80" t="str">
        <f t="shared" si="143"/>
        <v xml:space="preserve">中部テレコミュニケーション株式会社                              </v>
      </c>
      <c r="BK184" s="218" t="s">
        <v>593</v>
      </c>
      <c r="BL184" s="381" t="s">
        <v>335</v>
      </c>
      <c r="BM184" s="478" t="s">
        <v>594</v>
      </c>
      <c r="BN184" s="79"/>
      <c r="BO184" s="487" t="s">
        <v>338</v>
      </c>
      <c r="BP184" s="80" t="str">
        <f t="shared" si="144"/>
        <v xml:space="preserve">株式会社ケイ・オプティコム                                      </v>
      </c>
      <c r="BQ184" s="218" t="str">
        <f t="shared" si="155"/>
        <v>-</v>
      </c>
      <c r="BR184" s="381" t="s">
        <v>338</v>
      </c>
      <c r="BS184" s="478" t="s">
        <v>594</v>
      </c>
      <c r="BT184" s="79"/>
      <c r="BU184" s="508"/>
      <c r="BV184" s="80" t="str">
        <f t="shared" si="145"/>
        <v xml:space="preserve">                                                                </v>
      </c>
      <c r="BW184" s="218" t="s">
        <v>593</v>
      </c>
      <c r="BX184" s="80"/>
      <c r="BY184" s="218" t="str">
        <f t="shared" si="156"/>
        <v>-</v>
      </c>
      <c r="BZ184" s="79"/>
      <c r="CA184" s="487"/>
      <c r="CB184" s="80" t="str">
        <f t="shared" si="146"/>
        <v xml:space="preserve">                                                                </v>
      </c>
      <c r="CC184" s="218" t="str">
        <f t="shared" si="157"/>
        <v>-</v>
      </c>
      <c r="CD184" s="381"/>
      <c r="CE184" s="92" t="str">
        <f t="shared" si="166"/>
        <v>OK</v>
      </c>
      <c r="CF184" s="79"/>
      <c r="CG184" s="487"/>
      <c r="CH184" s="80" t="str">
        <f t="shared" si="147"/>
        <v xml:space="preserve">                                                                </v>
      </c>
      <c r="CI184" s="218" t="str">
        <f t="shared" si="158"/>
        <v>-</v>
      </c>
      <c r="CJ184" s="381"/>
      <c r="CK184" s="92" t="str">
        <f t="shared" si="167"/>
        <v>OK</v>
      </c>
      <c r="CL184" s="79"/>
      <c r="CM184" s="487"/>
      <c r="CN184" s="80" t="str">
        <f t="shared" si="148"/>
        <v xml:space="preserve">                                                                </v>
      </c>
      <c r="CO184" s="218" t="s">
        <v>593</v>
      </c>
      <c r="CP184" s="80"/>
      <c r="CQ184" s="218" t="str">
        <f t="shared" si="159"/>
        <v>-</v>
      </c>
      <c r="CR184" s="79"/>
      <c r="CS184" s="487"/>
      <c r="CT184" s="80" t="str">
        <f t="shared" si="149"/>
        <v xml:space="preserve">                                                                </v>
      </c>
      <c r="CU184" s="218" t="str">
        <f t="shared" si="160"/>
        <v>-</v>
      </c>
      <c r="CV184" s="381"/>
      <c r="CW184" s="92" t="s">
        <v>593</v>
      </c>
      <c r="CX184" s="79"/>
      <c r="CY184" s="487"/>
      <c r="CZ184" s="80" t="str">
        <f t="shared" si="150"/>
        <v xml:space="preserve">                                                                </v>
      </c>
      <c r="DA184" s="218" t="str">
        <f t="shared" si="161"/>
        <v>-</v>
      </c>
      <c r="DB184" s="381"/>
      <c r="DC184" s="92" t="s">
        <v>593</v>
      </c>
    </row>
    <row r="185" spans="1:107" s="81" customFormat="1" ht="92.25" customHeight="1">
      <c r="B185" s="65">
        <f t="shared" si="151"/>
        <v>178</v>
      </c>
      <c r="C185" s="69"/>
      <c r="D185" s="69"/>
      <c r="E185" s="69"/>
      <c r="F185" s="82" t="s">
        <v>356</v>
      </c>
      <c r="G185" s="14"/>
      <c r="H185" s="83"/>
      <c r="I185" s="74"/>
      <c r="J185" s="74"/>
      <c r="K185" s="75"/>
      <c r="L185" s="75"/>
      <c r="M185" s="84" t="s">
        <v>222</v>
      </c>
      <c r="N185" s="76"/>
      <c r="O185" s="77"/>
      <c r="P185" s="95">
        <f>P184+1</f>
        <v>157</v>
      </c>
      <c r="Q185" s="119">
        <v>7</v>
      </c>
      <c r="R185" s="21" t="s">
        <v>261</v>
      </c>
      <c r="S185" s="98" t="s">
        <v>313</v>
      </c>
      <c r="T185" s="106"/>
      <c r="U185" s="21" t="s">
        <v>257</v>
      </c>
      <c r="V185" s="77"/>
      <c r="W185" s="78">
        <v>3</v>
      </c>
      <c r="X185" s="56" t="s">
        <v>314</v>
      </c>
      <c r="Y185" s="56">
        <v>7</v>
      </c>
      <c r="Z185" s="56">
        <v>7</v>
      </c>
      <c r="AA185" s="74" t="s">
        <v>261</v>
      </c>
      <c r="AB185" s="74" t="s">
        <v>21</v>
      </c>
      <c r="AC185" s="85"/>
      <c r="AD185" s="79"/>
      <c r="AE185" s="481"/>
      <c r="AF185" s="80" t="str">
        <f t="shared" si="138"/>
        <v xml:space="preserve">       </v>
      </c>
      <c r="AG185" s="218" t="str">
        <f t="shared" si="162"/>
        <v>-</v>
      </c>
      <c r="AH185" s="274"/>
      <c r="AI185" s="406" t="str">
        <f t="shared" si="164"/>
        <v>OK</v>
      </c>
      <c r="AJ185" s="79"/>
      <c r="AK185" s="481"/>
      <c r="AL185" s="80" t="str">
        <f t="shared" si="139"/>
        <v xml:space="preserve">       </v>
      </c>
      <c r="AM185" s="218" t="str">
        <f t="shared" si="152"/>
        <v>-</v>
      </c>
      <c r="AN185" s="274"/>
      <c r="AO185" s="406" t="str">
        <f t="shared" si="165"/>
        <v>OK</v>
      </c>
      <c r="AP185" s="79"/>
      <c r="AQ185" s="512"/>
      <c r="AR185" s="80" t="str">
        <f t="shared" si="140"/>
        <v xml:space="preserve">       </v>
      </c>
      <c r="AS185" s="218" t="s">
        <v>593</v>
      </c>
      <c r="AT185" s="80"/>
      <c r="AU185" s="218" t="str">
        <f t="shared" si="137"/>
        <v>-</v>
      </c>
      <c r="AV185" s="79"/>
      <c r="AW185" s="481"/>
      <c r="AX185" s="80" t="str">
        <f t="shared" si="141"/>
        <v xml:space="preserve">       </v>
      </c>
      <c r="AY185" s="218" t="str">
        <f t="shared" si="153"/>
        <v>-</v>
      </c>
      <c r="AZ185" s="274"/>
      <c r="BA185" s="478" t="s">
        <v>594</v>
      </c>
      <c r="BB185" s="79"/>
      <c r="BC185" s="481"/>
      <c r="BD185" s="80" t="str">
        <f t="shared" si="142"/>
        <v xml:space="preserve">       </v>
      </c>
      <c r="BE185" s="218" t="str">
        <f t="shared" si="154"/>
        <v>-</v>
      </c>
      <c r="BF185" s="274"/>
      <c r="BG185" s="478" t="s">
        <v>594</v>
      </c>
      <c r="BH185" s="79"/>
      <c r="BI185" s="508" t="s">
        <v>705</v>
      </c>
      <c r="BJ185" s="80" t="str">
        <f t="shared" si="143"/>
        <v xml:space="preserve">       </v>
      </c>
      <c r="BK185" s="218" t="s">
        <v>593</v>
      </c>
      <c r="BL185" s="274"/>
      <c r="BM185" s="478" t="s">
        <v>594</v>
      </c>
      <c r="BN185" s="79"/>
      <c r="BO185" s="481"/>
      <c r="BP185" s="80" t="str">
        <f t="shared" si="144"/>
        <v xml:space="preserve">       </v>
      </c>
      <c r="BQ185" s="218" t="str">
        <f t="shared" si="155"/>
        <v>-</v>
      </c>
      <c r="BR185" s="274"/>
      <c r="BS185" s="478" t="s">
        <v>594</v>
      </c>
      <c r="BT185" s="79"/>
      <c r="BU185" s="512"/>
      <c r="BV185" s="80" t="str">
        <f t="shared" si="145"/>
        <v xml:space="preserve">       </v>
      </c>
      <c r="BW185" s="218" t="s">
        <v>593</v>
      </c>
      <c r="BX185" s="80"/>
      <c r="BY185" s="218" t="str">
        <f t="shared" si="156"/>
        <v>-</v>
      </c>
      <c r="BZ185" s="79"/>
      <c r="CA185" s="481"/>
      <c r="CB185" s="80" t="str">
        <f t="shared" si="146"/>
        <v xml:space="preserve">       </v>
      </c>
      <c r="CC185" s="218" t="str">
        <f t="shared" si="157"/>
        <v>-</v>
      </c>
      <c r="CD185" s="274"/>
      <c r="CE185" s="406" t="str">
        <f t="shared" si="166"/>
        <v>OK</v>
      </c>
      <c r="CF185" s="79"/>
      <c r="CG185" s="481"/>
      <c r="CH185" s="80" t="str">
        <f t="shared" si="147"/>
        <v xml:space="preserve">       </v>
      </c>
      <c r="CI185" s="218" t="str">
        <f t="shared" si="158"/>
        <v>-</v>
      </c>
      <c r="CJ185" s="274"/>
      <c r="CK185" s="406" t="str">
        <f t="shared" si="167"/>
        <v>OK</v>
      </c>
      <c r="CL185" s="79"/>
      <c r="CM185" s="481"/>
      <c r="CN185" s="80" t="str">
        <f t="shared" si="148"/>
        <v xml:space="preserve">       </v>
      </c>
      <c r="CO185" s="218" t="s">
        <v>593</v>
      </c>
      <c r="CP185" s="80"/>
      <c r="CQ185" s="218" t="str">
        <f t="shared" si="159"/>
        <v>-</v>
      </c>
      <c r="CR185" s="79"/>
      <c r="CS185" s="481"/>
      <c r="CT185" s="80" t="str">
        <f t="shared" si="149"/>
        <v xml:space="preserve">       </v>
      </c>
      <c r="CU185" s="218" t="str">
        <f t="shared" si="160"/>
        <v>-</v>
      </c>
      <c r="CV185" s="274"/>
      <c r="CW185" s="92" t="s">
        <v>593</v>
      </c>
      <c r="CX185" s="79"/>
      <c r="CY185" s="481"/>
      <c r="CZ185" s="80" t="str">
        <f t="shared" si="150"/>
        <v xml:space="preserve">       </v>
      </c>
      <c r="DA185" s="218" t="str">
        <f t="shared" si="161"/>
        <v>-</v>
      </c>
      <c r="DB185" s="274"/>
      <c r="DC185" s="92" t="s">
        <v>593</v>
      </c>
    </row>
    <row r="186" spans="1:107" s="81" customFormat="1" ht="127.9" thickBot="1">
      <c r="A186" s="221"/>
      <c r="B186" s="243">
        <f t="shared" si="151"/>
        <v>179</v>
      </c>
      <c r="C186" s="244"/>
      <c r="D186" s="244"/>
      <c r="E186" s="244"/>
      <c r="F186" s="246" t="s">
        <v>315</v>
      </c>
      <c r="G186" s="247"/>
      <c r="H186" s="248"/>
      <c r="I186" s="249"/>
      <c r="J186" s="249"/>
      <c r="K186" s="249"/>
      <c r="L186" s="249"/>
      <c r="M186" s="392" t="s">
        <v>357</v>
      </c>
      <c r="N186" s="399"/>
      <c r="O186" s="400"/>
      <c r="P186" s="279">
        <f>P185+1</f>
        <v>158</v>
      </c>
      <c r="Q186" s="410">
        <v>1</v>
      </c>
      <c r="R186" s="37">
        <v>9</v>
      </c>
      <c r="S186" s="410" t="s">
        <v>316</v>
      </c>
      <c r="T186" s="142"/>
      <c r="U186" s="141" t="s">
        <v>257</v>
      </c>
      <c r="V186" s="238"/>
      <c r="W186" s="191" t="str">
        <f>IF(C186&lt;&gt;"","0",IF(D186&lt;&gt;"","1",IF(E186&lt;&gt;"","2",IF(F186&lt;&gt;"","3",IF(G186&lt;&gt;"","4",IF(H186&lt;&gt;"","5"))))))</f>
        <v>3</v>
      </c>
      <c r="X186" s="144" t="s">
        <v>317</v>
      </c>
      <c r="Y186" s="144">
        <v>1</v>
      </c>
      <c r="Z186" s="144">
        <v>1</v>
      </c>
      <c r="AA186" s="239">
        <v>9</v>
      </c>
      <c r="AB186" s="137" t="s">
        <v>257</v>
      </c>
      <c r="AC186" s="240"/>
      <c r="AD186" s="216"/>
      <c r="AE186" s="396"/>
      <c r="AF186" s="217" t="str">
        <f t="shared" si="138"/>
        <v xml:space="preserve"> </v>
      </c>
      <c r="AG186" s="231" t="str">
        <f t="shared" si="162"/>
        <v>-</v>
      </c>
      <c r="AH186" s="383"/>
      <c r="AI186" s="395" t="str">
        <f t="shared" si="164"/>
        <v>OK</v>
      </c>
      <c r="AJ186" s="216"/>
      <c r="AK186" s="396"/>
      <c r="AL186" s="217" t="str">
        <f t="shared" si="139"/>
        <v xml:space="preserve"> </v>
      </c>
      <c r="AM186" s="231" t="str">
        <f t="shared" si="152"/>
        <v>-</v>
      </c>
      <c r="AN186" s="396"/>
      <c r="AO186" s="395" t="str">
        <f t="shared" si="165"/>
        <v>OK</v>
      </c>
      <c r="AP186" s="216"/>
      <c r="AQ186" s="509"/>
      <c r="AR186" s="217" t="str">
        <f t="shared" si="140"/>
        <v xml:space="preserve"> </v>
      </c>
      <c r="AS186" s="231" t="s">
        <v>593</v>
      </c>
      <c r="AT186" s="217"/>
      <c r="AU186" s="231" t="str">
        <f t="shared" si="137"/>
        <v>-</v>
      </c>
      <c r="AV186" s="216"/>
      <c r="AW186" s="396" t="s">
        <v>33</v>
      </c>
      <c r="AX186" s="217" t="str">
        <f t="shared" si="141"/>
        <v>1</v>
      </c>
      <c r="AY186" s="231" t="str">
        <f t="shared" si="153"/>
        <v>-</v>
      </c>
      <c r="AZ186" s="396" t="s">
        <v>33</v>
      </c>
      <c r="BA186" s="479" t="s">
        <v>245</v>
      </c>
      <c r="BB186" s="216"/>
      <c r="BC186" s="396" t="s">
        <v>33</v>
      </c>
      <c r="BD186" s="217" t="str">
        <f t="shared" si="142"/>
        <v>1</v>
      </c>
      <c r="BE186" s="231" t="str">
        <f t="shared" si="154"/>
        <v>-</v>
      </c>
      <c r="BF186" s="396" t="s">
        <v>33</v>
      </c>
      <c r="BG186" s="479" t="s">
        <v>245</v>
      </c>
      <c r="BH186" s="216"/>
      <c r="BI186" s="509" t="s">
        <v>33</v>
      </c>
      <c r="BJ186" s="217" t="str">
        <f t="shared" si="143"/>
        <v>1</v>
      </c>
      <c r="BK186" s="231" t="s">
        <v>593</v>
      </c>
      <c r="BL186" s="396" t="s">
        <v>33</v>
      </c>
      <c r="BM186" s="479" t="s">
        <v>245</v>
      </c>
      <c r="BN186" s="216"/>
      <c r="BO186" s="396" t="s">
        <v>33</v>
      </c>
      <c r="BP186" s="217" t="str">
        <f t="shared" si="144"/>
        <v>1</v>
      </c>
      <c r="BQ186" s="231" t="str">
        <f t="shared" si="155"/>
        <v>-</v>
      </c>
      <c r="BR186" s="396" t="s">
        <v>33</v>
      </c>
      <c r="BS186" s="479" t="s">
        <v>245</v>
      </c>
      <c r="BT186" s="216"/>
      <c r="BU186" s="509"/>
      <c r="BV186" s="217" t="str">
        <f t="shared" si="145"/>
        <v xml:space="preserve"> </v>
      </c>
      <c r="BW186" s="231" t="s">
        <v>593</v>
      </c>
      <c r="BX186" s="217"/>
      <c r="BY186" s="231" t="str">
        <f t="shared" si="156"/>
        <v>-</v>
      </c>
      <c r="BZ186" s="216"/>
      <c r="CA186" s="396"/>
      <c r="CB186" s="217" t="str">
        <f t="shared" si="146"/>
        <v xml:space="preserve"> </v>
      </c>
      <c r="CC186" s="231" t="str">
        <f t="shared" si="157"/>
        <v>-</v>
      </c>
      <c r="CD186" s="396"/>
      <c r="CE186" s="395" t="str">
        <f t="shared" si="166"/>
        <v>OK</v>
      </c>
      <c r="CF186" s="216"/>
      <c r="CG186" s="396"/>
      <c r="CH186" s="217" t="str">
        <f t="shared" si="147"/>
        <v xml:space="preserve"> </v>
      </c>
      <c r="CI186" s="231" t="str">
        <f t="shared" si="158"/>
        <v>-</v>
      </c>
      <c r="CJ186" s="396"/>
      <c r="CK186" s="395" t="str">
        <f t="shared" si="167"/>
        <v>OK</v>
      </c>
      <c r="CL186" s="216"/>
      <c r="CM186" s="396"/>
      <c r="CN186" s="217" t="str">
        <f t="shared" si="148"/>
        <v xml:space="preserve"> </v>
      </c>
      <c r="CO186" s="231" t="s">
        <v>593</v>
      </c>
      <c r="CP186" s="217"/>
      <c r="CQ186" s="231" t="str">
        <f t="shared" si="159"/>
        <v>-</v>
      </c>
      <c r="CR186" s="216"/>
      <c r="CS186" s="396"/>
      <c r="CT186" s="217" t="str">
        <f t="shared" si="149"/>
        <v xml:space="preserve"> </v>
      </c>
      <c r="CU186" s="231" t="str">
        <f t="shared" si="160"/>
        <v>-</v>
      </c>
      <c r="CV186" s="396"/>
      <c r="CW186" s="395" t="s">
        <v>593</v>
      </c>
      <c r="CX186" s="216"/>
      <c r="CY186" s="396"/>
      <c r="CZ186" s="217" t="str">
        <f t="shared" si="150"/>
        <v xml:space="preserve"> </v>
      </c>
      <c r="DA186" s="231" t="str">
        <f t="shared" si="161"/>
        <v>-</v>
      </c>
      <c r="DB186" s="396"/>
      <c r="DC186" s="395" t="s">
        <v>593</v>
      </c>
    </row>
    <row r="187" spans="1:107" s="26" customFormat="1" ht="18.75" customHeight="1" thickTop="1">
      <c r="B187" s="2">
        <f t="shared" si="151"/>
        <v>180</v>
      </c>
      <c r="C187" s="253"/>
      <c r="D187" s="253"/>
      <c r="E187" s="254" t="s">
        <v>439</v>
      </c>
      <c r="F187" s="254"/>
      <c r="G187" s="254"/>
      <c r="H187" s="87"/>
      <c r="I187" s="88" t="s">
        <v>31</v>
      </c>
      <c r="J187" s="88" t="s">
        <v>426</v>
      </c>
      <c r="K187" s="88"/>
      <c r="L187" s="88"/>
      <c r="M187" s="89" t="s">
        <v>352</v>
      </c>
      <c r="N187" s="287"/>
      <c r="O187" s="288"/>
      <c r="P187" s="183"/>
      <c r="Q187" s="121"/>
      <c r="R187" s="107"/>
      <c r="S187" s="289"/>
      <c r="T187" s="287"/>
      <c r="U187" s="107"/>
      <c r="V187" s="290"/>
      <c r="W187" s="25" t="str">
        <f>IF(C187&lt;&gt;"","0",IF(D187&lt;&gt;"","1",IF(E187&lt;&gt;"","2",IF(F187&lt;&gt;"","3",IF(G187&lt;&gt;"","4",IF(H187&lt;&gt;"","5"))))))</f>
        <v>2</v>
      </c>
      <c r="X187" s="1" t="s">
        <v>122</v>
      </c>
      <c r="Y187" s="1"/>
      <c r="Z187" s="1"/>
      <c r="AA187" s="8"/>
      <c r="AB187" s="8" t="s">
        <v>257</v>
      </c>
      <c r="AC187" s="63"/>
      <c r="AD187" s="60"/>
      <c r="AE187" s="169"/>
      <c r="AF187" s="61" t="str">
        <f t="shared" si="138"/>
        <v/>
      </c>
      <c r="AG187" s="218" t="str">
        <f t="shared" ref="AG187:AG216" si="170">IF(OR(AE$8="判定対象外",AF$8="判定対象外",AF187="-"),"-",IF(AE187=AF187,"OK","NG"))</f>
        <v>-</v>
      </c>
      <c r="AH187" s="169"/>
      <c r="AI187" s="92" t="str">
        <f>IF(EXACT(AE187,AH187),"OK","NG")</f>
        <v>OK</v>
      </c>
      <c r="AJ187" s="60"/>
      <c r="AK187" s="169"/>
      <c r="AL187" s="61" t="str">
        <f t="shared" si="139"/>
        <v/>
      </c>
      <c r="AM187" s="218" t="str">
        <f t="shared" si="152"/>
        <v>-</v>
      </c>
      <c r="AN187" s="169"/>
      <c r="AO187" s="92" t="str">
        <f>IF(EXACT(AK187,AN187),"OK","NG")</f>
        <v>OK</v>
      </c>
      <c r="AP187" s="60"/>
      <c r="AQ187" s="172"/>
      <c r="AR187" s="61" t="str">
        <f t="shared" si="140"/>
        <v/>
      </c>
      <c r="AS187" s="218" t="s">
        <v>593</v>
      </c>
      <c r="AT187" s="61"/>
      <c r="AU187" s="218" t="str">
        <f t="shared" si="137"/>
        <v>-</v>
      </c>
      <c r="AV187" s="60"/>
      <c r="AW187" s="169"/>
      <c r="AX187" s="61" t="str">
        <f t="shared" si="141"/>
        <v/>
      </c>
      <c r="AY187" s="218" t="str">
        <f t="shared" si="153"/>
        <v>-</v>
      </c>
      <c r="AZ187" s="169"/>
      <c r="BA187" s="92" t="str">
        <f>IF(EXACT(AW187,AZ187),"OK","NG")</f>
        <v>OK</v>
      </c>
      <c r="BB187" s="60"/>
      <c r="BC187" s="169"/>
      <c r="BD187" s="61" t="str">
        <f t="shared" si="142"/>
        <v/>
      </c>
      <c r="BE187" s="218" t="str">
        <f t="shared" si="154"/>
        <v>-</v>
      </c>
      <c r="BF187" s="169"/>
      <c r="BG187" s="92" t="str">
        <f>IF(EXACT(BC187,BF187),"OK","NG")</f>
        <v>OK</v>
      </c>
      <c r="BH187" s="60"/>
      <c r="BI187" s="172"/>
      <c r="BJ187" s="61" t="str">
        <f t="shared" si="143"/>
        <v/>
      </c>
      <c r="BK187" s="218" t="s">
        <v>593</v>
      </c>
      <c r="BL187" s="169"/>
      <c r="BM187" s="92" t="str">
        <f>IF(EXACT(BI187,BL187),"OK","NG")</f>
        <v>OK</v>
      </c>
      <c r="BN187" s="60"/>
      <c r="BO187" s="169"/>
      <c r="BP187" s="61" t="str">
        <f t="shared" si="144"/>
        <v/>
      </c>
      <c r="BQ187" s="218" t="str">
        <f t="shared" si="155"/>
        <v>-</v>
      </c>
      <c r="BR187" s="169"/>
      <c r="BS187" s="92" t="str">
        <f>IF(EXACT(BO187,BR187),"OK","NG")</f>
        <v>OK</v>
      </c>
      <c r="BT187" s="60"/>
      <c r="BU187" s="172"/>
      <c r="BV187" s="61" t="str">
        <f t="shared" si="145"/>
        <v/>
      </c>
      <c r="BW187" s="218" t="s">
        <v>593</v>
      </c>
      <c r="BX187" s="61"/>
      <c r="BY187" s="218" t="str">
        <f t="shared" si="156"/>
        <v>-</v>
      </c>
      <c r="BZ187" s="60"/>
      <c r="CA187" s="169"/>
      <c r="CB187" s="61" t="str">
        <f t="shared" si="146"/>
        <v/>
      </c>
      <c r="CC187" s="218" t="str">
        <f t="shared" si="157"/>
        <v>-</v>
      </c>
      <c r="CD187" s="169"/>
      <c r="CE187" s="92" t="str">
        <f>IF(EXACT(CA187,CD187),"OK","NG")</f>
        <v>OK</v>
      </c>
      <c r="CF187" s="60"/>
      <c r="CG187" s="169"/>
      <c r="CH187" s="61" t="str">
        <f t="shared" si="147"/>
        <v/>
      </c>
      <c r="CI187" s="218" t="str">
        <f t="shared" si="158"/>
        <v>-</v>
      </c>
      <c r="CJ187" s="169"/>
      <c r="CK187" s="92" t="str">
        <f>IF(EXACT(CG187,CJ187),"OK","NG")</f>
        <v>OK</v>
      </c>
      <c r="CL187" s="60"/>
      <c r="CM187" s="169"/>
      <c r="CN187" s="61" t="str">
        <f t="shared" si="148"/>
        <v/>
      </c>
      <c r="CO187" s="218" t="s">
        <v>593</v>
      </c>
      <c r="CP187" s="61"/>
      <c r="CQ187" s="218" t="str">
        <f t="shared" si="159"/>
        <v>-</v>
      </c>
      <c r="CR187" s="60"/>
      <c r="CS187" s="169"/>
      <c r="CT187" s="61" t="str">
        <f t="shared" si="149"/>
        <v/>
      </c>
      <c r="CU187" s="218" t="str">
        <f t="shared" si="160"/>
        <v>-</v>
      </c>
      <c r="CV187" s="169"/>
      <c r="CW187" s="92" t="s">
        <v>593</v>
      </c>
      <c r="CX187" s="60"/>
      <c r="CY187" s="169"/>
      <c r="CZ187" s="61" t="str">
        <f t="shared" si="150"/>
        <v/>
      </c>
      <c r="DA187" s="218" t="str">
        <f t="shared" si="161"/>
        <v>-</v>
      </c>
      <c r="DB187" s="169"/>
      <c r="DC187" s="92" t="s">
        <v>593</v>
      </c>
    </row>
    <row r="188" spans="1:107" s="26" customFormat="1" ht="63.75">
      <c r="B188" s="2">
        <f t="shared" si="151"/>
        <v>181</v>
      </c>
      <c r="C188" s="129"/>
      <c r="D188" s="7"/>
      <c r="E188" s="7"/>
      <c r="F188" s="112" t="s">
        <v>92</v>
      </c>
      <c r="G188" s="16"/>
      <c r="H188" s="13"/>
      <c r="I188" s="6"/>
      <c r="J188" s="6"/>
      <c r="K188" s="6"/>
      <c r="L188" s="8"/>
      <c r="M188" s="23" t="s">
        <v>296</v>
      </c>
      <c r="N188" s="1"/>
      <c r="O188" s="57"/>
      <c r="P188" s="95">
        <f>P186+1</f>
        <v>159</v>
      </c>
      <c r="Q188" s="117">
        <v>2</v>
      </c>
      <c r="R188" s="21" t="str">
        <f t="shared" ref="R188:R194" si="171">IF(AA188="M","NX",AA188)</f>
        <v>X</v>
      </c>
      <c r="S188" s="98" t="s">
        <v>440</v>
      </c>
      <c r="T188" s="96"/>
      <c r="U188" s="21" t="s">
        <v>435</v>
      </c>
      <c r="V188" s="118" t="s">
        <v>199</v>
      </c>
      <c r="W188" s="25" t="str">
        <f>IF(C188&lt;&gt;"","0",IF(D188&lt;&gt;"","1",IF(E188&lt;&gt;"","2",IF(F188&lt;&gt;"","3",IF(G188&lt;&gt;"","4",IF(H188&lt;&gt;"","5"))))))</f>
        <v>3</v>
      </c>
      <c r="X188" s="5" t="s">
        <v>297</v>
      </c>
      <c r="Y188" s="58">
        <v>2</v>
      </c>
      <c r="Z188" s="58">
        <v>2</v>
      </c>
      <c r="AA188" s="59" t="s">
        <v>114</v>
      </c>
      <c r="AB188" s="59" t="s">
        <v>21</v>
      </c>
      <c r="AC188" s="12"/>
      <c r="AD188" s="60"/>
      <c r="AE188" s="174"/>
      <c r="AF188" s="273" t="str">
        <f t="shared" si="138"/>
        <v xml:space="preserve">  </v>
      </c>
      <c r="AG188" s="218" t="str">
        <f t="shared" si="170"/>
        <v>-</v>
      </c>
      <c r="AH188" s="174"/>
      <c r="AI188" s="92" t="str">
        <f>IF(EXACT(AE188,AH188),"OK","NG")</f>
        <v>OK</v>
      </c>
      <c r="AJ188" s="60"/>
      <c r="AK188" s="174"/>
      <c r="AL188" s="273" t="str">
        <f t="shared" si="139"/>
        <v xml:space="preserve">  </v>
      </c>
      <c r="AM188" s="218" t="str">
        <f t="shared" si="152"/>
        <v>-</v>
      </c>
      <c r="AN188" s="174"/>
      <c r="AO188" s="92" t="str">
        <f>IF(EXACT(AK188,AN188),"OK","NG")</f>
        <v>OK</v>
      </c>
      <c r="AP188" s="60"/>
      <c r="AQ188" s="170"/>
      <c r="AR188" s="273" t="str">
        <f t="shared" si="140"/>
        <v xml:space="preserve">  </v>
      </c>
      <c r="AS188" s="218" t="s">
        <v>593</v>
      </c>
      <c r="AT188" s="273"/>
      <c r="AU188" s="218" t="str">
        <f t="shared" si="137"/>
        <v>-</v>
      </c>
      <c r="AV188" s="60"/>
      <c r="AW188" s="174" t="s">
        <v>102</v>
      </c>
      <c r="AX188" s="273" t="str">
        <f t="shared" si="141"/>
        <v>01</v>
      </c>
      <c r="AY188" s="218" t="str">
        <f t="shared" si="153"/>
        <v>-</v>
      </c>
      <c r="AZ188" s="174" t="s">
        <v>102</v>
      </c>
      <c r="BA188" s="478" t="s">
        <v>594</v>
      </c>
      <c r="BB188" s="60"/>
      <c r="BC188" s="174" t="s">
        <v>102</v>
      </c>
      <c r="BD188" s="273" t="str">
        <f t="shared" si="142"/>
        <v>01</v>
      </c>
      <c r="BE188" s="218" t="str">
        <f t="shared" si="154"/>
        <v>-</v>
      </c>
      <c r="BF188" s="174" t="s">
        <v>102</v>
      </c>
      <c r="BG188" s="478" t="s">
        <v>594</v>
      </c>
      <c r="BH188" s="60"/>
      <c r="BI188" s="170" t="s">
        <v>102</v>
      </c>
      <c r="BJ188" s="273" t="str">
        <f t="shared" si="143"/>
        <v>01</v>
      </c>
      <c r="BK188" s="218" t="s">
        <v>593</v>
      </c>
      <c r="BL188" s="174" t="s">
        <v>102</v>
      </c>
      <c r="BM188" s="478" t="s">
        <v>594</v>
      </c>
      <c r="BN188" s="60"/>
      <c r="BO188" s="174" t="s">
        <v>102</v>
      </c>
      <c r="BP188" s="273" t="str">
        <f t="shared" si="144"/>
        <v>01</v>
      </c>
      <c r="BQ188" s="218" t="str">
        <f t="shared" si="155"/>
        <v>-</v>
      </c>
      <c r="BR188" s="174" t="s">
        <v>102</v>
      </c>
      <c r="BS188" s="478" t="s">
        <v>594</v>
      </c>
      <c r="BT188" s="60"/>
      <c r="BU188" s="170"/>
      <c r="BV188" s="273" t="str">
        <f t="shared" si="145"/>
        <v xml:space="preserve">  </v>
      </c>
      <c r="BW188" s="218" t="s">
        <v>593</v>
      </c>
      <c r="BX188" s="273"/>
      <c r="BY188" s="218" t="str">
        <f t="shared" si="156"/>
        <v>-</v>
      </c>
      <c r="BZ188" s="60"/>
      <c r="CA188" s="174"/>
      <c r="CB188" s="273" t="str">
        <f t="shared" si="146"/>
        <v xml:space="preserve">  </v>
      </c>
      <c r="CC188" s="218" t="str">
        <f t="shared" si="157"/>
        <v>-</v>
      </c>
      <c r="CD188" s="174"/>
      <c r="CE188" s="92" t="str">
        <f>IF(EXACT(CA188,CD188),"OK","NG")</f>
        <v>OK</v>
      </c>
      <c r="CF188" s="60"/>
      <c r="CG188" s="174"/>
      <c r="CH188" s="273" t="str">
        <f t="shared" si="147"/>
        <v xml:space="preserve">  </v>
      </c>
      <c r="CI188" s="218" t="str">
        <f t="shared" si="158"/>
        <v>-</v>
      </c>
      <c r="CJ188" s="174"/>
      <c r="CK188" s="92" t="str">
        <f>IF(EXACT(CG188,CJ188),"OK","NG")</f>
        <v>OK</v>
      </c>
      <c r="CL188" s="60"/>
      <c r="CM188" s="174"/>
      <c r="CN188" s="273" t="str">
        <f t="shared" si="148"/>
        <v xml:space="preserve">  </v>
      </c>
      <c r="CO188" s="218" t="s">
        <v>593</v>
      </c>
      <c r="CP188" s="273"/>
      <c r="CQ188" s="218" t="str">
        <f t="shared" si="159"/>
        <v>-</v>
      </c>
      <c r="CR188" s="60"/>
      <c r="CS188" s="174"/>
      <c r="CT188" s="273" t="str">
        <f t="shared" si="149"/>
        <v xml:space="preserve">  </v>
      </c>
      <c r="CU188" s="218" t="str">
        <f t="shared" si="160"/>
        <v>-</v>
      </c>
      <c r="CV188" s="174"/>
      <c r="CW188" s="92" t="s">
        <v>593</v>
      </c>
      <c r="CX188" s="60"/>
      <c r="CY188" s="174"/>
      <c r="CZ188" s="273" t="str">
        <f t="shared" si="150"/>
        <v xml:space="preserve">  </v>
      </c>
      <c r="DA188" s="218" t="str">
        <f t="shared" si="161"/>
        <v>-</v>
      </c>
      <c r="DB188" s="174"/>
      <c r="DC188" s="92" t="s">
        <v>593</v>
      </c>
    </row>
    <row r="189" spans="1:107" s="26" customFormat="1" ht="293.25">
      <c r="B189" s="2">
        <f t="shared" si="151"/>
        <v>182</v>
      </c>
      <c r="C189" s="7"/>
      <c r="D189" s="7"/>
      <c r="E189" s="7"/>
      <c r="F189" s="112" t="s">
        <v>424</v>
      </c>
      <c r="G189" s="16"/>
      <c r="H189" s="13"/>
      <c r="I189" s="8"/>
      <c r="J189" s="8" t="s">
        <v>426</v>
      </c>
      <c r="K189" s="8"/>
      <c r="L189" s="8"/>
      <c r="M189" s="414" t="s">
        <v>441</v>
      </c>
      <c r="N189" s="11"/>
      <c r="O189" s="57"/>
      <c r="P189" s="95">
        <f>P188+1</f>
        <v>160</v>
      </c>
      <c r="Q189" s="115">
        <v>2</v>
      </c>
      <c r="R189" s="21" t="str">
        <f t="shared" si="171"/>
        <v>X</v>
      </c>
      <c r="S189" s="98" t="s">
        <v>442</v>
      </c>
      <c r="T189" s="96"/>
      <c r="U189" s="21" t="s">
        <v>443</v>
      </c>
      <c r="V189" s="10"/>
      <c r="W189" s="25">
        <v>3</v>
      </c>
      <c r="X189" s="1" t="s">
        <v>288</v>
      </c>
      <c r="Y189" s="1">
        <v>2</v>
      </c>
      <c r="Z189" s="1">
        <v>2</v>
      </c>
      <c r="AA189" s="8" t="s">
        <v>114</v>
      </c>
      <c r="AB189" s="8" t="s">
        <v>21</v>
      </c>
      <c r="AC189" s="12"/>
      <c r="AD189" s="60"/>
      <c r="AE189" s="174"/>
      <c r="AF189" s="273" t="str">
        <f t="shared" si="138"/>
        <v xml:space="preserve">  </v>
      </c>
      <c r="AG189" s="218" t="str">
        <f t="shared" si="170"/>
        <v>-</v>
      </c>
      <c r="AH189" s="174"/>
      <c r="AI189" s="92" t="str">
        <f t="shared" ref="AI189:AI216" si="172">IF(EXACT(AE189,AH189),"OK","NG")</f>
        <v>OK</v>
      </c>
      <c r="AJ189" s="60"/>
      <c r="AK189" s="174"/>
      <c r="AL189" s="273" t="str">
        <f t="shared" si="139"/>
        <v xml:space="preserve">  </v>
      </c>
      <c r="AM189" s="218" t="str">
        <f t="shared" si="152"/>
        <v>-</v>
      </c>
      <c r="AN189" s="174"/>
      <c r="AO189" s="92" t="str">
        <f t="shared" ref="AO189:AO216" si="173">IF(EXACT(AK189,AN189),"OK","NG")</f>
        <v>OK</v>
      </c>
      <c r="AP189" s="60"/>
      <c r="AQ189" s="170"/>
      <c r="AR189" s="273" t="str">
        <f t="shared" si="140"/>
        <v xml:space="preserve">  </v>
      </c>
      <c r="AS189" s="218" t="s">
        <v>593</v>
      </c>
      <c r="AT189" s="273"/>
      <c r="AU189" s="218" t="str">
        <f t="shared" si="137"/>
        <v>-</v>
      </c>
      <c r="AV189" s="60"/>
      <c r="AW189" s="174" t="s">
        <v>116</v>
      </c>
      <c r="AX189" s="273" t="str">
        <f t="shared" si="141"/>
        <v>C0</v>
      </c>
      <c r="AY189" s="218" t="str">
        <f t="shared" si="153"/>
        <v>-</v>
      </c>
      <c r="AZ189" s="174" t="s">
        <v>116</v>
      </c>
      <c r="BA189" s="92" t="str">
        <f>IF(EXACT(AW189,AZ189),"OK","NG")</f>
        <v>OK</v>
      </c>
      <c r="BB189" s="60"/>
      <c r="BC189" s="174" t="s">
        <v>194</v>
      </c>
      <c r="BD189" s="273" t="str">
        <f t="shared" si="142"/>
        <v>A0</v>
      </c>
      <c r="BE189" s="218" t="str">
        <f t="shared" si="154"/>
        <v>-</v>
      </c>
      <c r="BF189" s="174" t="s">
        <v>194</v>
      </c>
      <c r="BG189" s="92" t="str">
        <f>IF(EXACT(BC189,BF189),"OK","NG")</f>
        <v>OK</v>
      </c>
      <c r="BH189" s="60"/>
      <c r="BI189" s="170" t="s">
        <v>116</v>
      </c>
      <c r="BJ189" s="273" t="str">
        <f t="shared" si="143"/>
        <v>C0</v>
      </c>
      <c r="BK189" s="218" t="s">
        <v>593</v>
      </c>
      <c r="BL189" s="174" t="s">
        <v>116</v>
      </c>
      <c r="BM189" s="92" t="str">
        <f>IF(EXACT(BI189,BL189),"OK","NG")</f>
        <v>OK</v>
      </c>
      <c r="BN189" s="60"/>
      <c r="BO189" s="174" t="s">
        <v>194</v>
      </c>
      <c r="BP189" s="273" t="str">
        <f t="shared" si="144"/>
        <v>A0</v>
      </c>
      <c r="BQ189" s="218" t="str">
        <f t="shared" si="155"/>
        <v>-</v>
      </c>
      <c r="BR189" s="174" t="s">
        <v>194</v>
      </c>
      <c r="BS189" s="92" t="str">
        <f>IF(EXACT(BO189,BR189),"OK","NG")</f>
        <v>OK</v>
      </c>
      <c r="BT189" s="60"/>
      <c r="BU189" s="170"/>
      <c r="BV189" s="273" t="str">
        <f t="shared" si="145"/>
        <v xml:space="preserve">  </v>
      </c>
      <c r="BW189" s="218" t="s">
        <v>593</v>
      </c>
      <c r="BX189" s="273"/>
      <c r="BY189" s="218" t="str">
        <f t="shared" si="156"/>
        <v>-</v>
      </c>
      <c r="BZ189" s="60"/>
      <c r="CA189" s="174"/>
      <c r="CB189" s="273" t="str">
        <f t="shared" si="146"/>
        <v xml:space="preserve">  </v>
      </c>
      <c r="CC189" s="218" t="str">
        <f t="shared" si="157"/>
        <v>-</v>
      </c>
      <c r="CD189" s="174"/>
      <c r="CE189" s="92" t="str">
        <f t="shared" ref="CE189:CE216" si="174">IF(EXACT(CA189,CD189),"OK","NG")</f>
        <v>OK</v>
      </c>
      <c r="CF189" s="60"/>
      <c r="CG189" s="174"/>
      <c r="CH189" s="273" t="str">
        <f t="shared" si="147"/>
        <v xml:space="preserve">  </v>
      </c>
      <c r="CI189" s="218" t="str">
        <f t="shared" si="158"/>
        <v>-</v>
      </c>
      <c r="CJ189" s="174"/>
      <c r="CK189" s="92" t="str">
        <f t="shared" ref="CK189:CK216" si="175">IF(EXACT(CG189,CJ189),"OK","NG")</f>
        <v>OK</v>
      </c>
      <c r="CL189" s="60"/>
      <c r="CM189" s="174"/>
      <c r="CN189" s="273" t="str">
        <f t="shared" si="148"/>
        <v xml:space="preserve">  </v>
      </c>
      <c r="CO189" s="218" t="s">
        <v>593</v>
      </c>
      <c r="CP189" s="273"/>
      <c r="CQ189" s="218" t="str">
        <f t="shared" si="159"/>
        <v>-</v>
      </c>
      <c r="CR189" s="60"/>
      <c r="CS189" s="174"/>
      <c r="CT189" s="273" t="str">
        <f t="shared" si="149"/>
        <v xml:space="preserve">  </v>
      </c>
      <c r="CU189" s="218" t="str">
        <f t="shared" si="160"/>
        <v>-</v>
      </c>
      <c r="CV189" s="174"/>
      <c r="CW189" s="92" t="s">
        <v>593</v>
      </c>
      <c r="CX189" s="60"/>
      <c r="CY189" s="174"/>
      <c r="CZ189" s="273" t="str">
        <f t="shared" si="150"/>
        <v xml:space="preserve">  </v>
      </c>
      <c r="DA189" s="218" t="str">
        <f t="shared" si="161"/>
        <v>-</v>
      </c>
      <c r="DB189" s="174"/>
      <c r="DC189" s="92" t="s">
        <v>593</v>
      </c>
    </row>
    <row r="190" spans="1:107" s="26" customFormat="1">
      <c r="B190" s="2">
        <f t="shared" si="151"/>
        <v>183</v>
      </c>
      <c r="C190" s="7"/>
      <c r="D190" s="7"/>
      <c r="E190" s="7"/>
      <c r="F190" s="22" t="s">
        <v>353</v>
      </c>
      <c r="G190" s="16"/>
      <c r="H190" s="13"/>
      <c r="I190" s="8"/>
      <c r="J190" s="8"/>
      <c r="K190" s="8"/>
      <c r="L190" s="8"/>
      <c r="M190" s="417" t="s">
        <v>220</v>
      </c>
      <c r="N190" s="11"/>
      <c r="O190" s="57"/>
      <c r="P190" s="95">
        <f t="shared" ref="P190:P211" si="176">P189+1</f>
        <v>161</v>
      </c>
      <c r="Q190" s="115">
        <v>2</v>
      </c>
      <c r="R190" s="21" t="str">
        <f t="shared" si="171"/>
        <v>X</v>
      </c>
      <c r="S190" s="98" t="s">
        <v>124</v>
      </c>
      <c r="T190" s="96"/>
      <c r="U190" s="21" t="s">
        <v>257</v>
      </c>
      <c r="V190" s="10"/>
      <c r="W190" s="25">
        <v>3</v>
      </c>
      <c r="X190" s="1" t="s">
        <v>125</v>
      </c>
      <c r="Y190" s="1">
        <v>2</v>
      </c>
      <c r="Z190" s="1">
        <v>2</v>
      </c>
      <c r="AA190" s="8" t="s">
        <v>114</v>
      </c>
      <c r="AB190" s="8" t="s">
        <v>21</v>
      </c>
      <c r="AC190" s="12"/>
      <c r="AD190" s="60"/>
      <c r="AE190" s="169"/>
      <c r="AF190" s="61" t="str">
        <f t="shared" si="138"/>
        <v xml:space="preserve">  </v>
      </c>
      <c r="AG190" s="218" t="str">
        <f t="shared" si="170"/>
        <v>-</v>
      </c>
      <c r="AH190" s="169"/>
      <c r="AI190" s="92" t="str">
        <f t="shared" si="172"/>
        <v>OK</v>
      </c>
      <c r="AJ190" s="60"/>
      <c r="AK190" s="169"/>
      <c r="AL190" s="61" t="str">
        <f t="shared" si="139"/>
        <v xml:space="preserve">  </v>
      </c>
      <c r="AM190" s="218" t="str">
        <f t="shared" si="152"/>
        <v>-</v>
      </c>
      <c r="AN190" s="169"/>
      <c r="AO190" s="92" t="str">
        <f t="shared" si="173"/>
        <v>OK</v>
      </c>
      <c r="AP190" s="60"/>
      <c r="AQ190" s="172"/>
      <c r="AR190" s="61" t="str">
        <f t="shared" si="140"/>
        <v xml:space="preserve">  </v>
      </c>
      <c r="AS190" s="218" t="s">
        <v>593</v>
      </c>
      <c r="AT190" s="61"/>
      <c r="AU190" s="218" t="str">
        <f t="shared" si="137"/>
        <v>-</v>
      </c>
      <c r="AV190" s="60"/>
      <c r="AW190" s="169"/>
      <c r="AX190" s="61" t="str">
        <f t="shared" si="141"/>
        <v xml:space="preserve">  </v>
      </c>
      <c r="AY190" s="218" t="str">
        <f t="shared" si="153"/>
        <v>-</v>
      </c>
      <c r="AZ190" s="169"/>
      <c r="BA190" s="92" t="str">
        <f>IF(EXACT(AW190,AZ190),"OK","NG")</f>
        <v>OK</v>
      </c>
      <c r="BB190" s="60"/>
      <c r="BC190" s="169"/>
      <c r="BD190" s="61" t="str">
        <f t="shared" si="142"/>
        <v xml:space="preserve">  </v>
      </c>
      <c r="BE190" s="218" t="str">
        <f t="shared" si="154"/>
        <v>-</v>
      </c>
      <c r="BF190" s="169"/>
      <c r="BG190" s="92" t="str">
        <f>IF(EXACT(BC190,BF190),"OK","NG")</f>
        <v>OK</v>
      </c>
      <c r="BH190" s="60"/>
      <c r="BI190" s="170" t="s">
        <v>698</v>
      </c>
      <c r="BJ190" s="61" t="str">
        <f t="shared" si="143"/>
        <v xml:space="preserve">  </v>
      </c>
      <c r="BK190" s="218" t="s">
        <v>593</v>
      </c>
      <c r="BL190" s="169"/>
      <c r="BM190" s="92" t="str">
        <f>IF(EXACT(BI190,BL190),"OK","NG")</f>
        <v>NG</v>
      </c>
      <c r="BN190" s="60"/>
      <c r="BO190" s="169"/>
      <c r="BP190" s="61" t="str">
        <f t="shared" si="144"/>
        <v xml:space="preserve">  </v>
      </c>
      <c r="BQ190" s="218" t="str">
        <f t="shared" si="155"/>
        <v>-</v>
      </c>
      <c r="BR190" s="169"/>
      <c r="BS190" s="92" t="str">
        <f>IF(EXACT(BO190,BR190),"OK","NG")</f>
        <v>OK</v>
      </c>
      <c r="BT190" s="60"/>
      <c r="BU190" s="172"/>
      <c r="BV190" s="61" t="str">
        <f t="shared" si="145"/>
        <v xml:space="preserve">  </v>
      </c>
      <c r="BW190" s="218" t="s">
        <v>593</v>
      </c>
      <c r="BX190" s="61"/>
      <c r="BY190" s="218" t="str">
        <f t="shared" si="156"/>
        <v>-</v>
      </c>
      <c r="BZ190" s="60"/>
      <c r="CA190" s="169"/>
      <c r="CB190" s="61" t="str">
        <f t="shared" si="146"/>
        <v xml:space="preserve">  </v>
      </c>
      <c r="CC190" s="218" t="str">
        <f t="shared" si="157"/>
        <v>-</v>
      </c>
      <c r="CD190" s="169"/>
      <c r="CE190" s="92" t="str">
        <f t="shared" si="174"/>
        <v>OK</v>
      </c>
      <c r="CF190" s="60"/>
      <c r="CG190" s="169"/>
      <c r="CH190" s="61" t="str">
        <f t="shared" si="147"/>
        <v xml:space="preserve">  </v>
      </c>
      <c r="CI190" s="218" t="str">
        <f t="shared" si="158"/>
        <v>-</v>
      </c>
      <c r="CJ190" s="169"/>
      <c r="CK190" s="92" t="str">
        <f t="shared" si="175"/>
        <v>OK</v>
      </c>
      <c r="CL190" s="60"/>
      <c r="CM190" s="169"/>
      <c r="CN190" s="61" t="str">
        <f t="shared" si="148"/>
        <v xml:space="preserve">  </v>
      </c>
      <c r="CO190" s="218" t="s">
        <v>593</v>
      </c>
      <c r="CP190" s="61"/>
      <c r="CQ190" s="218" t="str">
        <f t="shared" si="159"/>
        <v>-</v>
      </c>
      <c r="CR190" s="60"/>
      <c r="CS190" s="169"/>
      <c r="CT190" s="61" t="str">
        <f t="shared" si="149"/>
        <v xml:space="preserve">  </v>
      </c>
      <c r="CU190" s="218" t="str">
        <f t="shared" si="160"/>
        <v>-</v>
      </c>
      <c r="CV190" s="169"/>
      <c r="CW190" s="92" t="s">
        <v>593</v>
      </c>
      <c r="CX190" s="60"/>
      <c r="CY190" s="169"/>
      <c r="CZ190" s="61" t="str">
        <f t="shared" si="150"/>
        <v xml:space="preserve">  </v>
      </c>
      <c r="DA190" s="218" t="str">
        <f t="shared" si="161"/>
        <v>-</v>
      </c>
      <c r="DB190" s="169"/>
      <c r="DC190" s="92" t="s">
        <v>593</v>
      </c>
    </row>
    <row r="191" spans="1:107" s="26" customFormat="1">
      <c r="B191" s="2">
        <f t="shared" si="151"/>
        <v>184</v>
      </c>
      <c r="C191" s="7"/>
      <c r="D191" s="7"/>
      <c r="E191" s="7"/>
      <c r="F191" s="22" t="s">
        <v>126</v>
      </c>
      <c r="G191" s="16"/>
      <c r="H191" s="13"/>
      <c r="I191" s="8"/>
      <c r="J191" s="8" t="s">
        <v>269</v>
      </c>
      <c r="K191" s="8"/>
      <c r="L191" s="8"/>
      <c r="M191" s="1" t="s">
        <v>127</v>
      </c>
      <c r="N191" s="1"/>
      <c r="O191" s="57"/>
      <c r="P191" s="95">
        <f t="shared" si="176"/>
        <v>162</v>
      </c>
      <c r="Q191" s="115">
        <v>255</v>
      </c>
      <c r="R191" s="21" t="str">
        <f t="shared" si="171"/>
        <v>NX</v>
      </c>
      <c r="S191" s="98" t="s">
        <v>128</v>
      </c>
      <c r="T191" s="96"/>
      <c r="U191" s="21" t="s">
        <v>257</v>
      </c>
      <c r="V191" s="10"/>
      <c r="W191" s="25">
        <v>3</v>
      </c>
      <c r="X191" s="1" t="s">
        <v>298</v>
      </c>
      <c r="Y191" s="1">
        <v>1</v>
      </c>
      <c r="Z191" s="1">
        <v>255</v>
      </c>
      <c r="AA191" s="8" t="s">
        <v>129</v>
      </c>
      <c r="AB191" s="8" t="s">
        <v>21</v>
      </c>
      <c r="AC191" s="12"/>
      <c r="AD191" s="60"/>
      <c r="AE191" s="174"/>
      <c r="AF191" s="228" t="str">
        <f t="shared" si="138"/>
        <v xml:space="preserve">                                                                                                                                                                                                                                                               </v>
      </c>
      <c r="AG191" s="218" t="str">
        <f t="shared" si="170"/>
        <v>-</v>
      </c>
      <c r="AH191" s="174"/>
      <c r="AI191" s="92" t="str">
        <f t="shared" si="172"/>
        <v>OK</v>
      </c>
      <c r="AJ191" s="60"/>
      <c r="AK191" s="174"/>
      <c r="AL191" s="228" t="str">
        <f t="shared" si="139"/>
        <v xml:space="preserve">                                                                                                                                                                                                                                                               </v>
      </c>
      <c r="AM191" s="218" t="str">
        <f t="shared" si="152"/>
        <v>-</v>
      </c>
      <c r="AN191" s="174"/>
      <c r="AO191" s="92" t="str">
        <f t="shared" si="173"/>
        <v>OK</v>
      </c>
      <c r="AP191" s="60"/>
      <c r="AQ191" s="170"/>
      <c r="AR191" s="228" t="str">
        <f t="shared" si="140"/>
        <v xml:space="preserve">                                                                                                                                                                                                                                                               </v>
      </c>
      <c r="AS191" s="218" t="s">
        <v>593</v>
      </c>
      <c r="AT191" s="228"/>
      <c r="AU191" s="218" t="str">
        <f t="shared" si="137"/>
        <v>-</v>
      </c>
      <c r="AV191" s="60"/>
      <c r="AW191" s="174" t="s">
        <v>344</v>
      </c>
      <c r="AX191" s="228" t="str">
        <f t="shared" si="141"/>
        <v xml:space="preserve">＋ＷｉＭＡＸ対応Ｗｉ－Ｆｉルーター                                                                                                                                                                                                                             </v>
      </c>
      <c r="AY191" s="218" t="str">
        <f t="shared" si="153"/>
        <v>-</v>
      </c>
      <c r="AZ191" s="174" t="s">
        <v>344</v>
      </c>
      <c r="BA191" s="92" t="str">
        <f>IF(EXACT(AW191,AZ191),"OK","NG")</f>
        <v>OK</v>
      </c>
      <c r="BB191" s="60"/>
      <c r="BC191" s="174" t="s">
        <v>346</v>
      </c>
      <c r="BD191" s="228" t="str">
        <f t="shared" si="142"/>
        <v xml:space="preserve">コミュファ光 ホーム                                                                                                                                                                                                                                            </v>
      </c>
      <c r="BE191" s="218" t="str">
        <f t="shared" si="154"/>
        <v>-</v>
      </c>
      <c r="BF191" s="174" t="s">
        <v>346</v>
      </c>
      <c r="BG191" s="92" t="str">
        <f>IF(EXACT(BC191,BF191),"OK","NG")</f>
        <v>OK</v>
      </c>
      <c r="BH191" s="60"/>
      <c r="BI191" s="170" t="s">
        <v>737</v>
      </c>
      <c r="BJ191" s="228" t="str">
        <f t="shared" si="143"/>
        <v xml:space="preserve">＋ＷｉＭＡＸ対応Ｗｉ－Ｆｉルーター                                                                                                                                                                                                                             </v>
      </c>
      <c r="BK191" s="218" t="s">
        <v>593</v>
      </c>
      <c r="BL191" s="174" t="s">
        <v>344</v>
      </c>
      <c r="BM191" s="92" t="str">
        <f>IF(EXACT(BI191,BL191),"OK","NG")</f>
        <v>NG</v>
      </c>
      <c r="BN191" s="60"/>
      <c r="BO191" s="174" t="s">
        <v>346</v>
      </c>
      <c r="BP191" s="228" t="str">
        <f t="shared" si="144"/>
        <v xml:space="preserve">コミュファ光 ホーム                                                                                                                                                                                                                                            </v>
      </c>
      <c r="BQ191" s="218" t="str">
        <f t="shared" si="155"/>
        <v>-</v>
      </c>
      <c r="BR191" s="174" t="s">
        <v>346</v>
      </c>
      <c r="BS191" s="92" t="str">
        <f>IF(EXACT(BO191,BR191),"OK","NG")</f>
        <v>OK</v>
      </c>
      <c r="BT191" s="60"/>
      <c r="BU191" s="170"/>
      <c r="BV191" s="228" t="str">
        <f t="shared" si="145"/>
        <v xml:space="preserve">                                                                                                                                                                                                                                                               </v>
      </c>
      <c r="BW191" s="218" t="s">
        <v>593</v>
      </c>
      <c r="BX191" s="228"/>
      <c r="BY191" s="218" t="str">
        <f t="shared" si="156"/>
        <v>-</v>
      </c>
      <c r="BZ191" s="60"/>
      <c r="CA191" s="174"/>
      <c r="CB191" s="228" t="str">
        <f t="shared" si="146"/>
        <v xml:space="preserve">                                                                                                                                                                                                                                                               </v>
      </c>
      <c r="CC191" s="218" t="str">
        <f t="shared" si="157"/>
        <v>-</v>
      </c>
      <c r="CD191" s="174"/>
      <c r="CE191" s="92" t="str">
        <f t="shared" si="174"/>
        <v>OK</v>
      </c>
      <c r="CF191" s="60"/>
      <c r="CG191" s="174"/>
      <c r="CH191" s="228" t="str">
        <f t="shared" si="147"/>
        <v xml:space="preserve">                                                                                                                                                                                                                                                               </v>
      </c>
      <c r="CI191" s="218" t="str">
        <f t="shared" si="158"/>
        <v>-</v>
      </c>
      <c r="CJ191" s="174"/>
      <c r="CK191" s="92" t="str">
        <f t="shared" si="175"/>
        <v>OK</v>
      </c>
      <c r="CL191" s="60"/>
      <c r="CM191" s="174"/>
      <c r="CN191" s="228" t="str">
        <f t="shared" si="148"/>
        <v xml:space="preserve">                                                                                                                                                                                                                                                               </v>
      </c>
      <c r="CO191" s="218" t="s">
        <v>593</v>
      </c>
      <c r="CP191" s="228"/>
      <c r="CQ191" s="218" t="str">
        <f t="shared" si="159"/>
        <v>-</v>
      </c>
      <c r="CR191" s="60"/>
      <c r="CS191" s="174"/>
      <c r="CT191" s="228" t="str">
        <f t="shared" si="149"/>
        <v xml:space="preserve">                                                                                                                                                                                                                                                               </v>
      </c>
      <c r="CU191" s="218" t="str">
        <f t="shared" si="160"/>
        <v>-</v>
      </c>
      <c r="CV191" s="174"/>
      <c r="CW191" s="92" t="s">
        <v>593</v>
      </c>
      <c r="CX191" s="60"/>
      <c r="CY191" s="174"/>
      <c r="CZ191" s="228" t="str">
        <f t="shared" si="150"/>
        <v xml:space="preserve">                                                                                                                                                                                                                                                               </v>
      </c>
      <c r="DA191" s="218" t="str">
        <f t="shared" si="161"/>
        <v>-</v>
      </c>
      <c r="DB191" s="174"/>
      <c r="DC191" s="92" t="s">
        <v>593</v>
      </c>
    </row>
    <row r="192" spans="1:107" s="26" customFormat="1">
      <c r="B192" s="19">
        <f t="shared" si="151"/>
        <v>185</v>
      </c>
      <c r="C192" s="7"/>
      <c r="D192" s="7"/>
      <c r="E192" s="7"/>
      <c r="F192" s="3" t="s">
        <v>130</v>
      </c>
      <c r="G192" s="3"/>
      <c r="H192" s="4"/>
      <c r="I192" s="6"/>
      <c r="J192" s="6"/>
      <c r="K192" s="6"/>
      <c r="L192" s="6"/>
      <c r="M192" s="23" t="s">
        <v>131</v>
      </c>
      <c r="N192" s="5"/>
      <c r="O192" s="55"/>
      <c r="P192" s="95">
        <f t="shared" si="176"/>
        <v>163</v>
      </c>
      <c r="Q192" s="116">
        <v>256</v>
      </c>
      <c r="R192" s="21" t="str">
        <f t="shared" si="171"/>
        <v>NX</v>
      </c>
      <c r="S192" s="98" t="s">
        <v>132</v>
      </c>
      <c r="T192" s="96"/>
      <c r="U192" s="21" t="s">
        <v>435</v>
      </c>
      <c r="V192" s="10"/>
      <c r="W192" s="28">
        <v>3</v>
      </c>
      <c r="X192" s="5" t="s">
        <v>299</v>
      </c>
      <c r="Y192" s="5">
        <v>1</v>
      </c>
      <c r="Z192" s="5">
        <v>256</v>
      </c>
      <c r="AA192" s="6" t="s">
        <v>300</v>
      </c>
      <c r="AB192" s="6" t="s">
        <v>257</v>
      </c>
      <c r="AC192" s="64"/>
      <c r="AD192" s="60"/>
      <c r="AE192" s="169"/>
      <c r="AF192" s="61" t="str">
        <f t="shared" si="138"/>
        <v xml:space="preserve">                                                                                                                                                                                                                                                                </v>
      </c>
      <c r="AG192" s="218" t="str">
        <f t="shared" si="170"/>
        <v>-</v>
      </c>
      <c r="AH192" s="169"/>
      <c r="AI192" s="92" t="str">
        <f t="shared" si="172"/>
        <v>OK</v>
      </c>
      <c r="AJ192" s="60"/>
      <c r="AK192" s="169"/>
      <c r="AL192" s="61" t="str">
        <f t="shared" si="139"/>
        <v xml:space="preserve">                                                                                                                                                                                                                                                                </v>
      </c>
      <c r="AM192" s="218" t="str">
        <f t="shared" si="152"/>
        <v>-</v>
      </c>
      <c r="AN192" s="169"/>
      <c r="AO192" s="92" t="str">
        <f t="shared" si="173"/>
        <v>OK</v>
      </c>
      <c r="AP192" s="60"/>
      <c r="AQ192" s="172"/>
      <c r="AR192" s="61" t="str">
        <f t="shared" si="140"/>
        <v xml:space="preserve">                                                                                                                                                                                                                                                                </v>
      </c>
      <c r="AS192" s="218" t="s">
        <v>593</v>
      </c>
      <c r="AT192" s="61"/>
      <c r="AU192" s="218" t="str">
        <f t="shared" si="137"/>
        <v>-</v>
      </c>
      <c r="AV192" s="60"/>
      <c r="AW192" s="169"/>
      <c r="AX192" s="61" t="str">
        <f t="shared" si="141"/>
        <v xml:space="preserve">                                                                                                                                                                                                                                                                </v>
      </c>
      <c r="AY192" s="218" t="str">
        <f t="shared" si="153"/>
        <v>-</v>
      </c>
      <c r="AZ192" s="169"/>
      <c r="BA192" s="92" t="str">
        <f>IF(EXACT(AW192,AZ192),"OK","NG")</f>
        <v>OK</v>
      </c>
      <c r="BB192" s="60"/>
      <c r="BC192" s="169"/>
      <c r="BD192" s="61" t="str">
        <f t="shared" si="142"/>
        <v xml:space="preserve">                                                                                                                                                                                                                                                                </v>
      </c>
      <c r="BE192" s="218" t="str">
        <f t="shared" si="154"/>
        <v>-</v>
      </c>
      <c r="BF192" s="169"/>
      <c r="BG192" s="92" t="str">
        <f>IF(EXACT(BC192,BF192),"OK","NG")</f>
        <v>OK</v>
      </c>
      <c r="BH192" s="60"/>
      <c r="BI192" s="170" t="s">
        <v>700</v>
      </c>
      <c r="BJ192" s="61" t="str">
        <f t="shared" si="143"/>
        <v xml:space="preserve">                                                                                                                                                                                                                                                                </v>
      </c>
      <c r="BK192" s="218" t="s">
        <v>593</v>
      </c>
      <c r="BL192" s="169"/>
      <c r="BM192" s="92" t="str">
        <f>IF(EXACT(BI192,BL192),"OK","NG")</f>
        <v>NG</v>
      </c>
      <c r="BN192" s="60"/>
      <c r="BO192" s="169"/>
      <c r="BP192" s="61" t="str">
        <f t="shared" si="144"/>
        <v xml:space="preserve">                                                                                                                                                                                                                                                                </v>
      </c>
      <c r="BQ192" s="218" t="str">
        <f t="shared" si="155"/>
        <v>-</v>
      </c>
      <c r="BR192" s="169"/>
      <c r="BS192" s="92" t="str">
        <f>IF(EXACT(BO192,BR192),"OK","NG")</f>
        <v>OK</v>
      </c>
      <c r="BT192" s="60"/>
      <c r="BU192" s="172"/>
      <c r="BV192" s="61" t="str">
        <f t="shared" si="145"/>
        <v xml:space="preserve">                                                                                                                                                                                                                                                                </v>
      </c>
      <c r="BW192" s="218" t="s">
        <v>593</v>
      </c>
      <c r="BX192" s="61"/>
      <c r="BY192" s="218" t="str">
        <f t="shared" si="156"/>
        <v>-</v>
      </c>
      <c r="BZ192" s="60"/>
      <c r="CA192" s="169"/>
      <c r="CB192" s="61" t="str">
        <f t="shared" si="146"/>
        <v xml:space="preserve">                                                                                                                                                                                                                                                                </v>
      </c>
      <c r="CC192" s="218" t="str">
        <f t="shared" si="157"/>
        <v>-</v>
      </c>
      <c r="CD192" s="169"/>
      <c r="CE192" s="92" t="str">
        <f t="shared" si="174"/>
        <v>OK</v>
      </c>
      <c r="CF192" s="60"/>
      <c r="CG192" s="169"/>
      <c r="CH192" s="61" t="str">
        <f t="shared" si="147"/>
        <v xml:space="preserve">                                                                                                                                                                                                                                                                </v>
      </c>
      <c r="CI192" s="218" t="str">
        <f t="shared" si="158"/>
        <v>-</v>
      </c>
      <c r="CJ192" s="169"/>
      <c r="CK192" s="92" t="str">
        <f t="shared" si="175"/>
        <v>OK</v>
      </c>
      <c r="CL192" s="60"/>
      <c r="CM192" s="169"/>
      <c r="CN192" s="61" t="str">
        <f t="shared" si="148"/>
        <v xml:space="preserve">                                                                                                                                                                                                                                                                </v>
      </c>
      <c r="CO192" s="218" t="s">
        <v>593</v>
      </c>
      <c r="CP192" s="61"/>
      <c r="CQ192" s="218" t="str">
        <f t="shared" si="159"/>
        <v>-</v>
      </c>
      <c r="CR192" s="60"/>
      <c r="CS192" s="169"/>
      <c r="CT192" s="61" t="str">
        <f t="shared" si="149"/>
        <v xml:space="preserve">                                                                                                                                                                                                                                                                </v>
      </c>
      <c r="CU192" s="218" t="str">
        <f t="shared" si="160"/>
        <v>-</v>
      </c>
      <c r="CV192" s="169"/>
      <c r="CW192" s="92" t="s">
        <v>593</v>
      </c>
      <c r="CX192" s="60"/>
      <c r="CY192" s="169"/>
      <c r="CZ192" s="61" t="str">
        <f t="shared" si="150"/>
        <v xml:space="preserve">                                                                                                                                                                                                                                                                </v>
      </c>
      <c r="DA192" s="218" t="str">
        <f t="shared" si="161"/>
        <v>-</v>
      </c>
      <c r="DB192" s="169"/>
      <c r="DC192" s="92" t="s">
        <v>593</v>
      </c>
    </row>
    <row r="193" spans="2:107" s="26" customFormat="1" ht="63.75">
      <c r="B193" s="2">
        <f t="shared" si="151"/>
        <v>186</v>
      </c>
      <c r="C193" s="7"/>
      <c r="D193" s="7"/>
      <c r="E193" s="7"/>
      <c r="F193" s="22" t="s">
        <v>133</v>
      </c>
      <c r="G193" s="16"/>
      <c r="H193" s="13"/>
      <c r="I193" s="8"/>
      <c r="J193" s="8"/>
      <c r="K193" s="8"/>
      <c r="L193" s="8"/>
      <c r="M193" s="11" t="s">
        <v>444</v>
      </c>
      <c r="N193" s="1"/>
      <c r="O193" s="57"/>
      <c r="P193" s="95">
        <f t="shared" si="176"/>
        <v>164</v>
      </c>
      <c r="Q193" s="115">
        <v>256</v>
      </c>
      <c r="R193" s="21" t="str">
        <f t="shared" si="171"/>
        <v>NX</v>
      </c>
      <c r="S193" s="98" t="s">
        <v>134</v>
      </c>
      <c r="T193" s="96"/>
      <c r="U193" s="21" t="s">
        <v>435</v>
      </c>
      <c r="V193" s="10"/>
      <c r="W193" s="25">
        <v>3</v>
      </c>
      <c r="X193" s="1" t="s">
        <v>135</v>
      </c>
      <c r="Y193" s="1">
        <v>1</v>
      </c>
      <c r="Z193" s="1">
        <v>256</v>
      </c>
      <c r="AA193" s="8" t="s">
        <v>129</v>
      </c>
      <c r="AB193" s="8" t="s">
        <v>257</v>
      </c>
      <c r="AC193" s="12"/>
      <c r="AD193" s="60"/>
      <c r="AE193" s="174"/>
      <c r="AF193" s="170" t="str">
        <f t="shared" si="138"/>
        <v xml:space="preserve">                                                                                                                                                                                                                                                                </v>
      </c>
      <c r="AG193" s="218" t="str">
        <f t="shared" si="170"/>
        <v>-</v>
      </c>
      <c r="AH193" s="174"/>
      <c r="AI193" s="92" t="str">
        <f t="shared" si="172"/>
        <v>OK</v>
      </c>
      <c r="AJ193" s="60"/>
      <c r="AK193" s="174"/>
      <c r="AL193" s="170" t="str">
        <f t="shared" si="139"/>
        <v xml:space="preserve">                                                                                                                                                                                                                                                                </v>
      </c>
      <c r="AM193" s="218" t="str">
        <f t="shared" si="152"/>
        <v>-</v>
      </c>
      <c r="AN193" s="174"/>
      <c r="AO193" s="92" t="str">
        <f t="shared" si="173"/>
        <v>OK</v>
      </c>
      <c r="AP193" s="60"/>
      <c r="AQ193" s="170"/>
      <c r="AR193" s="170" t="str">
        <f t="shared" si="140"/>
        <v xml:space="preserve">                                                                                                                                                                                                                                                                </v>
      </c>
      <c r="AS193" s="218" t="s">
        <v>593</v>
      </c>
      <c r="AT193" s="170"/>
      <c r="AU193" s="218" t="str">
        <f t="shared" si="137"/>
        <v>-</v>
      </c>
      <c r="AV193" s="60"/>
      <c r="AW193" s="174"/>
      <c r="AX193" s="170" t="str">
        <f t="shared" si="141"/>
        <v xml:space="preserve">                                                                                                                                                                                                                                                                </v>
      </c>
      <c r="AY193" s="218" t="str">
        <f t="shared" si="153"/>
        <v>-</v>
      </c>
      <c r="AZ193" s="174"/>
      <c r="BA193" s="478" t="s">
        <v>594</v>
      </c>
      <c r="BB193" s="60"/>
      <c r="BC193" s="174"/>
      <c r="BD193" s="170" t="str">
        <f t="shared" si="142"/>
        <v xml:space="preserve">                                                                                                                                                                                                                                                                </v>
      </c>
      <c r="BE193" s="218" t="str">
        <f t="shared" si="154"/>
        <v>-</v>
      </c>
      <c r="BF193" s="174"/>
      <c r="BG193" s="478" t="s">
        <v>594</v>
      </c>
      <c r="BH193" s="60"/>
      <c r="BI193" s="170" t="s">
        <v>700</v>
      </c>
      <c r="BJ193" s="170" t="str">
        <f t="shared" si="143"/>
        <v xml:space="preserve">                                                                                                                                                                                                                                                                </v>
      </c>
      <c r="BK193" s="218" t="s">
        <v>593</v>
      </c>
      <c r="BL193" s="174"/>
      <c r="BM193" s="478" t="s">
        <v>594</v>
      </c>
      <c r="BN193" s="60"/>
      <c r="BO193" s="174"/>
      <c r="BP193" s="170" t="str">
        <f t="shared" si="144"/>
        <v xml:space="preserve">                                                                                                                                                                                                                                                                </v>
      </c>
      <c r="BQ193" s="218" t="str">
        <f t="shared" si="155"/>
        <v>-</v>
      </c>
      <c r="BR193" s="174"/>
      <c r="BS193" s="478" t="s">
        <v>594</v>
      </c>
      <c r="BT193" s="60"/>
      <c r="BU193" s="170"/>
      <c r="BV193" s="170" t="str">
        <f t="shared" si="145"/>
        <v xml:space="preserve">                                                                                                                                                                                                                                                                </v>
      </c>
      <c r="BW193" s="218" t="s">
        <v>593</v>
      </c>
      <c r="BX193" s="170"/>
      <c r="BY193" s="218" t="str">
        <f t="shared" si="156"/>
        <v>-</v>
      </c>
      <c r="BZ193" s="60"/>
      <c r="CA193" s="174"/>
      <c r="CB193" s="170" t="str">
        <f t="shared" si="146"/>
        <v xml:space="preserve">                                                                                                                                                                                                                                                                </v>
      </c>
      <c r="CC193" s="218" t="str">
        <f t="shared" si="157"/>
        <v>-</v>
      </c>
      <c r="CD193" s="174"/>
      <c r="CE193" s="92" t="str">
        <f t="shared" si="174"/>
        <v>OK</v>
      </c>
      <c r="CF193" s="60"/>
      <c r="CG193" s="174"/>
      <c r="CH193" s="170" t="str">
        <f t="shared" si="147"/>
        <v xml:space="preserve">                                                                                                                                                                                                                                                                </v>
      </c>
      <c r="CI193" s="218" t="str">
        <f t="shared" si="158"/>
        <v>-</v>
      </c>
      <c r="CJ193" s="174"/>
      <c r="CK193" s="92" t="str">
        <f t="shared" si="175"/>
        <v>OK</v>
      </c>
      <c r="CL193" s="60"/>
      <c r="CM193" s="174"/>
      <c r="CN193" s="170" t="str">
        <f t="shared" si="148"/>
        <v xml:space="preserve">                                                                                                                                                                                                                                                                </v>
      </c>
      <c r="CO193" s="218" t="s">
        <v>593</v>
      </c>
      <c r="CP193" s="170"/>
      <c r="CQ193" s="218" t="str">
        <f t="shared" si="159"/>
        <v>-</v>
      </c>
      <c r="CR193" s="60"/>
      <c r="CS193" s="174"/>
      <c r="CT193" s="170" t="str">
        <f t="shared" si="149"/>
        <v xml:space="preserve">                                                                                                                                                                                                                                                                </v>
      </c>
      <c r="CU193" s="218" t="str">
        <f t="shared" si="160"/>
        <v>-</v>
      </c>
      <c r="CV193" s="174"/>
      <c r="CW193" s="92" t="s">
        <v>593</v>
      </c>
      <c r="CX193" s="60"/>
      <c r="CY193" s="174"/>
      <c r="CZ193" s="170" t="str">
        <f t="shared" si="150"/>
        <v xml:space="preserve">                                                                                                                                                                                                                                                                </v>
      </c>
      <c r="DA193" s="218" t="str">
        <f t="shared" si="161"/>
        <v>-</v>
      </c>
      <c r="DB193" s="174"/>
      <c r="DC193" s="92" t="s">
        <v>593</v>
      </c>
    </row>
    <row r="194" spans="2:107" s="26" customFormat="1" ht="63.75">
      <c r="B194" s="2">
        <f t="shared" si="151"/>
        <v>187</v>
      </c>
      <c r="C194" s="7"/>
      <c r="D194" s="7"/>
      <c r="E194" s="7"/>
      <c r="F194" s="22" t="s">
        <v>136</v>
      </c>
      <c r="G194" s="16"/>
      <c r="H194" s="13"/>
      <c r="I194" s="8"/>
      <c r="J194" s="8"/>
      <c r="K194" s="8"/>
      <c r="L194" s="8"/>
      <c r="M194" s="11" t="s">
        <v>445</v>
      </c>
      <c r="N194" s="1"/>
      <c r="O194" s="57"/>
      <c r="P194" s="95">
        <f t="shared" si="176"/>
        <v>165</v>
      </c>
      <c r="Q194" s="115">
        <v>256</v>
      </c>
      <c r="R194" s="21" t="str">
        <f t="shared" si="171"/>
        <v>NX</v>
      </c>
      <c r="S194" s="98" t="s">
        <v>137</v>
      </c>
      <c r="T194" s="96"/>
      <c r="U194" s="21" t="s">
        <v>435</v>
      </c>
      <c r="V194" s="10"/>
      <c r="W194" s="25">
        <v>3</v>
      </c>
      <c r="X194" s="1" t="s">
        <v>138</v>
      </c>
      <c r="Y194" s="1">
        <v>1</v>
      </c>
      <c r="Z194" s="1">
        <v>256</v>
      </c>
      <c r="AA194" s="8" t="s">
        <v>129</v>
      </c>
      <c r="AB194" s="8" t="s">
        <v>257</v>
      </c>
      <c r="AC194" s="12"/>
      <c r="AD194" s="60"/>
      <c r="AE194" s="174"/>
      <c r="AF194" s="170" t="str">
        <f t="shared" si="138"/>
        <v xml:space="preserve">                                                                                                                                                                                                                                                                </v>
      </c>
      <c r="AG194" s="218" t="str">
        <f t="shared" si="170"/>
        <v>-</v>
      </c>
      <c r="AH194" s="174"/>
      <c r="AI194" s="92" t="str">
        <f t="shared" si="172"/>
        <v>OK</v>
      </c>
      <c r="AJ194" s="60"/>
      <c r="AK194" s="174"/>
      <c r="AL194" s="170" t="str">
        <f t="shared" si="139"/>
        <v xml:space="preserve">                                                                                                                                                                                                                                                                </v>
      </c>
      <c r="AM194" s="218" t="str">
        <f t="shared" si="152"/>
        <v>-</v>
      </c>
      <c r="AN194" s="174"/>
      <c r="AO194" s="92" t="str">
        <f t="shared" si="173"/>
        <v>OK</v>
      </c>
      <c r="AP194" s="60"/>
      <c r="AQ194" s="170"/>
      <c r="AR194" s="170" t="str">
        <f t="shared" si="140"/>
        <v xml:space="preserve">                                                                                                                                                                                                                                                                </v>
      </c>
      <c r="AS194" s="218" t="s">
        <v>593</v>
      </c>
      <c r="AT194" s="170"/>
      <c r="AU194" s="218" t="str">
        <f t="shared" si="137"/>
        <v>-</v>
      </c>
      <c r="AV194" s="60"/>
      <c r="AW194" s="174"/>
      <c r="AX194" s="170" t="str">
        <f t="shared" si="141"/>
        <v xml:space="preserve">                                                                                                                                                                                                                                                                </v>
      </c>
      <c r="AY194" s="218" t="str">
        <f t="shared" si="153"/>
        <v>-</v>
      </c>
      <c r="AZ194" s="174"/>
      <c r="BA194" s="478" t="s">
        <v>594</v>
      </c>
      <c r="BB194" s="60"/>
      <c r="BC194" s="174"/>
      <c r="BD194" s="170" t="str">
        <f t="shared" si="142"/>
        <v xml:space="preserve">                                                                                                                                                                                                                                                                </v>
      </c>
      <c r="BE194" s="218" t="str">
        <f t="shared" si="154"/>
        <v>-</v>
      </c>
      <c r="BF194" s="174"/>
      <c r="BG194" s="478" t="s">
        <v>594</v>
      </c>
      <c r="BH194" s="60"/>
      <c r="BI194" s="170" t="s">
        <v>700</v>
      </c>
      <c r="BJ194" s="170" t="str">
        <f t="shared" si="143"/>
        <v xml:space="preserve">                                                                                                                                                                                                                                                                </v>
      </c>
      <c r="BK194" s="218" t="s">
        <v>593</v>
      </c>
      <c r="BL194" s="174"/>
      <c r="BM194" s="478" t="s">
        <v>594</v>
      </c>
      <c r="BN194" s="60"/>
      <c r="BO194" s="174"/>
      <c r="BP194" s="170" t="str">
        <f t="shared" si="144"/>
        <v xml:space="preserve">                                                                                                                                                                                                                                                                </v>
      </c>
      <c r="BQ194" s="218" t="str">
        <f t="shared" si="155"/>
        <v>-</v>
      </c>
      <c r="BR194" s="174"/>
      <c r="BS194" s="478" t="s">
        <v>594</v>
      </c>
      <c r="BT194" s="60"/>
      <c r="BU194" s="170"/>
      <c r="BV194" s="170" t="str">
        <f t="shared" si="145"/>
        <v xml:space="preserve">                                                                                                                                                                                                                                                                </v>
      </c>
      <c r="BW194" s="218" t="s">
        <v>593</v>
      </c>
      <c r="BX194" s="170"/>
      <c r="BY194" s="218" t="str">
        <f t="shared" si="156"/>
        <v>-</v>
      </c>
      <c r="BZ194" s="60"/>
      <c r="CA194" s="174"/>
      <c r="CB194" s="170" t="str">
        <f t="shared" si="146"/>
        <v xml:space="preserve">                                                                                                                                                                                                                                                                </v>
      </c>
      <c r="CC194" s="218" t="str">
        <f t="shared" si="157"/>
        <v>-</v>
      </c>
      <c r="CD194" s="174"/>
      <c r="CE194" s="92" t="str">
        <f t="shared" si="174"/>
        <v>OK</v>
      </c>
      <c r="CF194" s="60"/>
      <c r="CG194" s="174"/>
      <c r="CH194" s="170" t="str">
        <f t="shared" si="147"/>
        <v xml:space="preserve">                                                                                                                                                                                                                                                                </v>
      </c>
      <c r="CI194" s="218" t="str">
        <f t="shared" si="158"/>
        <v>-</v>
      </c>
      <c r="CJ194" s="174"/>
      <c r="CK194" s="92" t="str">
        <f t="shared" si="175"/>
        <v>OK</v>
      </c>
      <c r="CL194" s="60"/>
      <c r="CM194" s="174"/>
      <c r="CN194" s="170" t="str">
        <f t="shared" si="148"/>
        <v xml:space="preserve">                                                                                                                                                                                                                                                                </v>
      </c>
      <c r="CO194" s="218" t="s">
        <v>593</v>
      </c>
      <c r="CP194" s="170"/>
      <c r="CQ194" s="218" t="str">
        <f t="shared" si="159"/>
        <v>-</v>
      </c>
      <c r="CR194" s="60"/>
      <c r="CS194" s="174"/>
      <c r="CT194" s="170" t="str">
        <f t="shared" si="149"/>
        <v xml:space="preserve">                                                                                                                                                                                                                                                                </v>
      </c>
      <c r="CU194" s="218" t="str">
        <f t="shared" si="160"/>
        <v>-</v>
      </c>
      <c r="CV194" s="174"/>
      <c r="CW194" s="92" t="s">
        <v>593</v>
      </c>
      <c r="CX194" s="60"/>
      <c r="CY194" s="174"/>
      <c r="CZ194" s="170" t="str">
        <f t="shared" si="150"/>
        <v xml:space="preserve">                                                                                                                                                                                                                                                                </v>
      </c>
      <c r="DA194" s="218" t="str">
        <f t="shared" si="161"/>
        <v>-</v>
      </c>
      <c r="DB194" s="174"/>
      <c r="DC194" s="92" t="s">
        <v>593</v>
      </c>
    </row>
    <row r="195" spans="2:107" s="26" customFormat="1" ht="69" customHeight="1">
      <c r="B195" s="19">
        <f t="shared" si="151"/>
        <v>188</v>
      </c>
      <c r="C195" s="7"/>
      <c r="D195" s="7"/>
      <c r="E195" s="7"/>
      <c r="F195" s="112" t="s">
        <v>446</v>
      </c>
      <c r="G195" s="16"/>
      <c r="H195" s="13"/>
      <c r="I195" s="8"/>
      <c r="J195" s="8" t="s">
        <v>426</v>
      </c>
      <c r="K195" s="8"/>
      <c r="L195" s="8"/>
      <c r="M195" s="11" t="s">
        <v>301</v>
      </c>
      <c r="N195" s="1"/>
      <c r="O195" s="57"/>
      <c r="P195" s="95">
        <f t="shared" si="176"/>
        <v>166</v>
      </c>
      <c r="Q195" s="115">
        <v>1</v>
      </c>
      <c r="R195" s="21" t="s">
        <v>418</v>
      </c>
      <c r="S195" s="98" t="s">
        <v>139</v>
      </c>
      <c r="T195" s="96"/>
      <c r="U195" s="21" t="s">
        <v>435</v>
      </c>
      <c r="V195" s="10"/>
      <c r="W195" s="25">
        <v>3</v>
      </c>
      <c r="X195" s="1" t="s">
        <v>140</v>
      </c>
      <c r="Y195" s="1">
        <v>1</v>
      </c>
      <c r="Z195" s="1">
        <v>1</v>
      </c>
      <c r="AA195" s="8">
        <v>9</v>
      </c>
      <c r="AB195" s="8" t="s">
        <v>21</v>
      </c>
      <c r="AC195" s="12"/>
      <c r="AD195" s="60"/>
      <c r="AE195" s="174"/>
      <c r="AF195" s="61" t="str">
        <f t="shared" si="138"/>
        <v xml:space="preserve"> </v>
      </c>
      <c r="AG195" s="218" t="str">
        <f t="shared" si="170"/>
        <v>-</v>
      </c>
      <c r="AH195" s="174"/>
      <c r="AI195" s="92" t="str">
        <f t="shared" si="172"/>
        <v>OK</v>
      </c>
      <c r="AJ195" s="60"/>
      <c r="AK195" s="174"/>
      <c r="AL195" s="61" t="str">
        <f t="shared" si="139"/>
        <v xml:space="preserve"> </v>
      </c>
      <c r="AM195" s="218" t="str">
        <f t="shared" si="152"/>
        <v>-</v>
      </c>
      <c r="AN195" s="174"/>
      <c r="AO195" s="92" t="str">
        <f t="shared" si="173"/>
        <v>OK</v>
      </c>
      <c r="AP195" s="60"/>
      <c r="AQ195" s="170"/>
      <c r="AR195" s="61" t="str">
        <f t="shared" si="140"/>
        <v xml:space="preserve"> </v>
      </c>
      <c r="AS195" s="218" t="s">
        <v>593</v>
      </c>
      <c r="AT195" s="61"/>
      <c r="AU195" s="218" t="str">
        <f t="shared" si="137"/>
        <v>-</v>
      </c>
      <c r="AV195" s="60"/>
      <c r="AW195" s="174" t="s">
        <v>33</v>
      </c>
      <c r="AX195" s="61" t="str">
        <f t="shared" si="141"/>
        <v>1</v>
      </c>
      <c r="AY195" s="218" t="str">
        <f t="shared" si="153"/>
        <v>-</v>
      </c>
      <c r="AZ195" s="174" t="s">
        <v>33</v>
      </c>
      <c r="BA195" s="478" t="s">
        <v>594</v>
      </c>
      <c r="BB195" s="60"/>
      <c r="BC195" s="174" t="s">
        <v>33</v>
      </c>
      <c r="BD195" s="61" t="str">
        <f t="shared" si="142"/>
        <v>1</v>
      </c>
      <c r="BE195" s="218" t="str">
        <f t="shared" si="154"/>
        <v>-</v>
      </c>
      <c r="BF195" s="174" t="s">
        <v>33</v>
      </c>
      <c r="BG195" s="478" t="s">
        <v>594</v>
      </c>
      <c r="BH195" s="60"/>
      <c r="BI195" s="170" t="s">
        <v>33</v>
      </c>
      <c r="BJ195" s="61" t="str">
        <f t="shared" si="143"/>
        <v>1</v>
      </c>
      <c r="BK195" s="218" t="s">
        <v>593</v>
      </c>
      <c r="BL195" s="174" t="s">
        <v>33</v>
      </c>
      <c r="BM195" s="478" t="s">
        <v>594</v>
      </c>
      <c r="BN195" s="60"/>
      <c r="BO195" s="174" t="s">
        <v>33</v>
      </c>
      <c r="BP195" s="61" t="str">
        <f t="shared" si="144"/>
        <v>1</v>
      </c>
      <c r="BQ195" s="218" t="str">
        <f t="shared" si="155"/>
        <v>-</v>
      </c>
      <c r="BR195" s="174" t="s">
        <v>33</v>
      </c>
      <c r="BS195" s="478" t="s">
        <v>594</v>
      </c>
      <c r="BT195" s="60"/>
      <c r="BU195" s="170"/>
      <c r="BV195" s="61" t="str">
        <f t="shared" si="145"/>
        <v xml:space="preserve"> </v>
      </c>
      <c r="BW195" s="218" t="s">
        <v>593</v>
      </c>
      <c r="BX195" s="61"/>
      <c r="BY195" s="218" t="str">
        <f t="shared" si="156"/>
        <v>-</v>
      </c>
      <c r="BZ195" s="60"/>
      <c r="CA195" s="174"/>
      <c r="CB195" s="61" t="str">
        <f t="shared" si="146"/>
        <v xml:space="preserve"> </v>
      </c>
      <c r="CC195" s="218" t="str">
        <f t="shared" si="157"/>
        <v>-</v>
      </c>
      <c r="CD195" s="174"/>
      <c r="CE195" s="92" t="str">
        <f t="shared" si="174"/>
        <v>OK</v>
      </c>
      <c r="CF195" s="60"/>
      <c r="CG195" s="174"/>
      <c r="CH195" s="61" t="str">
        <f t="shared" si="147"/>
        <v xml:space="preserve"> </v>
      </c>
      <c r="CI195" s="218" t="str">
        <f t="shared" si="158"/>
        <v>-</v>
      </c>
      <c r="CJ195" s="174"/>
      <c r="CK195" s="92" t="str">
        <f t="shared" si="175"/>
        <v>OK</v>
      </c>
      <c r="CL195" s="60"/>
      <c r="CM195" s="174"/>
      <c r="CN195" s="61" t="str">
        <f t="shared" si="148"/>
        <v xml:space="preserve"> </v>
      </c>
      <c r="CO195" s="218" t="s">
        <v>593</v>
      </c>
      <c r="CP195" s="61"/>
      <c r="CQ195" s="218" t="str">
        <f t="shared" si="159"/>
        <v>-</v>
      </c>
      <c r="CR195" s="60"/>
      <c r="CS195" s="174"/>
      <c r="CT195" s="61" t="str">
        <f t="shared" si="149"/>
        <v xml:space="preserve"> </v>
      </c>
      <c r="CU195" s="218" t="str">
        <f t="shared" si="160"/>
        <v>-</v>
      </c>
      <c r="CV195" s="174"/>
      <c r="CW195" s="92" t="s">
        <v>593</v>
      </c>
      <c r="CX195" s="60"/>
      <c r="CY195" s="174"/>
      <c r="CZ195" s="61" t="str">
        <f t="shared" si="150"/>
        <v xml:space="preserve"> </v>
      </c>
      <c r="DA195" s="218" t="str">
        <f t="shared" si="161"/>
        <v>-</v>
      </c>
      <c r="DB195" s="174"/>
      <c r="DC195" s="92" t="s">
        <v>593</v>
      </c>
    </row>
    <row r="196" spans="2:107" s="26" customFormat="1" ht="114.75">
      <c r="B196" s="2">
        <f t="shared" si="151"/>
        <v>189</v>
      </c>
      <c r="C196" s="7"/>
      <c r="D196" s="7"/>
      <c r="E196" s="7"/>
      <c r="F196" s="22" t="s">
        <v>141</v>
      </c>
      <c r="G196" s="16"/>
      <c r="H196" s="13"/>
      <c r="I196" s="8"/>
      <c r="J196" s="8"/>
      <c r="K196" s="8"/>
      <c r="L196" s="8"/>
      <c r="M196" s="418" t="s">
        <v>221</v>
      </c>
      <c r="N196" s="1"/>
      <c r="O196" s="57"/>
      <c r="P196" s="95">
        <f t="shared" si="176"/>
        <v>167</v>
      </c>
      <c r="Q196" s="115">
        <v>1</v>
      </c>
      <c r="R196" s="21" t="s">
        <v>418</v>
      </c>
      <c r="S196" s="98" t="s">
        <v>142</v>
      </c>
      <c r="T196" s="96"/>
      <c r="U196" s="21" t="s">
        <v>435</v>
      </c>
      <c r="V196" s="10"/>
      <c r="W196" s="25">
        <v>3</v>
      </c>
      <c r="X196" s="1" t="s">
        <v>20</v>
      </c>
      <c r="Y196" s="1">
        <v>1</v>
      </c>
      <c r="Z196" s="1">
        <v>1</v>
      </c>
      <c r="AA196" s="8">
        <v>9</v>
      </c>
      <c r="AB196" s="8" t="s">
        <v>21</v>
      </c>
      <c r="AC196" s="103"/>
      <c r="AD196" s="60"/>
      <c r="AE196" s="174"/>
      <c r="AF196" s="61" t="str">
        <f t="shared" si="138"/>
        <v xml:space="preserve"> </v>
      </c>
      <c r="AG196" s="218" t="str">
        <f t="shared" si="170"/>
        <v>-</v>
      </c>
      <c r="AH196" s="174"/>
      <c r="AI196" s="92" t="str">
        <f t="shared" si="172"/>
        <v>OK</v>
      </c>
      <c r="AJ196" s="60"/>
      <c r="AK196" s="174"/>
      <c r="AL196" s="61" t="str">
        <f t="shared" si="139"/>
        <v xml:space="preserve"> </v>
      </c>
      <c r="AM196" s="218" t="str">
        <f t="shared" si="152"/>
        <v>-</v>
      </c>
      <c r="AN196" s="174"/>
      <c r="AO196" s="92" t="str">
        <f t="shared" si="173"/>
        <v>OK</v>
      </c>
      <c r="AP196" s="60"/>
      <c r="AQ196" s="170"/>
      <c r="AR196" s="61" t="str">
        <f t="shared" si="140"/>
        <v xml:space="preserve"> </v>
      </c>
      <c r="AS196" s="218" t="s">
        <v>593</v>
      </c>
      <c r="AT196" s="61"/>
      <c r="AU196" s="218" t="str">
        <f t="shared" si="137"/>
        <v>-</v>
      </c>
      <c r="AV196" s="60"/>
      <c r="AW196" s="174"/>
      <c r="AX196" s="61" t="str">
        <f t="shared" si="141"/>
        <v xml:space="preserve"> </v>
      </c>
      <c r="AY196" s="218" t="str">
        <f t="shared" si="153"/>
        <v>-</v>
      </c>
      <c r="AZ196" s="174"/>
      <c r="BA196" s="478" t="s">
        <v>594</v>
      </c>
      <c r="BB196" s="60"/>
      <c r="BC196" s="174"/>
      <c r="BD196" s="61" t="str">
        <f t="shared" si="142"/>
        <v xml:space="preserve"> </v>
      </c>
      <c r="BE196" s="218" t="str">
        <f t="shared" si="154"/>
        <v>-</v>
      </c>
      <c r="BF196" s="174"/>
      <c r="BG196" s="478" t="s">
        <v>594</v>
      </c>
      <c r="BH196" s="60"/>
      <c r="BI196" s="170" t="s">
        <v>38</v>
      </c>
      <c r="BJ196" s="61" t="str">
        <f t="shared" si="143"/>
        <v xml:space="preserve"> </v>
      </c>
      <c r="BK196" s="218" t="s">
        <v>593</v>
      </c>
      <c r="BL196" s="174"/>
      <c r="BM196" s="478" t="s">
        <v>594</v>
      </c>
      <c r="BN196" s="60"/>
      <c r="BO196" s="174"/>
      <c r="BP196" s="61" t="str">
        <f t="shared" si="144"/>
        <v xml:space="preserve"> </v>
      </c>
      <c r="BQ196" s="218" t="str">
        <f t="shared" si="155"/>
        <v>-</v>
      </c>
      <c r="BR196" s="174"/>
      <c r="BS196" s="478" t="s">
        <v>594</v>
      </c>
      <c r="BT196" s="60"/>
      <c r="BU196" s="170"/>
      <c r="BV196" s="61" t="str">
        <f t="shared" si="145"/>
        <v xml:space="preserve"> </v>
      </c>
      <c r="BW196" s="218" t="s">
        <v>593</v>
      </c>
      <c r="BX196" s="61"/>
      <c r="BY196" s="218" t="str">
        <f t="shared" si="156"/>
        <v>-</v>
      </c>
      <c r="BZ196" s="60"/>
      <c r="CA196" s="174"/>
      <c r="CB196" s="61" t="str">
        <f t="shared" si="146"/>
        <v xml:space="preserve"> </v>
      </c>
      <c r="CC196" s="218" t="str">
        <f t="shared" si="157"/>
        <v>-</v>
      </c>
      <c r="CD196" s="174"/>
      <c r="CE196" s="92" t="str">
        <f t="shared" si="174"/>
        <v>OK</v>
      </c>
      <c r="CF196" s="60"/>
      <c r="CG196" s="174"/>
      <c r="CH196" s="61" t="str">
        <f t="shared" si="147"/>
        <v xml:space="preserve"> </v>
      </c>
      <c r="CI196" s="218" t="str">
        <f t="shared" si="158"/>
        <v>-</v>
      </c>
      <c r="CJ196" s="174"/>
      <c r="CK196" s="92" t="str">
        <f t="shared" si="175"/>
        <v>OK</v>
      </c>
      <c r="CL196" s="60"/>
      <c r="CM196" s="174"/>
      <c r="CN196" s="61" t="str">
        <f t="shared" si="148"/>
        <v xml:space="preserve"> </v>
      </c>
      <c r="CO196" s="218" t="s">
        <v>593</v>
      </c>
      <c r="CP196" s="61"/>
      <c r="CQ196" s="218" t="str">
        <f t="shared" si="159"/>
        <v>-</v>
      </c>
      <c r="CR196" s="60"/>
      <c r="CS196" s="174"/>
      <c r="CT196" s="61" t="str">
        <f t="shared" si="149"/>
        <v xml:space="preserve"> </v>
      </c>
      <c r="CU196" s="218" t="str">
        <f t="shared" si="160"/>
        <v>-</v>
      </c>
      <c r="CV196" s="174"/>
      <c r="CW196" s="92" t="s">
        <v>593</v>
      </c>
      <c r="CX196" s="60"/>
      <c r="CY196" s="174"/>
      <c r="CZ196" s="61" t="str">
        <f t="shared" si="150"/>
        <v xml:space="preserve"> </v>
      </c>
      <c r="DA196" s="218" t="str">
        <f t="shared" si="161"/>
        <v>-</v>
      </c>
      <c r="DB196" s="174"/>
      <c r="DC196" s="92" t="s">
        <v>593</v>
      </c>
    </row>
    <row r="197" spans="2:107" s="26" customFormat="1" ht="126.75" customHeight="1">
      <c r="B197" s="65">
        <f t="shared" si="151"/>
        <v>190</v>
      </c>
      <c r="C197" s="7"/>
      <c r="D197" s="7"/>
      <c r="E197" s="7"/>
      <c r="F197" s="112" t="s">
        <v>143</v>
      </c>
      <c r="G197" s="16"/>
      <c r="H197" s="13"/>
      <c r="I197" s="8"/>
      <c r="J197" s="8"/>
      <c r="K197" s="8"/>
      <c r="L197" s="8"/>
      <c r="M197" s="11" t="s">
        <v>447</v>
      </c>
      <c r="N197" s="1"/>
      <c r="O197" s="57"/>
      <c r="P197" s="95">
        <f t="shared" si="176"/>
        <v>168</v>
      </c>
      <c r="Q197" s="115">
        <v>1</v>
      </c>
      <c r="R197" s="21" t="str">
        <f t="shared" ref="R197:R213" si="177">IF(AA197="M","NX",AA197)</f>
        <v>X</v>
      </c>
      <c r="S197" s="98" t="s">
        <v>189</v>
      </c>
      <c r="T197" s="96"/>
      <c r="U197" s="21" t="s">
        <v>435</v>
      </c>
      <c r="V197" s="10"/>
      <c r="W197" s="25">
        <v>3</v>
      </c>
      <c r="X197" s="1" t="s">
        <v>302</v>
      </c>
      <c r="Y197" s="1">
        <v>1</v>
      </c>
      <c r="Z197" s="1">
        <v>1</v>
      </c>
      <c r="AA197" s="8" t="s">
        <v>261</v>
      </c>
      <c r="AB197" s="8" t="s">
        <v>257</v>
      </c>
      <c r="AC197" s="12"/>
      <c r="AD197" s="60"/>
      <c r="AE197" s="174"/>
      <c r="AF197" s="61" t="str">
        <f t="shared" si="138"/>
        <v xml:space="preserve"> </v>
      </c>
      <c r="AG197" s="218" t="str">
        <f t="shared" si="170"/>
        <v>-</v>
      </c>
      <c r="AH197" s="174"/>
      <c r="AI197" s="92" t="str">
        <f t="shared" si="172"/>
        <v>OK</v>
      </c>
      <c r="AJ197" s="60"/>
      <c r="AK197" s="174"/>
      <c r="AL197" s="61" t="str">
        <f t="shared" si="139"/>
        <v xml:space="preserve"> </v>
      </c>
      <c r="AM197" s="218" t="str">
        <f t="shared" si="152"/>
        <v>-</v>
      </c>
      <c r="AN197" s="174"/>
      <c r="AO197" s="92" t="str">
        <f t="shared" si="173"/>
        <v>OK</v>
      </c>
      <c r="AP197" s="60"/>
      <c r="AQ197" s="170"/>
      <c r="AR197" s="61" t="str">
        <f t="shared" si="140"/>
        <v xml:space="preserve"> </v>
      </c>
      <c r="AS197" s="218" t="s">
        <v>593</v>
      </c>
      <c r="AT197" s="61"/>
      <c r="AU197" s="218" t="str">
        <f t="shared" si="137"/>
        <v>-</v>
      </c>
      <c r="AV197" s="60"/>
      <c r="AW197" s="174" t="s">
        <v>374</v>
      </c>
      <c r="AX197" s="61" t="str">
        <f t="shared" si="141"/>
        <v>5</v>
      </c>
      <c r="AY197" s="218" t="str">
        <f t="shared" si="153"/>
        <v>-</v>
      </c>
      <c r="AZ197" s="174" t="s">
        <v>374</v>
      </c>
      <c r="BA197" s="478" t="s">
        <v>594</v>
      </c>
      <c r="BB197" s="60"/>
      <c r="BC197" s="174" t="s">
        <v>374</v>
      </c>
      <c r="BD197" s="61" t="str">
        <f t="shared" si="142"/>
        <v>5</v>
      </c>
      <c r="BE197" s="218" t="str">
        <f t="shared" si="154"/>
        <v>-</v>
      </c>
      <c r="BF197" s="174" t="s">
        <v>374</v>
      </c>
      <c r="BG197" s="478" t="s">
        <v>594</v>
      </c>
      <c r="BH197" s="60"/>
      <c r="BI197" s="170" t="s">
        <v>374</v>
      </c>
      <c r="BJ197" s="61" t="str">
        <f t="shared" si="143"/>
        <v>5</v>
      </c>
      <c r="BK197" s="218" t="s">
        <v>593</v>
      </c>
      <c r="BL197" s="174" t="s">
        <v>374</v>
      </c>
      <c r="BM197" s="478" t="s">
        <v>594</v>
      </c>
      <c r="BN197" s="60"/>
      <c r="BO197" s="174" t="s">
        <v>374</v>
      </c>
      <c r="BP197" s="61" t="str">
        <f t="shared" si="144"/>
        <v>5</v>
      </c>
      <c r="BQ197" s="218" t="str">
        <f t="shared" si="155"/>
        <v>-</v>
      </c>
      <c r="BR197" s="174" t="s">
        <v>374</v>
      </c>
      <c r="BS197" s="478" t="s">
        <v>594</v>
      </c>
      <c r="BT197" s="60"/>
      <c r="BU197" s="170"/>
      <c r="BV197" s="61" t="str">
        <f t="shared" si="145"/>
        <v xml:space="preserve"> </v>
      </c>
      <c r="BW197" s="218" t="s">
        <v>593</v>
      </c>
      <c r="BX197" s="61"/>
      <c r="BY197" s="218" t="str">
        <f t="shared" si="156"/>
        <v>-</v>
      </c>
      <c r="BZ197" s="60"/>
      <c r="CA197" s="174"/>
      <c r="CB197" s="61" t="str">
        <f t="shared" si="146"/>
        <v xml:space="preserve"> </v>
      </c>
      <c r="CC197" s="218" t="str">
        <f t="shared" si="157"/>
        <v>-</v>
      </c>
      <c r="CD197" s="174"/>
      <c r="CE197" s="92" t="str">
        <f t="shared" si="174"/>
        <v>OK</v>
      </c>
      <c r="CF197" s="60"/>
      <c r="CG197" s="174"/>
      <c r="CH197" s="61" t="str">
        <f t="shared" si="147"/>
        <v xml:space="preserve"> </v>
      </c>
      <c r="CI197" s="218" t="str">
        <f t="shared" si="158"/>
        <v>-</v>
      </c>
      <c r="CJ197" s="174"/>
      <c r="CK197" s="92" t="str">
        <f t="shared" si="175"/>
        <v>OK</v>
      </c>
      <c r="CL197" s="60"/>
      <c r="CM197" s="174"/>
      <c r="CN197" s="61" t="str">
        <f t="shared" si="148"/>
        <v xml:space="preserve"> </v>
      </c>
      <c r="CO197" s="218" t="s">
        <v>593</v>
      </c>
      <c r="CP197" s="61"/>
      <c r="CQ197" s="218" t="str">
        <f t="shared" si="159"/>
        <v>-</v>
      </c>
      <c r="CR197" s="60"/>
      <c r="CS197" s="174"/>
      <c r="CT197" s="61" t="str">
        <f t="shared" si="149"/>
        <v xml:space="preserve"> </v>
      </c>
      <c r="CU197" s="218" t="str">
        <f t="shared" si="160"/>
        <v>-</v>
      </c>
      <c r="CV197" s="174"/>
      <c r="CW197" s="92" t="s">
        <v>593</v>
      </c>
      <c r="CX197" s="60"/>
      <c r="CY197" s="174"/>
      <c r="CZ197" s="61" t="str">
        <f t="shared" si="150"/>
        <v xml:space="preserve"> </v>
      </c>
      <c r="DA197" s="218" t="str">
        <f t="shared" si="161"/>
        <v>-</v>
      </c>
      <c r="DB197" s="174"/>
      <c r="DC197" s="92" t="s">
        <v>593</v>
      </c>
    </row>
    <row r="198" spans="2:107" s="26" customFormat="1">
      <c r="B198" s="65">
        <f t="shared" si="151"/>
        <v>191</v>
      </c>
      <c r="C198" s="7"/>
      <c r="D198" s="7"/>
      <c r="E198" s="7"/>
      <c r="F198" s="22" t="s">
        <v>144</v>
      </c>
      <c r="G198" s="16"/>
      <c r="H198" s="13"/>
      <c r="I198" s="8"/>
      <c r="J198" s="8"/>
      <c r="K198" s="8"/>
      <c r="L198" s="8"/>
      <c r="M198" s="418" t="s">
        <v>145</v>
      </c>
      <c r="N198" s="1"/>
      <c r="O198" s="57"/>
      <c r="P198" s="95">
        <f t="shared" si="176"/>
        <v>169</v>
      </c>
      <c r="Q198" s="115">
        <v>400</v>
      </c>
      <c r="R198" s="21" t="str">
        <f t="shared" si="177"/>
        <v>NX</v>
      </c>
      <c r="S198" s="98" t="s">
        <v>146</v>
      </c>
      <c r="T198" s="96"/>
      <c r="U198" s="21" t="s">
        <v>435</v>
      </c>
      <c r="V198" s="10"/>
      <c r="W198" s="25">
        <v>3</v>
      </c>
      <c r="X198" s="1" t="s">
        <v>147</v>
      </c>
      <c r="Y198" s="1">
        <v>1</v>
      </c>
      <c r="Z198" s="1">
        <v>400</v>
      </c>
      <c r="AA198" s="8" t="s">
        <v>129</v>
      </c>
      <c r="AB198" s="8" t="s">
        <v>257</v>
      </c>
      <c r="AC198" s="12"/>
      <c r="AD198" s="60"/>
      <c r="AE198" s="174"/>
      <c r="AF198" s="271" t="str">
        <f t="shared" si="138"/>
        <v xml:space="preserve">                                                                                                                                                                                                                                                                                                                                                                                                                </v>
      </c>
      <c r="AG198" s="218" t="str">
        <f t="shared" si="170"/>
        <v>-</v>
      </c>
      <c r="AH198" s="174"/>
      <c r="AI198" s="92" t="str">
        <f t="shared" si="172"/>
        <v>OK</v>
      </c>
      <c r="AJ198" s="60"/>
      <c r="AK198" s="174"/>
      <c r="AL198" s="271" t="str">
        <f t="shared" si="139"/>
        <v xml:space="preserve">                                                                                                                                                                                                                                                                                                                                                                                                                </v>
      </c>
      <c r="AM198" s="218" t="str">
        <f t="shared" si="152"/>
        <v>-</v>
      </c>
      <c r="AN198" s="174"/>
      <c r="AO198" s="92" t="str">
        <f t="shared" si="173"/>
        <v>OK</v>
      </c>
      <c r="AP198" s="60"/>
      <c r="AQ198" s="170"/>
      <c r="AR198" s="271" t="str">
        <f t="shared" si="140"/>
        <v xml:space="preserve">                                                                                                                                                                                                                                                                                                                                                                                                                </v>
      </c>
      <c r="AS198" s="218" t="s">
        <v>593</v>
      </c>
      <c r="AT198" s="271"/>
      <c r="AU198" s="218" t="str">
        <f t="shared" si="137"/>
        <v>-</v>
      </c>
      <c r="AV198" s="60"/>
      <c r="AW198" s="174" t="s">
        <v>190</v>
      </c>
      <c r="AX198" s="271" t="str">
        <f t="shared" si="141"/>
        <v xml:space="preserve">申込受付中。                                                                                                                                                                                                                                                                                                                                                                                                    </v>
      </c>
      <c r="AY198" s="218" t="str">
        <f t="shared" si="153"/>
        <v>-</v>
      </c>
      <c r="AZ198" s="174" t="s">
        <v>190</v>
      </c>
      <c r="BA198" s="478" t="s">
        <v>594</v>
      </c>
      <c r="BB198" s="60"/>
      <c r="BC198" s="174" t="s">
        <v>190</v>
      </c>
      <c r="BD198" s="271" t="str">
        <f t="shared" si="142"/>
        <v xml:space="preserve">申込受付中。                                                                                                                                                                                                                                                                                                                                                                                                    </v>
      </c>
      <c r="BE198" s="218" t="str">
        <f t="shared" si="154"/>
        <v>-</v>
      </c>
      <c r="BF198" s="174" t="s">
        <v>190</v>
      </c>
      <c r="BG198" s="478" t="s">
        <v>594</v>
      </c>
      <c r="BH198" s="60"/>
      <c r="BI198" s="170" t="s">
        <v>730</v>
      </c>
      <c r="BJ198" s="271" t="str">
        <f t="shared" si="143"/>
        <v xml:space="preserve">申込受付中。                                                                                                                                                                                                                                                                                                                                                                                                    </v>
      </c>
      <c r="BK198" s="218" t="s">
        <v>593</v>
      </c>
      <c r="BL198" s="174" t="s">
        <v>190</v>
      </c>
      <c r="BM198" s="478" t="s">
        <v>594</v>
      </c>
      <c r="BN198" s="60"/>
      <c r="BO198" s="174" t="s">
        <v>190</v>
      </c>
      <c r="BP198" s="271" t="str">
        <f t="shared" si="144"/>
        <v xml:space="preserve">申込受付中。                                                                                                                                                                                                                                                                                                                                                                                                    </v>
      </c>
      <c r="BQ198" s="218" t="str">
        <f t="shared" si="155"/>
        <v>-</v>
      </c>
      <c r="BR198" s="174" t="s">
        <v>190</v>
      </c>
      <c r="BS198" s="478" t="s">
        <v>594</v>
      </c>
      <c r="BT198" s="60"/>
      <c r="BU198" s="170"/>
      <c r="BV198" s="271" t="str">
        <f t="shared" si="145"/>
        <v xml:space="preserve">                                                                                                                                                                                                                                                                                                                                                                                                                </v>
      </c>
      <c r="BW198" s="218" t="s">
        <v>593</v>
      </c>
      <c r="BX198" s="271"/>
      <c r="BY198" s="218" t="str">
        <f t="shared" si="156"/>
        <v>-</v>
      </c>
      <c r="BZ198" s="60"/>
      <c r="CA198" s="174"/>
      <c r="CB198" s="271" t="str">
        <f t="shared" si="146"/>
        <v xml:space="preserve">                                                                                                                                                                                                                                                                                                                                                                                                                </v>
      </c>
      <c r="CC198" s="218" t="str">
        <f t="shared" si="157"/>
        <v>-</v>
      </c>
      <c r="CD198" s="174"/>
      <c r="CE198" s="92" t="str">
        <f t="shared" si="174"/>
        <v>OK</v>
      </c>
      <c r="CF198" s="60"/>
      <c r="CG198" s="174"/>
      <c r="CH198" s="271" t="str">
        <f t="shared" si="147"/>
        <v xml:space="preserve">                                                                                                                                                                                                                                                                                                                                                                                                                </v>
      </c>
      <c r="CI198" s="218" t="str">
        <f t="shared" si="158"/>
        <v>-</v>
      </c>
      <c r="CJ198" s="174"/>
      <c r="CK198" s="92" t="str">
        <f t="shared" si="175"/>
        <v>OK</v>
      </c>
      <c r="CL198" s="60"/>
      <c r="CM198" s="174"/>
      <c r="CN198" s="271" t="str">
        <f t="shared" si="148"/>
        <v xml:space="preserve">                                                                                                                                                                                                                                                                                                                                                                                                                </v>
      </c>
      <c r="CO198" s="218" t="s">
        <v>593</v>
      </c>
      <c r="CP198" s="271"/>
      <c r="CQ198" s="218" t="str">
        <f t="shared" si="159"/>
        <v>-</v>
      </c>
      <c r="CR198" s="60"/>
      <c r="CS198" s="174"/>
      <c r="CT198" s="271" t="str">
        <f t="shared" si="149"/>
        <v xml:space="preserve">                                                                                                                                                                                                                                                                                                                                                                                                                </v>
      </c>
      <c r="CU198" s="218" t="str">
        <f t="shared" si="160"/>
        <v>-</v>
      </c>
      <c r="CV198" s="174"/>
      <c r="CW198" s="92" t="s">
        <v>593</v>
      </c>
      <c r="CX198" s="60"/>
      <c r="CY198" s="174"/>
      <c r="CZ198" s="271" t="str">
        <f t="shared" si="150"/>
        <v xml:space="preserve">                                                                                                                                                                                                                                                                                                                                                                                                                </v>
      </c>
      <c r="DA198" s="218" t="str">
        <f t="shared" si="161"/>
        <v>-</v>
      </c>
      <c r="DB198" s="174"/>
      <c r="DC198" s="92" t="s">
        <v>593</v>
      </c>
    </row>
    <row r="199" spans="2:107" s="26" customFormat="1" ht="63.75">
      <c r="B199" s="65">
        <f t="shared" si="151"/>
        <v>192</v>
      </c>
      <c r="C199" s="7"/>
      <c r="D199" s="7"/>
      <c r="E199" s="7"/>
      <c r="F199" s="22" t="s">
        <v>148</v>
      </c>
      <c r="G199" s="16"/>
      <c r="H199" s="13"/>
      <c r="I199" s="8"/>
      <c r="J199" s="8"/>
      <c r="K199" s="8"/>
      <c r="L199" s="8"/>
      <c r="M199" s="418" t="s">
        <v>448</v>
      </c>
      <c r="N199" s="1"/>
      <c r="O199" s="57"/>
      <c r="P199" s="95">
        <f t="shared" si="176"/>
        <v>170</v>
      </c>
      <c r="Q199" s="115">
        <v>400</v>
      </c>
      <c r="R199" s="21" t="str">
        <f t="shared" si="177"/>
        <v>NX</v>
      </c>
      <c r="S199" s="98" t="s">
        <v>149</v>
      </c>
      <c r="T199" s="96"/>
      <c r="U199" s="21" t="s">
        <v>435</v>
      </c>
      <c r="V199" s="10"/>
      <c r="W199" s="25">
        <v>3</v>
      </c>
      <c r="X199" s="1" t="s">
        <v>150</v>
      </c>
      <c r="Y199" s="1">
        <v>1</v>
      </c>
      <c r="Z199" s="1">
        <v>400</v>
      </c>
      <c r="AA199" s="8" t="s">
        <v>129</v>
      </c>
      <c r="AB199" s="8" t="s">
        <v>257</v>
      </c>
      <c r="AC199" s="12"/>
      <c r="AD199" s="60"/>
      <c r="AE199" s="174"/>
      <c r="AF199" s="91" t="str">
        <f t="shared" si="138"/>
        <v xml:space="preserve">                                                                                                                                                                                                                                                                                                                                                                                                                </v>
      </c>
      <c r="AG199" s="218" t="str">
        <f t="shared" si="170"/>
        <v>-</v>
      </c>
      <c r="AH199" s="174"/>
      <c r="AI199" s="92" t="str">
        <f t="shared" si="172"/>
        <v>OK</v>
      </c>
      <c r="AJ199" s="60"/>
      <c r="AK199" s="174"/>
      <c r="AL199" s="91" t="str">
        <f t="shared" si="139"/>
        <v xml:space="preserve">                                                                                                                                                                                                                                                                                                                                                                                                                </v>
      </c>
      <c r="AM199" s="218" t="str">
        <f t="shared" si="152"/>
        <v>-</v>
      </c>
      <c r="AN199" s="174"/>
      <c r="AO199" s="92" t="str">
        <f t="shared" si="173"/>
        <v>OK</v>
      </c>
      <c r="AP199" s="60"/>
      <c r="AQ199" s="170"/>
      <c r="AR199" s="91" t="str">
        <f t="shared" si="140"/>
        <v xml:space="preserve">                                                                                                                                                                                                                                                                                                                                                                                                                </v>
      </c>
      <c r="AS199" s="218" t="s">
        <v>593</v>
      </c>
      <c r="AT199" s="91"/>
      <c r="AU199" s="218" t="str">
        <f t="shared" si="137"/>
        <v>-</v>
      </c>
      <c r="AV199" s="60"/>
      <c r="AW199" s="174"/>
      <c r="AX199" s="91" t="str">
        <f t="shared" si="141"/>
        <v xml:space="preserve">                                                                                                                                                                                                                                                                                                                                                                                                                </v>
      </c>
      <c r="AY199" s="218" t="str">
        <f t="shared" si="153"/>
        <v>-</v>
      </c>
      <c r="AZ199" s="174"/>
      <c r="BA199" s="478" t="s">
        <v>594</v>
      </c>
      <c r="BB199" s="60"/>
      <c r="BC199" s="174"/>
      <c r="BD199" s="91" t="str">
        <f t="shared" si="142"/>
        <v xml:space="preserve">                                                                                                                                                                                                                                                                                                                                                                                                                </v>
      </c>
      <c r="BE199" s="218" t="str">
        <f t="shared" si="154"/>
        <v>-</v>
      </c>
      <c r="BF199" s="174"/>
      <c r="BG199" s="478" t="s">
        <v>594</v>
      </c>
      <c r="BH199" s="60"/>
      <c r="BI199" s="170" t="s">
        <v>703</v>
      </c>
      <c r="BJ199" s="91" t="str">
        <f t="shared" si="143"/>
        <v xml:space="preserve">                                                                                                                                                                                                                                                                                                                                                                                                                </v>
      </c>
      <c r="BK199" s="218" t="s">
        <v>593</v>
      </c>
      <c r="BL199" s="174"/>
      <c r="BM199" s="478" t="s">
        <v>594</v>
      </c>
      <c r="BN199" s="60"/>
      <c r="BO199" s="174"/>
      <c r="BP199" s="91" t="str">
        <f t="shared" si="144"/>
        <v xml:space="preserve">                                                                                                                                                                                                                                                                                                                                                                                                                </v>
      </c>
      <c r="BQ199" s="218" t="str">
        <f t="shared" si="155"/>
        <v>-</v>
      </c>
      <c r="BR199" s="174"/>
      <c r="BS199" s="478" t="s">
        <v>594</v>
      </c>
      <c r="BT199" s="60"/>
      <c r="BU199" s="170"/>
      <c r="BV199" s="91" t="str">
        <f t="shared" si="145"/>
        <v xml:space="preserve">                                                                                                                                                                                                                                                                                                                                                                                                                </v>
      </c>
      <c r="BW199" s="218" t="s">
        <v>593</v>
      </c>
      <c r="BX199" s="91"/>
      <c r="BY199" s="218" t="str">
        <f t="shared" si="156"/>
        <v>-</v>
      </c>
      <c r="BZ199" s="60"/>
      <c r="CA199" s="174"/>
      <c r="CB199" s="91" t="str">
        <f t="shared" si="146"/>
        <v xml:space="preserve">                                                                                                                                                                                                                                                                                                                                                                                                                </v>
      </c>
      <c r="CC199" s="218" t="str">
        <f t="shared" si="157"/>
        <v>-</v>
      </c>
      <c r="CD199" s="174"/>
      <c r="CE199" s="92" t="str">
        <f t="shared" si="174"/>
        <v>OK</v>
      </c>
      <c r="CF199" s="60"/>
      <c r="CG199" s="174"/>
      <c r="CH199" s="91" t="str">
        <f t="shared" si="147"/>
        <v xml:space="preserve">                                                                                                                                                                                                                                                                                                                                                                                                                </v>
      </c>
      <c r="CI199" s="218" t="str">
        <f t="shared" si="158"/>
        <v>-</v>
      </c>
      <c r="CJ199" s="174"/>
      <c r="CK199" s="92" t="str">
        <f t="shared" si="175"/>
        <v>OK</v>
      </c>
      <c r="CL199" s="60"/>
      <c r="CM199" s="174"/>
      <c r="CN199" s="91" t="str">
        <f t="shared" si="148"/>
        <v xml:space="preserve">                                                                                                                                                                                                                                                                                                                                                                                                                </v>
      </c>
      <c r="CO199" s="218" t="s">
        <v>593</v>
      </c>
      <c r="CP199" s="91"/>
      <c r="CQ199" s="218" t="str">
        <f t="shared" si="159"/>
        <v>-</v>
      </c>
      <c r="CR199" s="60"/>
      <c r="CS199" s="174"/>
      <c r="CT199" s="91" t="str">
        <f t="shared" si="149"/>
        <v xml:space="preserve">                                                                                                                                                                                                                                                                                                                                                                                                                </v>
      </c>
      <c r="CU199" s="218" t="str">
        <f t="shared" si="160"/>
        <v>-</v>
      </c>
      <c r="CV199" s="174"/>
      <c r="CW199" s="92" t="s">
        <v>593</v>
      </c>
      <c r="CX199" s="60"/>
      <c r="CY199" s="174"/>
      <c r="CZ199" s="91" t="str">
        <f t="shared" si="150"/>
        <v xml:space="preserve">                                                                                                                                                                                                                                                                                                                                                                                                                </v>
      </c>
      <c r="DA199" s="218" t="str">
        <f t="shared" si="161"/>
        <v>-</v>
      </c>
      <c r="DB199" s="174"/>
      <c r="DC199" s="92" t="s">
        <v>593</v>
      </c>
    </row>
    <row r="200" spans="2:107" s="26" customFormat="1">
      <c r="B200" s="65">
        <f t="shared" si="151"/>
        <v>193</v>
      </c>
      <c r="C200" s="7"/>
      <c r="D200" s="7"/>
      <c r="E200" s="7"/>
      <c r="F200" s="22" t="s">
        <v>151</v>
      </c>
      <c r="G200" s="16"/>
      <c r="H200" s="13"/>
      <c r="I200" s="8"/>
      <c r="J200" s="8"/>
      <c r="K200" s="8"/>
      <c r="L200" s="8"/>
      <c r="M200" s="11" t="s">
        <v>152</v>
      </c>
      <c r="N200" s="1"/>
      <c r="O200" s="57"/>
      <c r="P200" s="95">
        <f t="shared" si="176"/>
        <v>171</v>
      </c>
      <c r="Q200" s="115">
        <v>400</v>
      </c>
      <c r="R200" s="21" t="str">
        <f t="shared" si="177"/>
        <v>NX</v>
      </c>
      <c r="S200" s="98" t="s">
        <v>153</v>
      </c>
      <c r="T200" s="96"/>
      <c r="U200" s="21" t="s">
        <v>435</v>
      </c>
      <c r="V200" s="10"/>
      <c r="W200" s="25">
        <v>3</v>
      </c>
      <c r="X200" s="1" t="s">
        <v>154</v>
      </c>
      <c r="Y200" s="1">
        <v>1</v>
      </c>
      <c r="Z200" s="1">
        <v>400</v>
      </c>
      <c r="AA200" s="8" t="s">
        <v>129</v>
      </c>
      <c r="AB200" s="8" t="s">
        <v>257</v>
      </c>
      <c r="AC200" s="12"/>
      <c r="AD200" s="60"/>
      <c r="AE200" s="169"/>
      <c r="AF200" s="91" t="str">
        <f t="shared" si="138"/>
        <v xml:space="preserve">                                                                                                                                                                                                                                                                                                                                                                                                                </v>
      </c>
      <c r="AG200" s="218" t="str">
        <f t="shared" si="170"/>
        <v>-</v>
      </c>
      <c r="AH200" s="169"/>
      <c r="AI200" s="92" t="str">
        <f t="shared" si="172"/>
        <v>OK</v>
      </c>
      <c r="AJ200" s="60"/>
      <c r="AK200" s="169"/>
      <c r="AL200" s="91" t="str">
        <f t="shared" si="139"/>
        <v xml:space="preserve">                                                                                                                                                                                                                                                                                                                                                                                                                </v>
      </c>
      <c r="AM200" s="218" t="str">
        <f t="shared" si="152"/>
        <v>-</v>
      </c>
      <c r="AN200" s="169"/>
      <c r="AO200" s="92" t="str">
        <f t="shared" si="173"/>
        <v>OK</v>
      </c>
      <c r="AP200" s="60"/>
      <c r="AQ200" s="172"/>
      <c r="AR200" s="91" t="str">
        <f t="shared" si="140"/>
        <v xml:space="preserve">                                                                                                                                                                                                                                                                                                                                                                                                                </v>
      </c>
      <c r="AS200" s="218" t="s">
        <v>593</v>
      </c>
      <c r="AT200" s="91"/>
      <c r="AU200" s="218" t="str">
        <f t="shared" si="137"/>
        <v>-</v>
      </c>
      <c r="AV200" s="60"/>
      <c r="AW200" s="169"/>
      <c r="AX200" s="91" t="str">
        <f t="shared" si="141"/>
        <v xml:space="preserve">                                                                                                                                                                                                                                                                                                                                                                                                                </v>
      </c>
      <c r="AY200" s="218" t="str">
        <f t="shared" si="153"/>
        <v>-</v>
      </c>
      <c r="AZ200" s="169"/>
      <c r="BA200" s="478" t="s">
        <v>594</v>
      </c>
      <c r="BB200" s="60"/>
      <c r="BC200" s="169"/>
      <c r="BD200" s="91" t="str">
        <f t="shared" si="142"/>
        <v xml:space="preserve">                                                                                                                                                                                                                                                                                                                                                                                                                </v>
      </c>
      <c r="BE200" s="218" t="str">
        <f t="shared" si="154"/>
        <v>-</v>
      </c>
      <c r="BF200" s="169"/>
      <c r="BG200" s="478" t="s">
        <v>594</v>
      </c>
      <c r="BH200" s="60"/>
      <c r="BI200" s="170" t="s">
        <v>703</v>
      </c>
      <c r="BJ200" s="91" t="str">
        <f t="shared" si="143"/>
        <v xml:space="preserve">                                                                                                                                                                                                                                                                                                                                                                                                                </v>
      </c>
      <c r="BK200" s="218" t="s">
        <v>593</v>
      </c>
      <c r="BL200" s="169"/>
      <c r="BM200" s="478" t="s">
        <v>594</v>
      </c>
      <c r="BN200" s="60"/>
      <c r="BO200" s="169"/>
      <c r="BP200" s="91" t="str">
        <f t="shared" si="144"/>
        <v xml:space="preserve">                                                                                                                                                                                                                                                                                                                                                                                                                </v>
      </c>
      <c r="BQ200" s="218" t="str">
        <f t="shared" si="155"/>
        <v>-</v>
      </c>
      <c r="BR200" s="169"/>
      <c r="BS200" s="478" t="s">
        <v>594</v>
      </c>
      <c r="BT200" s="60"/>
      <c r="BU200" s="172"/>
      <c r="BV200" s="91" t="str">
        <f t="shared" si="145"/>
        <v xml:space="preserve">                                                                                                                                                                                                                                                                                                                                                                                                                </v>
      </c>
      <c r="BW200" s="218" t="s">
        <v>593</v>
      </c>
      <c r="BX200" s="91"/>
      <c r="BY200" s="218" t="str">
        <f t="shared" si="156"/>
        <v>-</v>
      </c>
      <c r="BZ200" s="60"/>
      <c r="CA200" s="169"/>
      <c r="CB200" s="91" t="str">
        <f t="shared" si="146"/>
        <v xml:space="preserve">                                                                                                                                                                                                                                                                                                                                                                                                                </v>
      </c>
      <c r="CC200" s="218" t="str">
        <f t="shared" si="157"/>
        <v>-</v>
      </c>
      <c r="CD200" s="169"/>
      <c r="CE200" s="92" t="str">
        <f t="shared" si="174"/>
        <v>OK</v>
      </c>
      <c r="CF200" s="60"/>
      <c r="CG200" s="169"/>
      <c r="CH200" s="91" t="str">
        <f t="shared" si="147"/>
        <v xml:space="preserve">                                                                                                                                                                                                                                                                                                                                                                                                                </v>
      </c>
      <c r="CI200" s="218" t="str">
        <f t="shared" si="158"/>
        <v>-</v>
      </c>
      <c r="CJ200" s="169"/>
      <c r="CK200" s="92" t="str">
        <f t="shared" si="175"/>
        <v>OK</v>
      </c>
      <c r="CL200" s="60"/>
      <c r="CM200" s="169"/>
      <c r="CN200" s="91" t="str">
        <f t="shared" si="148"/>
        <v xml:space="preserve">                                                                                                                                                                                                                                                                                                                                                                                                                </v>
      </c>
      <c r="CO200" s="218" t="s">
        <v>593</v>
      </c>
      <c r="CP200" s="91"/>
      <c r="CQ200" s="218" t="str">
        <f t="shared" si="159"/>
        <v>-</v>
      </c>
      <c r="CR200" s="60"/>
      <c r="CS200" s="169"/>
      <c r="CT200" s="91" t="str">
        <f t="shared" si="149"/>
        <v xml:space="preserve">                                                                                                                                                                                                                                                                                                                                                                                                                </v>
      </c>
      <c r="CU200" s="218" t="str">
        <f t="shared" si="160"/>
        <v>-</v>
      </c>
      <c r="CV200" s="169"/>
      <c r="CW200" s="92" t="s">
        <v>593</v>
      </c>
      <c r="CX200" s="60"/>
      <c r="CY200" s="169"/>
      <c r="CZ200" s="91" t="str">
        <f t="shared" si="150"/>
        <v xml:space="preserve">                                                                                                                                                                                                                                                                                                                                                                                                                </v>
      </c>
      <c r="DA200" s="218" t="str">
        <f t="shared" si="161"/>
        <v>-</v>
      </c>
      <c r="DB200" s="169"/>
      <c r="DC200" s="92" t="s">
        <v>593</v>
      </c>
    </row>
    <row r="201" spans="2:107" s="26" customFormat="1" ht="76.5">
      <c r="B201" s="65">
        <f t="shared" si="151"/>
        <v>194</v>
      </c>
      <c r="C201" s="7"/>
      <c r="D201" s="7"/>
      <c r="E201" s="7"/>
      <c r="F201" s="22" t="s">
        <v>155</v>
      </c>
      <c r="G201" s="16"/>
      <c r="H201" s="13"/>
      <c r="I201" s="8"/>
      <c r="J201" s="8"/>
      <c r="K201" s="8"/>
      <c r="L201" s="8"/>
      <c r="M201" s="11" t="s">
        <v>449</v>
      </c>
      <c r="N201" s="1"/>
      <c r="O201" s="57"/>
      <c r="P201" s="95">
        <f t="shared" si="176"/>
        <v>172</v>
      </c>
      <c r="Q201" s="115">
        <v>400</v>
      </c>
      <c r="R201" s="21" t="str">
        <f t="shared" si="177"/>
        <v>NX</v>
      </c>
      <c r="S201" s="98" t="s">
        <v>156</v>
      </c>
      <c r="T201" s="96"/>
      <c r="U201" s="21" t="s">
        <v>435</v>
      </c>
      <c r="V201" s="10"/>
      <c r="W201" s="25">
        <v>3</v>
      </c>
      <c r="X201" s="1" t="s">
        <v>157</v>
      </c>
      <c r="Y201" s="1">
        <v>1</v>
      </c>
      <c r="Z201" s="1">
        <v>400</v>
      </c>
      <c r="AA201" s="8" t="s">
        <v>129</v>
      </c>
      <c r="AB201" s="8" t="s">
        <v>257</v>
      </c>
      <c r="AC201" s="12"/>
      <c r="AD201" s="60"/>
      <c r="AE201" s="169"/>
      <c r="AF201" s="91" t="str">
        <f t="shared" si="138"/>
        <v xml:space="preserve">                                                                                                                                                                                                                                                                                                                                                                                                                </v>
      </c>
      <c r="AG201" s="218" t="str">
        <f t="shared" si="170"/>
        <v>-</v>
      </c>
      <c r="AH201" s="169"/>
      <c r="AI201" s="92" t="str">
        <f t="shared" si="172"/>
        <v>OK</v>
      </c>
      <c r="AJ201" s="60"/>
      <c r="AK201" s="169"/>
      <c r="AL201" s="91" t="str">
        <f t="shared" si="139"/>
        <v xml:space="preserve">                                                                                                                                                                                                                                                                                                                                                                                                                </v>
      </c>
      <c r="AM201" s="218" t="str">
        <f t="shared" si="152"/>
        <v>-</v>
      </c>
      <c r="AN201" s="169"/>
      <c r="AO201" s="92" t="str">
        <f t="shared" si="173"/>
        <v>OK</v>
      </c>
      <c r="AP201" s="60"/>
      <c r="AQ201" s="172"/>
      <c r="AR201" s="91" t="str">
        <f t="shared" si="140"/>
        <v xml:space="preserve">                                                                                                                                                                                                                                                                                                                                                                                                                </v>
      </c>
      <c r="AS201" s="218" t="s">
        <v>593</v>
      </c>
      <c r="AT201" s="91"/>
      <c r="AU201" s="218" t="str">
        <f t="shared" si="137"/>
        <v>-</v>
      </c>
      <c r="AV201" s="60"/>
      <c r="AW201" s="169"/>
      <c r="AX201" s="91" t="str">
        <f t="shared" si="141"/>
        <v xml:space="preserve">                                                                                                                                                                                                                                                                                                                                                                                                                </v>
      </c>
      <c r="AY201" s="218" t="str">
        <f t="shared" si="153"/>
        <v>-</v>
      </c>
      <c r="AZ201" s="169"/>
      <c r="BA201" s="478" t="s">
        <v>594</v>
      </c>
      <c r="BB201" s="60"/>
      <c r="BC201" s="169"/>
      <c r="BD201" s="91" t="str">
        <f t="shared" si="142"/>
        <v xml:space="preserve">                                                                                                                                                                                                                                                                                                                                                                                                                </v>
      </c>
      <c r="BE201" s="218" t="str">
        <f t="shared" si="154"/>
        <v>-</v>
      </c>
      <c r="BF201" s="169"/>
      <c r="BG201" s="478" t="s">
        <v>594</v>
      </c>
      <c r="BH201" s="60"/>
      <c r="BI201" s="170" t="s">
        <v>703</v>
      </c>
      <c r="BJ201" s="91" t="str">
        <f t="shared" si="143"/>
        <v xml:space="preserve">                                                                                                                                                                                                                                                                                                                                                                                                                </v>
      </c>
      <c r="BK201" s="218" t="s">
        <v>593</v>
      </c>
      <c r="BL201" s="169"/>
      <c r="BM201" s="478" t="s">
        <v>594</v>
      </c>
      <c r="BN201" s="60"/>
      <c r="BO201" s="169"/>
      <c r="BP201" s="91" t="str">
        <f t="shared" si="144"/>
        <v xml:space="preserve">                                                                                                                                                                                                                                                                                                                                                                                                                </v>
      </c>
      <c r="BQ201" s="218" t="str">
        <f t="shared" si="155"/>
        <v>-</v>
      </c>
      <c r="BR201" s="169"/>
      <c r="BS201" s="478" t="s">
        <v>594</v>
      </c>
      <c r="BT201" s="60"/>
      <c r="BU201" s="172"/>
      <c r="BV201" s="91" t="str">
        <f t="shared" si="145"/>
        <v xml:space="preserve">                                                                                                                                                                                                                                                                                                                                                                                                                </v>
      </c>
      <c r="BW201" s="218" t="s">
        <v>593</v>
      </c>
      <c r="BX201" s="91"/>
      <c r="BY201" s="218" t="str">
        <f t="shared" si="156"/>
        <v>-</v>
      </c>
      <c r="BZ201" s="60"/>
      <c r="CA201" s="169"/>
      <c r="CB201" s="91" t="str">
        <f t="shared" si="146"/>
        <v xml:space="preserve">                                                                                                                                                                                                                                                                                                                                                                                                                </v>
      </c>
      <c r="CC201" s="218" t="str">
        <f t="shared" si="157"/>
        <v>-</v>
      </c>
      <c r="CD201" s="169"/>
      <c r="CE201" s="92" t="str">
        <f t="shared" si="174"/>
        <v>OK</v>
      </c>
      <c r="CF201" s="60"/>
      <c r="CG201" s="169"/>
      <c r="CH201" s="91" t="str">
        <f t="shared" si="147"/>
        <v xml:space="preserve">                                                                                                                                                                                                                                                                                                                                                                                                                </v>
      </c>
      <c r="CI201" s="218" t="str">
        <f t="shared" si="158"/>
        <v>-</v>
      </c>
      <c r="CJ201" s="169"/>
      <c r="CK201" s="92" t="str">
        <f t="shared" si="175"/>
        <v>OK</v>
      </c>
      <c r="CL201" s="60"/>
      <c r="CM201" s="169"/>
      <c r="CN201" s="91" t="str">
        <f t="shared" si="148"/>
        <v xml:space="preserve">                                                                                                                                                                                                                                                                                                                                                                                                                </v>
      </c>
      <c r="CO201" s="218" t="s">
        <v>593</v>
      </c>
      <c r="CP201" s="91"/>
      <c r="CQ201" s="218" t="str">
        <f t="shared" si="159"/>
        <v>-</v>
      </c>
      <c r="CR201" s="60"/>
      <c r="CS201" s="169"/>
      <c r="CT201" s="91" t="str">
        <f t="shared" si="149"/>
        <v xml:space="preserve">                                                                                                                                                                                                                                                                                                                                                                                                                </v>
      </c>
      <c r="CU201" s="218" t="str">
        <f t="shared" si="160"/>
        <v>-</v>
      </c>
      <c r="CV201" s="169"/>
      <c r="CW201" s="92" t="s">
        <v>593</v>
      </c>
      <c r="CX201" s="60"/>
      <c r="CY201" s="169"/>
      <c r="CZ201" s="91" t="str">
        <f t="shared" si="150"/>
        <v xml:space="preserve">                                                                                                                                                                                                                                                                                                                                                                                                                </v>
      </c>
      <c r="DA201" s="218" t="str">
        <f t="shared" si="161"/>
        <v>-</v>
      </c>
      <c r="DB201" s="169"/>
      <c r="DC201" s="92" t="s">
        <v>593</v>
      </c>
    </row>
    <row r="202" spans="2:107" s="26" customFormat="1">
      <c r="B202" s="65">
        <f t="shared" si="151"/>
        <v>195</v>
      </c>
      <c r="C202" s="7"/>
      <c r="D202" s="7"/>
      <c r="E202" s="7"/>
      <c r="F202" s="22" t="s">
        <v>158</v>
      </c>
      <c r="G202" s="16"/>
      <c r="H202" s="13"/>
      <c r="I202" s="8"/>
      <c r="J202" s="8"/>
      <c r="K202" s="8"/>
      <c r="L202" s="8"/>
      <c r="M202" s="11" t="s">
        <v>152</v>
      </c>
      <c r="N202" s="1"/>
      <c r="O202" s="57"/>
      <c r="P202" s="95">
        <f t="shared" si="176"/>
        <v>173</v>
      </c>
      <c r="Q202" s="115">
        <v>400</v>
      </c>
      <c r="R202" s="21" t="str">
        <f t="shared" si="177"/>
        <v>NX</v>
      </c>
      <c r="S202" s="98" t="s">
        <v>159</v>
      </c>
      <c r="T202" s="96"/>
      <c r="U202" s="21" t="s">
        <v>435</v>
      </c>
      <c r="V202" s="10"/>
      <c r="W202" s="25">
        <v>3</v>
      </c>
      <c r="X202" s="1" t="s">
        <v>160</v>
      </c>
      <c r="Y202" s="1">
        <v>1</v>
      </c>
      <c r="Z202" s="1">
        <v>400</v>
      </c>
      <c r="AA202" s="8" t="s">
        <v>129</v>
      </c>
      <c r="AB202" s="8" t="s">
        <v>257</v>
      </c>
      <c r="AC202" s="12"/>
      <c r="AD202" s="60"/>
      <c r="AE202" s="169"/>
      <c r="AF202" s="91" t="str">
        <f t="shared" si="138"/>
        <v xml:space="preserve">                                                                                                                                                                                                                                                                                                                                                                                                                </v>
      </c>
      <c r="AG202" s="218" t="str">
        <f t="shared" si="170"/>
        <v>-</v>
      </c>
      <c r="AH202" s="169"/>
      <c r="AI202" s="92" t="str">
        <f t="shared" si="172"/>
        <v>OK</v>
      </c>
      <c r="AJ202" s="60"/>
      <c r="AK202" s="169"/>
      <c r="AL202" s="91" t="str">
        <f t="shared" si="139"/>
        <v xml:space="preserve">                                                                                                                                                                                                                                                                                                                                                                                                                </v>
      </c>
      <c r="AM202" s="218" t="str">
        <f t="shared" si="152"/>
        <v>-</v>
      </c>
      <c r="AN202" s="169"/>
      <c r="AO202" s="92" t="str">
        <f t="shared" si="173"/>
        <v>OK</v>
      </c>
      <c r="AP202" s="60"/>
      <c r="AQ202" s="172"/>
      <c r="AR202" s="91" t="str">
        <f t="shared" si="140"/>
        <v xml:space="preserve">                                                                                                                                                                                                                                                                                                                                                                                                                </v>
      </c>
      <c r="AS202" s="218" t="s">
        <v>593</v>
      </c>
      <c r="AT202" s="91"/>
      <c r="AU202" s="218" t="str">
        <f t="shared" si="137"/>
        <v>-</v>
      </c>
      <c r="AV202" s="60"/>
      <c r="AW202" s="169"/>
      <c r="AX202" s="91" t="str">
        <f t="shared" si="141"/>
        <v xml:space="preserve">                                                                                                                                                                                                                                                                                                                                                                                                                </v>
      </c>
      <c r="AY202" s="218" t="str">
        <f t="shared" si="153"/>
        <v>-</v>
      </c>
      <c r="AZ202" s="169"/>
      <c r="BA202" s="478" t="s">
        <v>594</v>
      </c>
      <c r="BB202" s="60"/>
      <c r="BC202" s="169"/>
      <c r="BD202" s="91" t="str">
        <f t="shared" si="142"/>
        <v xml:space="preserve">                                                                                                                                                                                                                                                                                                                                                                                                                </v>
      </c>
      <c r="BE202" s="218" t="str">
        <f t="shared" si="154"/>
        <v>-</v>
      </c>
      <c r="BF202" s="169"/>
      <c r="BG202" s="478" t="s">
        <v>594</v>
      </c>
      <c r="BH202" s="60"/>
      <c r="BI202" s="170" t="s">
        <v>703</v>
      </c>
      <c r="BJ202" s="91" t="str">
        <f t="shared" si="143"/>
        <v xml:space="preserve">                                                                                                                                                                                                                                                                                                                                                                                                                </v>
      </c>
      <c r="BK202" s="218" t="s">
        <v>593</v>
      </c>
      <c r="BL202" s="169"/>
      <c r="BM202" s="478" t="s">
        <v>594</v>
      </c>
      <c r="BN202" s="60"/>
      <c r="BO202" s="169"/>
      <c r="BP202" s="91" t="str">
        <f t="shared" si="144"/>
        <v xml:space="preserve">                                                                                                                                                                                                                                                                                                                                                                                                                </v>
      </c>
      <c r="BQ202" s="218" t="str">
        <f t="shared" si="155"/>
        <v>-</v>
      </c>
      <c r="BR202" s="169"/>
      <c r="BS202" s="478" t="s">
        <v>594</v>
      </c>
      <c r="BT202" s="60"/>
      <c r="BU202" s="172"/>
      <c r="BV202" s="91" t="str">
        <f t="shared" si="145"/>
        <v xml:space="preserve">                                                                                                                                                                                                                                                                                                                                                                                                                </v>
      </c>
      <c r="BW202" s="218" t="s">
        <v>593</v>
      </c>
      <c r="BX202" s="91"/>
      <c r="BY202" s="218" t="str">
        <f t="shared" si="156"/>
        <v>-</v>
      </c>
      <c r="BZ202" s="60"/>
      <c r="CA202" s="169"/>
      <c r="CB202" s="91" t="str">
        <f t="shared" si="146"/>
        <v xml:space="preserve">                                                                                                                                                                                                                                                                                                                                                                                                                </v>
      </c>
      <c r="CC202" s="218" t="str">
        <f t="shared" si="157"/>
        <v>-</v>
      </c>
      <c r="CD202" s="169"/>
      <c r="CE202" s="92" t="str">
        <f t="shared" si="174"/>
        <v>OK</v>
      </c>
      <c r="CF202" s="60"/>
      <c r="CG202" s="169"/>
      <c r="CH202" s="91" t="str">
        <f t="shared" si="147"/>
        <v xml:space="preserve">                                                                                                                                                                                                                                                                                                                                                                                                                </v>
      </c>
      <c r="CI202" s="218" t="str">
        <f t="shared" si="158"/>
        <v>-</v>
      </c>
      <c r="CJ202" s="169"/>
      <c r="CK202" s="92" t="str">
        <f t="shared" si="175"/>
        <v>OK</v>
      </c>
      <c r="CL202" s="60"/>
      <c r="CM202" s="169"/>
      <c r="CN202" s="91" t="str">
        <f t="shared" si="148"/>
        <v xml:space="preserve">                                                                                                                                                                                                                                                                                                                                                                                                                </v>
      </c>
      <c r="CO202" s="218" t="s">
        <v>593</v>
      </c>
      <c r="CP202" s="91"/>
      <c r="CQ202" s="218" t="str">
        <f t="shared" si="159"/>
        <v>-</v>
      </c>
      <c r="CR202" s="60"/>
      <c r="CS202" s="169"/>
      <c r="CT202" s="91" t="str">
        <f t="shared" si="149"/>
        <v xml:space="preserve">                                                                                                                                                                                                                                                                                                                                                                                                                </v>
      </c>
      <c r="CU202" s="218" t="str">
        <f t="shared" si="160"/>
        <v>-</v>
      </c>
      <c r="CV202" s="169"/>
      <c r="CW202" s="92" t="s">
        <v>593</v>
      </c>
      <c r="CX202" s="60"/>
      <c r="CY202" s="169"/>
      <c r="CZ202" s="91" t="str">
        <f t="shared" si="150"/>
        <v xml:space="preserve">                                                                                                                                                                                                                                                                                                                                                                                                                </v>
      </c>
      <c r="DA202" s="218" t="str">
        <f t="shared" si="161"/>
        <v>-</v>
      </c>
      <c r="DB202" s="169"/>
      <c r="DC202" s="92" t="s">
        <v>593</v>
      </c>
    </row>
    <row r="203" spans="2:107" s="26" customFormat="1">
      <c r="B203" s="65">
        <f t="shared" si="151"/>
        <v>196</v>
      </c>
      <c r="C203" s="7"/>
      <c r="D203" s="7"/>
      <c r="E203" s="7"/>
      <c r="F203" s="22" t="s">
        <v>161</v>
      </c>
      <c r="G203" s="16"/>
      <c r="H203" s="13"/>
      <c r="I203" s="8"/>
      <c r="J203" s="8"/>
      <c r="K203" s="8"/>
      <c r="L203" s="8"/>
      <c r="M203" s="11" t="s">
        <v>152</v>
      </c>
      <c r="N203" s="1"/>
      <c r="O203" s="57"/>
      <c r="P203" s="95">
        <f t="shared" si="176"/>
        <v>174</v>
      </c>
      <c r="Q203" s="115">
        <v>400</v>
      </c>
      <c r="R203" s="21" t="str">
        <f t="shared" si="177"/>
        <v>NX</v>
      </c>
      <c r="S203" s="98" t="s">
        <v>162</v>
      </c>
      <c r="T203" s="96"/>
      <c r="U203" s="21" t="s">
        <v>435</v>
      </c>
      <c r="V203" s="10"/>
      <c r="W203" s="25">
        <v>3</v>
      </c>
      <c r="X203" s="1" t="s">
        <v>163</v>
      </c>
      <c r="Y203" s="1">
        <v>1</v>
      </c>
      <c r="Z203" s="1">
        <v>400</v>
      </c>
      <c r="AA203" s="8" t="s">
        <v>129</v>
      </c>
      <c r="AB203" s="8" t="s">
        <v>257</v>
      </c>
      <c r="AC203" s="12"/>
      <c r="AD203" s="60"/>
      <c r="AE203" s="169"/>
      <c r="AF203" s="91" t="str">
        <f t="shared" si="138"/>
        <v xml:space="preserve">                                                                                                                                                                                                                                                                                                                                                                                                                </v>
      </c>
      <c r="AG203" s="218" t="str">
        <f t="shared" si="170"/>
        <v>-</v>
      </c>
      <c r="AH203" s="169"/>
      <c r="AI203" s="92" t="str">
        <f t="shared" si="172"/>
        <v>OK</v>
      </c>
      <c r="AJ203" s="60"/>
      <c r="AK203" s="169"/>
      <c r="AL203" s="91" t="str">
        <f t="shared" si="139"/>
        <v xml:space="preserve">                                                                                                                                                                                                                                                                                                                                                                                                                </v>
      </c>
      <c r="AM203" s="218" t="str">
        <f t="shared" si="152"/>
        <v>-</v>
      </c>
      <c r="AN203" s="169"/>
      <c r="AO203" s="92" t="str">
        <f t="shared" si="173"/>
        <v>OK</v>
      </c>
      <c r="AP203" s="60"/>
      <c r="AQ203" s="172"/>
      <c r="AR203" s="91" t="str">
        <f t="shared" si="140"/>
        <v xml:space="preserve">                                                                                                                                                                                                                                                                                                                                                                                                                </v>
      </c>
      <c r="AS203" s="218" t="s">
        <v>593</v>
      </c>
      <c r="AT203" s="91"/>
      <c r="AU203" s="218" t="str">
        <f t="shared" si="137"/>
        <v>-</v>
      </c>
      <c r="AV203" s="60"/>
      <c r="AW203" s="169"/>
      <c r="AX203" s="91" t="str">
        <f t="shared" si="141"/>
        <v xml:space="preserve">                                                                                                                                                                                                                                                                                                                                                                                                                </v>
      </c>
      <c r="AY203" s="218" t="str">
        <f t="shared" si="153"/>
        <v>-</v>
      </c>
      <c r="AZ203" s="169"/>
      <c r="BA203" s="478" t="s">
        <v>594</v>
      </c>
      <c r="BB203" s="60"/>
      <c r="BC203" s="169"/>
      <c r="BD203" s="91" t="str">
        <f t="shared" si="142"/>
        <v xml:space="preserve">                                                                                                                                                                                                                                                                                                                                                                                                                </v>
      </c>
      <c r="BE203" s="218" t="str">
        <f t="shared" si="154"/>
        <v>-</v>
      </c>
      <c r="BF203" s="169"/>
      <c r="BG203" s="478" t="s">
        <v>594</v>
      </c>
      <c r="BH203" s="60"/>
      <c r="BI203" s="170" t="s">
        <v>703</v>
      </c>
      <c r="BJ203" s="91" t="str">
        <f t="shared" si="143"/>
        <v xml:space="preserve">                                                                                                                                                                                                                                                                                                                                                                                                                </v>
      </c>
      <c r="BK203" s="218" t="s">
        <v>593</v>
      </c>
      <c r="BL203" s="169"/>
      <c r="BM203" s="478" t="s">
        <v>594</v>
      </c>
      <c r="BN203" s="60"/>
      <c r="BO203" s="169"/>
      <c r="BP203" s="91" t="str">
        <f t="shared" si="144"/>
        <v xml:space="preserve">                                                                                                                                                                                                                                                                                                                                                                                                                </v>
      </c>
      <c r="BQ203" s="218" t="str">
        <f t="shared" si="155"/>
        <v>-</v>
      </c>
      <c r="BR203" s="169"/>
      <c r="BS203" s="478" t="s">
        <v>594</v>
      </c>
      <c r="BT203" s="60"/>
      <c r="BU203" s="172"/>
      <c r="BV203" s="91" t="str">
        <f t="shared" si="145"/>
        <v xml:space="preserve">                                                                                                                                                                                                                                                                                                                                                                                                                </v>
      </c>
      <c r="BW203" s="218" t="s">
        <v>593</v>
      </c>
      <c r="BX203" s="91"/>
      <c r="BY203" s="218" t="str">
        <f t="shared" si="156"/>
        <v>-</v>
      </c>
      <c r="BZ203" s="60"/>
      <c r="CA203" s="169"/>
      <c r="CB203" s="91" t="str">
        <f t="shared" si="146"/>
        <v xml:space="preserve">                                                                                                                                                                                                                                                                                                                                                                                                                </v>
      </c>
      <c r="CC203" s="218" t="str">
        <f t="shared" si="157"/>
        <v>-</v>
      </c>
      <c r="CD203" s="169"/>
      <c r="CE203" s="92" t="str">
        <f t="shared" si="174"/>
        <v>OK</v>
      </c>
      <c r="CF203" s="60"/>
      <c r="CG203" s="169"/>
      <c r="CH203" s="91" t="str">
        <f t="shared" si="147"/>
        <v xml:space="preserve">                                                                                                                                                                                                                                                                                                                                                                                                                </v>
      </c>
      <c r="CI203" s="218" t="str">
        <f t="shared" si="158"/>
        <v>-</v>
      </c>
      <c r="CJ203" s="169"/>
      <c r="CK203" s="92" t="str">
        <f t="shared" si="175"/>
        <v>OK</v>
      </c>
      <c r="CL203" s="60"/>
      <c r="CM203" s="169"/>
      <c r="CN203" s="91" t="str">
        <f t="shared" si="148"/>
        <v xml:space="preserve">                                                                                                                                                                                                                                                                                                                                                                                                                </v>
      </c>
      <c r="CO203" s="218" t="s">
        <v>593</v>
      </c>
      <c r="CP203" s="91"/>
      <c r="CQ203" s="218" t="str">
        <f t="shared" si="159"/>
        <v>-</v>
      </c>
      <c r="CR203" s="60"/>
      <c r="CS203" s="169"/>
      <c r="CT203" s="91" t="str">
        <f t="shared" si="149"/>
        <v xml:space="preserve">                                                                                                                                                                                                                                                                                                                                                                                                                </v>
      </c>
      <c r="CU203" s="218" t="str">
        <f t="shared" si="160"/>
        <v>-</v>
      </c>
      <c r="CV203" s="169"/>
      <c r="CW203" s="92" t="s">
        <v>593</v>
      </c>
      <c r="CX203" s="60"/>
      <c r="CY203" s="169"/>
      <c r="CZ203" s="91" t="str">
        <f t="shared" si="150"/>
        <v xml:space="preserve">                                                                                                                                                                                                                                                                                                                                                                                                                </v>
      </c>
      <c r="DA203" s="218" t="str">
        <f t="shared" si="161"/>
        <v>-</v>
      </c>
      <c r="DB203" s="169"/>
      <c r="DC203" s="92" t="s">
        <v>593</v>
      </c>
    </row>
    <row r="204" spans="2:107" s="26" customFormat="1" ht="89.25">
      <c r="B204" s="65">
        <f t="shared" si="151"/>
        <v>197</v>
      </c>
      <c r="C204" s="7"/>
      <c r="D204" s="7"/>
      <c r="E204" s="7"/>
      <c r="F204" s="22" t="s">
        <v>164</v>
      </c>
      <c r="G204" s="16"/>
      <c r="H204" s="13"/>
      <c r="I204" s="8"/>
      <c r="J204" s="8"/>
      <c r="K204" s="8"/>
      <c r="L204" s="8"/>
      <c r="M204" s="11" t="s">
        <v>450</v>
      </c>
      <c r="N204" s="1"/>
      <c r="O204" s="57"/>
      <c r="P204" s="95">
        <f t="shared" si="176"/>
        <v>175</v>
      </c>
      <c r="Q204" s="115">
        <v>1</v>
      </c>
      <c r="R204" s="21" t="str">
        <f t="shared" si="177"/>
        <v>X</v>
      </c>
      <c r="S204" s="98" t="s">
        <v>165</v>
      </c>
      <c r="T204" s="96"/>
      <c r="U204" s="21" t="s">
        <v>435</v>
      </c>
      <c r="V204" s="10"/>
      <c r="W204" s="25">
        <v>3</v>
      </c>
      <c r="X204" s="1" t="s">
        <v>303</v>
      </c>
      <c r="Y204" s="1">
        <v>1</v>
      </c>
      <c r="Z204" s="1">
        <v>1</v>
      </c>
      <c r="AA204" s="8" t="s">
        <v>114</v>
      </c>
      <c r="AB204" s="8" t="s">
        <v>21</v>
      </c>
      <c r="AC204" s="104"/>
      <c r="AD204" s="60"/>
      <c r="AE204" s="174"/>
      <c r="AF204" s="61" t="str">
        <f t="shared" si="138"/>
        <v xml:space="preserve"> </v>
      </c>
      <c r="AG204" s="218" t="str">
        <f t="shared" si="170"/>
        <v>-</v>
      </c>
      <c r="AH204" s="174"/>
      <c r="AI204" s="92" t="str">
        <f t="shared" si="172"/>
        <v>OK</v>
      </c>
      <c r="AJ204" s="60"/>
      <c r="AK204" s="174"/>
      <c r="AL204" s="61" t="str">
        <f t="shared" si="139"/>
        <v xml:space="preserve"> </v>
      </c>
      <c r="AM204" s="218" t="str">
        <f t="shared" si="152"/>
        <v>-</v>
      </c>
      <c r="AN204" s="174"/>
      <c r="AO204" s="92" t="str">
        <f t="shared" si="173"/>
        <v>OK</v>
      </c>
      <c r="AP204" s="60"/>
      <c r="AQ204" s="170"/>
      <c r="AR204" s="61" t="str">
        <f t="shared" si="140"/>
        <v xml:space="preserve"> </v>
      </c>
      <c r="AS204" s="218" t="s">
        <v>593</v>
      </c>
      <c r="AT204" s="61"/>
      <c r="AU204" s="218" t="str">
        <f t="shared" ref="AU204:AU267" si="178">IF(OR(AS$8="判定対象外",AT$8="判定対象外",AT204="-"),"-",IF(AS204=AT204,"OK","NG"))</f>
        <v>-</v>
      </c>
      <c r="AV204" s="60"/>
      <c r="AW204" s="174"/>
      <c r="AX204" s="61" t="str">
        <f t="shared" si="141"/>
        <v xml:space="preserve"> </v>
      </c>
      <c r="AY204" s="218" t="str">
        <f t="shared" si="153"/>
        <v>-</v>
      </c>
      <c r="AZ204" s="174"/>
      <c r="BA204" s="478" t="s">
        <v>594</v>
      </c>
      <c r="BB204" s="60"/>
      <c r="BC204" s="174"/>
      <c r="BD204" s="61" t="str">
        <f t="shared" si="142"/>
        <v xml:space="preserve"> </v>
      </c>
      <c r="BE204" s="218" t="str">
        <f t="shared" si="154"/>
        <v>-</v>
      </c>
      <c r="BF204" s="174"/>
      <c r="BG204" s="478" t="s">
        <v>594</v>
      </c>
      <c r="BH204" s="60"/>
      <c r="BI204" s="170" t="s">
        <v>38</v>
      </c>
      <c r="BJ204" s="61" t="str">
        <f t="shared" si="143"/>
        <v xml:space="preserve"> </v>
      </c>
      <c r="BK204" s="218" t="s">
        <v>593</v>
      </c>
      <c r="BL204" s="174"/>
      <c r="BM204" s="478" t="s">
        <v>594</v>
      </c>
      <c r="BN204" s="60"/>
      <c r="BO204" s="174"/>
      <c r="BP204" s="61" t="str">
        <f t="shared" si="144"/>
        <v xml:space="preserve"> </v>
      </c>
      <c r="BQ204" s="218" t="str">
        <f t="shared" si="155"/>
        <v>-</v>
      </c>
      <c r="BR204" s="174"/>
      <c r="BS204" s="478" t="s">
        <v>594</v>
      </c>
      <c r="BT204" s="60"/>
      <c r="BU204" s="170"/>
      <c r="BV204" s="61" t="str">
        <f t="shared" si="145"/>
        <v xml:space="preserve"> </v>
      </c>
      <c r="BW204" s="218" t="s">
        <v>593</v>
      </c>
      <c r="BX204" s="61"/>
      <c r="BY204" s="218" t="str">
        <f t="shared" si="156"/>
        <v>-</v>
      </c>
      <c r="BZ204" s="60"/>
      <c r="CA204" s="174"/>
      <c r="CB204" s="61" t="str">
        <f t="shared" si="146"/>
        <v xml:space="preserve"> </v>
      </c>
      <c r="CC204" s="218" t="str">
        <f t="shared" si="157"/>
        <v>-</v>
      </c>
      <c r="CD204" s="174"/>
      <c r="CE204" s="92" t="str">
        <f t="shared" si="174"/>
        <v>OK</v>
      </c>
      <c r="CF204" s="60"/>
      <c r="CG204" s="174"/>
      <c r="CH204" s="61" t="str">
        <f t="shared" si="147"/>
        <v xml:space="preserve"> </v>
      </c>
      <c r="CI204" s="218" t="str">
        <f t="shared" si="158"/>
        <v>-</v>
      </c>
      <c r="CJ204" s="174"/>
      <c r="CK204" s="92" t="str">
        <f t="shared" si="175"/>
        <v>OK</v>
      </c>
      <c r="CL204" s="60"/>
      <c r="CM204" s="174"/>
      <c r="CN204" s="61" t="str">
        <f t="shared" si="148"/>
        <v xml:space="preserve"> </v>
      </c>
      <c r="CO204" s="218" t="s">
        <v>593</v>
      </c>
      <c r="CP204" s="61"/>
      <c r="CQ204" s="218" t="str">
        <f t="shared" si="159"/>
        <v>-</v>
      </c>
      <c r="CR204" s="60"/>
      <c r="CS204" s="174"/>
      <c r="CT204" s="61" t="str">
        <f t="shared" si="149"/>
        <v xml:space="preserve"> </v>
      </c>
      <c r="CU204" s="218" t="str">
        <f t="shared" si="160"/>
        <v>-</v>
      </c>
      <c r="CV204" s="174"/>
      <c r="CW204" s="92" t="s">
        <v>593</v>
      </c>
      <c r="CX204" s="60"/>
      <c r="CY204" s="174"/>
      <c r="CZ204" s="61" t="str">
        <f t="shared" si="150"/>
        <v xml:space="preserve"> </v>
      </c>
      <c r="DA204" s="218" t="str">
        <f t="shared" si="161"/>
        <v>-</v>
      </c>
      <c r="DB204" s="174"/>
      <c r="DC204" s="92" t="s">
        <v>593</v>
      </c>
    </row>
    <row r="205" spans="2:107" s="26" customFormat="1">
      <c r="B205" s="65">
        <f t="shared" si="151"/>
        <v>198</v>
      </c>
      <c r="C205" s="7"/>
      <c r="D205" s="7"/>
      <c r="E205" s="7"/>
      <c r="F205" s="22" t="s">
        <v>166</v>
      </c>
      <c r="G205" s="16"/>
      <c r="H205" s="13"/>
      <c r="I205" s="8"/>
      <c r="J205" s="8"/>
      <c r="K205" s="8"/>
      <c r="L205" s="8"/>
      <c r="M205" s="11"/>
      <c r="N205" s="1"/>
      <c r="O205" s="57"/>
      <c r="P205" s="95">
        <f t="shared" si="176"/>
        <v>176</v>
      </c>
      <c r="Q205" s="115">
        <v>128</v>
      </c>
      <c r="R205" s="21" t="str">
        <f t="shared" si="177"/>
        <v>X</v>
      </c>
      <c r="S205" s="98" t="s">
        <v>167</v>
      </c>
      <c r="T205" s="96"/>
      <c r="U205" s="21" t="s">
        <v>435</v>
      </c>
      <c r="V205" s="10"/>
      <c r="W205" s="25">
        <v>3</v>
      </c>
      <c r="X205" s="1" t="s">
        <v>304</v>
      </c>
      <c r="Y205" s="1">
        <v>1</v>
      </c>
      <c r="Z205" s="1">
        <v>128</v>
      </c>
      <c r="AA205" s="8" t="s">
        <v>114</v>
      </c>
      <c r="AB205" s="8" t="s">
        <v>21</v>
      </c>
      <c r="AC205" s="12"/>
      <c r="AD205" s="60"/>
      <c r="AE205" s="169"/>
      <c r="AF205" s="61" t="str">
        <f t="shared" ref="AF205:AF268" si="179">IF(AH205="-","-",AH205&amp;REPT(IF($R205="N","　",IF($R205="9","0"," ")),$Z205-LENB(AH205)))</f>
        <v xml:space="preserve">                                                                                                                                </v>
      </c>
      <c r="AG205" s="218" t="str">
        <f t="shared" si="170"/>
        <v>-</v>
      </c>
      <c r="AH205" s="169"/>
      <c r="AI205" s="92" t="str">
        <f t="shared" si="172"/>
        <v>OK</v>
      </c>
      <c r="AJ205" s="60"/>
      <c r="AK205" s="169"/>
      <c r="AL205" s="61" t="str">
        <f t="shared" ref="AL205:AL268" si="180">IF(AN205="-","-",AN205&amp;REPT(IF($R205="N","　",IF($R205="9","0"," ")),$Z205-LENB(AN205)))</f>
        <v xml:space="preserve">                                                                                                                                </v>
      </c>
      <c r="AM205" s="218" t="str">
        <f t="shared" si="152"/>
        <v>-</v>
      </c>
      <c r="AN205" s="169"/>
      <c r="AO205" s="92" t="str">
        <f t="shared" si="173"/>
        <v>OK</v>
      </c>
      <c r="AP205" s="60"/>
      <c r="AQ205" s="172"/>
      <c r="AR205" s="61" t="str">
        <f t="shared" ref="AR205:AR268" si="181">IF(AT205="-","-",AT205&amp;REPT(IF($R205="N","　",IF($R205="9","0"," ")),$Z205-LENB(AT205)))</f>
        <v xml:space="preserve">                                                                                                                                </v>
      </c>
      <c r="AS205" s="218" t="s">
        <v>593</v>
      </c>
      <c r="AT205" s="61"/>
      <c r="AU205" s="218" t="str">
        <f t="shared" si="178"/>
        <v>-</v>
      </c>
      <c r="AV205" s="60"/>
      <c r="AW205" s="169"/>
      <c r="AX205" s="61" t="str">
        <f t="shared" ref="AX205:AX268" si="182">IF(AZ205="-","-",AZ205&amp;REPT(IF($R205="N","　",IF($R205="9","0"," ")),$Z205-LENB(AZ205)))</f>
        <v xml:space="preserve">                                                                                                                                </v>
      </c>
      <c r="AY205" s="218" t="str">
        <f t="shared" si="153"/>
        <v>-</v>
      </c>
      <c r="AZ205" s="169"/>
      <c r="BA205" s="478" t="s">
        <v>594</v>
      </c>
      <c r="BB205" s="60"/>
      <c r="BC205" s="169"/>
      <c r="BD205" s="61" t="str">
        <f t="shared" ref="BD205:BD268" si="183">IF(BF205="-","-",BF205&amp;REPT(IF($R205="N","　",IF($R205="9","0"," ")),$Z205-LENB(BF205)))</f>
        <v xml:space="preserve">                                                                                                                                </v>
      </c>
      <c r="BE205" s="218" t="str">
        <f t="shared" si="154"/>
        <v>-</v>
      </c>
      <c r="BF205" s="169"/>
      <c r="BG205" s="478" t="s">
        <v>594</v>
      </c>
      <c r="BH205" s="60"/>
      <c r="BI205" s="170" t="s">
        <v>704</v>
      </c>
      <c r="BJ205" s="61" t="str">
        <f t="shared" ref="BJ205:BJ268" si="184">IF(BL205="-","-",BL205&amp;REPT(IF($R205="N","　",IF($R205="9","0"," ")),$Z205-LENB(BL205)))</f>
        <v xml:space="preserve">                                                                                                                                </v>
      </c>
      <c r="BK205" s="218" t="s">
        <v>593</v>
      </c>
      <c r="BL205" s="169"/>
      <c r="BM205" s="478" t="s">
        <v>594</v>
      </c>
      <c r="BN205" s="60"/>
      <c r="BO205" s="169"/>
      <c r="BP205" s="61" t="str">
        <f t="shared" ref="BP205:BP268" si="185">IF(BR205="-","-",BR205&amp;REPT(IF($R205="N","　",IF($R205="9","0"," ")),$Z205-LENB(BR205)))</f>
        <v xml:space="preserve">                                                                                                                                </v>
      </c>
      <c r="BQ205" s="218" t="str">
        <f t="shared" si="155"/>
        <v>-</v>
      </c>
      <c r="BR205" s="169"/>
      <c r="BS205" s="478" t="s">
        <v>594</v>
      </c>
      <c r="BT205" s="60"/>
      <c r="BU205" s="172"/>
      <c r="BV205" s="61" t="str">
        <f t="shared" ref="BV205:BV268" si="186">IF(BX205="-","-",BX205&amp;REPT(IF($R205="N","　",IF($R205="9","0"," ")),$Z205-LENB(BX205)))</f>
        <v xml:space="preserve">                                                                                                                                </v>
      </c>
      <c r="BW205" s="218" t="s">
        <v>593</v>
      </c>
      <c r="BX205" s="61"/>
      <c r="BY205" s="218" t="str">
        <f t="shared" si="156"/>
        <v>-</v>
      </c>
      <c r="BZ205" s="60"/>
      <c r="CA205" s="169"/>
      <c r="CB205" s="61" t="str">
        <f t="shared" ref="CB205:CB268" si="187">IF(CD205="-","-",CD205&amp;REPT(IF($R205="N","　",IF($R205="9","0"," ")),$Z205-LENB(CD205)))</f>
        <v xml:space="preserve">                                                                                                                                </v>
      </c>
      <c r="CC205" s="218" t="str">
        <f t="shared" si="157"/>
        <v>-</v>
      </c>
      <c r="CD205" s="169"/>
      <c r="CE205" s="92" t="str">
        <f t="shared" si="174"/>
        <v>OK</v>
      </c>
      <c r="CF205" s="60"/>
      <c r="CG205" s="169"/>
      <c r="CH205" s="61" t="str">
        <f t="shared" ref="CH205:CH268" si="188">IF(CJ205="-","-",CJ205&amp;REPT(IF($R205="N","　",IF($R205="9","0"," ")),$Z205-LENB(CJ205)))</f>
        <v xml:space="preserve">                                                                                                                                </v>
      </c>
      <c r="CI205" s="218" t="str">
        <f t="shared" si="158"/>
        <v>-</v>
      </c>
      <c r="CJ205" s="169"/>
      <c r="CK205" s="92" t="str">
        <f t="shared" si="175"/>
        <v>OK</v>
      </c>
      <c r="CL205" s="60"/>
      <c r="CM205" s="169"/>
      <c r="CN205" s="61" t="str">
        <f t="shared" ref="CN205:CN268" si="189">IF(CP205="-","-",CP205&amp;REPT(IF($R205="N","　",IF($R205="9","0"," ")),$Z205-LENB(CP205)))</f>
        <v xml:space="preserve">                                                                                                                                </v>
      </c>
      <c r="CO205" s="218" t="s">
        <v>593</v>
      </c>
      <c r="CP205" s="61"/>
      <c r="CQ205" s="218" t="str">
        <f t="shared" si="159"/>
        <v>-</v>
      </c>
      <c r="CR205" s="60"/>
      <c r="CS205" s="169"/>
      <c r="CT205" s="61" t="str">
        <f t="shared" ref="CT205:CT268" si="190">IF(CV205="-","-",CV205&amp;REPT(IF($R205="N","　",IF($R205="9","0"," ")),$Z205-LENB(CV205)))</f>
        <v xml:space="preserve">                                                                                                                                </v>
      </c>
      <c r="CU205" s="218" t="str">
        <f t="shared" si="160"/>
        <v>-</v>
      </c>
      <c r="CV205" s="169"/>
      <c r="CW205" s="92" t="s">
        <v>593</v>
      </c>
      <c r="CX205" s="60"/>
      <c r="CY205" s="169"/>
      <c r="CZ205" s="61" t="str">
        <f t="shared" ref="CZ205:CZ268" si="191">IF(DB205="-","-",DB205&amp;REPT(IF($R205="N","　",IF($R205="9","0"," ")),$Z205-LENB(DB205)))</f>
        <v xml:space="preserve">                                                                                                                                </v>
      </c>
      <c r="DA205" s="218" t="str">
        <f t="shared" si="161"/>
        <v>-</v>
      </c>
      <c r="DB205" s="169"/>
      <c r="DC205" s="92" t="s">
        <v>593</v>
      </c>
    </row>
    <row r="206" spans="2:107" s="26" customFormat="1" ht="114.75">
      <c r="B206" s="65">
        <f t="shared" si="151"/>
        <v>199</v>
      </c>
      <c r="C206" s="7"/>
      <c r="D206" s="7"/>
      <c r="E206" s="7"/>
      <c r="F206" s="22" t="s">
        <v>168</v>
      </c>
      <c r="G206" s="16"/>
      <c r="H206" s="13"/>
      <c r="I206" s="8"/>
      <c r="J206" s="8"/>
      <c r="K206" s="8"/>
      <c r="L206" s="8"/>
      <c r="M206" s="11" t="s">
        <v>399</v>
      </c>
      <c r="N206" s="1"/>
      <c r="O206" s="57"/>
      <c r="P206" s="95">
        <f t="shared" si="176"/>
        <v>177</v>
      </c>
      <c r="Q206" s="115">
        <v>1</v>
      </c>
      <c r="R206" s="21" t="str">
        <f t="shared" si="177"/>
        <v>X</v>
      </c>
      <c r="S206" s="98" t="s">
        <v>169</v>
      </c>
      <c r="T206" s="96"/>
      <c r="U206" s="21" t="s">
        <v>435</v>
      </c>
      <c r="V206" s="10"/>
      <c r="W206" s="25">
        <v>3</v>
      </c>
      <c r="X206" s="1" t="s">
        <v>305</v>
      </c>
      <c r="Y206" s="1">
        <v>1</v>
      </c>
      <c r="Z206" s="1">
        <v>1</v>
      </c>
      <c r="AA206" s="8" t="s">
        <v>114</v>
      </c>
      <c r="AB206" s="8" t="s">
        <v>21</v>
      </c>
      <c r="AC206" s="104"/>
      <c r="AD206" s="60"/>
      <c r="AE206" s="174"/>
      <c r="AF206" s="61" t="str">
        <f t="shared" si="179"/>
        <v xml:space="preserve"> </v>
      </c>
      <c r="AG206" s="218" t="str">
        <f t="shared" si="170"/>
        <v>-</v>
      </c>
      <c r="AH206" s="174"/>
      <c r="AI206" s="92" t="str">
        <f t="shared" si="172"/>
        <v>OK</v>
      </c>
      <c r="AJ206" s="60"/>
      <c r="AK206" s="174"/>
      <c r="AL206" s="61" t="str">
        <f t="shared" si="180"/>
        <v xml:space="preserve"> </v>
      </c>
      <c r="AM206" s="218" t="str">
        <f t="shared" si="152"/>
        <v>-</v>
      </c>
      <c r="AN206" s="174"/>
      <c r="AO206" s="92" t="str">
        <f t="shared" si="173"/>
        <v>OK</v>
      </c>
      <c r="AP206" s="60"/>
      <c r="AQ206" s="170"/>
      <c r="AR206" s="61" t="str">
        <f t="shared" si="181"/>
        <v xml:space="preserve"> </v>
      </c>
      <c r="AS206" s="218" t="s">
        <v>593</v>
      </c>
      <c r="AT206" s="61"/>
      <c r="AU206" s="218" t="str">
        <f t="shared" si="178"/>
        <v>-</v>
      </c>
      <c r="AV206" s="60"/>
      <c r="AW206" s="174"/>
      <c r="AX206" s="61" t="str">
        <f t="shared" si="182"/>
        <v xml:space="preserve"> </v>
      </c>
      <c r="AY206" s="218" t="str">
        <f t="shared" si="153"/>
        <v>-</v>
      </c>
      <c r="AZ206" s="174"/>
      <c r="BA206" s="478" t="s">
        <v>594</v>
      </c>
      <c r="BB206" s="60"/>
      <c r="BC206" s="174"/>
      <c r="BD206" s="61" t="str">
        <f t="shared" si="183"/>
        <v xml:space="preserve"> </v>
      </c>
      <c r="BE206" s="218" t="str">
        <f t="shared" si="154"/>
        <v>-</v>
      </c>
      <c r="BF206" s="174"/>
      <c r="BG206" s="478" t="s">
        <v>594</v>
      </c>
      <c r="BH206" s="60"/>
      <c r="BI206" s="170" t="s">
        <v>38</v>
      </c>
      <c r="BJ206" s="61" t="str">
        <f t="shared" si="184"/>
        <v xml:space="preserve"> </v>
      </c>
      <c r="BK206" s="218" t="s">
        <v>593</v>
      </c>
      <c r="BL206" s="174"/>
      <c r="BM206" s="478" t="s">
        <v>594</v>
      </c>
      <c r="BN206" s="60"/>
      <c r="BO206" s="174"/>
      <c r="BP206" s="61" t="str">
        <f t="shared" si="185"/>
        <v xml:space="preserve"> </v>
      </c>
      <c r="BQ206" s="218" t="str">
        <f t="shared" si="155"/>
        <v>-</v>
      </c>
      <c r="BR206" s="174"/>
      <c r="BS206" s="478" t="s">
        <v>594</v>
      </c>
      <c r="BT206" s="60"/>
      <c r="BU206" s="170"/>
      <c r="BV206" s="61" t="str">
        <f t="shared" si="186"/>
        <v xml:space="preserve"> </v>
      </c>
      <c r="BW206" s="218" t="s">
        <v>593</v>
      </c>
      <c r="BX206" s="61"/>
      <c r="BY206" s="218" t="str">
        <f t="shared" si="156"/>
        <v>-</v>
      </c>
      <c r="BZ206" s="60"/>
      <c r="CA206" s="174"/>
      <c r="CB206" s="61" t="str">
        <f t="shared" si="187"/>
        <v xml:space="preserve"> </v>
      </c>
      <c r="CC206" s="218" t="str">
        <f t="shared" si="157"/>
        <v>-</v>
      </c>
      <c r="CD206" s="174"/>
      <c r="CE206" s="92" t="str">
        <f t="shared" si="174"/>
        <v>OK</v>
      </c>
      <c r="CF206" s="60"/>
      <c r="CG206" s="174"/>
      <c r="CH206" s="61" t="str">
        <f t="shared" si="188"/>
        <v xml:space="preserve"> </v>
      </c>
      <c r="CI206" s="218" t="str">
        <f t="shared" si="158"/>
        <v>-</v>
      </c>
      <c r="CJ206" s="174"/>
      <c r="CK206" s="92" t="str">
        <f t="shared" si="175"/>
        <v>OK</v>
      </c>
      <c r="CL206" s="60"/>
      <c r="CM206" s="174"/>
      <c r="CN206" s="61" t="str">
        <f t="shared" si="189"/>
        <v xml:space="preserve"> </v>
      </c>
      <c r="CO206" s="218" t="s">
        <v>593</v>
      </c>
      <c r="CP206" s="61"/>
      <c r="CQ206" s="218" t="str">
        <f t="shared" si="159"/>
        <v>-</v>
      </c>
      <c r="CR206" s="60"/>
      <c r="CS206" s="174"/>
      <c r="CT206" s="61" t="str">
        <f t="shared" si="190"/>
        <v xml:space="preserve"> </v>
      </c>
      <c r="CU206" s="218" t="str">
        <f t="shared" si="160"/>
        <v>-</v>
      </c>
      <c r="CV206" s="174"/>
      <c r="CW206" s="92" t="s">
        <v>593</v>
      </c>
      <c r="CX206" s="60"/>
      <c r="CY206" s="174"/>
      <c r="CZ206" s="61" t="str">
        <f t="shared" si="191"/>
        <v xml:space="preserve"> </v>
      </c>
      <c r="DA206" s="218" t="str">
        <f t="shared" si="161"/>
        <v>-</v>
      </c>
      <c r="DB206" s="174"/>
      <c r="DC206" s="92" t="s">
        <v>593</v>
      </c>
    </row>
    <row r="207" spans="2:107" s="26" customFormat="1" ht="127.5">
      <c r="B207" s="65">
        <f t="shared" si="151"/>
        <v>200</v>
      </c>
      <c r="C207" s="7"/>
      <c r="D207" s="7"/>
      <c r="E207" s="7"/>
      <c r="F207" s="22" t="s">
        <v>170</v>
      </c>
      <c r="G207" s="16"/>
      <c r="H207" s="13"/>
      <c r="I207" s="8"/>
      <c r="J207" s="8" t="s">
        <v>426</v>
      </c>
      <c r="K207" s="8"/>
      <c r="L207" s="8"/>
      <c r="M207" s="418" t="s">
        <v>451</v>
      </c>
      <c r="N207" s="1"/>
      <c r="O207" s="57"/>
      <c r="P207" s="95">
        <f t="shared" si="176"/>
        <v>178</v>
      </c>
      <c r="Q207" s="115">
        <v>1</v>
      </c>
      <c r="R207" s="21" t="str">
        <f t="shared" si="177"/>
        <v>X</v>
      </c>
      <c r="S207" s="98" t="s">
        <v>171</v>
      </c>
      <c r="T207" s="96"/>
      <c r="U207" s="21" t="s">
        <v>435</v>
      </c>
      <c r="V207" s="10"/>
      <c r="W207" s="25">
        <v>3</v>
      </c>
      <c r="X207" s="1" t="s">
        <v>306</v>
      </c>
      <c r="Y207" s="1">
        <v>1</v>
      </c>
      <c r="Z207" s="1">
        <v>1</v>
      </c>
      <c r="AA207" s="8" t="s">
        <v>114</v>
      </c>
      <c r="AB207" s="8" t="s">
        <v>21</v>
      </c>
      <c r="AC207" s="104"/>
      <c r="AD207" s="60"/>
      <c r="AE207" s="174"/>
      <c r="AF207" s="61" t="str">
        <f t="shared" si="179"/>
        <v xml:space="preserve"> </v>
      </c>
      <c r="AG207" s="218" t="str">
        <f t="shared" si="170"/>
        <v>-</v>
      </c>
      <c r="AH207" s="174"/>
      <c r="AI207" s="92" t="str">
        <f t="shared" si="172"/>
        <v>OK</v>
      </c>
      <c r="AJ207" s="60"/>
      <c r="AK207" s="174"/>
      <c r="AL207" s="61" t="str">
        <f t="shared" si="180"/>
        <v xml:space="preserve"> </v>
      </c>
      <c r="AM207" s="218" t="str">
        <f t="shared" si="152"/>
        <v>-</v>
      </c>
      <c r="AN207" s="174"/>
      <c r="AO207" s="92" t="str">
        <f t="shared" si="173"/>
        <v>OK</v>
      </c>
      <c r="AP207" s="60"/>
      <c r="AQ207" s="170"/>
      <c r="AR207" s="61" t="str">
        <f t="shared" si="181"/>
        <v xml:space="preserve"> </v>
      </c>
      <c r="AS207" s="218" t="s">
        <v>593</v>
      </c>
      <c r="AT207" s="61"/>
      <c r="AU207" s="218" t="str">
        <f t="shared" si="178"/>
        <v>-</v>
      </c>
      <c r="AV207" s="60"/>
      <c r="AW207" s="174" t="s">
        <v>33</v>
      </c>
      <c r="AX207" s="61" t="str">
        <f t="shared" si="182"/>
        <v>1</v>
      </c>
      <c r="AY207" s="218" t="str">
        <f t="shared" si="153"/>
        <v>-</v>
      </c>
      <c r="AZ207" s="174" t="s">
        <v>33</v>
      </c>
      <c r="BA207" s="478" t="s">
        <v>594</v>
      </c>
      <c r="BB207" s="60"/>
      <c r="BC207" s="174" t="s">
        <v>33</v>
      </c>
      <c r="BD207" s="61" t="str">
        <f t="shared" si="183"/>
        <v>1</v>
      </c>
      <c r="BE207" s="218" t="str">
        <f t="shared" si="154"/>
        <v>-</v>
      </c>
      <c r="BF207" s="174" t="s">
        <v>33</v>
      </c>
      <c r="BG207" s="478" t="s">
        <v>594</v>
      </c>
      <c r="BH207" s="60"/>
      <c r="BI207" s="170" t="s">
        <v>33</v>
      </c>
      <c r="BJ207" s="61" t="str">
        <f t="shared" si="184"/>
        <v>1</v>
      </c>
      <c r="BK207" s="218" t="s">
        <v>593</v>
      </c>
      <c r="BL207" s="174" t="s">
        <v>33</v>
      </c>
      <c r="BM207" s="478" t="s">
        <v>594</v>
      </c>
      <c r="BN207" s="60"/>
      <c r="BO207" s="174" t="s">
        <v>33</v>
      </c>
      <c r="BP207" s="61" t="str">
        <f t="shared" si="185"/>
        <v>1</v>
      </c>
      <c r="BQ207" s="218" t="str">
        <f t="shared" si="155"/>
        <v>-</v>
      </c>
      <c r="BR207" s="174" t="s">
        <v>33</v>
      </c>
      <c r="BS207" s="478" t="s">
        <v>594</v>
      </c>
      <c r="BT207" s="60"/>
      <c r="BU207" s="170"/>
      <c r="BV207" s="61" t="str">
        <f t="shared" si="186"/>
        <v xml:space="preserve"> </v>
      </c>
      <c r="BW207" s="218" t="s">
        <v>593</v>
      </c>
      <c r="BX207" s="61"/>
      <c r="BY207" s="218" t="str">
        <f t="shared" si="156"/>
        <v>-</v>
      </c>
      <c r="BZ207" s="60"/>
      <c r="CA207" s="174"/>
      <c r="CB207" s="61" t="str">
        <f t="shared" si="187"/>
        <v xml:space="preserve"> </v>
      </c>
      <c r="CC207" s="218" t="str">
        <f t="shared" si="157"/>
        <v>-</v>
      </c>
      <c r="CD207" s="174"/>
      <c r="CE207" s="92" t="str">
        <f t="shared" si="174"/>
        <v>OK</v>
      </c>
      <c r="CF207" s="60"/>
      <c r="CG207" s="174"/>
      <c r="CH207" s="61" t="str">
        <f t="shared" si="188"/>
        <v xml:space="preserve"> </v>
      </c>
      <c r="CI207" s="218" t="str">
        <f t="shared" si="158"/>
        <v>-</v>
      </c>
      <c r="CJ207" s="174"/>
      <c r="CK207" s="92" t="str">
        <f t="shared" si="175"/>
        <v>OK</v>
      </c>
      <c r="CL207" s="60"/>
      <c r="CM207" s="174"/>
      <c r="CN207" s="61" t="str">
        <f t="shared" si="189"/>
        <v xml:space="preserve"> </v>
      </c>
      <c r="CO207" s="218" t="s">
        <v>593</v>
      </c>
      <c r="CP207" s="61"/>
      <c r="CQ207" s="218" t="str">
        <f t="shared" si="159"/>
        <v>-</v>
      </c>
      <c r="CR207" s="60"/>
      <c r="CS207" s="174"/>
      <c r="CT207" s="61" t="str">
        <f t="shared" si="190"/>
        <v xml:space="preserve"> </v>
      </c>
      <c r="CU207" s="218" t="str">
        <f t="shared" si="160"/>
        <v>-</v>
      </c>
      <c r="CV207" s="174"/>
      <c r="CW207" s="92" t="s">
        <v>593</v>
      </c>
      <c r="CX207" s="60"/>
      <c r="CY207" s="174"/>
      <c r="CZ207" s="61" t="str">
        <f t="shared" si="191"/>
        <v xml:space="preserve"> </v>
      </c>
      <c r="DA207" s="218" t="str">
        <f t="shared" si="161"/>
        <v>-</v>
      </c>
      <c r="DB207" s="174"/>
      <c r="DC207" s="92" t="s">
        <v>593</v>
      </c>
    </row>
    <row r="208" spans="2:107" s="26" customFormat="1" ht="319.5" customHeight="1">
      <c r="B208" s="65">
        <f t="shared" si="151"/>
        <v>201</v>
      </c>
      <c r="C208" s="7"/>
      <c r="D208" s="7"/>
      <c r="E208" s="54"/>
      <c r="F208" s="113" t="s">
        <v>452</v>
      </c>
      <c r="G208" s="67"/>
      <c r="H208" s="62"/>
      <c r="I208" s="8"/>
      <c r="J208" s="8" t="s">
        <v>426</v>
      </c>
      <c r="K208" s="8"/>
      <c r="L208" s="8"/>
      <c r="M208" s="415" t="s">
        <v>453</v>
      </c>
      <c r="N208" s="16"/>
      <c r="O208" s="57"/>
      <c r="P208" s="95">
        <f t="shared" si="176"/>
        <v>179</v>
      </c>
      <c r="Q208" s="115">
        <v>2</v>
      </c>
      <c r="R208" s="21" t="str">
        <f t="shared" si="177"/>
        <v>X</v>
      </c>
      <c r="S208" s="98" t="s">
        <v>172</v>
      </c>
      <c r="T208" s="96"/>
      <c r="U208" s="21" t="s">
        <v>435</v>
      </c>
      <c r="V208" s="10"/>
      <c r="W208" s="25">
        <v>3</v>
      </c>
      <c r="X208" s="1" t="s">
        <v>308</v>
      </c>
      <c r="Y208" s="1">
        <v>2</v>
      </c>
      <c r="Z208" s="1">
        <v>2</v>
      </c>
      <c r="AA208" s="8" t="s">
        <v>261</v>
      </c>
      <c r="AB208" s="8" t="s">
        <v>257</v>
      </c>
      <c r="AC208" s="68"/>
      <c r="AD208" s="60"/>
      <c r="AE208" s="174"/>
      <c r="AF208" s="273" t="str">
        <f t="shared" si="179"/>
        <v xml:space="preserve">  </v>
      </c>
      <c r="AG208" s="218" t="str">
        <f t="shared" si="170"/>
        <v>-</v>
      </c>
      <c r="AH208" s="174"/>
      <c r="AI208" s="92" t="str">
        <f t="shared" si="172"/>
        <v>OK</v>
      </c>
      <c r="AJ208" s="60"/>
      <c r="AK208" s="174"/>
      <c r="AL208" s="273" t="str">
        <f t="shared" si="180"/>
        <v xml:space="preserve">  </v>
      </c>
      <c r="AM208" s="218" t="str">
        <f t="shared" si="152"/>
        <v>-</v>
      </c>
      <c r="AN208" s="174"/>
      <c r="AO208" s="92" t="str">
        <f t="shared" si="173"/>
        <v>OK</v>
      </c>
      <c r="AP208" s="60"/>
      <c r="AQ208" s="170"/>
      <c r="AR208" s="273" t="str">
        <f t="shared" si="181"/>
        <v xml:space="preserve">  </v>
      </c>
      <c r="AS208" s="218" t="s">
        <v>593</v>
      </c>
      <c r="AT208" s="273"/>
      <c r="AU208" s="218" t="str">
        <f t="shared" si="178"/>
        <v>-</v>
      </c>
      <c r="AV208" s="60"/>
      <c r="AW208" s="174" t="s">
        <v>250</v>
      </c>
      <c r="AX208" s="273" t="str">
        <f t="shared" si="182"/>
        <v>E1</v>
      </c>
      <c r="AY208" s="218" t="str">
        <f t="shared" si="153"/>
        <v>-</v>
      </c>
      <c r="AZ208" s="174" t="s">
        <v>250</v>
      </c>
      <c r="BA208" s="92" t="str">
        <f>IF(EXACT(AW208,AZ208),"OK","NG")</f>
        <v>OK</v>
      </c>
      <c r="BB208" s="60"/>
      <c r="BC208" s="174" t="s">
        <v>249</v>
      </c>
      <c r="BD208" s="273" t="str">
        <f t="shared" si="183"/>
        <v>D1</v>
      </c>
      <c r="BE208" s="218" t="str">
        <f t="shared" si="154"/>
        <v>-</v>
      </c>
      <c r="BF208" s="174" t="s">
        <v>249</v>
      </c>
      <c r="BG208" s="92" t="str">
        <f>IF(EXACT(BC208,BF208),"OK","NG")</f>
        <v>OK</v>
      </c>
      <c r="BH208" s="60"/>
      <c r="BI208" s="170" t="s">
        <v>250</v>
      </c>
      <c r="BJ208" s="273" t="str">
        <f t="shared" si="184"/>
        <v>E1</v>
      </c>
      <c r="BK208" s="218" t="s">
        <v>593</v>
      </c>
      <c r="BL208" s="174" t="s">
        <v>250</v>
      </c>
      <c r="BM208" s="92" t="str">
        <f>IF(EXACT(BI208,BL208),"OK","NG")</f>
        <v>OK</v>
      </c>
      <c r="BN208" s="60"/>
      <c r="BO208" s="174" t="s">
        <v>249</v>
      </c>
      <c r="BP208" s="273" t="str">
        <f t="shared" si="185"/>
        <v>D1</v>
      </c>
      <c r="BQ208" s="218" t="str">
        <f t="shared" si="155"/>
        <v>-</v>
      </c>
      <c r="BR208" s="174" t="s">
        <v>249</v>
      </c>
      <c r="BS208" s="92" t="str">
        <f>IF(EXACT(BO208,BR208),"OK","NG")</f>
        <v>OK</v>
      </c>
      <c r="BT208" s="60"/>
      <c r="BU208" s="170"/>
      <c r="BV208" s="273" t="str">
        <f t="shared" si="186"/>
        <v xml:space="preserve">  </v>
      </c>
      <c r="BW208" s="218" t="s">
        <v>593</v>
      </c>
      <c r="BX208" s="273"/>
      <c r="BY208" s="218" t="str">
        <f t="shared" si="156"/>
        <v>-</v>
      </c>
      <c r="BZ208" s="60"/>
      <c r="CA208" s="174"/>
      <c r="CB208" s="273" t="str">
        <f t="shared" si="187"/>
        <v xml:space="preserve">  </v>
      </c>
      <c r="CC208" s="218" t="str">
        <f t="shared" si="157"/>
        <v>-</v>
      </c>
      <c r="CD208" s="174"/>
      <c r="CE208" s="92" t="str">
        <f t="shared" si="174"/>
        <v>OK</v>
      </c>
      <c r="CF208" s="60"/>
      <c r="CG208" s="174"/>
      <c r="CH208" s="273" t="str">
        <f t="shared" si="188"/>
        <v xml:space="preserve">  </v>
      </c>
      <c r="CI208" s="218" t="str">
        <f t="shared" si="158"/>
        <v>-</v>
      </c>
      <c r="CJ208" s="174"/>
      <c r="CK208" s="92" t="str">
        <f t="shared" si="175"/>
        <v>OK</v>
      </c>
      <c r="CL208" s="60"/>
      <c r="CM208" s="174"/>
      <c r="CN208" s="273" t="str">
        <f t="shared" si="189"/>
        <v xml:space="preserve">  </v>
      </c>
      <c r="CO208" s="218" t="s">
        <v>593</v>
      </c>
      <c r="CP208" s="273"/>
      <c r="CQ208" s="218" t="str">
        <f t="shared" si="159"/>
        <v>-</v>
      </c>
      <c r="CR208" s="60"/>
      <c r="CS208" s="174"/>
      <c r="CT208" s="273" t="str">
        <f t="shared" si="190"/>
        <v xml:space="preserve">  </v>
      </c>
      <c r="CU208" s="218" t="str">
        <f t="shared" si="160"/>
        <v>-</v>
      </c>
      <c r="CV208" s="174"/>
      <c r="CW208" s="92" t="s">
        <v>593</v>
      </c>
      <c r="CX208" s="60"/>
      <c r="CY208" s="174"/>
      <c r="CZ208" s="273" t="str">
        <f t="shared" si="191"/>
        <v xml:space="preserve">  </v>
      </c>
      <c r="DA208" s="218" t="str">
        <f t="shared" si="161"/>
        <v>-</v>
      </c>
      <c r="DB208" s="174"/>
      <c r="DC208" s="92" t="s">
        <v>593</v>
      </c>
    </row>
    <row r="209" spans="1:107" s="26" customFormat="1" ht="25.5">
      <c r="B209" s="65">
        <f t="shared" si="151"/>
        <v>202</v>
      </c>
      <c r="C209" s="7"/>
      <c r="D209" s="7"/>
      <c r="E209" s="54"/>
      <c r="F209" s="66" t="s">
        <v>173</v>
      </c>
      <c r="G209" s="67"/>
      <c r="H209" s="62"/>
      <c r="I209" s="8"/>
      <c r="J209" s="8"/>
      <c r="K209" s="8"/>
      <c r="L209" s="8"/>
      <c r="M209" s="11" t="s">
        <v>354</v>
      </c>
      <c r="N209" s="16"/>
      <c r="O209" s="57"/>
      <c r="P209" s="95">
        <f t="shared" si="176"/>
        <v>180</v>
      </c>
      <c r="Q209" s="115">
        <v>7</v>
      </c>
      <c r="R209" s="21" t="str">
        <f t="shared" si="177"/>
        <v>X</v>
      </c>
      <c r="S209" s="98" t="s">
        <v>174</v>
      </c>
      <c r="T209" s="96"/>
      <c r="U209" s="21" t="s">
        <v>257</v>
      </c>
      <c r="V209" s="10"/>
      <c r="W209" s="25">
        <v>3</v>
      </c>
      <c r="X209" s="1" t="s">
        <v>309</v>
      </c>
      <c r="Y209" s="1">
        <v>7</v>
      </c>
      <c r="Z209" s="1">
        <v>7</v>
      </c>
      <c r="AA209" s="8" t="s">
        <v>261</v>
      </c>
      <c r="AB209" s="8" t="s">
        <v>257</v>
      </c>
      <c r="AC209" s="105"/>
      <c r="AD209" s="60"/>
      <c r="AE209" s="169"/>
      <c r="AF209" s="61" t="str">
        <f t="shared" si="179"/>
        <v xml:space="preserve">       </v>
      </c>
      <c r="AG209" s="218" t="str">
        <f t="shared" si="170"/>
        <v>-</v>
      </c>
      <c r="AH209" s="169"/>
      <c r="AI209" s="92" t="str">
        <f t="shared" si="172"/>
        <v>OK</v>
      </c>
      <c r="AJ209" s="60"/>
      <c r="AK209" s="169"/>
      <c r="AL209" s="61" t="str">
        <f t="shared" si="180"/>
        <v xml:space="preserve">       </v>
      </c>
      <c r="AM209" s="218" t="str">
        <f t="shared" si="152"/>
        <v>-</v>
      </c>
      <c r="AN209" s="169"/>
      <c r="AO209" s="92" t="str">
        <f t="shared" si="173"/>
        <v>OK</v>
      </c>
      <c r="AP209" s="60"/>
      <c r="AQ209" s="172"/>
      <c r="AR209" s="61" t="str">
        <f t="shared" si="181"/>
        <v xml:space="preserve">       </v>
      </c>
      <c r="AS209" s="218" t="s">
        <v>593</v>
      </c>
      <c r="AT209" s="61"/>
      <c r="AU209" s="218" t="str">
        <f t="shared" si="178"/>
        <v>-</v>
      </c>
      <c r="AV209" s="60"/>
      <c r="AW209" s="169"/>
      <c r="AX209" s="61" t="str">
        <f t="shared" si="182"/>
        <v xml:space="preserve">       </v>
      </c>
      <c r="AY209" s="218" t="str">
        <f t="shared" si="153"/>
        <v>-</v>
      </c>
      <c r="AZ209" s="169"/>
      <c r="BA209" s="478" t="s">
        <v>594</v>
      </c>
      <c r="BB209" s="60"/>
      <c r="BC209" s="169"/>
      <c r="BD209" s="61" t="str">
        <f t="shared" si="183"/>
        <v xml:space="preserve">       </v>
      </c>
      <c r="BE209" s="218" t="str">
        <f t="shared" si="154"/>
        <v>-</v>
      </c>
      <c r="BF209" s="169"/>
      <c r="BG209" s="478" t="s">
        <v>594</v>
      </c>
      <c r="BH209" s="60"/>
      <c r="BI209" s="170" t="s">
        <v>705</v>
      </c>
      <c r="BJ209" s="61" t="str">
        <f t="shared" si="184"/>
        <v xml:space="preserve">       </v>
      </c>
      <c r="BK209" s="218" t="s">
        <v>593</v>
      </c>
      <c r="BL209" s="169"/>
      <c r="BM209" s="478" t="s">
        <v>594</v>
      </c>
      <c r="BN209" s="60"/>
      <c r="BO209" s="169"/>
      <c r="BP209" s="61" t="str">
        <f t="shared" si="185"/>
        <v xml:space="preserve">       </v>
      </c>
      <c r="BQ209" s="218" t="str">
        <f t="shared" si="155"/>
        <v>-</v>
      </c>
      <c r="BR209" s="169"/>
      <c r="BS209" s="478" t="s">
        <v>594</v>
      </c>
      <c r="BT209" s="60"/>
      <c r="BU209" s="172"/>
      <c r="BV209" s="61" t="str">
        <f t="shared" si="186"/>
        <v xml:space="preserve">       </v>
      </c>
      <c r="BW209" s="218" t="s">
        <v>593</v>
      </c>
      <c r="BX209" s="61"/>
      <c r="BY209" s="218" t="str">
        <f t="shared" si="156"/>
        <v>-</v>
      </c>
      <c r="BZ209" s="60"/>
      <c r="CA209" s="169"/>
      <c r="CB209" s="61" t="str">
        <f t="shared" si="187"/>
        <v xml:space="preserve">       </v>
      </c>
      <c r="CC209" s="218" t="str">
        <f t="shared" si="157"/>
        <v>-</v>
      </c>
      <c r="CD209" s="169"/>
      <c r="CE209" s="92" t="str">
        <f t="shared" si="174"/>
        <v>OK</v>
      </c>
      <c r="CF209" s="60"/>
      <c r="CG209" s="169"/>
      <c r="CH209" s="61" t="str">
        <f t="shared" si="188"/>
        <v xml:space="preserve">       </v>
      </c>
      <c r="CI209" s="218" t="str">
        <f t="shared" si="158"/>
        <v>-</v>
      </c>
      <c r="CJ209" s="169"/>
      <c r="CK209" s="92" t="str">
        <f t="shared" si="175"/>
        <v>OK</v>
      </c>
      <c r="CL209" s="60"/>
      <c r="CM209" s="169"/>
      <c r="CN209" s="61" t="str">
        <f t="shared" si="189"/>
        <v xml:space="preserve">       </v>
      </c>
      <c r="CO209" s="218" t="s">
        <v>593</v>
      </c>
      <c r="CP209" s="61"/>
      <c r="CQ209" s="218" t="str">
        <f t="shared" si="159"/>
        <v>-</v>
      </c>
      <c r="CR209" s="60"/>
      <c r="CS209" s="169"/>
      <c r="CT209" s="61" t="str">
        <f t="shared" si="190"/>
        <v xml:space="preserve">       </v>
      </c>
      <c r="CU209" s="218" t="str">
        <f t="shared" si="160"/>
        <v>-</v>
      </c>
      <c r="CV209" s="169"/>
      <c r="CW209" s="92" t="s">
        <v>593</v>
      </c>
      <c r="CX209" s="60"/>
      <c r="CY209" s="169"/>
      <c r="CZ209" s="61" t="str">
        <f t="shared" si="191"/>
        <v xml:space="preserve">       </v>
      </c>
      <c r="DA209" s="218" t="str">
        <f t="shared" si="161"/>
        <v>-</v>
      </c>
      <c r="DB209" s="169"/>
      <c r="DC209" s="92" t="s">
        <v>593</v>
      </c>
    </row>
    <row r="210" spans="1:107" s="81" customFormat="1" ht="25.5">
      <c r="B210" s="65">
        <f t="shared" si="151"/>
        <v>203</v>
      </c>
      <c r="C210" s="69"/>
      <c r="D210" s="69"/>
      <c r="E210" s="70"/>
      <c r="F210" s="71" t="s">
        <v>355</v>
      </c>
      <c r="G210" s="72"/>
      <c r="H210" s="73"/>
      <c r="I210" s="74"/>
      <c r="J210" s="74"/>
      <c r="K210" s="75"/>
      <c r="L210" s="75"/>
      <c r="M210" s="84" t="s">
        <v>354</v>
      </c>
      <c r="N210" s="76"/>
      <c r="O210" s="77"/>
      <c r="P210" s="95">
        <f t="shared" si="176"/>
        <v>181</v>
      </c>
      <c r="Q210" s="119">
        <v>10</v>
      </c>
      <c r="R210" s="21" t="str">
        <f t="shared" si="177"/>
        <v>X</v>
      </c>
      <c r="S210" s="98" t="s">
        <v>175</v>
      </c>
      <c r="T210" s="106"/>
      <c r="U210" s="21" t="s">
        <v>257</v>
      </c>
      <c r="V210" s="77"/>
      <c r="W210" s="78">
        <v>3</v>
      </c>
      <c r="X210" s="56" t="s">
        <v>176</v>
      </c>
      <c r="Y210" s="56">
        <v>10</v>
      </c>
      <c r="Z210" s="56">
        <v>10</v>
      </c>
      <c r="AA210" s="74" t="s">
        <v>114</v>
      </c>
      <c r="AB210" s="74" t="s">
        <v>21</v>
      </c>
      <c r="AC210" s="105"/>
      <c r="AD210" s="79"/>
      <c r="AE210" s="481"/>
      <c r="AF210" s="80" t="str">
        <f t="shared" si="179"/>
        <v xml:space="preserve">          </v>
      </c>
      <c r="AG210" s="218" t="str">
        <f t="shared" si="170"/>
        <v>-</v>
      </c>
      <c r="AH210" s="274"/>
      <c r="AI210" s="92" t="str">
        <f t="shared" si="172"/>
        <v>OK</v>
      </c>
      <c r="AJ210" s="79"/>
      <c r="AK210" s="481"/>
      <c r="AL210" s="80" t="str">
        <f t="shared" si="180"/>
        <v xml:space="preserve">          </v>
      </c>
      <c r="AM210" s="218" t="str">
        <f t="shared" si="152"/>
        <v>-</v>
      </c>
      <c r="AN210" s="274"/>
      <c r="AO210" s="92" t="str">
        <f t="shared" si="173"/>
        <v>OK</v>
      </c>
      <c r="AP210" s="79"/>
      <c r="AQ210" s="512"/>
      <c r="AR210" s="80" t="str">
        <f t="shared" si="181"/>
        <v xml:space="preserve">          </v>
      </c>
      <c r="AS210" s="218" t="s">
        <v>593</v>
      </c>
      <c r="AT210" s="80"/>
      <c r="AU210" s="218" t="str">
        <f t="shared" si="178"/>
        <v>-</v>
      </c>
      <c r="AV210" s="79"/>
      <c r="AW210" s="481"/>
      <c r="AX210" s="80" t="str">
        <f t="shared" si="182"/>
        <v xml:space="preserve">          </v>
      </c>
      <c r="AY210" s="218" t="str">
        <f t="shared" si="153"/>
        <v>-</v>
      </c>
      <c r="AZ210" s="274"/>
      <c r="BA210" s="478" t="s">
        <v>594</v>
      </c>
      <c r="BB210" s="79"/>
      <c r="BC210" s="481"/>
      <c r="BD210" s="80" t="str">
        <f t="shared" si="183"/>
        <v xml:space="preserve">          </v>
      </c>
      <c r="BE210" s="218" t="str">
        <f t="shared" si="154"/>
        <v>-</v>
      </c>
      <c r="BF210" s="274"/>
      <c r="BG210" s="478" t="s">
        <v>594</v>
      </c>
      <c r="BH210" s="79"/>
      <c r="BI210" s="508" t="s">
        <v>706</v>
      </c>
      <c r="BJ210" s="80" t="str">
        <f t="shared" si="184"/>
        <v xml:space="preserve">          </v>
      </c>
      <c r="BK210" s="218" t="s">
        <v>593</v>
      </c>
      <c r="BL210" s="274"/>
      <c r="BM210" s="478" t="s">
        <v>594</v>
      </c>
      <c r="BN210" s="79"/>
      <c r="BO210" s="481"/>
      <c r="BP210" s="80" t="str">
        <f t="shared" si="185"/>
        <v xml:space="preserve">          </v>
      </c>
      <c r="BQ210" s="218" t="str">
        <f t="shared" si="155"/>
        <v>-</v>
      </c>
      <c r="BR210" s="274"/>
      <c r="BS210" s="478" t="s">
        <v>594</v>
      </c>
      <c r="BT210" s="79"/>
      <c r="BU210" s="512"/>
      <c r="BV210" s="80" t="str">
        <f t="shared" si="186"/>
        <v xml:space="preserve">          </v>
      </c>
      <c r="BW210" s="218" t="s">
        <v>593</v>
      </c>
      <c r="BX210" s="80"/>
      <c r="BY210" s="218" t="str">
        <f t="shared" si="156"/>
        <v>-</v>
      </c>
      <c r="BZ210" s="79"/>
      <c r="CA210" s="481"/>
      <c r="CB210" s="80" t="str">
        <f t="shared" si="187"/>
        <v xml:space="preserve">          </v>
      </c>
      <c r="CC210" s="218" t="str">
        <f t="shared" si="157"/>
        <v>-</v>
      </c>
      <c r="CD210" s="274"/>
      <c r="CE210" s="92" t="str">
        <f t="shared" si="174"/>
        <v>OK</v>
      </c>
      <c r="CF210" s="79"/>
      <c r="CG210" s="481"/>
      <c r="CH210" s="80" t="str">
        <f t="shared" si="188"/>
        <v xml:space="preserve">          </v>
      </c>
      <c r="CI210" s="218" t="str">
        <f t="shared" si="158"/>
        <v>-</v>
      </c>
      <c r="CJ210" s="274"/>
      <c r="CK210" s="92" t="str">
        <f t="shared" si="175"/>
        <v>OK</v>
      </c>
      <c r="CL210" s="79"/>
      <c r="CM210" s="481"/>
      <c r="CN210" s="80" t="str">
        <f t="shared" si="189"/>
        <v xml:space="preserve">          </v>
      </c>
      <c r="CO210" s="218" t="s">
        <v>593</v>
      </c>
      <c r="CP210" s="80"/>
      <c r="CQ210" s="218" t="str">
        <f t="shared" si="159"/>
        <v>-</v>
      </c>
      <c r="CR210" s="79"/>
      <c r="CS210" s="481"/>
      <c r="CT210" s="80" t="str">
        <f t="shared" si="190"/>
        <v xml:space="preserve">          </v>
      </c>
      <c r="CU210" s="218" t="str">
        <f t="shared" si="160"/>
        <v>-</v>
      </c>
      <c r="CV210" s="274"/>
      <c r="CW210" s="92" t="s">
        <v>593</v>
      </c>
      <c r="CX210" s="79"/>
      <c r="CY210" s="481"/>
      <c r="CZ210" s="80" t="str">
        <f t="shared" si="191"/>
        <v xml:space="preserve">          </v>
      </c>
      <c r="DA210" s="218" t="str">
        <f t="shared" si="161"/>
        <v>-</v>
      </c>
      <c r="DB210" s="274"/>
      <c r="DC210" s="92" t="s">
        <v>593</v>
      </c>
    </row>
    <row r="211" spans="1:107" s="81" customFormat="1" ht="25.5">
      <c r="B211" s="65">
        <f t="shared" si="151"/>
        <v>204</v>
      </c>
      <c r="C211" s="69"/>
      <c r="D211" s="69"/>
      <c r="E211" s="69"/>
      <c r="F211" s="82" t="s">
        <v>177</v>
      </c>
      <c r="G211" s="14"/>
      <c r="H211" s="83"/>
      <c r="I211" s="74"/>
      <c r="J211" s="74"/>
      <c r="K211" s="75"/>
      <c r="L211" s="75"/>
      <c r="M211" s="84" t="s">
        <v>354</v>
      </c>
      <c r="N211" s="76"/>
      <c r="O211" s="77"/>
      <c r="P211" s="95">
        <f t="shared" si="176"/>
        <v>182</v>
      </c>
      <c r="Q211" s="119">
        <v>3</v>
      </c>
      <c r="R211" s="21" t="str">
        <f t="shared" si="177"/>
        <v>X</v>
      </c>
      <c r="S211" s="98" t="s">
        <v>178</v>
      </c>
      <c r="T211" s="106"/>
      <c r="U211" s="21" t="s">
        <v>257</v>
      </c>
      <c r="V211" s="77"/>
      <c r="W211" s="78">
        <v>3</v>
      </c>
      <c r="X211" s="56" t="s">
        <v>179</v>
      </c>
      <c r="Y211" s="56">
        <v>3</v>
      </c>
      <c r="Z211" s="56">
        <v>3</v>
      </c>
      <c r="AA211" s="74" t="s">
        <v>114</v>
      </c>
      <c r="AB211" s="74" t="s">
        <v>21</v>
      </c>
      <c r="AC211" s="105"/>
      <c r="AD211" s="79"/>
      <c r="AE211" s="481"/>
      <c r="AF211" s="80" t="str">
        <f t="shared" si="179"/>
        <v xml:space="preserve">   </v>
      </c>
      <c r="AG211" s="218" t="str">
        <f t="shared" si="170"/>
        <v>-</v>
      </c>
      <c r="AH211" s="274"/>
      <c r="AI211" s="92" t="str">
        <f t="shared" si="172"/>
        <v>OK</v>
      </c>
      <c r="AJ211" s="79"/>
      <c r="AK211" s="481"/>
      <c r="AL211" s="80" t="str">
        <f t="shared" si="180"/>
        <v xml:space="preserve">   </v>
      </c>
      <c r="AM211" s="218" t="str">
        <f t="shared" si="152"/>
        <v>-</v>
      </c>
      <c r="AN211" s="274"/>
      <c r="AO211" s="92" t="str">
        <f t="shared" si="173"/>
        <v>OK</v>
      </c>
      <c r="AP211" s="79"/>
      <c r="AQ211" s="512"/>
      <c r="AR211" s="80" t="str">
        <f t="shared" si="181"/>
        <v xml:space="preserve">   </v>
      </c>
      <c r="AS211" s="218" t="s">
        <v>593</v>
      </c>
      <c r="AT211" s="80"/>
      <c r="AU211" s="218" t="str">
        <f t="shared" si="178"/>
        <v>-</v>
      </c>
      <c r="AV211" s="79"/>
      <c r="AW211" s="481"/>
      <c r="AX211" s="80" t="str">
        <f t="shared" si="182"/>
        <v xml:space="preserve">   </v>
      </c>
      <c r="AY211" s="218" t="str">
        <f t="shared" si="153"/>
        <v>-</v>
      </c>
      <c r="AZ211" s="274"/>
      <c r="BA211" s="478" t="s">
        <v>594</v>
      </c>
      <c r="BB211" s="79"/>
      <c r="BC211" s="481"/>
      <c r="BD211" s="80" t="str">
        <f t="shared" si="183"/>
        <v xml:space="preserve">   </v>
      </c>
      <c r="BE211" s="218" t="str">
        <f t="shared" si="154"/>
        <v>-</v>
      </c>
      <c r="BF211" s="274"/>
      <c r="BG211" s="478" t="s">
        <v>594</v>
      </c>
      <c r="BH211" s="79"/>
      <c r="BI211" s="508" t="s">
        <v>707</v>
      </c>
      <c r="BJ211" s="80" t="str">
        <f t="shared" si="184"/>
        <v xml:space="preserve">   </v>
      </c>
      <c r="BK211" s="218" t="s">
        <v>593</v>
      </c>
      <c r="BL211" s="274"/>
      <c r="BM211" s="478" t="s">
        <v>594</v>
      </c>
      <c r="BN211" s="79"/>
      <c r="BO211" s="481"/>
      <c r="BP211" s="80" t="str">
        <f t="shared" si="185"/>
        <v xml:space="preserve">   </v>
      </c>
      <c r="BQ211" s="218" t="str">
        <f t="shared" si="155"/>
        <v>-</v>
      </c>
      <c r="BR211" s="274"/>
      <c r="BS211" s="478" t="s">
        <v>594</v>
      </c>
      <c r="BT211" s="79"/>
      <c r="BU211" s="512"/>
      <c r="BV211" s="80" t="str">
        <f t="shared" si="186"/>
        <v xml:space="preserve">   </v>
      </c>
      <c r="BW211" s="218" t="s">
        <v>593</v>
      </c>
      <c r="BX211" s="80"/>
      <c r="BY211" s="218" t="str">
        <f t="shared" si="156"/>
        <v>-</v>
      </c>
      <c r="BZ211" s="79"/>
      <c r="CA211" s="481"/>
      <c r="CB211" s="80" t="str">
        <f t="shared" si="187"/>
        <v xml:space="preserve">   </v>
      </c>
      <c r="CC211" s="218" t="str">
        <f t="shared" si="157"/>
        <v>-</v>
      </c>
      <c r="CD211" s="274"/>
      <c r="CE211" s="92" t="str">
        <f t="shared" si="174"/>
        <v>OK</v>
      </c>
      <c r="CF211" s="79"/>
      <c r="CG211" s="481"/>
      <c r="CH211" s="80" t="str">
        <f t="shared" si="188"/>
        <v xml:space="preserve">   </v>
      </c>
      <c r="CI211" s="218" t="str">
        <f t="shared" si="158"/>
        <v>-</v>
      </c>
      <c r="CJ211" s="274"/>
      <c r="CK211" s="92" t="str">
        <f t="shared" si="175"/>
        <v>OK</v>
      </c>
      <c r="CL211" s="79"/>
      <c r="CM211" s="481"/>
      <c r="CN211" s="80" t="str">
        <f t="shared" si="189"/>
        <v xml:space="preserve">   </v>
      </c>
      <c r="CO211" s="218" t="s">
        <v>593</v>
      </c>
      <c r="CP211" s="80"/>
      <c r="CQ211" s="218" t="str">
        <f t="shared" si="159"/>
        <v>-</v>
      </c>
      <c r="CR211" s="79"/>
      <c r="CS211" s="481"/>
      <c r="CT211" s="80" t="str">
        <f t="shared" si="190"/>
        <v xml:space="preserve">   </v>
      </c>
      <c r="CU211" s="218" t="str">
        <f t="shared" si="160"/>
        <v>-</v>
      </c>
      <c r="CV211" s="274"/>
      <c r="CW211" s="92" t="s">
        <v>593</v>
      </c>
      <c r="CX211" s="79"/>
      <c r="CY211" s="481"/>
      <c r="CZ211" s="80" t="str">
        <f t="shared" si="191"/>
        <v xml:space="preserve">   </v>
      </c>
      <c r="DA211" s="218" t="str">
        <f t="shared" si="161"/>
        <v>-</v>
      </c>
      <c r="DB211" s="274"/>
      <c r="DC211" s="92" t="s">
        <v>593</v>
      </c>
    </row>
    <row r="212" spans="1:107" s="81" customFormat="1" ht="25.5">
      <c r="B212" s="65">
        <f t="shared" si="151"/>
        <v>205</v>
      </c>
      <c r="C212" s="69"/>
      <c r="D212" s="69"/>
      <c r="E212" s="69"/>
      <c r="F212" s="82" t="s">
        <v>180</v>
      </c>
      <c r="G212" s="14"/>
      <c r="H212" s="83"/>
      <c r="I212" s="74"/>
      <c r="J212" s="74"/>
      <c r="K212" s="75"/>
      <c r="L212" s="75"/>
      <c r="M212" s="84" t="s">
        <v>354</v>
      </c>
      <c r="N212" s="76"/>
      <c r="O212" s="77"/>
      <c r="P212" s="95">
        <f>P211+1</f>
        <v>183</v>
      </c>
      <c r="Q212" s="119">
        <v>2</v>
      </c>
      <c r="R212" s="21" t="str">
        <f t="shared" si="177"/>
        <v>X</v>
      </c>
      <c r="S212" s="98" t="s">
        <v>181</v>
      </c>
      <c r="T212" s="106"/>
      <c r="U212" s="21" t="s">
        <v>257</v>
      </c>
      <c r="V212" s="77"/>
      <c r="W212" s="78">
        <v>3</v>
      </c>
      <c r="X212" s="56" t="s">
        <v>182</v>
      </c>
      <c r="Y212" s="56">
        <v>2</v>
      </c>
      <c r="Z212" s="56">
        <v>2</v>
      </c>
      <c r="AA212" s="74" t="s">
        <v>114</v>
      </c>
      <c r="AB212" s="74" t="s">
        <v>21</v>
      </c>
      <c r="AC212" s="105"/>
      <c r="AD212" s="79"/>
      <c r="AE212" s="481"/>
      <c r="AF212" s="80" t="str">
        <f t="shared" si="179"/>
        <v xml:space="preserve">  </v>
      </c>
      <c r="AG212" s="218" t="str">
        <f t="shared" si="170"/>
        <v>-</v>
      </c>
      <c r="AH212" s="274"/>
      <c r="AI212" s="92" t="str">
        <f t="shared" si="172"/>
        <v>OK</v>
      </c>
      <c r="AJ212" s="79"/>
      <c r="AK212" s="481"/>
      <c r="AL212" s="80" t="str">
        <f t="shared" si="180"/>
        <v xml:space="preserve">  </v>
      </c>
      <c r="AM212" s="218" t="str">
        <f t="shared" si="152"/>
        <v>-</v>
      </c>
      <c r="AN212" s="274"/>
      <c r="AO212" s="92" t="str">
        <f t="shared" si="173"/>
        <v>OK</v>
      </c>
      <c r="AP212" s="79"/>
      <c r="AQ212" s="512"/>
      <c r="AR212" s="80" t="str">
        <f t="shared" si="181"/>
        <v xml:space="preserve">  </v>
      </c>
      <c r="AS212" s="218" t="s">
        <v>593</v>
      </c>
      <c r="AT212" s="80"/>
      <c r="AU212" s="218" t="str">
        <f t="shared" si="178"/>
        <v>-</v>
      </c>
      <c r="AV212" s="79"/>
      <c r="AW212" s="481"/>
      <c r="AX212" s="80" t="str">
        <f t="shared" si="182"/>
        <v xml:space="preserve">  </v>
      </c>
      <c r="AY212" s="218" t="str">
        <f t="shared" si="153"/>
        <v>-</v>
      </c>
      <c r="AZ212" s="274"/>
      <c r="BA212" s="478" t="s">
        <v>594</v>
      </c>
      <c r="BB212" s="79"/>
      <c r="BC212" s="481"/>
      <c r="BD212" s="80" t="str">
        <f t="shared" si="183"/>
        <v xml:space="preserve">  </v>
      </c>
      <c r="BE212" s="218" t="str">
        <f t="shared" si="154"/>
        <v>-</v>
      </c>
      <c r="BF212" s="274"/>
      <c r="BG212" s="478" t="s">
        <v>594</v>
      </c>
      <c r="BH212" s="79"/>
      <c r="BI212" s="508" t="s">
        <v>698</v>
      </c>
      <c r="BJ212" s="80" t="str">
        <f t="shared" si="184"/>
        <v xml:space="preserve">  </v>
      </c>
      <c r="BK212" s="218" t="s">
        <v>593</v>
      </c>
      <c r="BL212" s="274"/>
      <c r="BM212" s="478" t="s">
        <v>594</v>
      </c>
      <c r="BN212" s="79"/>
      <c r="BO212" s="481"/>
      <c r="BP212" s="80" t="str">
        <f t="shared" si="185"/>
        <v xml:space="preserve">  </v>
      </c>
      <c r="BQ212" s="218" t="str">
        <f t="shared" si="155"/>
        <v>-</v>
      </c>
      <c r="BR212" s="274"/>
      <c r="BS212" s="478" t="s">
        <v>594</v>
      </c>
      <c r="BT212" s="79"/>
      <c r="BU212" s="512"/>
      <c r="BV212" s="80" t="str">
        <f t="shared" si="186"/>
        <v xml:space="preserve">  </v>
      </c>
      <c r="BW212" s="218" t="s">
        <v>593</v>
      </c>
      <c r="BX212" s="80"/>
      <c r="BY212" s="218" t="str">
        <f t="shared" si="156"/>
        <v>-</v>
      </c>
      <c r="BZ212" s="79"/>
      <c r="CA212" s="481"/>
      <c r="CB212" s="80" t="str">
        <f t="shared" si="187"/>
        <v xml:space="preserve">  </v>
      </c>
      <c r="CC212" s="218" t="str">
        <f t="shared" si="157"/>
        <v>-</v>
      </c>
      <c r="CD212" s="274"/>
      <c r="CE212" s="92" t="str">
        <f t="shared" si="174"/>
        <v>OK</v>
      </c>
      <c r="CF212" s="79"/>
      <c r="CG212" s="481"/>
      <c r="CH212" s="80" t="str">
        <f t="shared" si="188"/>
        <v xml:space="preserve">  </v>
      </c>
      <c r="CI212" s="218" t="str">
        <f t="shared" si="158"/>
        <v>-</v>
      </c>
      <c r="CJ212" s="274"/>
      <c r="CK212" s="92" t="str">
        <f t="shared" si="175"/>
        <v>OK</v>
      </c>
      <c r="CL212" s="79"/>
      <c r="CM212" s="481"/>
      <c r="CN212" s="80" t="str">
        <f t="shared" si="189"/>
        <v xml:space="preserve">  </v>
      </c>
      <c r="CO212" s="218" t="s">
        <v>593</v>
      </c>
      <c r="CP212" s="80"/>
      <c r="CQ212" s="218" t="str">
        <f t="shared" si="159"/>
        <v>-</v>
      </c>
      <c r="CR212" s="79"/>
      <c r="CS212" s="481"/>
      <c r="CT212" s="80" t="str">
        <f t="shared" si="190"/>
        <v xml:space="preserve">  </v>
      </c>
      <c r="CU212" s="218" t="str">
        <f t="shared" si="160"/>
        <v>-</v>
      </c>
      <c r="CV212" s="274"/>
      <c r="CW212" s="92" t="s">
        <v>593</v>
      </c>
      <c r="CX212" s="79"/>
      <c r="CY212" s="481"/>
      <c r="CZ212" s="80" t="str">
        <f t="shared" si="191"/>
        <v xml:space="preserve">  </v>
      </c>
      <c r="DA212" s="218" t="str">
        <f t="shared" si="161"/>
        <v>-</v>
      </c>
      <c r="DB212" s="274"/>
      <c r="DC212" s="92" t="s">
        <v>593</v>
      </c>
    </row>
    <row r="213" spans="1:107" s="81" customFormat="1" ht="51.75" customHeight="1">
      <c r="B213" s="65">
        <f t="shared" si="151"/>
        <v>206</v>
      </c>
      <c r="C213" s="69"/>
      <c r="D213" s="69"/>
      <c r="E213" s="69"/>
      <c r="F213" s="233" t="s">
        <v>183</v>
      </c>
      <c r="G213" s="234"/>
      <c r="H213" s="235"/>
      <c r="I213" s="74"/>
      <c r="J213" s="74"/>
      <c r="K213" s="75"/>
      <c r="L213" s="75"/>
      <c r="M213" s="84" t="s">
        <v>184</v>
      </c>
      <c r="N213" s="76"/>
      <c r="O213" s="77"/>
      <c r="P213" s="95">
        <f>P212+1</f>
        <v>184</v>
      </c>
      <c r="Q213" s="119">
        <v>5</v>
      </c>
      <c r="R213" s="21" t="str">
        <f t="shared" si="177"/>
        <v>X</v>
      </c>
      <c r="S213" s="98" t="s">
        <v>185</v>
      </c>
      <c r="T213" s="106"/>
      <c r="U213" s="21" t="s">
        <v>257</v>
      </c>
      <c r="V213" s="77"/>
      <c r="W213" s="78">
        <v>3</v>
      </c>
      <c r="X213" s="56" t="s">
        <v>310</v>
      </c>
      <c r="Y213" s="56">
        <v>5</v>
      </c>
      <c r="Z213" s="56">
        <v>5</v>
      </c>
      <c r="AA213" s="74" t="s">
        <v>114</v>
      </c>
      <c r="AB213" s="74" t="s">
        <v>21</v>
      </c>
      <c r="AC213" s="85"/>
      <c r="AD213" s="79"/>
      <c r="AE213" s="487"/>
      <c r="AF213" s="80" t="str">
        <f t="shared" si="179"/>
        <v xml:space="preserve">     </v>
      </c>
      <c r="AG213" s="218" t="str">
        <f t="shared" si="170"/>
        <v>-</v>
      </c>
      <c r="AH213" s="381"/>
      <c r="AI213" s="92" t="str">
        <f t="shared" si="172"/>
        <v>OK</v>
      </c>
      <c r="AJ213" s="79"/>
      <c r="AK213" s="487"/>
      <c r="AL213" s="80" t="str">
        <f t="shared" si="180"/>
        <v xml:space="preserve">     </v>
      </c>
      <c r="AM213" s="218" t="str">
        <f t="shared" si="152"/>
        <v>-</v>
      </c>
      <c r="AN213" s="381"/>
      <c r="AO213" s="92" t="str">
        <f t="shared" si="173"/>
        <v>OK</v>
      </c>
      <c r="AP213" s="79"/>
      <c r="AQ213" s="508"/>
      <c r="AR213" s="80" t="str">
        <f t="shared" si="181"/>
        <v xml:space="preserve">     </v>
      </c>
      <c r="AS213" s="218" t="s">
        <v>593</v>
      </c>
      <c r="AT213" s="80"/>
      <c r="AU213" s="218" t="str">
        <f t="shared" si="178"/>
        <v>-</v>
      </c>
      <c r="AV213" s="79"/>
      <c r="AW213" s="487" t="s">
        <v>380</v>
      </c>
      <c r="AX213" s="80" t="str">
        <f t="shared" si="182"/>
        <v>04990</v>
      </c>
      <c r="AY213" s="218" t="str">
        <f t="shared" si="153"/>
        <v>-</v>
      </c>
      <c r="AZ213" s="381" t="s">
        <v>380</v>
      </c>
      <c r="BA213" s="478" t="s">
        <v>594</v>
      </c>
      <c r="BB213" s="79"/>
      <c r="BC213" s="487" t="s">
        <v>334</v>
      </c>
      <c r="BD213" s="80" t="str">
        <f t="shared" si="183"/>
        <v>03901</v>
      </c>
      <c r="BE213" s="218" t="str">
        <f t="shared" si="154"/>
        <v>-</v>
      </c>
      <c r="BF213" s="381" t="s">
        <v>334</v>
      </c>
      <c r="BG213" s="478" t="s">
        <v>594</v>
      </c>
      <c r="BH213" s="79"/>
      <c r="BI213" s="508" t="s">
        <v>380</v>
      </c>
      <c r="BJ213" s="80" t="str">
        <f t="shared" si="184"/>
        <v>04990</v>
      </c>
      <c r="BK213" s="218" t="s">
        <v>593</v>
      </c>
      <c r="BL213" s="381" t="s">
        <v>380</v>
      </c>
      <c r="BM213" s="478" t="s">
        <v>594</v>
      </c>
      <c r="BN213" s="79"/>
      <c r="BO213" s="487" t="s">
        <v>334</v>
      </c>
      <c r="BP213" s="80" t="str">
        <f t="shared" si="185"/>
        <v>03901</v>
      </c>
      <c r="BQ213" s="218" t="str">
        <f t="shared" si="155"/>
        <v>-</v>
      </c>
      <c r="BR213" s="381" t="s">
        <v>334</v>
      </c>
      <c r="BS213" s="478" t="s">
        <v>594</v>
      </c>
      <c r="BT213" s="79"/>
      <c r="BU213" s="508"/>
      <c r="BV213" s="80" t="str">
        <f t="shared" si="186"/>
        <v xml:space="preserve">     </v>
      </c>
      <c r="BW213" s="218" t="s">
        <v>593</v>
      </c>
      <c r="BX213" s="80"/>
      <c r="BY213" s="218" t="str">
        <f t="shared" si="156"/>
        <v>-</v>
      </c>
      <c r="BZ213" s="79"/>
      <c r="CA213" s="487"/>
      <c r="CB213" s="80" t="str">
        <f t="shared" si="187"/>
        <v xml:space="preserve">     </v>
      </c>
      <c r="CC213" s="218" t="str">
        <f t="shared" si="157"/>
        <v>-</v>
      </c>
      <c r="CD213" s="381"/>
      <c r="CE213" s="92" t="str">
        <f t="shared" si="174"/>
        <v>OK</v>
      </c>
      <c r="CF213" s="79"/>
      <c r="CG213" s="487"/>
      <c r="CH213" s="80" t="str">
        <f t="shared" si="188"/>
        <v xml:space="preserve">     </v>
      </c>
      <c r="CI213" s="218" t="str">
        <f t="shared" si="158"/>
        <v>-</v>
      </c>
      <c r="CJ213" s="381"/>
      <c r="CK213" s="92" t="str">
        <f t="shared" si="175"/>
        <v>OK</v>
      </c>
      <c r="CL213" s="79"/>
      <c r="CM213" s="487"/>
      <c r="CN213" s="80" t="str">
        <f t="shared" si="189"/>
        <v xml:space="preserve">     </v>
      </c>
      <c r="CO213" s="218" t="s">
        <v>593</v>
      </c>
      <c r="CP213" s="80"/>
      <c r="CQ213" s="218" t="str">
        <f t="shared" si="159"/>
        <v>-</v>
      </c>
      <c r="CR213" s="79"/>
      <c r="CS213" s="487"/>
      <c r="CT213" s="80" t="str">
        <f t="shared" si="190"/>
        <v xml:space="preserve">     </v>
      </c>
      <c r="CU213" s="218" t="str">
        <f t="shared" si="160"/>
        <v>-</v>
      </c>
      <c r="CV213" s="381"/>
      <c r="CW213" s="92" t="s">
        <v>593</v>
      </c>
      <c r="CX213" s="79"/>
      <c r="CY213" s="487"/>
      <c r="CZ213" s="80" t="str">
        <f t="shared" si="191"/>
        <v xml:space="preserve">     </v>
      </c>
      <c r="DA213" s="218" t="str">
        <f t="shared" si="161"/>
        <v>-</v>
      </c>
      <c r="DB213" s="381"/>
      <c r="DC213" s="92" t="s">
        <v>593</v>
      </c>
    </row>
    <row r="214" spans="1:107" s="81" customFormat="1" ht="51.75" customHeight="1">
      <c r="B214" s="65">
        <f t="shared" si="151"/>
        <v>207</v>
      </c>
      <c r="C214" s="69"/>
      <c r="D214" s="69"/>
      <c r="E214" s="69"/>
      <c r="F214" s="233" t="s">
        <v>186</v>
      </c>
      <c r="G214" s="234"/>
      <c r="H214" s="235"/>
      <c r="I214" s="74"/>
      <c r="J214" s="74"/>
      <c r="K214" s="75"/>
      <c r="L214" s="75"/>
      <c r="M214" s="84" t="s">
        <v>187</v>
      </c>
      <c r="N214" s="76"/>
      <c r="O214" s="77"/>
      <c r="P214" s="95">
        <f>P213+1</f>
        <v>185</v>
      </c>
      <c r="Q214" s="119">
        <v>64</v>
      </c>
      <c r="R214" s="21" t="str">
        <f>IF(AA214="M","NX",AA214)</f>
        <v>NX</v>
      </c>
      <c r="S214" s="98" t="s">
        <v>188</v>
      </c>
      <c r="T214" s="106"/>
      <c r="U214" s="21" t="s">
        <v>257</v>
      </c>
      <c r="V214" s="77" t="s">
        <v>311</v>
      </c>
      <c r="W214" s="78">
        <v>3</v>
      </c>
      <c r="X214" s="56" t="s">
        <v>312</v>
      </c>
      <c r="Y214" s="56">
        <v>1</v>
      </c>
      <c r="Z214" s="56">
        <v>64</v>
      </c>
      <c r="AA214" s="74" t="s">
        <v>300</v>
      </c>
      <c r="AB214" s="74" t="s">
        <v>21</v>
      </c>
      <c r="AC214" s="85" t="s">
        <v>311</v>
      </c>
      <c r="AD214" s="79"/>
      <c r="AE214" s="487"/>
      <c r="AF214" s="80" t="str">
        <f t="shared" si="179"/>
        <v xml:space="preserve">                                                                </v>
      </c>
      <c r="AG214" s="218" t="str">
        <f t="shared" si="170"/>
        <v>-</v>
      </c>
      <c r="AH214" s="381"/>
      <c r="AI214" s="92" t="str">
        <f t="shared" si="172"/>
        <v>OK</v>
      </c>
      <c r="AJ214" s="79"/>
      <c r="AK214" s="487"/>
      <c r="AL214" s="80" t="str">
        <f t="shared" si="180"/>
        <v xml:space="preserve">                                                                </v>
      </c>
      <c r="AM214" s="218" t="str">
        <f t="shared" si="152"/>
        <v>-</v>
      </c>
      <c r="AN214" s="381"/>
      <c r="AO214" s="92" t="str">
        <f t="shared" si="173"/>
        <v>OK</v>
      </c>
      <c r="AP214" s="79"/>
      <c r="AQ214" s="508"/>
      <c r="AR214" s="80" t="str">
        <f t="shared" si="181"/>
        <v xml:space="preserve">                                                                </v>
      </c>
      <c r="AS214" s="218" t="s">
        <v>593</v>
      </c>
      <c r="AT214" s="80"/>
      <c r="AU214" s="218" t="str">
        <f t="shared" si="178"/>
        <v>-</v>
      </c>
      <c r="AV214" s="79"/>
      <c r="AW214" s="487" t="s">
        <v>381</v>
      </c>
      <c r="AX214" s="80" t="str">
        <f t="shared" si="182"/>
        <v xml:space="preserve">Ｗｉｍａｘ                                                      </v>
      </c>
      <c r="AY214" s="218" t="str">
        <f t="shared" si="153"/>
        <v>-</v>
      </c>
      <c r="AZ214" s="381" t="s">
        <v>381</v>
      </c>
      <c r="BA214" s="478" t="s">
        <v>594</v>
      </c>
      <c r="BB214" s="79"/>
      <c r="BC214" s="487" t="s">
        <v>335</v>
      </c>
      <c r="BD214" s="80" t="str">
        <f t="shared" si="183"/>
        <v xml:space="preserve">中部テレコミュニケーション株式会社                              </v>
      </c>
      <c r="BE214" s="218" t="str">
        <f t="shared" si="154"/>
        <v>-</v>
      </c>
      <c r="BF214" s="381" t="s">
        <v>335</v>
      </c>
      <c r="BG214" s="478" t="s">
        <v>594</v>
      </c>
      <c r="BH214" s="79"/>
      <c r="BI214" s="508" t="s">
        <v>738</v>
      </c>
      <c r="BJ214" s="80" t="str">
        <f t="shared" si="184"/>
        <v xml:space="preserve">Ｗｉｍａｘ                                                      </v>
      </c>
      <c r="BK214" s="218" t="s">
        <v>593</v>
      </c>
      <c r="BL214" s="381" t="s">
        <v>381</v>
      </c>
      <c r="BM214" s="478" t="s">
        <v>594</v>
      </c>
      <c r="BN214" s="79"/>
      <c r="BO214" s="487" t="s">
        <v>335</v>
      </c>
      <c r="BP214" s="80" t="str">
        <f t="shared" si="185"/>
        <v xml:space="preserve">中部テレコミュニケーション株式会社                              </v>
      </c>
      <c r="BQ214" s="218" t="str">
        <f t="shared" si="155"/>
        <v>-</v>
      </c>
      <c r="BR214" s="381" t="s">
        <v>335</v>
      </c>
      <c r="BS214" s="478" t="s">
        <v>594</v>
      </c>
      <c r="BT214" s="79"/>
      <c r="BU214" s="508"/>
      <c r="BV214" s="80" t="str">
        <f t="shared" si="186"/>
        <v xml:space="preserve">                                                                </v>
      </c>
      <c r="BW214" s="218" t="s">
        <v>593</v>
      </c>
      <c r="BX214" s="80"/>
      <c r="BY214" s="218" t="str">
        <f t="shared" si="156"/>
        <v>-</v>
      </c>
      <c r="BZ214" s="79"/>
      <c r="CA214" s="487"/>
      <c r="CB214" s="80" t="str">
        <f t="shared" si="187"/>
        <v xml:space="preserve">                                                                </v>
      </c>
      <c r="CC214" s="218" t="str">
        <f t="shared" si="157"/>
        <v>-</v>
      </c>
      <c r="CD214" s="381"/>
      <c r="CE214" s="92" t="str">
        <f t="shared" si="174"/>
        <v>OK</v>
      </c>
      <c r="CF214" s="79"/>
      <c r="CG214" s="487"/>
      <c r="CH214" s="80" t="str">
        <f t="shared" si="188"/>
        <v xml:space="preserve">                                                                </v>
      </c>
      <c r="CI214" s="218" t="str">
        <f t="shared" si="158"/>
        <v>-</v>
      </c>
      <c r="CJ214" s="381"/>
      <c r="CK214" s="92" t="str">
        <f t="shared" si="175"/>
        <v>OK</v>
      </c>
      <c r="CL214" s="79"/>
      <c r="CM214" s="487"/>
      <c r="CN214" s="80" t="str">
        <f t="shared" si="189"/>
        <v xml:space="preserve">                                                                </v>
      </c>
      <c r="CO214" s="218" t="s">
        <v>593</v>
      </c>
      <c r="CP214" s="80"/>
      <c r="CQ214" s="218" t="str">
        <f t="shared" si="159"/>
        <v>-</v>
      </c>
      <c r="CR214" s="79"/>
      <c r="CS214" s="487"/>
      <c r="CT214" s="80" t="str">
        <f t="shared" si="190"/>
        <v xml:space="preserve">                                                                </v>
      </c>
      <c r="CU214" s="218" t="str">
        <f t="shared" si="160"/>
        <v>-</v>
      </c>
      <c r="CV214" s="381"/>
      <c r="CW214" s="92" t="s">
        <v>593</v>
      </c>
      <c r="CX214" s="79"/>
      <c r="CY214" s="487"/>
      <c r="CZ214" s="80" t="str">
        <f t="shared" si="191"/>
        <v xml:space="preserve">                                                                </v>
      </c>
      <c r="DA214" s="218" t="str">
        <f t="shared" si="161"/>
        <v>-</v>
      </c>
      <c r="DB214" s="381"/>
      <c r="DC214" s="92" t="s">
        <v>593</v>
      </c>
    </row>
    <row r="215" spans="1:107" s="81" customFormat="1" ht="92.25" customHeight="1">
      <c r="B215" s="65">
        <f t="shared" ref="B215:B278" si="192">ROW()-7</f>
        <v>208</v>
      </c>
      <c r="C215" s="69"/>
      <c r="D215" s="69"/>
      <c r="E215" s="69"/>
      <c r="F215" s="82" t="s">
        <v>356</v>
      </c>
      <c r="G215" s="14"/>
      <c r="H215" s="83"/>
      <c r="I215" s="74"/>
      <c r="J215" s="74"/>
      <c r="K215" s="75"/>
      <c r="L215" s="75"/>
      <c r="M215" s="84" t="s">
        <v>222</v>
      </c>
      <c r="N215" s="76"/>
      <c r="O215" s="77"/>
      <c r="P215" s="95">
        <f>P214+1</f>
        <v>186</v>
      </c>
      <c r="Q215" s="119">
        <v>7</v>
      </c>
      <c r="R215" s="21" t="s">
        <v>261</v>
      </c>
      <c r="S215" s="98" t="s">
        <v>313</v>
      </c>
      <c r="T215" s="106"/>
      <c r="U215" s="21" t="s">
        <v>257</v>
      </c>
      <c r="V215" s="77"/>
      <c r="W215" s="78">
        <v>3</v>
      </c>
      <c r="X215" s="56" t="s">
        <v>314</v>
      </c>
      <c r="Y215" s="56">
        <v>7</v>
      </c>
      <c r="Z215" s="56">
        <v>7</v>
      </c>
      <c r="AA215" s="74" t="s">
        <v>261</v>
      </c>
      <c r="AB215" s="74" t="s">
        <v>21</v>
      </c>
      <c r="AC215" s="85"/>
      <c r="AD215" s="79"/>
      <c r="AE215" s="481"/>
      <c r="AF215" s="80" t="str">
        <f t="shared" si="179"/>
        <v xml:space="preserve">       </v>
      </c>
      <c r="AG215" s="218" t="str">
        <f t="shared" si="170"/>
        <v>-</v>
      </c>
      <c r="AH215" s="274"/>
      <c r="AI215" s="406" t="str">
        <f t="shared" si="172"/>
        <v>OK</v>
      </c>
      <c r="AJ215" s="79"/>
      <c r="AK215" s="481"/>
      <c r="AL215" s="80" t="str">
        <f t="shared" si="180"/>
        <v xml:space="preserve">       </v>
      </c>
      <c r="AM215" s="218" t="str">
        <f t="shared" ref="AM215:AM278" si="193">IF(OR(AK$8="判定対象外",AL$8="判定対象外",AL215="-"),"-",IF(AK215=AL215,"OK","NG"))</f>
        <v>-</v>
      </c>
      <c r="AN215" s="274"/>
      <c r="AO215" s="406" t="str">
        <f t="shared" si="173"/>
        <v>OK</v>
      </c>
      <c r="AP215" s="79"/>
      <c r="AQ215" s="512"/>
      <c r="AR215" s="80" t="str">
        <f t="shared" si="181"/>
        <v xml:space="preserve">       </v>
      </c>
      <c r="AS215" s="218" t="s">
        <v>593</v>
      </c>
      <c r="AT215" s="80"/>
      <c r="AU215" s="218" t="str">
        <f t="shared" si="178"/>
        <v>-</v>
      </c>
      <c r="AV215" s="79"/>
      <c r="AW215" s="481"/>
      <c r="AX215" s="80" t="str">
        <f t="shared" si="182"/>
        <v xml:space="preserve">       </v>
      </c>
      <c r="AY215" s="218" t="str">
        <f t="shared" ref="AY215:AY278" si="194">IF(OR(AW$8="判定対象外",AX$8="判定対象外",AX215="-"),"-",IF(AW215=AX215,"OK","NG"))</f>
        <v>-</v>
      </c>
      <c r="AZ215" s="274"/>
      <c r="BA215" s="478" t="s">
        <v>594</v>
      </c>
      <c r="BB215" s="79"/>
      <c r="BC215" s="481"/>
      <c r="BD215" s="80" t="str">
        <f t="shared" si="183"/>
        <v xml:space="preserve">       </v>
      </c>
      <c r="BE215" s="218" t="str">
        <f t="shared" ref="BE215:BE278" si="195">IF(OR(BC$8="判定対象外",BD$8="判定対象外",BD215="-"),"-",IF(BC215=BD215,"OK","NG"))</f>
        <v>-</v>
      </c>
      <c r="BF215" s="274"/>
      <c r="BG215" s="478" t="s">
        <v>594</v>
      </c>
      <c r="BH215" s="79"/>
      <c r="BI215" s="508" t="s">
        <v>705</v>
      </c>
      <c r="BJ215" s="80" t="str">
        <f t="shared" si="184"/>
        <v xml:space="preserve">       </v>
      </c>
      <c r="BK215" s="218" t="s">
        <v>593</v>
      </c>
      <c r="BL215" s="274"/>
      <c r="BM215" s="478" t="s">
        <v>594</v>
      </c>
      <c r="BN215" s="79"/>
      <c r="BO215" s="481"/>
      <c r="BP215" s="80" t="str">
        <f t="shared" si="185"/>
        <v xml:space="preserve">       </v>
      </c>
      <c r="BQ215" s="218" t="str">
        <f t="shared" ref="BQ215:BQ278" si="196">IF(OR(BO$8="判定対象外",BP$8="判定対象外",BP215="-"),"-",IF(BO215=BP215,"OK","NG"))</f>
        <v>-</v>
      </c>
      <c r="BR215" s="274"/>
      <c r="BS215" s="478" t="s">
        <v>594</v>
      </c>
      <c r="BT215" s="79"/>
      <c r="BU215" s="512"/>
      <c r="BV215" s="80" t="str">
        <f t="shared" si="186"/>
        <v xml:space="preserve">       </v>
      </c>
      <c r="BW215" s="218" t="s">
        <v>593</v>
      </c>
      <c r="BX215" s="80"/>
      <c r="BY215" s="218" t="str">
        <f t="shared" ref="BY215:BY278" si="197">IF(OR(BW$8="判定対象外",BX$8="判定対象外",BX215="-"),"-",IF(BW215=BX215,"OK","NG"))</f>
        <v>-</v>
      </c>
      <c r="BZ215" s="79"/>
      <c r="CA215" s="481"/>
      <c r="CB215" s="80" t="str">
        <f t="shared" si="187"/>
        <v xml:space="preserve">       </v>
      </c>
      <c r="CC215" s="218" t="str">
        <f t="shared" ref="CC215:CC278" si="198">IF(OR(CA$8="判定対象外",CB$8="判定対象外",CB215="-"),"-",IF(CA215=CB215,"OK","NG"))</f>
        <v>-</v>
      </c>
      <c r="CD215" s="274"/>
      <c r="CE215" s="406" t="str">
        <f t="shared" si="174"/>
        <v>OK</v>
      </c>
      <c r="CF215" s="79"/>
      <c r="CG215" s="481"/>
      <c r="CH215" s="80" t="str">
        <f t="shared" si="188"/>
        <v xml:space="preserve">       </v>
      </c>
      <c r="CI215" s="218" t="str">
        <f t="shared" ref="CI215:CI278" si="199">IF(OR(CG$8="判定対象外",CH$8="判定対象外",CH215="-"),"-",IF(CG215=CH215,"OK","NG"))</f>
        <v>-</v>
      </c>
      <c r="CJ215" s="274"/>
      <c r="CK215" s="406" t="str">
        <f t="shared" si="175"/>
        <v>OK</v>
      </c>
      <c r="CL215" s="79"/>
      <c r="CM215" s="481"/>
      <c r="CN215" s="80" t="str">
        <f t="shared" si="189"/>
        <v xml:space="preserve">       </v>
      </c>
      <c r="CO215" s="218" t="s">
        <v>593</v>
      </c>
      <c r="CP215" s="80"/>
      <c r="CQ215" s="218" t="str">
        <f t="shared" ref="CQ215:CQ278" si="200">IF(OR(CO$8="判定対象外",CP$8="判定対象外",CP215="-"),"-",IF(CO215=CP215,"OK","NG"))</f>
        <v>-</v>
      </c>
      <c r="CR215" s="79"/>
      <c r="CS215" s="481"/>
      <c r="CT215" s="80" t="str">
        <f t="shared" si="190"/>
        <v xml:space="preserve">       </v>
      </c>
      <c r="CU215" s="218" t="str">
        <f t="shared" ref="CU215:CU278" si="201">IF(OR(CS$8="判定対象外",CT$8="判定対象外",CT215="-"),"-",IF(CS215=CT215,"OK","NG"))</f>
        <v>-</v>
      </c>
      <c r="CV215" s="274"/>
      <c r="CW215" s="92" t="s">
        <v>593</v>
      </c>
      <c r="CX215" s="79"/>
      <c r="CY215" s="481"/>
      <c r="CZ215" s="80" t="str">
        <f t="shared" si="191"/>
        <v xml:space="preserve">       </v>
      </c>
      <c r="DA215" s="218" t="str">
        <f t="shared" ref="DA215:DA278" si="202">IF(OR(CY$8="判定対象外",CZ$8="判定対象外",CZ215="-"),"-",IF(CY215=CZ215,"OK","NG"))</f>
        <v>-</v>
      </c>
      <c r="DB215" s="274"/>
      <c r="DC215" s="92" t="s">
        <v>593</v>
      </c>
    </row>
    <row r="216" spans="1:107" s="81" customFormat="1" ht="127.9" thickBot="1">
      <c r="A216" s="221"/>
      <c r="B216" s="243">
        <f t="shared" si="192"/>
        <v>209</v>
      </c>
      <c r="C216" s="244"/>
      <c r="D216" s="244"/>
      <c r="E216" s="244"/>
      <c r="F216" s="246" t="s">
        <v>315</v>
      </c>
      <c r="G216" s="247"/>
      <c r="H216" s="248"/>
      <c r="I216" s="249"/>
      <c r="J216" s="249"/>
      <c r="K216" s="249"/>
      <c r="L216" s="249"/>
      <c r="M216" s="392" t="s">
        <v>357</v>
      </c>
      <c r="N216" s="399"/>
      <c r="O216" s="400"/>
      <c r="P216" s="279">
        <f>P215+1</f>
        <v>187</v>
      </c>
      <c r="Q216" s="410">
        <v>1</v>
      </c>
      <c r="R216" s="37">
        <v>9</v>
      </c>
      <c r="S216" s="410" t="s">
        <v>316</v>
      </c>
      <c r="T216" s="142"/>
      <c r="U216" s="141" t="s">
        <v>257</v>
      </c>
      <c r="V216" s="238"/>
      <c r="W216" s="191" t="str">
        <f>IF(C216&lt;&gt;"","0",IF(D216&lt;&gt;"","1",IF(E216&lt;&gt;"","2",IF(F216&lt;&gt;"","3",IF(G216&lt;&gt;"","4",IF(H216&lt;&gt;"","5"))))))</f>
        <v>3</v>
      </c>
      <c r="X216" s="144" t="s">
        <v>317</v>
      </c>
      <c r="Y216" s="144">
        <v>1</v>
      </c>
      <c r="Z216" s="144">
        <v>1</v>
      </c>
      <c r="AA216" s="239">
        <v>9</v>
      </c>
      <c r="AB216" s="137" t="s">
        <v>257</v>
      </c>
      <c r="AC216" s="240"/>
      <c r="AD216" s="216"/>
      <c r="AE216" s="396"/>
      <c r="AF216" s="217" t="str">
        <f t="shared" si="179"/>
        <v xml:space="preserve"> </v>
      </c>
      <c r="AG216" s="231" t="str">
        <f t="shared" si="170"/>
        <v>-</v>
      </c>
      <c r="AH216" s="383"/>
      <c r="AI216" s="395" t="str">
        <f t="shared" si="172"/>
        <v>OK</v>
      </c>
      <c r="AJ216" s="216"/>
      <c r="AK216" s="396"/>
      <c r="AL216" s="217" t="str">
        <f t="shared" si="180"/>
        <v xml:space="preserve"> </v>
      </c>
      <c r="AM216" s="231" t="str">
        <f t="shared" si="193"/>
        <v>-</v>
      </c>
      <c r="AN216" s="396"/>
      <c r="AO216" s="395" t="str">
        <f t="shared" si="173"/>
        <v>OK</v>
      </c>
      <c r="AP216" s="216"/>
      <c r="AQ216" s="509"/>
      <c r="AR216" s="217" t="str">
        <f t="shared" si="181"/>
        <v xml:space="preserve"> </v>
      </c>
      <c r="AS216" s="231" t="s">
        <v>593</v>
      </c>
      <c r="AT216" s="217"/>
      <c r="AU216" s="231" t="str">
        <f t="shared" si="178"/>
        <v>-</v>
      </c>
      <c r="AV216" s="216"/>
      <c r="AW216" s="396" t="s">
        <v>33</v>
      </c>
      <c r="AX216" s="217" t="str">
        <f t="shared" si="182"/>
        <v>1</v>
      </c>
      <c r="AY216" s="231" t="str">
        <f t="shared" si="194"/>
        <v>-</v>
      </c>
      <c r="AZ216" s="396" t="s">
        <v>33</v>
      </c>
      <c r="BA216" s="479" t="s">
        <v>245</v>
      </c>
      <c r="BB216" s="216"/>
      <c r="BC216" s="396" t="s">
        <v>33</v>
      </c>
      <c r="BD216" s="217" t="str">
        <f t="shared" si="183"/>
        <v>1</v>
      </c>
      <c r="BE216" s="231" t="str">
        <f t="shared" si="195"/>
        <v>-</v>
      </c>
      <c r="BF216" s="396" t="s">
        <v>33</v>
      </c>
      <c r="BG216" s="479" t="s">
        <v>245</v>
      </c>
      <c r="BH216" s="216"/>
      <c r="BI216" s="509" t="s">
        <v>33</v>
      </c>
      <c r="BJ216" s="217" t="str">
        <f t="shared" si="184"/>
        <v>1</v>
      </c>
      <c r="BK216" s="231" t="s">
        <v>593</v>
      </c>
      <c r="BL216" s="396" t="s">
        <v>33</v>
      </c>
      <c r="BM216" s="479" t="s">
        <v>245</v>
      </c>
      <c r="BN216" s="216"/>
      <c r="BO216" s="396" t="s">
        <v>33</v>
      </c>
      <c r="BP216" s="217" t="str">
        <f t="shared" si="185"/>
        <v>1</v>
      </c>
      <c r="BQ216" s="231" t="str">
        <f t="shared" si="196"/>
        <v>-</v>
      </c>
      <c r="BR216" s="396" t="s">
        <v>33</v>
      </c>
      <c r="BS216" s="479" t="s">
        <v>245</v>
      </c>
      <c r="BT216" s="216"/>
      <c r="BU216" s="509"/>
      <c r="BV216" s="217" t="str">
        <f t="shared" si="186"/>
        <v xml:space="preserve"> </v>
      </c>
      <c r="BW216" s="231" t="s">
        <v>593</v>
      </c>
      <c r="BX216" s="217"/>
      <c r="BY216" s="231" t="str">
        <f t="shared" si="197"/>
        <v>-</v>
      </c>
      <c r="BZ216" s="216"/>
      <c r="CA216" s="396"/>
      <c r="CB216" s="217" t="str">
        <f t="shared" si="187"/>
        <v xml:space="preserve"> </v>
      </c>
      <c r="CC216" s="231" t="str">
        <f t="shared" si="198"/>
        <v>-</v>
      </c>
      <c r="CD216" s="396"/>
      <c r="CE216" s="395" t="str">
        <f t="shared" si="174"/>
        <v>OK</v>
      </c>
      <c r="CF216" s="216"/>
      <c r="CG216" s="396"/>
      <c r="CH216" s="217" t="str">
        <f t="shared" si="188"/>
        <v xml:space="preserve"> </v>
      </c>
      <c r="CI216" s="231" t="str">
        <f t="shared" si="199"/>
        <v>-</v>
      </c>
      <c r="CJ216" s="396"/>
      <c r="CK216" s="395" t="str">
        <f t="shared" si="175"/>
        <v>OK</v>
      </c>
      <c r="CL216" s="216"/>
      <c r="CM216" s="396"/>
      <c r="CN216" s="217" t="str">
        <f t="shared" si="189"/>
        <v xml:space="preserve"> </v>
      </c>
      <c r="CO216" s="231" t="s">
        <v>593</v>
      </c>
      <c r="CP216" s="217"/>
      <c r="CQ216" s="231" t="str">
        <f t="shared" si="200"/>
        <v>-</v>
      </c>
      <c r="CR216" s="216"/>
      <c r="CS216" s="396"/>
      <c r="CT216" s="217" t="str">
        <f t="shared" si="190"/>
        <v xml:space="preserve"> </v>
      </c>
      <c r="CU216" s="231" t="str">
        <f t="shared" si="201"/>
        <v>-</v>
      </c>
      <c r="CV216" s="396"/>
      <c r="CW216" s="395" t="s">
        <v>593</v>
      </c>
      <c r="CX216" s="216"/>
      <c r="CY216" s="396"/>
      <c r="CZ216" s="217" t="str">
        <f t="shared" si="191"/>
        <v xml:space="preserve"> </v>
      </c>
      <c r="DA216" s="231" t="str">
        <f t="shared" si="202"/>
        <v>-</v>
      </c>
      <c r="DB216" s="396"/>
      <c r="DC216" s="395" t="s">
        <v>593</v>
      </c>
    </row>
    <row r="217" spans="1:107" s="26" customFormat="1" ht="18.75" customHeight="1" thickTop="1">
      <c r="B217" s="2">
        <f t="shared" si="192"/>
        <v>210</v>
      </c>
      <c r="C217" s="253"/>
      <c r="D217" s="253"/>
      <c r="E217" s="254" t="s">
        <v>439</v>
      </c>
      <c r="F217" s="254"/>
      <c r="G217" s="254"/>
      <c r="H217" s="87"/>
      <c r="I217" s="88" t="s">
        <v>31</v>
      </c>
      <c r="J217" s="88" t="s">
        <v>426</v>
      </c>
      <c r="K217" s="88"/>
      <c r="L217" s="88"/>
      <c r="M217" s="89" t="s">
        <v>352</v>
      </c>
      <c r="N217" s="287"/>
      <c r="O217" s="288"/>
      <c r="P217" s="183"/>
      <c r="Q217" s="121"/>
      <c r="R217" s="107"/>
      <c r="S217" s="289"/>
      <c r="T217" s="287"/>
      <c r="U217" s="107"/>
      <c r="V217" s="290"/>
      <c r="W217" s="25" t="str">
        <f>IF(C217&lt;&gt;"","0",IF(D217&lt;&gt;"","1",IF(E217&lt;&gt;"","2",IF(F217&lt;&gt;"","3",IF(G217&lt;&gt;"","4",IF(H217&lt;&gt;"","5"))))))</f>
        <v>2</v>
      </c>
      <c r="X217" s="1" t="s">
        <v>122</v>
      </c>
      <c r="Y217" s="1"/>
      <c r="Z217" s="1"/>
      <c r="AA217" s="8"/>
      <c r="AB217" s="8" t="s">
        <v>257</v>
      </c>
      <c r="AC217" s="63"/>
      <c r="AD217" s="60"/>
      <c r="AE217" s="169"/>
      <c r="AF217" s="61" t="str">
        <f t="shared" si="179"/>
        <v/>
      </c>
      <c r="AG217" s="218" t="str">
        <f t="shared" ref="AG217:AG246" si="203">IF(OR(AE$8="判定対象外",AF$8="判定対象外",AF217="-"),"-",IF(AE217=AF217,"OK","NG"))</f>
        <v>-</v>
      </c>
      <c r="AH217" s="169"/>
      <c r="AI217" s="92" t="str">
        <f>IF(EXACT(AE217,AH217),"OK","NG")</f>
        <v>OK</v>
      </c>
      <c r="AJ217" s="60"/>
      <c r="AK217" s="169"/>
      <c r="AL217" s="61" t="str">
        <f t="shared" si="180"/>
        <v/>
      </c>
      <c r="AM217" s="218" t="str">
        <f t="shared" si="193"/>
        <v>-</v>
      </c>
      <c r="AN217" s="169"/>
      <c r="AO217" s="92" t="str">
        <f>IF(EXACT(AK217,AN217),"OK","NG")</f>
        <v>OK</v>
      </c>
      <c r="AP217" s="60"/>
      <c r="AQ217" s="172"/>
      <c r="AR217" s="61" t="str">
        <f t="shared" si="181"/>
        <v/>
      </c>
      <c r="AS217" s="218" t="s">
        <v>593</v>
      </c>
      <c r="AT217" s="61"/>
      <c r="AU217" s="218" t="str">
        <f t="shared" si="178"/>
        <v>-</v>
      </c>
      <c r="AV217" s="60"/>
      <c r="AW217" s="169"/>
      <c r="AX217" s="61" t="str">
        <f t="shared" si="182"/>
        <v/>
      </c>
      <c r="AY217" s="218" t="str">
        <f t="shared" si="194"/>
        <v>-</v>
      </c>
      <c r="AZ217" s="169"/>
      <c r="BA217" s="92" t="str">
        <f>IF(EXACT(AW217,AZ217),"OK","NG")</f>
        <v>OK</v>
      </c>
      <c r="BB217" s="60"/>
      <c r="BC217" s="169"/>
      <c r="BD217" s="61" t="str">
        <f t="shared" si="183"/>
        <v/>
      </c>
      <c r="BE217" s="218" t="str">
        <f t="shared" si="195"/>
        <v>-</v>
      </c>
      <c r="BF217" s="169"/>
      <c r="BG217" s="92" t="str">
        <f>IF(EXACT(BC217,BF217),"OK","NG")</f>
        <v>OK</v>
      </c>
      <c r="BH217" s="60"/>
      <c r="BI217" s="172"/>
      <c r="BJ217" s="61" t="str">
        <f t="shared" si="184"/>
        <v/>
      </c>
      <c r="BK217" s="218" t="s">
        <v>593</v>
      </c>
      <c r="BL217" s="169"/>
      <c r="BM217" s="92" t="str">
        <f>IF(EXACT(BI217,BL217),"OK","NG")</f>
        <v>OK</v>
      </c>
      <c r="BN217" s="60"/>
      <c r="BO217" s="169"/>
      <c r="BP217" s="61" t="str">
        <f t="shared" si="185"/>
        <v/>
      </c>
      <c r="BQ217" s="218" t="str">
        <f t="shared" si="196"/>
        <v>-</v>
      </c>
      <c r="BR217" s="169"/>
      <c r="BS217" s="92" t="str">
        <f>IF(EXACT(BO217,BR217),"OK","NG")</f>
        <v>OK</v>
      </c>
      <c r="BT217" s="60"/>
      <c r="BU217" s="172"/>
      <c r="BV217" s="61" t="str">
        <f t="shared" si="186"/>
        <v/>
      </c>
      <c r="BW217" s="218" t="s">
        <v>593</v>
      </c>
      <c r="BX217" s="61"/>
      <c r="BY217" s="218" t="str">
        <f t="shared" si="197"/>
        <v>-</v>
      </c>
      <c r="BZ217" s="60"/>
      <c r="CA217" s="169"/>
      <c r="CB217" s="61" t="str">
        <f t="shared" si="187"/>
        <v/>
      </c>
      <c r="CC217" s="218" t="str">
        <f t="shared" si="198"/>
        <v>-</v>
      </c>
      <c r="CD217" s="169"/>
      <c r="CE217" s="92" t="str">
        <f>IF(EXACT(CA217,CD217),"OK","NG")</f>
        <v>OK</v>
      </c>
      <c r="CF217" s="60"/>
      <c r="CG217" s="169"/>
      <c r="CH217" s="61" t="str">
        <f t="shared" si="188"/>
        <v/>
      </c>
      <c r="CI217" s="218" t="str">
        <f t="shared" si="199"/>
        <v>-</v>
      </c>
      <c r="CJ217" s="169"/>
      <c r="CK217" s="92" t="str">
        <f>IF(EXACT(CG217,CJ217),"OK","NG")</f>
        <v>OK</v>
      </c>
      <c r="CL217" s="60"/>
      <c r="CM217" s="169"/>
      <c r="CN217" s="61" t="str">
        <f t="shared" si="189"/>
        <v/>
      </c>
      <c r="CO217" s="218" t="s">
        <v>593</v>
      </c>
      <c r="CP217" s="61"/>
      <c r="CQ217" s="218" t="str">
        <f t="shared" si="200"/>
        <v>-</v>
      </c>
      <c r="CR217" s="60"/>
      <c r="CS217" s="169"/>
      <c r="CT217" s="61" t="str">
        <f t="shared" si="190"/>
        <v/>
      </c>
      <c r="CU217" s="218" t="str">
        <f t="shared" si="201"/>
        <v>-</v>
      </c>
      <c r="CV217" s="169"/>
      <c r="CW217" s="92" t="s">
        <v>593</v>
      </c>
      <c r="CX217" s="60"/>
      <c r="CY217" s="169"/>
      <c r="CZ217" s="61" t="str">
        <f t="shared" si="191"/>
        <v/>
      </c>
      <c r="DA217" s="218" t="str">
        <f t="shared" si="202"/>
        <v>-</v>
      </c>
      <c r="DB217" s="169"/>
      <c r="DC217" s="92" t="s">
        <v>593</v>
      </c>
    </row>
    <row r="218" spans="1:107" s="26" customFormat="1" ht="63.75">
      <c r="B218" s="2">
        <f t="shared" si="192"/>
        <v>211</v>
      </c>
      <c r="C218" s="129"/>
      <c r="D218" s="7"/>
      <c r="E218" s="7"/>
      <c r="F218" s="112" t="s">
        <v>92</v>
      </c>
      <c r="G218" s="16"/>
      <c r="H218" s="13"/>
      <c r="I218" s="6"/>
      <c r="J218" s="6"/>
      <c r="K218" s="6"/>
      <c r="L218" s="8"/>
      <c r="M218" s="23" t="s">
        <v>296</v>
      </c>
      <c r="N218" s="1"/>
      <c r="O218" s="57"/>
      <c r="P218" s="95">
        <f>P216+1</f>
        <v>188</v>
      </c>
      <c r="Q218" s="117">
        <v>2</v>
      </c>
      <c r="R218" s="21" t="str">
        <f t="shared" ref="R218:R224" si="204">IF(AA218="M","NX",AA218)</f>
        <v>X</v>
      </c>
      <c r="S218" s="98" t="s">
        <v>440</v>
      </c>
      <c r="T218" s="96"/>
      <c r="U218" s="21" t="s">
        <v>435</v>
      </c>
      <c r="V218" s="118" t="s">
        <v>199</v>
      </c>
      <c r="W218" s="25" t="str">
        <f>IF(C218&lt;&gt;"","0",IF(D218&lt;&gt;"","1",IF(E218&lt;&gt;"","2",IF(F218&lt;&gt;"","3",IF(G218&lt;&gt;"","4",IF(H218&lt;&gt;"","5"))))))</f>
        <v>3</v>
      </c>
      <c r="X218" s="5" t="s">
        <v>297</v>
      </c>
      <c r="Y218" s="58">
        <v>2</v>
      </c>
      <c r="Z218" s="58">
        <v>2</v>
      </c>
      <c r="AA218" s="59" t="s">
        <v>114</v>
      </c>
      <c r="AB218" s="59" t="s">
        <v>21</v>
      </c>
      <c r="AC218" s="12"/>
      <c r="AD218" s="60"/>
      <c r="AE218" s="174"/>
      <c r="AF218" s="273" t="str">
        <f t="shared" si="179"/>
        <v xml:space="preserve">  </v>
      </c>
      <c r="AG218" s="218" t="str">
        <f t="shared" si="203"/>
        <v>-</v>
      </c>
      <c r="AH218" s="174"/>
      <c r="AI218" s="92" t="str">
        <f>IF(EXACT(AE218,AH218),"OK","NG")</f>
        <v>OK</v>
      </c>
      <c r="AJ218" s="60"/>
      <c r="AK218" s="174"/>
      <c r="AL218" s="273" t="str">
        <f t="shared" si="180"/>
        <v xml:space="preserve">  </v>
      </c>
      <c r="AM218" s="218" t="str">
        <f t="shared" si="193"/>
        <v>-</v>
      </c>
      <c r="AN218" s="174"/>
      <c r="AO218" s="92" t="str">
        <f>IF(EXACT(AK218,AN218),"OK","NG")</f>
        <v>OK</v>
      </c>
      <c r="AP218" s="60"/>
      <c r="AQ218" s="170"/>
      <c r="AR218" s="273" t="str">
        <f t="shared" si="181"/>
        <v xml:space="preserve">  </v>
      </c>
      <c r="AS218" s="218" t="s">
        <v>593</v>
      </c>
      <c r="AT218" s="273"/>
      <c r="AU218" s="218" t="str">
        <f t="shared" si="178"/>
        <v>-</v>
      </c>
      <c r="AV218" s="60"/>
      <c r="AW218" s="174" t="s">
        <v>102</v>
      </c>
      <c r="AX218" s="273" t="str">
        <f t="shared" si="182"/>
        <v>01</v>
      </c>
      <c r="AY218" s="218" t="str">
        <f t="shared" si="194"/>
        <v>-</v>
      </c>
      <c r="AZ218" s="174" t="s">
        <v>102</v>
      </c>
      <c r="BA218" s="478" t="s">
        <v>594</v>
      </c>
      <c r="BB218" s="60"/>
      <c r="BC218" s="174" t="s">
        <v>102</v>
      </c>
      <c r="BD218" s="273" t="str">
        <f t="shared" si="183"/>
        <v>01</v>
      </c>
      <c r="BE218" s="218" t="str">
        <f t="shared" si="195"/>
        <v>-</v>
      </c>
      <c r="BF218" s="174" t="s">
        <v>102</v>
      </c>
      <c r="BG218" s="478" t="s">
        <v>594</v>
      </c>
      <c r="BH218" s="60"/>
      <c r="BI218" s="170" t="s">
        <v>102</v>
      </c>
      <c r="BJ218" s="273" t="str">
        <f t="shared" si="184"/>
        <v>01</v>
      </c>
      <c r="BK218" s="218" t="s">
        <v>593</v>
      </c>
      <c r="BL218" s="174" t="s">
        <v>102</v>
      </c>
      <c r="BM218" s="478" t="s">
        <v>594</v>
      </c>
      <c r="BN218" s="60"/>
      <c r="BO218" s="174" t="s">
        <v>102</v>
      </c>
      <c r="BP218" s="273" t="str">
        <f t="shared" si="185"/>
        <v>01</v>
      </c>
      <c r="BQ218" s="218" t="str">
        <f t="shared" si="196"/>
        <v>-</v>
      </c>
      <c r="BR218" s="174" t="s">
        <v>102</v>
      </c>
      <c r="BS218" s="478" t="s">
        <v>594</v>
      </c>
      <c r="BT218" s="60"/>
      <c r="BU218" s="170"/>
      <c r="BV218" s="273" t="str">
        <f t="shared" si="186"/>
        <v xml:space="preserve">  </v>
      </c>
      <c r="BW218" s="218" t="s">
        <v>593</v>
      </c>
      <c r="BX218" s="273"/>
      <c r="BY218" s="218" t="str">
        <f t="shared" si="197"/>
        <v>-</v>
      </c>
      <c r="BZ218" s="60"/>
      <c r="CA218" s="174"/>
      <c r="CB218" s="273" t="str">
        <f t="shared" si="187"/>
        <v xml:space="preserve">  </v>
      </c>
      <c r="CC218" s="218" t="str">
        <f t="shared" si="198"/>
        <v>-</v>
      </c>
      <c r="CD218" s="174"/>
      <c r="CE218" s="92" t="str">
        <f>IF(EXACT(CA218,CD218),"OK","NG")</f>
        <v>OK</v>
      </c>
      <c r="CF218" s="60"/>
      <c r="CG218" s="174"/>
      <c r="CH218" s="273" t="str">
        <f t="shared" si="188"/>
        <v xml:space="preserve">  </v>
      </c>
      <c r="CI218" s="218" t="str">
        <f t="shared" si="199"/>
        <v>-</v>
      </c>
      <c r="CJ218" s="174"/>
      <c r="CK218" s="92" t="str">
        <f>IF(EXACT(CG218,CJ218),"OK","NG")</f>
        <v>OK</v>
      </c>
      <c r="CL218" s="60"/>
      <c r="CM218" s="174"/>
      <c r="CN218" s="273" t="str">
        <f t="shared" si="189"/>
        <v xml:space="preserve">  </v>
      </c>
      <c r="CO218" s="218" t="s">
        <v>593</v>
      </c>
      <c r="CP218" s="273"/>
      <c r="CQ218" s="218" t="str">
        <f t="shared" si="200"/>
        <v>-</v>
      </c>
      <c r="CR218" s="60"/>
      <c r="CS218" s="174"/>
      <c r="CT218" s="273" t="str">
        <f t="shared" si="190"/>
        <v xml:space="preserve">  </v>
      </c>
      <c r="CU218" s="218" t="str">
        <f t="shared" si="201"/>
        <v>-</v>
      </c>
      <c r="CV218" s="174"/>
      <c r="CW218" s="92" t="s">
        <v>593</v>
      </c>
      <c r="CX218" s="60"/>
      <c r="CY218" s="174"/>
      <c r="CZ218" s="273" t="str">
        <f t="shared" si="191"/>
        <v xml:space="preserve">  </v>
      </c>
      <c r="DA218" s="218" t="str">
        <f t="shared" si="202"/>
        <v>-</v>
      </c>
      <c r="DB218" s="174"/>
      <c r="DC218" s="92" t="s">
        <v>593</v>
      </c>
    </row>
    <row r="219" spans="1:107" s="26" customFormat="1" ht="293.25">
      <c r="B219" s="2">
        <f t="shared" si="192"/>
        <v>212</v>
      </c>
      <c r="C219" s="7"/>
      <c r="D219" s="7"/>
      <c r="E219" s="7"/>
      <c r="F219" s="112" t="s">
        <v>424</v>
      </c>
      <c r="G219" s="16"/>
      <c r="H219" s="13"/>
      <c r="I219" s="8"/>
      <c r="J219" s="8" t="s">
        <v>426</v>
      </c>
      <c r="K219" s="8"/>
      <c r="L219" s="8"/>
      <c r="M219" s="414" t="s">
        <v>441</v>
      </c>
      <c r="N219" s="11"/>
      <c r="O219" s="57"/>
      <c r="P219" s="95">
        <f>P218+1</f>
        <v>189</v>
      </c>
      <c r="Q219" s="115">
        <v>2</v>
      </c>
      <c r="R219" s="21" t="str">
        <f t="shared" si="204"/>
        <v>X</v>
      </c>
      <c r="S219" s="98" t="s">
        <v>442</v>
      </c>
      <c r="T219" s="96"/>
      <c r="U219" s="21" t="s">
        <v>443</v>
      </c>
      <c r="V219" s="10"/>
      <c r="W219" s="25">
        <v>3</v>
      </c>
      <c r="X219" s="1" t="s">
        <v>288</v>
      </c>
      <c r="Y219" s="1">
        <v>2</v>
      </c>
      <c r="Z219" s="1">
        <v>2</v>
      </c>
      <c r="AA219" s="8" t="s">
        <v>114</v>
      </c>
      <c r="AB219" s="8" t="s">
        <v>21</v>
      </c>
      <c r="AC219" s="12"/>
      <c r="AD219" s="60"/>
      <c r="AE219" s="174"/>
      <c r="AF219" s="273" t="str">
        <f t="shared" si="179"/>
        <v xml:space="preserve">  </v>
      </c>
      <c r="AG219" s="218" t="str">
        <f t="shared" si="203"/>
        <v>-</v>
      </c>
      <c r="AH219" s="174"/>
      <c r="AI219" s="92" t="str">
        <f t="shared" ref="AI219:AI246" si="205">IF(EXACT(AE219,AH219),"OK","NG")</f>
        <v>OK</v>
      </c>
      <c r="AJ219" s="60"/>
      <c r="AK219" s="174"/>
      <c r="AL219" s="273" t="str">
        <f t="shared" si="180"/>
        <v xml:space="preserve">  </v>
      </c>
      <c r="AM219" s="218" t="str">
        <f t="shared" si="193"/>
        <v>-</v>
      </c>
      <c r="AN219" s="174"/>
      <c r="AO219" s="92" t="str">
        <f t="shared" ref="AO219:AO246" si="206">IF(EXACT(AK219,AN219),"OK","NG")</f>
        <v>OK</v>
      </c>
      <c r="AP219" s="60"/>
      <c r="AQ219" s="170"/>
      <c r="AR219" s="273" t="str">
        <f t="shared" si="181"/>
        <v xml:space="preserve">  </v>
      </c>
      <c r="AS219" s="218" t="s">
        <v>593</v>
      </c>
      <c r="AT219" s="273"/>
      <c r="AU219" s="218" t="str">
        <f t="shared" si="178"/>
        <v>-</v>
      </c>
      <c r="AV219" s="60"/>
      <c r="AW219" s="174" t="s">
        <v>209</v>
      </c>
      <c r="AX219" s="273" t="str">
        <f t="shared" si="182"/>
        <v>B3</v>
      </c>
      <c r="AY219" s="218" t="str">
        <f t="shared" si="194"/>
        <v>-</v>
      </c>
      <c r="AZ219" s="174" t="s">
        <v>209</v>
      </c>
      <c r="BA219" s="92" t="str">
        <f>IF(EXACT(AW219,AZ219),"OK","NG")</f>
        <v>OK</v>
      </c>
      <c r="BB219" s="60"/>
      <c r="BC219" s="174" t="s">
        <v>116</v>
      </c>
      <c r="BD219" s="273" t="str">
        <f t="shared" si="183"/>
        <v>C0</v>
      </c>
      <c r="BE219" s="218" t="str">
        <f t="shared" si="195"/>
        <v>-</v>
      </c>
      <c r="BF219" s="174" t="s">
        <v>116</v>
      </c>
      <c r="BG219" s="92" t="str">
        <f>IF(EXACT(BC219,BF219),"OK","NG")</f>
        <v>OK</v>
      </c>
      <c r="BH219" s="60"/>
      <c r="BI219" s="170" t="s">
        <v>209</v>
      </c>
      <c r="BJ219" s="273" t="str">
        <f t="shared" si="184"/>
        <v>B3</v>
      </c>
      <c r="BK219" s="218" t="s">
        <v>593</v>
      </c>
      <c r="BL219" s="174" t="s">
        <v>209</v>
      </c>
      <c r="BM219" s="92" t="str">
        <f>IF(EXACT(BI219,BL219),"OK","NG")</f>
        <v>OK</v>
      </c>
      <c r="BN219" s="60"/>
      <c r="BO219" s="174" t="s">
        <v>116</v>
      </c>
      <c r="BP219" s="273" t="str">
        <f t="shared" si="185"/>
        <v>C0</v>
      </c>
      <c r="BQ219" s="218" t="str">
        <f t="shared" si="196"/>
        <v>-</v>
      </c>
      <c r="BR219" s="174" t="s">
        <v>116</v>
      </c>
      <c r="BS219" s="92" t="str">
        <f>IF(EXACT(BO219,BR219),"OK","NG")</f>
        <v>OK</v>
      </c>
      <c r="BT219" s="60"/>
      <c r="BU219" s="170"/>
      <c r="BV219" s="273" t="str">
        <f t="shared" si="186"/>
        <v xml:space="preserve">  </v>
      </c>
      <c r="BW219" s="218" t="s">
        <v>593</v>
      </c>
      <c r="BX219" s="273"/>
      <c r="BY219" s="218" t="str">
        <f t="shared" si="197"/>
        <v>-</v>
      </c>
      <c r="BZ219" s="60"/>
      <c r="CA219" s="174"/>
      <c r="CB219" s="273" t="str">
        <f t="shared" si="187"/>
        <v xml:space="preserve">  </v>
      </c>
      <c r="CC219" s="218" t="str">
        <f t="shared" si="198"/>
        <v>-</v>
      </c>
      <c r="CD219" s="174"/>
      <c r="CE219" s="92" t="str">
        <f t="shared" ref="CE219:CE246" si="207">IF(EXACT(CA219,CD219),"OK","NG")</f>
        <v>OK</v>
      </c>
      <c r="CF219" s="60"/>
      <c r="CG219" s="174"/>
      <c r="CH219" s="273" t="str">
        <f t="shared" si="188"/>
        <v xml:space="preserve">  </v>
      </c>
      <c r="CI219" s="218" t="str">
        <f t="shared" si="199"/>
        <v>-</v>
      </c>
      <c r="CJ219" s="174"/>
      <c r="CK219" s="92" t="str">
        <f t="shared" ref="CK219:CK246" si="208">IF(EXACT(CG219,CJ219),"OK","NG")</f>
        <v>OK</v>
      </c>
      <c r="CL219" s="60"/>
      <c r="CM219" s="174"/>
      <c r="CN219" s="273" t="str">
        <f t="shared" si="189"/>
        <v xml:space="preserve">  </v>
      </c>
      <c r="CO219" s="218" t="s">
        <v>593</v>
      </c>
      <c r="CP219" s="273"/>
      <c r="CQ219" s="218" t="str">
        <f t="shared" si="200"/>
        <v>-</v>
      </c>
      <c r="CR219" s="60"/>
      <c r="CS219" s="174"/>
      <c r="CT219" s="273" t="str">
        <f t="shared" si="190"/>
        <v xml:space="preserve">  </v>
      </c>
      <c r="CU219" s="218" t="str">
        <f t="shared" si="201"/>
        <v>-</v>
      </c>
      <c r="CV219" s="174"/>
      <c r="CW219" s="92" t="s">
        <v>593</v>
      </c>
      <c r="CX219" s="60"/>
      <c r="CY219" s="174"/>
      <c r="CZ219" s="273" t="str">
        <f t="shared" si="191"/>
        <v xml:space="preserve">  </v>
      </c>
      <c r="DA219" s="218" t="str">
        <f t="shared" si="202"/>
        <v>-</v>
      </c>
      <c r="DB219" s="174"/>
      <c r="DC219" s="92" t="s">
        <v>593</v>
      </c>
    </row>
    <row r="220" spans="1:107" s="26" customFormat="1">
      <c r="B220" s="2">
        <f t="shared" si="192"/>
        <v>213</v>
      </c>
      <c r="C220" s="7"/>
      <c r="D220" s="7"/>
      <c r="E220" s="7"/>
      <c r="F220" s="22" t="s">
        <v>353</v>
      </c>
      <c r="G220" s="16"/>
      <c r="H220" s="13"/>
      <c r="I220" s="8"/>
      <c r="J220" s="8"/>
      <c r="K220" s="8"/>
      <c r="L220" s="8"/>
      <c r="M220" s="417" t="s">
        <v>220</v>
      </c>
      <c r="N220" s="11"/>
      <c r="O220" s="57"/>
      <c r="P220" s="95">
        <f t="shared" ref="P220:P241" si="209">P219+1</f>
        <v>190</v>
      </c>
      <c r="Q220" s="115">
        <v>2</v>
      </c>
      <c r="R220" s="21" t="str">
        <f t="shared" si="204"/>
        <v>X</v>
      </c>
      <c r="S220" s="98" t="s">
        <v>124</v>
      </c>
      <c r="T220" s="96"/>
      <c r="U220" s="21" t="s">
        <v>257</v>
      </c>
      <c r="V220" s="10"/>
      <c r="W220" s="25">
        <v>3</v>
      </c>
      <c r="X220" s="1" t="s">
        <v>125</v>
      </c>
      <c r="Y220" s="1">
        <v>2</v>
      </c>
      <c r="Z220" s="1">
        <v>2</v>
      </c>
      <c r="AA220" s="8" t="s">
        <v>114</v>
      </c>
      <c r="AB220" s="8" t="s">
        <v>21</v>
      </c>
      <c r="AC220" s="12"/>
      <c r="AD220" s="60"/>
      <c r="AE220" s="169"/>
      <c r="AF220" s="61" t="str">
        <f t="shared" si="179"/>
        <v xml:space="preserve">  </v>
      </c>
      <c r="AG220" s="218" t="str">
        <f t="shared" si="203"/>
        <v>-</v>
      </c>
      <c r="AH220" s="169"/>
      <c r="AI220" s="92" t="str">
        <f t="shared" si="205"/>
        <v>OK</v>
      </c>
      <c r="AJ220" s="60"/>
      <c r="AK220" s="169"/>
      <c r="AL220" s="61" t="str">
        <f t="shared" si="180"/>
        <v xml:space="preserve">  </v>
      </c>
      <c r="AM220" s="218" t="str">
        <f t="shared" si="193"/>
        <v>-</v>
      </c>
      <c r="AN220" s="169"/>
      <c r="AO220" s="92" t="str">
        <f t="shared" si="206"/>
        <v>OK</v>
      </c>
      <c r="AP220" s="60"/>
      <c r="AQ220" s="172"/>
      <c r="AR220" s="61" t="str">
        <f t="shared" si="181"/>
        <v xml:space="preserve">  </v>
      </c>
      <c r="AS220" s="218" t="s">
        <v>593</v>
      </c>
      <c r="AT220" s="61"/>
      <c r="AU220" s="218" t="str">
        <f t="shared" si="178"/>
        <v>-</v>
      </c>
      <c r="AV220" s="60"/>
      <c r="AW220" s="169"/>
      <c r="AX220" s="61" t="str">
        <f t="shared" si="182"/>
        <v xml:space="preserve">  </v>
      </c>
      <c r="AY220" s="218" t="str">
        <f t="shared" si="194"/>
        <v>-</v>
      </c>
      <c r="AZ220" s="169"/>
      <c r="BA220" s="92" t="str">
        <f>IF(EXACT(AW220,AZ220),"OK","NG")</f>
        <v>OK</v>
      </c>
      <c r="BB220" s="60"/>
      <c r="BC220" s="169"/>
      <c r="BD220" s="61" t="str">
        <f t="shared" si="183"/>
        <v xml:space="preserve">  </v>
      </c>
      <c r="BE220" s="218" t="str">
        <f t="shared" si="195"/>
        <v>-</v>
      </c>
      <c r="BF220" s="169"/>
      <c r="BG220" s="92" t="str">
        <f>IF(EXACT(BC220,BF220),"OK","NG")</f>
        <v>OK</v>
      </c>
      <c r="BH220" s="60"/>
      <c r="BI220" s="170" t="s">
        <v>698</v>
      </c>
      <c r="BJ220" s="61" t="str">
        <f t="shared" si="184"/>
        <v xml:space="preserve">  </v>
      </c>
      <c r="BK220" s="218" t="s">
        <v>593</v>
      </c>
      <c r="BL220" s="169"/>
      <c r="BM220" s="92" t="str">
        <f>IF(EXACT(BI220,BL220),"OK","NG")</f>
        <v>NG</v>
      </c>
      <c r="BN220" s="60"/>
      <c r="BO220" s="169"/>
      <c r="BP220" s="61" t="str">
        <f t="shared" si="185"/>
        <v xml:space="preserve">  </v>
      </c>
      <c r="BQ220" s="218" t="str">
        <f t="shared" si="196"/>
        <v>-</v>
      </c>
      <c r="BR220" s="169"/>
      <c r="BS220" s="92" t="str">
        <f>IF(EXACT(BO220,BR220),"OK","NG")</f>
        <v>OK</v>
      </c>
      <c r="BT220" s="60"/>
      <c r="BU220" s="172"/>
      <c r="BV220" s="61" t="str">
        <f t="shared" si="186"/>
        <v xml:space="preserve">  </v>
      </c>
      <c r="BW220" s="218" t="s">
        <v>593</v>
      </c>
      <c r="BX220" s="61"/>
      <c r="BY220" s="218" t="str">
        <f t="shared" si="197"/>
        <v>-</v>
      </c>
      <c r="BZ220" s="60"/>
      <c r="CA220" s="169"/>
      <c r="CB220" s="61" t="str">
        <f t="shared" si="187"/>
        <v xml:space="preserve">  </v>
      </c>
      <c r="CC220" s="218" t="str">
        <f t="shared" si="198"/>
        <v>-</v>
      </c>
      <c r="CD220" s="169"/>
      <c r="CE220" s="92" t="str">
        <f t="shared" si="207"/>
        <v>OK</v>
      </c>
      <c r="CF220" s="60"/>
      <c r="CG220" s="169"/>
      <c r="CH220" s="61" t="str">
        <f t="shared" si="188"/>
        <v xml:space="preserve">  </v>
      </c>
      <c r="CI220" s="218" t="str">
        <f t="shared" si="199"/>
        <v>-</v>
      </c>
      <c r="CJ220" s="169"/>
      <c r="CK220" s="92" t="str">
        <f t="shared" si="208"/>
        <v>OK</v>
      </c>
      <c r="CL220" s="60"/>
      <c r="CM220" s="169"/>
      <c r="CN220" s="61" t="str">
        <f t="shared" si="189"/>
        <v xml:space="preserve">  </v>
      </c>
      <c r="CO220" s="218" t="s">
        <v>593</v>
      </c>
      <c r="CP220" s="61"/>
      <c r="CQ220" s="218" t="str">
        <f t="shared" si="200"/>
        <v>-</v>
      </c>
      <c r="CR220" s="60"/>
      <c r="CS220" s="169"/>
      <c r="CT220" s="61" t="str">
        <f t="shared" si="190"/>
        <v xml:space="preserve">  </v>
      </c>
      <c r="CU220" s="218" t="str">
        <f t="shared" si="201"/>
        <v>-</v>
      </c>
      <c r="CV220" s="169"/>
      <c r="CW220" s="92" t="s">
        <v>593</v>
      </c>
      <c r="CX220" s="60"/>
      <c r="CY220" s="169"/>
      <c r="CZ220" s="61" t="str">
        <f t="shared" si="191"/>
        <v xml:space="preserve">  </v>
      </c>
      <c r="DA220" s="218" t="str">
        <f t="shared" si="202"/>
        <v>-</v>
      </c>
      <c r="DB220" s="169"/>
      <c r="DC220" s="92" t="s">
        <v>593</v>
      </c>
    </row>
    <row r="221" spans="1:107" s="26" customFormat="1">
      <c r="B221" s="2">
        <f t="shared" si="192"/>
        <v>214</v>
      </c>
      <c r="C221" s="7"/>
      <c r="D221" s="7"/>
      <c r="E221" s="7"/>
      <c r="F221" s="22" t="s">
        <v>126</v>
      </c>
      <c r="G221" s="16"/>
      <c r="H221" s="13"/>
      <c r="I221" s="8"/>
      <c r="J221" s="8" t="s">
        <v>269</v>
      </c>
      <c r="K221" s="8"/>
      <c r="L221" s="8"/>
      <c r="M221" s="1" t="s">
        <v>127</v>
      </c>
      <c r="N221" s="1"/>
      <c r="O221" s="57"/>
      <c r="P221" s="95">
        <f t="shared" si="209"/>
        <v>191</v>
      </c>
      <c r="Q221" s="115">
        <v>255</v>
      </c>
      <c r="R221" s="21" t="str">
        <f t="shared" si="204"/>
        <v>NX</v>
      </c>
      <c r="S221" s="98" t="s">
        <v>128</v>
      </c>
      <c r="T221" s="96"/>
      <c r="U221" s="21" t="s">
        <v>257</v>
      </c>
      <c r="V221" s="10"/>
      <c r="W221" s="25">
        <v>3</v>
      </c>
      <c r="X221" s="1" t="s">
        <v>298</v>
      </c>
      <c r="Y221" s="1">
        <v>1</v>
      </c>
      <c r="Z221" s="1">
        <v>255</v>
      </c>
      <c r="AA221" s="8" t="s">
        <v>129</v>
      </c>
      <c r="AB221" s="8" t="s">
        <v>21</v>
      </c>
      <c r="AC221" s="12"/>
      <c r="AD221" s="60"/>
      <c r="AE221" s="174"/>
      <c r="AF221" s="228" t="str">
        <f t="shared" si="179"/>
        <v xml:space="preserve">                                                                                                                                                                                                                                                               </v>
      </c>
      <c r="AG221" s="218" t="str">
        <f t="shared" si="203"/>
        <v>-</v>
      </c>
      <c r="AH221" s="174"/>
      <c r="AI221" s="92" t="str">
        <f t="shared" si="205"/>
        <v>OK</v>
      </c>
      <c r="AJ221" s="60"/>
      <c r="AK221" s="174"/>
      <c r="AL221" s="228" t="str">
        <f t="shared" si="180"/>
        <v xml:space="preserve">                                                                                                                                                                                                                                                               </v>
      </c>
      <c r="AM221" s="218" t="str">
        <f t="shared" si="193"/>
        <v>-</v>
      </c>
      <c r="AN221" s="174"/>
      <c r="AO221" s="92" t="str">
        <f t="shared" si="206"/>
        <v>OK</v>
      </c>
      <c r="AP221" s="60"/>
      <c r="AQ221" s="170"/>
      <c r="AR221" s="228" t="str">
        <f t="shared" si="181"/>
        <v xml:space="preserve">                                                                                                                                                                                                                                                               </v>
      </c>
      <c r="AS221" s="218" t="s">
        <v>593</v>
      </c>
      <c r="AT221" s="228"/>
      <c r="AU221" s="218" t="str">
        <f t="shared" si="178"/>
        <v>-</v>
      </c>
      <c r="AV221" s="60"/>
      <c r="AW221" s="174" t="s">
        <v>339</v>
      </c>
      <c r="AX221" s="228" t="str">
        <f t="shared" si="182"/>
        <v xml:space="preserve">ピカラ光マンション                                                                                                                                                                                                                                             </v>
      </c>
      <c r="AY221" s="218" t="str">
        <f t="shared" si="194"/>
        <v>-</v>
      </c>
      <c r="AZ221" s="174" t="s">
        <v>339</v>
      </c>
      <c r="BA221" s="92" t="str">
        <f>IF(EXACT(AW221,AZ221),"OK","NG")</f>
        <v>OK</v>
      </c>
      <c r="BB221" s="60"/>
      <c r="BC221" s="174" t="s">
        <v>344</v>
      </c>
      <c r="BD221" s="228" t="str">
        <f t="shared" si="183"/>
        <v xml:space="preserve">＋ＷｉＭＡＸ対応Ｗｉ－Ｆｉルーター                                                                                                                                                                                                                             </v>
      </c>
      <c r="BE221" s="218" t="str">
        <f t="shared" si="195"/>
        <v>-</v>
      </c>
      <c r="BF221" s="174" t="s">
        <v>403</v>
      </c>
      <c r="BG221" s="92" t="str">
        <f>IF(EXACT(BC221,BF221),"OK","NG")</f>
        <v>OK</v>
      </c>
      <c r="BH221" s="60"/>
      <c r="BI221" s="170" t="s">
        <v>739</v>
      </c>
      <c r="BJ221" s="228" t="str">
        <f t="shared" si="184"/>
        <v xml:space="preserve">ピカラ光マンション                                                                                                                                                                                                                                             </v>
      </c>
      <c r="BK221" s="218" t="s">
        <v>593</v>
      </c>
      <c r="BL221" s="174" t="s">
        <v>339</v>
      </c>
      <c r="BM221" s="92" t="str">
        <f>IF(EXACT(BI221,BL221),"OK","NG")</f>
        <v>NG</v>
      </c>
      <c r="BN221" s="60"/>
      <c r="BO221" s="174" t="s">
        <v>344</v>
      </c>
      <c r="BP221" s="228" t="str">
        <f t="shared" si="185"/>
        <v xml:space="preserve">＋ＷｉＭＡＸ対応Ｗｉ－Ｆｉルーター                                                                                                                                                                                                                             </v>
      </c>
      <c r="BQ221" s="218" t="str">
        <f t="shared" si="196"/>
        <v>-</v>
      </c>
      <c r="BR221" s="174" t="s">
        <v>403</v>
      </c>
      <c r="BS221" s="92" t="str">
        <f>IF(EXACT(BO221,BR221),"OK","NG")</f>
        <v>OK</v>
      </c>
      <c r="BT221" s="60"/>
      <c r="BU221" s="170"/>
      <c r="BV221" s="228" t="str">
        <f t="shared" si="186"/>
        <v xml:space="preserve">                                                                                                                                                                                                                                                               </v>
      </c>
      <c r="BW221" s="218" t="s">
        <v>593</v>
      </c>
      <c r="BX221" s="228"/>
      <c r="BY221" s="218" t="str">
        <f t="shared" si="197"/>
        <v>-</v>
      </c>
      <c r="BZ221" s="60"/>
      <c r="CA221" s="174"/>
      <c r="CB221" s="228" t="str">
        <f t="shared" si="187"/>
        <v xml:space="preserve">                                                                                                                                                                                                                                                               </v>
      </c>
      <c r="CC221" s="218" t="str">
        <f t="shared" si="198"/>
        <v>-</v>
      </c>
      <c r="CD221" s="174"/>
      <c r="CE221" s="92" t="str">
        <f t="shared" si="207"/>
        <v>OK</v>
      </c>
      <c r="CF221" s="60"/>
      <c r="CG221" s="174"/>
      <c r="CH221" s="228" t="str">
        <f t="shared" si="188"/>
        <v xml:space="preserve">                                                                                                                                                                                                                                                               </v>
      </c>
      <c r="CI221" s="218" t="str">
        <f t="shared" si="199"/>
        <v>-</v>
      </c>
      <c r="CJ221" s="174"/>
      <c r="CK221" s="92" t="str">
        <f t="shared" si="208"/>
        <v>OK</v>
      </c>
      <c r="CL221" s="60"/>
      <c r="CM221" s="174"/>
      <c r="CN221" s="228" t="str">
        <f t="shared" si="189"/>
        <v xml:space="preserve">                                                                                                                                                                                                                                                               </v>
      </c>
      <c r="CO221" s="218" t="s">
        <v>593</v>
      </c>
      <c r="CP221" s="228"/>
      <c r="CQ221" s="218" t="str">
        <f t="shared" si="200"/>
        <v>-</v>
      </c>
      <c r="CR221" s="60"/>
      <c r="CS221" s="174"/>
      <c r="CT221" s="228" t="str">
        <f t="shared" si="190"/>
        <v xml:space="preserve">                                                                                                                                                                                                                                                               </v>
      </c>
      <c r="CU221" s="218" t="str">
        <f t="shared" si="201"/>
        <v>-</v>
      </c>
      <c r="CV221" s="174"/>
      <c r="CW221" s="92" t="s">
        <v>593</v>
      </c>
      <c r="CX221" s="60"/>
      <c r="CY221" s="174"/>
      <c r="CZ221" s="228" t="str">
        <f t="shared" si="191"/>
        <v xml:space="preserve">                                                                                                                                                                                                                                                               </v>
      </c>
      <c r="DA221" s="218" t="str">
        <f t="shared" si="202"/>
        <v>-</v>
      </c>
      <c r="DB221" s="174"/>
      <c r="DC221" s="92" t="s">
        <v>593</v>
      </c>
    </row>
    <row r="222" spans="1:107" s="26" customFormat="1">
      <c r="B222" s="19">
        <f t="shared" si="192"/>
        <v>215</v>
      </c>
      <c r="C222" s="7"/>
      <c r="D222" s="7"/>
      <c r="E222" s="7"/>
      <c r="F222" s="3" t="s">
        <v>130</v>
      </c>
      <c r="G222" s="3"/>
      <c r="H222" s="4"/>
      <c r="I222" s="6"/>
      <c r="J222" s="6"/>
      <c r="K222" s="6"/>
      <c r="L222" s="6"/>
      <c r="M222" s="23" t="s">
        <v>131</v>
      </c>
      <c r="N222" s="5"/>
      <c r="O222" s="55"/>
      <c r="P222" s="95">
        <f t="shared" si="209"/>
        <v>192</v>
      </c>
      <c r="Q222" s="116">
        <v>256</v>
      </c>
      <c r="R222" s="21" t="str">
        <f t="shared" si="204"/>
        <v>NX</v>
      </c>
      <c r="S222" s="98" t="s">
        <v>132</v>
      </c>
      <c r="T222" s="96"/>
      <c r="U222" s="21" t="s">
        <v>435</v>
      </c>
      <c r="V222" s="10"/>
      <c r="W222" s="28">
        <v>3</v>
      </c>
      <c r="X222" s="5" t="s">
        <v>299</v>
      </c>
      <c r="Y222" s="5">
        <v>1</v>
      </c>
      <c r="Z222" s="5">
        <v>256</v>
      </c>
      <c r="AA222" s="6" t="s">
        <v>300</v>
      </c>
      <c r="AB222" s="6" t="s">
        <v>257</v>
      </c>
      <c r="AC222" s="64"/>
      <c r="AD222" s="60"/>
      <c r="AE222" s="169"/>
      <c r="AF222" s="61" t="str">
        <f t="shared" si="179"/>
        <v xml:space="preserve">                                                                                                                                                                                                                                                                </v>
      </c>
      <c r="AG222" s="218" t="str">
        <f t="shared" si="203"/>
        <v>-</v>
      </c>
      <c r="AH222" s="169"/>
      <c r="AI222" s="92" t="str">
        <f t="shared" si="205"/>
        <v>OK</v>
      </c>
      <c r="AJ222" s="60"/>
      <c r="AK222" s="169"/>
      <c r="AL222" s="61" t="str">
        <f t="shared" si="180"/>
        <v xml:space="preserve">                                                                                                                                                                                                                                                                </v>
      </c>
      <c r="AM222" s="218" t="str">
        <f t="shared" si="193"/>
        <v>-</v>
      </c>
      <c r="AN222" s="169"/>
      <c r="AO222" s="92" t="str">
        <f t="shared" si="206"/>
        <v>OK</v>
      </c>
      <c r="AP222" s="60"/>
      <c r="AQ222" s="172"/>
      <c r="AR222" s="61" t="str">
        <f t="shared" si="181"/>
        <v xml:space="preserve">                                                                                                                                                                                                                                                                </v>
      </c>
      <c r="AS222" s="218" t="s">
        <v>593</v>
      </c>
      <c r="AT222" s="61"/>
      <c r="AU222" s="218" t="str">
        <f t="shared" si="178"/>
        <v>-</v>
      </c>
      <c r="AV222" s="60"/>
      <c r="AW222" s="169"/>
      <c r="AX222" s="61" t="str">
        <f t="shared" si="182"/>
        <v xml:space="preserve">                                                                                                                                                                                                                                                                </v>
      </c>
      <c r="AY222" s="218" t="str">
        <f t="shared" si="194"/>
        <v>-</v>
      </c>
      <c r="AZ222" s="169"/>
      <c r="BA222" s="92" t="str">
        <f>IF(EXACT(AW222,AZ222),"OK","NG")</f>
        <v>OK</v>
      </c>
      <c r="BB222" s="60"/>
      <c r="BC222" s="169"/>
      <c r="BD222" s="61" t="str">
        <f t="shared" si="183"/>
        <v xml:space="preserve">                                                                                                                                                                                                                                                                </v>
      </c>
      <c r="BE222" s="218" t="str">
        <f t="shared" si="195"/>
        <v>-</v>
      </c>
      <c r="BF222" s="169"/>
      <c r="BG222" s="92" t="str">
        <f>IF(EXACT(BC222,BF222),"OK","NG")</f>
        <v>OK</v>
      </c>
      <c r="BH222" s="60"/>
      <c r="BI222" s="170" t="s">
        <v>700</v>
      </c>
      <c r="BJ222" s="61" t="str">
        <f t="shared" si="184"/>
        <v xml:space="preserve">                                                                                                                                                                                                                                                                </v>
      </c>
      <c r="BK222" s="218" t="s">
        <v>593</v>
      </c>
      <c r="BL222" s="169"/>
      <c r="BM222" s="92" t="str">
        <f>IF(EXACT(BI222,BL222),"OK","NG")</f>
        <v>NG</v>
      </c>
      <c r="BN222" s="60"/>
      <c r="BO222" s="169"/>
      <c r="BP222" s="61" t="str">
        <f t="shared" si="185"/>
        <v xml:space="preserve">                                                                                                                                                                                                                                                                </v>
      </c>
      <c r="BQ222" s="218" t="str">
        <f t="shared" si="196"/>
        <v>-</v>
      </c>
      <c r="BR222" s="169"/>
      <c r="BS222" s="92" t="str">
        <f>IF(EXACT(BO222,BR222),"OK","NG")</f>
        <v>OK</v>
      </c>
      <c r="BT222" s="60"/>
      <c r="BU222" s="172"/>
      <c r="BV222" s="61" t="str">
        <f t="shared" si="186"/>
        <v xml:space="preserve">                                                                                                                                                                                                                                                                </v>
      </c>
      <c r="BW222" s="218" t="s">
        <v>593</v>
      </c>
      <c r="BX222" s="61"/>
      <c r="BY222" s="218" t="str">
        <f t="shared" si="197"/>
        <v>-</v>
      </c>
      <c r="BZ222" s="60"/>
      <c r="CA222" s="169"/>
      <c r="CB222" s="61" t="str">
        <f t="shared" si="187"/>
        <v xml:space="preserve">                                                                                                                                                                                                                                                                </v>
      </c>
      <c r="CC222" s="218" t="str">
        <f t="shared" si="198"/>
        <v>-</v>
      </c>
      <c r="CD222" s="169"/>
      <c r="CE222" s="92" t="str">
        <f t="shared" si="207"/>
        <v>OK</v>
      </c>
      <c r="CF222" s="60"/>
      <c r="CG222" s="169"/>
      <c r="CH222" s="61" t="str">
        <f t="shared" si="188"/>
        <v xml:space="preserve">                                                                                                                                                                                                                                                                </v>
      </c>
      <c r="CI222" s="218" t="str">
        <f t="shared" si="199"/>
        <v>-</v>
      </c>
      <c r="CJ222" s="169"/>
      <c r="CK222" s="92" t="str">
        <f t="shared" si="208"/>
        <v>OK</v>
      </c>
      <c r="CL222" s="60"/>
      <c r="CM222" s="169"/>
      <c r="CN222" s="61" t="str">
        <f t="shared" si="189"/>
        <v xml:space="preserve">                                                                                                                                                                                                                                                                </v>
      </c>
      <c r="CO222" s="218" t="s">
        <v>593</v>
      </c>
      <c r="CP222" s="61"/>
      <c r="CQ222" s="218" t="str">
        <f t="shared" si="200"/>
        <v>-</v>
      </c>
      <c r="CR222" s="60"/>
      <c r="CS222" s="169"/>
      <c r="CT222" s="61" t="str">
        <f t="shared" si="190"/>
        <v xml:space="preserve">                                                                                                                                                                                                                                                                </v>
      </c>
      <c r="CU222" s="218" t="str">
        <f t="shared" si="201"/>
        <v>-</v>
      </c>
      <c r="CV222" s="169"/>
      <c r="CW222" s="92" t="s">
        <v>593</v>
      </c>
      <c r="CX222" s="60"/>
      <c r="CY222" s="169"/>
      <c r="CZ222" s="61" t="str">
        <f t="shared" si="191"/>
        <v xml:space="preserve">                                                                                                                                                                                                                                                                </v>
      </c>
      <c r="DA222" s="218" t="str">
        <f t="shared" si="202"/>
        <v>-</v>
      </c>
      <c r="DB222" s="169"/>
      <c r="DC222" s="92" t="s">
        <v>593</v>
      </c>
    </row>
    <row r="223" spans="1:107" s="26" customFormat="1" ht="63.75">
      <c r="B223" s="2">
        <f t="shared" si="192"/>
        <v>216</v>
      </c>
      <c r="C223" s="7"/>
      <c r="D223" s="7"/>
      <c r="E223" s="7"/>
      <c r="F223" s="22" t="s">
        <v>133</v>
      </c>
      <c r="G223" s="16"/>
      <c r="H223" s="13"/>
      <c r="I223" s="8"/>
      <c r="J223" s="8"/>
      <c r="K223" s="8"/>
      <c r="L223" s="8"/>
      <c r="M223" s="11" t="s">
        <v>444</v>
      </c>
      <c r="N223" s="1"/>
      <c r="O223" s="57"/>
      <c r="P223" s="95">
        <f t="shared" si="209"/>
        <v>193</v>
      </c>
      <c r="Q223" s="115">
        <v>256</v>
      </c>
      <c r="R223" s="21" t="str">
        <f t="shared" si="204"/>
        <v>NX</v>
      </c>
      <c r="S223" s="98" t="s">
        <v>134</v>
      </c>
      <c r="T223" s="96"/>
      <c r="U223" s="21" t="s">
        <v>435</v>
      </c>
      <c r="V223" s="10"/>
      <c r="W223" s="25">
        <v>3</v>
      </c>
      <c r="X223" s="1" t="s">
        <v>135</v>
      </c>
      <c r="Y223" s="1">
        <v>1</v>
      </c>
      <c r="Z223" s="1">
        <v>256</v>
      </c>
      <c r="AA223" s="8" t="s">
        <v>129</v>
      </c>
      <c r="AB223" s="8" t="s">
        <v>257</v>
      </c>
      <c r="AC223" s="12"/>
      <c r="AD223" s="60"/>
      <c r="AE223" s="174"/>
      <c r="AF223" s="170" t="str">
        <f t="shared" si="179"/>
        <v xml:space="preserve">                                                                                                                                                                                                                                                                </v>
      </c>
      <c r="AG223" s="218" t="str">
        <f t="shared" si="203"/>
        <v>-</v>
      </c>
      <c r="AH223" s="174"/>
      <c r="AI223" s="92" t="str">
        <f t="shared" si="205"/>
        <v>OK</v>
      </c>
      <c r="AJ223" s="60"/>
      <c r="AK223" s="174"/>
      <c r="AL223" s="170" t="str">
        <f t="shared" si="180"/>
        <v xml:space="preserve">                                                                                                                                                                                                                                                                </v>
      </c>
      <c r="AM223" s="218" t="str">
        <f t="shared" si="193"/>
        <v>-</v>
      </c>
      <c r="AN223" s="174"/>
      <c r="AO223" s="92" t="str">
        <f t="shared" si="206"/>
        <v>OK</v>
      </c>
      <c r="AP223" s="60"/>
      <c r="AQ223" s="170"/>
      <c r="AR223" s="170" t="str">
        <f t="shared" si="181"/>
        <v xml:space="preserve">                                                                                                                                                                                                                                                                </v>
      </c>
      <c r="AS223" s="218" t="s">
        <v>593</v>
      </c>
      <c r="AT223" s="170"/>
      <c r="AU223" s="218" t="str">
        <f t="shared" si="178"/>
        <v>-</v>
      </c>
      <c r="AV223" s="60"/>
      <c r="AW223" s="174"/>
      <c r="AX223" s="170" t="str">
        <f t="shared" si="182"/>
        <v xml:space="preserve">                                                                                                                                                                                                                                                                </v>
      </c>
      <c r="AY223" s="218" t="str">
        <f t="shared" si="194"/>
        <v>-</v>
      </c>
      <c r="AZ223" s="174"/>
      <c r="BA223" s="478" t="s">
        <v>594</v>
      </c>
      <c r="BB223" s="60"/>
      <c r="BC223" s="174"/>
      <c r="BD223" s="170" t="str">
        <f t="shared" si="183"/>
        <v xml:space="preserve">                                                                                                                                                                                                                                                                </v>
      </c>
      <c r="BE223" s="218" t="str">
        <f t="shared" si="195"/>
        <v>-</v>
      </c>
      <c r="BF223" s="174"/>
      <c r="BG223" s="478" t="s">
        <v>594</v>
      </c>
      <c r="BH223" s="60"/>
      <c r="BI223" s="170" t="s">
        <v>700</v>
      </c>
      <c r="BJ223" s="170" t="str">
        <f t="shared" si="184"/>
        <v xml:space="preserve">                                                                                                                                                                                                                                                                </v>
      </c>
      <c r="BK223" s="218" t="s">
        <v>593</v>
      </c>
      <c r="BL223" s="174"/>
      <c r="BM223" s="478" t="s">
        <v>594</v>
      </c>
      <c r="BN223" s="60"/>
      <c r="BO223" s="174"/>
      <c r="BP223" s="170" t="str">
        <f t="shared" si="185"/>
        <v xml:space="preserve">                                                                                                                                                                                                                                                                </v>
      </c>
      <c r="BQ223" s="218" t="str">
        <f t="shared" si="196"/>
        <v>-</v>
      </c>
      <c r="BR223" s="174"/>
      <c r="BS223" s="478" t="s">
        <v>594</v>
      </c>
      <c r="BT223" s="60"/>
      <c r="BU223" s="170"/>
      <c r="BV223" s="170" t="str">
        <f t="shared" si="186"/>
        <v xml:space="preserve">                                                                                                                                                                                                                                                                </v>
      </c>
      <c r="BW223" s="218" t="s">
        <v>593</v>
      </c>
      <c r="BX223" s="170"/>
      <c r="BY223" s="218" t="str">
        <f t="shared" si="197"/>
        <v>-</v>
      </c>
      <c r="BZ223" s="60"/>
      <c r="CA223" s="174"/>
      <c r="CB223" s="170" t="str">
        <f t="shared" si="187"/>
        <v xml:space="preserve">                                                                                                                                                                                                                                                                </v>
      </c>
      <c r="CC223" s="218" t="str">
        <f t="shared" si="198"/>
        <v>-</v>
      </c>
      <c r="CD223" s="174"/>
      <c r="CE223" s="92" t="str">
        <f t="shared" si="207"/>
        <v>OK</v>
      </c>
      <c r="CF223" s="60"/>
      <c r="CG223" s="174"/>
      <c r="CH223" s="170" t="str">
        <f t="shared" si="188"/>
        <v xml:space="preserve">                                                                                                                                                                                                                                                                </v>
      </c>
      <c r="CI223" s="218" t="str">
        <f t="shared" si="199"/>
        <v>-</v>
      </c>
      <c r="CJ223" s="174"/>
      <c r="CK223" s="92" t="str">
        <f t="shared" si="208"/>
        <v>OK</v>
      </c>
      <c r="CL223" s="60"/>
      <c r="CM223" s="174"/>
      <c r="CN223" s="170" t="str">
        <f t="shared" si="189"/>
        <v xml:space="preserve">                                                                                                                                                                                                                                                                </v>
      </c>
      <c r="CO223" s="218" t="s">
        <v>593</v>
      </c>
      <c r="CP223" s="170"/>
      <c r="CQ223" s="218" t="str">
        <f t="shared" si="200"/>
        <v>-</v>
      </c>
      <c r="CR223" s="60"/>
      <c r="CS223" s="174"/>
      <c r="CT223" s="170" t="str">
        <f t="shared" si="190"/>
        <v xml:space="preserve">                                                                                                                                                                                                                                                                </v>
      </c>
      <c r="CU223" s="218" t="str">
        <f t="shared" si="201"/>
        <v>-</v>
      </c>
      <c r="CV223" s="174"/>
      <c r="CW223" s="92" t="s">
        <v>593</v>
      </c>
      <c r="CX223" s="60"/>
      <c r="CY223" s="174"/>
      <c r="CZ223" s="170" t="str">
        <f t="shared" si="191"/>
        <v xml:space="preserve">                                                                                                                                                                                                                                                                </v>
      </c>
      <c r="DA223" s="218" t="str">
        <f t="shared" si="202"/>
        <v>-</v>
      </c>
      <c r="DB223" s="174"/>
      <c r="DC223" s="92" t="s">
        <v>593</v>
      </c>
    </row>
    <row r="224" spans="1:107" s="26" customFormat="1" ht="63.75">
      <c r="B224" s="2">
        <f t="shared" si="192"/>
        <v>217</v>
      </c>
      <c r="C224" s="7"/>
      <c r="D224" s="7"/>
      <c r="E224" s="7"/>
      <c r="F224" s="22" t="s">
        <v>136</v>
      </c>
      <c r="G224" s="16"/>
      <c r="H224" s="13"/>
      <c r="I224" s="8"/>
      <c r="J224" s="8"/>
      <c r="K224" s="8"/>
      <c r="L224" s="8"/>
      <c r="M224" s="11" t="s">
        <v>445</v>
      </c>
      <c r="N224" s="1"/>
      <c r="O224" s="57"/>
      <c r="P224" s="95">
        <f t="shared" si="209"/>
        <v>194</v>
      </c>
      <c r="Q224" s="115">
        <v>256</v>
      </c>
      <c r="R224" s="21" t="str">
        <f t="shared" si="204"/>
        <v>NX</v>
      </c>
      <c r="S224" s="98" t="s">
        <v>137</v>
      </c>
      <c r="T224" s="96"/>
      <c r="U224" s="21" t="s">
        <v>435</v>
      </c>
      <c r="V224" s="10"/>
      <c r="W224" s="25">
        <v>3</v>
      </c>
      <c r="X224" s="1" t="s">
        <v>138</v>
      </c>
      <c r="Y224" s="1">
        <v>1</v>
      </c>
      <c r="Z224" s="1">
        <v>256</v>
      </c>
      <c r="AA224" s="8" t="s">
        <v>129</v>
      </c>
      <c r="AB224" s="8" t="s">
        <v>257</v>
      </c>
      <c r="AC224" s="12"/>
      <c r="AD224" s="60"/>
      <c r="AE224" s="174"/>
      <c r="AF224" s="170" t="str">
        <f t="shared" si="179"/>
        <v xml:space="preserve">                                                                                                                                                                                                                                                                </v>
      </c>
      <c r="AG224" s="218" t="str">
        <f t="shared" si="203"/>
        <v>-</v>
      </c>
      <c r="AH224" s="174"/>
      <c r="AI224" s="92" t="str">
        <f t="shared" si="205"/>
        <v>OK</v>
      </c>
      <c r="AJ224" s="60"/>
      <c r="AK224" s="174"/>
      <c r="AL224" s="170" t="str">
        <f t="shared" si="180"/>
        <v xml:space="preserve">                                                                                                                                                                                                                                                                </v>
      </c>
      <c r="AM224" s="218" t="str">
        <f t="shared" si="193"/>
        <v>-</v>
      </c>
      <c r="AN224" s="174"/>
      <c r="AO224" s="92" t="str">
        <f t="shared" si="206"/>
        <v>OK</v>
      </c>
      <c r="AP224" s="60"/>
      <c r="AQ224" s="170"/>
      <c r="AR224" s="170" t="str">
        <f t="shared" si="181"/>
        <v xml:space="preserve">                                                                                                                                                                                                                                                                </v>
      </c>
      <c r="AS224" s="218" t="s">
        <v>593</v>
      </c>
      <c r="AT224" s="170"/>
      <c r="AU224" s="218" t="str">
        <f t="shared" si="178"/>
        <v>-</v>
      </c>
      <c r="AV224" s="60"/>
      <c r="AW224" s="174"/>
      <c r="AX224" s="170" t="str">
        <f t="shared" si="182"/>
        <v xml:space="preserve">                                                                                                                                                                                                                                                                </v>
      </c>
      <c r="AY224" s="218" t="str">
        <f t="shared" si="194"/>
        <v>-</v>
      </c>
      <c r="AZ224" s="174"/>
      <c r="BA224" s="478" t="s">
        <v>594</v>
      </c>
      <c r="BB224" s="60"/>
      <c r="BC224" s="174"/>
      <c r="BD224" s="170" t="str">
        <f t="shared" si="183"/>
        <v xml:space="preserve">                                                                                                                                                                                                                                                                </v>
      </c>
      <c r="BE224" s="218" t="str">
        <f t="shared" si="195"/>
        <v>-</v>
      </c>
      <c r="BF224" s="174"/>
      <c r="BG224" s="478" t="s">
        <v>594</v>
      </c>
      <c r="BH224" s="60"/>
      <c r="BI224" s="170" t="s">
        <v>700</v>
      </c>
      <c r="BJ224" s="170" t="str">
        <f t="shared" si="184"/>
        <v xml:space="preserve">                                                                                                                                                                                                                                                                </v>
      </c>
      <c r="BK224" s="218" t="s">
        <v>593</v>
      </c>
      <c r="BL224" s="174"/>
      <c r="BM224" s="478" t="s">
        <v>594</v>
      </c>
      <c r="BN224" s="60"/>
      <c r="BO224" s="174"/>
      <c r="BP224" s="170" t="str">
        <f t="shared" si="185"/>
        <v xml:space="preserve">                                                                                                                                                                                                                                                                </v>
      </c>
      <c r="BQ224" s="218" t="str">
        <f t="shared" si="196"/>
        <v>-</v>
      </c>
      <c r="BR224" s="174"/>
      <c r="BS224" s="478" t="s">
        <v>594</v>
      </c>
      <c r="BT224" s="60"/>
      <c r="BU224" s="170"/>
      <c r="BV224" s="170" t="str">
        <f t="shared" si="186"/>
        <v xml:space="preserve">                                                                                                                                                                                                                                                                </v>
      </c>
      <c r="BW224" s="218" t="s">
        <v>593</v>
      </c>
      <c r="BX224" s="170"/>
      <c r="BY224" s="218" t="str">
        <f t="shared" si="197"/>
        <v>-</v>
      </c>
      <c r="BZ224" s="60"/>
      <c r="CA224" s="174"/>
      <c r="CB224" s="170" t="str">
        <f t="shared" si="187"/>
        <v xml:space="preserve">                                                                                                                                                                                                                                                                </v>
      </c>
      <c r="CC224" s="218" t="str">
        <f t="shared" si="198"/>
        <v>-</v>
      </c>
      <c r="CD224" s="174"/>
      <c r="CE224" s="92" t="str">
        <f t="shared" si="207"/>
        <v>OK</v>
      </c>
      <c r="CF224" s="60"/>
      <c r="CG224" s="174"/>
      <c r="CH224" s="170" t="str">
        <f t="shared" si="188"/>
        <v xml:space="preserve">                                                                                                                                                                                                                                                                </v>
      </c>
      <c r="CI224" s="218" t="str">
        <f t="shared" si="199"/>
        <v>-</v>
      </c>
      <c r="CJ224" s="174"/>
      <c r="CK224" s="92" t="str">
        <f t="shared" si="208"/>
        <v>OK</v>
      </c>
      <c r="CL224" s="60"/>
      <c r="CM224" s="174"/>
      <c r="CN224" s="170" t="str">
        <f t="shared" si="189"/>
        <v xml:space="preserve">                                                                                                                                                                                                                                                                </v>
      </c>
      <c r="CO224" s="218" t="s">
        <v>593</v>
      </c>
      <c r="CP224" s="170"/>
      <c r="CQ224" s="218" t="str">
        <f t="shared" si="200"/>
        <v>-</v>
      </c>
      <c r="CR224" s="60"/>
      <c r="CS224" s="174"/>
      <c r="CT224" s="170" t="str">
        <f t="shared" si="190"/>
        <v xml:space="preserve">                                                                                                                                                                                                                                                                </v>
      </c>
      <c r="CU224" s="218" t="str">
        <f t="shared" si="201"/>
        <v>-</v>
      </c>
      <c r="CV224" s="174"/>
      <c r="CW224" s="92" t="s">
        <v>593</v>
      </c>
      <c r="CX224" s="60"/>
      <c r="CY224" s="174"/>
      <c r="CZ224" s="170" t="str">
        <f t="shared" si="191"/>
        <v xml:space="preserve">                                                                                                                                                                                                                                                                </v>
      </c>
      <c r="DA224" s="218" t="str">
        <f t="shared" si="202"/>
        <v>-</v>
      </c>
      <c r="DB224" s="174"/>
      <c r="DC224" s="92" t="s">
        <v>593</v>
      </c>
    </row>
    <row r="225" spans="2:107" s="26" customFormat="1" ht="69" customHeight="1">
      <c r="B225" s="19">
        <f t="shared" si="192"/>
        <v>218</v>
      </c>
      <c r="C225" s="7"/>
      <c r="D225" s="7"/>
      <c r="E225" s="7"/>
      <c r="F225" s="112" t="s">
        <v>446</v>
      </c>
      <c r="G225" s="16"/>
      <c r="H225" s="13"/>
      <c r="I225" s="8"/>
      <c r="J225" s="8" t="s">
        <v>426</v>
      </c>
      <c r="K225" s="8"/>
      <c r="L225" s="8"/>
      <c r="M225" s="11" t="s">
        <v>301</v>
      </c>
      <c r="N225" s="1"/>
      <c r="O225" s="57"/>
      <c r="P225" s="95">
        <f t="shared" si="209"/>
        <v>195</v>
      </c>
      <c r="Q225" s="115">
        <v>1</v>
      </c>
      <c r="R225" s="21" t="s">
        <v>418</v>
      </c>
      <c r="S225" s="98" t="s">
        <v>139</v>
      </c>
      <c r="T225" s="96"/>
      <c r="U225" s="21" t="s">
        <v>435</v>
      </c>
      <c r="V225" s="10"/>
      <c r="W225" s="25">
        <v>3</v>
      </c>
      <c r="X225" s="1" t="s">
        <v>140</v>
      </c>
      <c r="Y225" s="1">
        <v>1</v>
      </c>
      <c r="Z225" s="1">
        <v>1</v>
      </c>
      <c r="AA225" s="8">
        <v>9</v>
      </c>
      <c r="AB225" s="8" t="s">
        <v>21</v>
      </c>
      <c r="AC225" s="12"/>
      <c r="AD225" s="60"/>
      <c r="AE225" s="174"/>
      <c r="AF225" s="61" t="str">
        <f t="shared" si="179"/>
        <v xml:space="preserve"> </v>
      </c>
      <c r="AG225" s="218" t="str">
        <f t="shared" si="203"/>
        <v>-</v>
      </c>
      <c r="AH225" s="174"/>
      <c r="AI225" s="92" t="str">
        <f t="shared" si="205"/>
        <v>OK</v>
      </c>
      <c r="AJ225" s="60"/>
      <c r="AK225" s="174"/>
      <c r="AL225" s="61" t="str">
        <f t="shared" si="180"/>
        <v xml:space="preserve"> </v>
      </c>
      <c r="AM225" s="218" t="str">
        <f t="shared" si="193"/>
        <v>-</v>
      </c>
      <c r="AN225" s="174"/>
      <c r="AO225" s="92" t="str">
        <f t="shared" si="206"/>
        <v>OK</v>
      </c>
      <c r="AP225" s="60"/>
      <c r="AQ225" s="170"/>
      <c r="AR225" s="61" t="str">
        <f t="shared" si="181"/>
        <v xml:space="preserve"> </v>
      </c>
      <c r="AS225" s="218" t="s">
        <v>593</v>
      </c>
      <c r="AT225" s="61"/>
      <c r="AU225" s="218" t="str">
        <f t="shared" si="178"/>
        <v>-</v>
      </c>
      <c r="AV225" s="60"/>
      <c r="AW225" s="174" t="s">
        <v>33</v>
      </c>
      <c r="AX225" s="61" t="str">
        <f t="shared" si="182"/>
        <v>1</v>
      </c>
      <c r="AY225" s="218" t="str">
        <f t="shared" si="194"/>
        <v>-</v>
      </c>
      <c r="AZ225" s="174" t="s">
        <v>33</v>
      </c>
      <c r="BA225" s="478" t="s">
        <v>594</v>
      </c>
      <c r="BB225" s="60"/>
      <c r="BC225" s="174" t="s">
        <v>33</v>
      </c>
      <c r="BD225" s="61" t="str">
        <f t="shared" si="183"/>
        <v>1</v>
      </c>
      <c r="BE225" s="218" t="str">
        <f t="shared" si="195"/>
        <v>-</v>
      </c>
      <c r="BF225" s="174" t="s">
        <v>33</v>
      </c>
      <c r="BG225" s="478" t="s">
        <v>594</v>
      </c>
      <c r="BH225" s="60"/>
      <c r="BI225" s="170" t="s">
        <v>33</v>
      </c>
      <c r="BJ225" s="61" t="str">
        <f t="shared" si="184"/>
        <v>1</v>
      </c>
      <c r="BK225" s="218" t="s">
        <v>593</v>
      </c>
      <c r="BL225" s="174" t="s">
        <v>33</v>
      </c>
      <c r="BM225" s="478" t="s">
        <v>594</v>
      </c>
      <c r="BN225" s="60"/>
      <c r="BO225" s="174" t="s">
        <v>33</v>
      </c>
      <c r="BP225" s="61" t="str">
        <f t="shared" si="185"/>
        <v>1</v>
      </c>
      <c r="BQ225" s="218" t="str">
        <f t="shared" si="196"/>
        <v>-</v>
      </c>
      <c r="BR225" s="174" t="s">
        <v>33</v>
      </c>
      <c r="BS225" s="478" t="s">
        <v>594</v>
      </c>
      <c r="BT225" s="60"/>
      <c r="BU225" s="170"/>
      <c r="BV225" s="61" t="str">
        <f t="shared" si="186"/>
        <v xml:space="preserve"> </v>
      </c>
      <c r="BW225" s="218" t="s">
        <v>593</v>
      </c>
      <c r="BX225" s="61"/>
      <c r="BY225" s="218" t="str">
        <f t="shared" si="197"/>
        <v>-</v>
      </c>
      <c r="BZ225" s="60"/>
      <c r="CA225" s="174"/>
      <c r="CB225" s="61" t="str">
        <f t="shared" si="187"/>
        <v xml:space="preserve"> </v>
      </c>
      <c r="CC225" s="218" t="str">
        <f t="shared" si="198"/>
        <v>-</v>
      </c>
      <c r="CD225" s="174"/>
      <c r="CE225" s="92" t="str">
        <f t="shared" si="207"/>
        <v>OK</v>
      </c>
      <c r="CF225" s="60"/>
      <c r="CG225" s="174"/>
      <c r="CH225" s="61" t="str">
        <f t="shared" si="188"/>
        <v xml:space="preserve"> </v>
      </c>
      <c r="CI225" s="218" t="str">
        <f t="shared" si="199"/>
        <v>-</v>
      </c>
      <c r="CJ225" s="174"/>
      <c r="CK225" s="92" t="str">
        <f t="shared" si="208"/>
        <v>OK</v>
      </c>
      <c r="CL225" s="60"/>
      <c r="CM225" s="174"/>
      <c r="CN225" s="61" t="str">
        <f t="shared" si="189"/>
        <v xml:space="preserve"> </v>
      </c>
      <c r="CO225" s="218" t="s">
        <v>593</v>
      </c>
      <c r="CP225" s="61"/>
      <c r="CQ225" s="218" t="str">
        <f t="shared" si="200"/>
        <v>-</v>
      </c>
      <c r="CR225" s="60"/>
      <c r="CS225" s="174"/>
      <c r="CT225" s="61" t="str">
        <f t="shared" si="190"/>
        <v xml:space="preserve"> </v>
      </c>
      <c r="CU225" s="218" t="str">
        <f t="shared" si="201"/>
        <v>-</v>
      </c>
      <c r="CV225" s="174"/>
      <c r="CW225" s="92" t="s">
        <v>593</v>
      </c>
      <c r="CX225" s="60"/>
      <c r="CY225" s="174"/>
      <c r="CZ225" s="61" t="str">
        <f t="shared" si="191"/>
        <v xml:space="preserve"> </v>
      </c>
      <c r="DA225" s="218" t="str">
        <f t="shared" si="202"/>
        <v>-</v>
      </c>
      <c r="DB225" s="174"/>
      <c r="DC225" s="92" t="s">
        <v>593</v>
      </c>
    </row>
    <row r="226" spans="2:107" s="26" customFormat="1" ht="114.75">
      <c r="B226" s="2">
        <f t="shared" si="192"/>
        <v>219</v>
      </c>
      <c r="C226" s="7"/>
      <c r="D226" s="7"/>
      <c r="E226" s="7"/>
      <c r="F226" s="22" t="s">
        <v>141</v>
      </c>
      <c r="G226" s="16"/>
      <c r="H226" s="13"/>
      <c r="I226" s="8"/>
      <c r="J226" s="8"/>
      <c r="K226" s="8"/>
      <c r="L226" s="8"/>
      <c r="M226" s="418" t="s">
        <v>221</v>
      </c>
      <c r="N226" s="1"/>
      <c r="O226" s="57"/>
      <c r="P226" s="95">
        <f t="shared" si="209"/>
        <v>196</v>
      </c>
      <c r="Q226" s="115">
        <v>1</v>
      </c>
      <c r="R226" s="21" t="s">
        <v>418</v>
      </c>
      <c r="S226" s="98" t="s">
        <v>142</v>
      </c>
      <c r="T226" s="96"/>
      <c r="U226" s="21" t="s">
        <v>435</v>
      </c>
      <c r="V226" s="10"/>
      <c r="W226" s="25">
        <v>3</v>
      </c>
      <c r="X226" s="1" t="s">
        <v>20</v>
      </c>
      <c r="Y226" s="1">
        <v>1</v>
      </c>
      <c r="Z226" s="1">
        <v>1</v>
      </c>
      <c r="AA226" s="8">
        <v>9</v>
      </c>
      <c r="AB226" s="8" t="s">
        <v>21</v>
      </c>
      <c r="AC226" s="103"/>
      <c r="AD226" s="60"/>
      <c r="AE226" s="174"/>
      <c r="AF226" s="61" t="str">
        <f t="shared" si="179"/>
        <v xml:space="preserve"> </v>
      </c>
      <c r="AG226" s="218" t="str">
        <f t="shared" si="203"/>
        <v>-</v>
      </c>
      <c r="AH226" s="174"/>
      <c r="AI226" s="92" t="str">
        <f t="shared" si="205"/>
        <v>OK</v>
      </c>
      <c r="AJ226" s="60"/>
      <c r="AK226" s="174"/>
      <c r="AL226" s="61" t="str">
        <f t="shared" si="180"/>
        <v xml:space="preserve"> </v>
      </c>
      <c r="AM226" s="218" t="str">
        <f t="shared" si="193"/>
        <v>-</v>
      </c>
      <c r="AN226" s="174"/>
      <c r="AO226" s="92" t="str">
        <f t="shared" si="206"/>
        <v>OK</v>
      </c>
      <c r="AP226" s="60"/>
      <c r="AQ226" s="170"/>
      <c r="AR226" s="61" t="str">
        <f t="shared" si="181"/>
        <v xml:space="preserve"> </v>
      </c>
      <c r="AS226" s="218" t="s">
        <v>593</v>
      </c>
      <c r="AT226" s="61"/>
      <c r="AU226" s="218" t="str">
        <f t="shared" si="178"/>
        <v>-</v>
      </c>
      <c r="AV226" s="60"/>
      <c r="AW226" s="174"/>
      <c r="AX226" s="61" t="str">
        <f t="shared" si="182"/>
        <v xml:space="preserve"> </v>
      </c>
      <c r="AY226" s="218" t="str">
        <f t="shared" si="194"/>
        <v>-</v>
      </c>
      <c r="AZ226" s="174"/>
      <c r="BA226" s="478" t="s">
        <v>594</v>
      </c>
      <c r="BB226" s="60"/>
      <c r="BC226" s="174"/>
      <c r="BD226" s="61" t="str">
        <f t="shared" si="183"/>
        <v xml:space="preserve"> </v>
      </c>
      <c r="BE226" s="218" t="str">
        <f t="shared" si="195"/>
        <v>-</v>
      </c>
      <c r="BF226" s="174"/>
      <c r="BG226" s="478" t="s">
        <v>594</v>
      </c>
      <c r="BH226" s="60"/>
      <c r="BI226" s="170" t="s">
        <v>38</v>
      </c>
      <c r="BJ226" s="61" t="str">
        <f t="shared" si="184"/>
        <v xml:space="preserve"> </v>
      </c>
      <c r="BK226" s="218" t="s">
        <v>593</v>
      </c>
      <c r="BL226" s="174"/>
      <c r="BM226" s="478" t="s">
        <v>594</v>
      </c>
      <c r="BN226" s="60"/>
      <c r="BO226" s="174"/>
      <c r="BP226" s="61" t="str">
        <f t="shared" si="185"/>
        <v xml:space="preserve"> </v>
      </c>
      <c r="BQ226" s="218" t="str">
        <f t="shared" si="196"/>
        <v>-</v>
      </c>
      <c r="BR226" s="174"/>
      <c r="BS226" s="478" t="s">
        <v>594</v>
      </c>
      <c r="BT226" s="60"/>
      <c r="BU226" s="170"/>
      <c r="BV226" s="61" t="str">
        <f t="shared" si="186"/>
        <v xml:space="preserve"> </v>
      </c>
      <c r="BW226" s="218" t="s">
        <v>593</v>
      </c>
      <c r="BX226" s="61"/>
      <c r="BY226" s="218" t="str">
        <f t="shared" si="197"/>
        <v>-</v>
      </c>
      <c r="BZ226" s="60"/>
      <c r="CA226" s="174"/>
      <c r="CB226" s="61" t="str">
        <f t="shared" si="187"/>
        <v xml:space="preserve"> </v>
      </c>
      <c r="CC226" s="218" t="str">
        <f t="shared" si="198"/>
        <v>-</v>
      </c>
      <c r="CD226" s="174"/>
      <c r="CE226" s="92" t="str">
        <f t="shared" si="207"/>
        <v>OK</v>
      </c>
      <c r="CF226" s="60"/>
      <c r="CG226" s="174"/>
      <c r="CH226" s="61" t="str">
        <f t="shared" si="188"/>
        <v xml:space="preserve"> </v>
      </c>
      <c r="CI226" s="218" t="str">
        <f t="shared" si="199"/>
        <v>-</v>
      </c>
      <c r="CJ226" s="174"/>
      <c r="CK226" s="92" t="str">
        <f t="shared" si="208"/>
        <v>OK</v>
      </c>
      <c r="CL226" s="60"/>
      <c r="CM226" s="174"/>
      <c r="CN226" s="61" t="str">
        <f t="shared" si="189"/>
        <v xml:space="preserve"> </v>
      </c>
      <c r="CO226" s="218" t="s">
        <v>593</v>
      </c>
      <c r="CP226" s="61"/>
      <c r="CQ226" s="218" t="str">
        <f t="shared" si="200"/>
        <v>-</v>
      </c>
      <c r="CR226" s="60"/>
      <c r="CS226" s="174"/>
      <c r="CT226" s="61" t="str">
        <f t="shared" si="190"/>
        <v xml:space="preserve"> </v>
      </c>
      <c r="CU226" s="218" t="str">
        <f t="shared" si="201"/>
        <v>-</v>
      </c>
      <c r="CV226" s="174"/>
      <c r="CW226" s="92" t="s">
        <v>593</v>
      </c>
      <c r="CX226" s="60"/>
      <c r="CY226" s="174"/>
      <c r="CZ226" s="61" t="str">
        <f t="shared" si="191"/>
        <v xml:space="preserve"> </v>
      </c>
      <c r="DA226" s="218" t="str">
        <f t="shared" si="202"/>
        <v>-</v>
      </c>
      <c r="DB226" s="174"/>
      <c r="DC226" s="92" t="s">
        <v>593</v>
      </c>
    </row>
    <row r="227" spans="2:107" s="26" customFormat="1" ht="132" customHeight="1">
      <c r="B227" s="65">
        <f t="shared" si="192"/>
        <v>220</v>
      </c>
      <c r="C227" s="7"/>
      <c r="D227" s="7"/>
      <c r="E227" s="7"/>
      <c r="F227" s="112" t="s">
        <v>143</v>
      </c>
      <c r="G227" s="16"/>
      <c r="H227" s="13"/>
      <c r="I227" s="8"/>
      <c r="J227" s="8"/>
      <c r="K227" s="8"/>
      <c r="L227" s="8"/>
      <c r="M227" s="11" t="s">
        <v>447</v>
      </c>
      <c r="N227" s="1"/>
      <c r="O227" s="57"/>
      <c r="P227" s="95">
        <f t="shared" si="209"/>
        <v>197</v>
      </c>
      <c r="Q227" s="115">
        <v>1</v>
      </c>
      <c r="R227" s="21" t="str">
        <f t="shared" ref="R227:R243" si="210">IF(AA227="M","NX",AA227)</f>
        <v>X</v>
      </c>
      <c r="S227" s="98" t="s">
        <v>189</v>
      </c>
      <c r="T227" s="96"/>
      <c r="U227" s="21" t="s">
        <v>435</v>
      </c>
      <c r="V227" s="10"/>
      <c r="W227" s="25">
        <v>3</v>
      </c>
      <c r="X227" s="1" t="s">
        <v>302</v>
      </c>
      <c r="Y227" s="1">
        <v>1</v>
      </c>
      <c r="Z227" s="1">
        <v>1</v>
      </c>
      <c r="AA227" s="8" t="s">
        <v>261</v>
      </c>
      <c r="AB227" s="8" t="s">
        <v>257</v>
      </c>
      <c r="AC227" s="12"/>
      <c r="AD227" s="60"/>
      <c r="AE227" s="174"/>
      <c r="AF227" s="61" t="str">
        <f t="shared" si="179"/>
        <v xml:space="preserve"> </v>
      </c>
      <c r="AG227" s="218" t="str">
        <f t="shared" si="203"/>
        <v>-</v>
      </c>
      <c r="AH227" s="174"/>
      <c r="AI227" s="92" t="str">
        <f t="shared" si="205"/>
        <v>OK</v>
      </c>
      <c r="AJ227" s="60"/>
      <c r="AK227" s="174"/>
      <c r="AL227" s="61" t="str">
        <f t="shared" si="180"/>
        <v xml:space="preserve"> </v>
      </c>
      <c r="AM227" s="218" t="str">
        <f t="shared" si="193"/>
        <v>-</v>
      </c>
      <c r="AN227" s="174"/>
      <c r="AO227" s="92" t="str">
        <f t="shared" si="206"/>
        <v>OK</v>
      </c>
      <c r="AP227" s="60"/>
      <c r="AQ227" s="170"/>
      <c r="AR227" s="61" t="str">
        <f t="shared" si="181"/>
        <v xml:space="preserve"> </v>
      </c>
      <c r="AS227" s="218" t="s">
        <v>593</v>
      </c>
      <c r="AT227" s="61"/>
      <c r="AU227" s="218" t="str">
        <f t="shared" si="178"/>
        <v>-</v>
      </c>
      <c r="AV227" s="60"/>
      <c r="AW227" s="174" t="s">
        <v>374</v>
      </c>
      <c r="AX227" s="61" t="str">
        <f t="shared" si="182"/>
        <v>5</v>
      </c>
      <c r="AY227" s="218" t="str">
        <f t="shared" si="194"/>
        <v>-</v>
      </c>
      <c r="AZ227" s="174" t="s">
        <v>374</v>
      </c>
      <c r="BA227" s="478" t="s">
        <v>594</v>
      </c>
      <c r="BB227" s="60"/>
      <c r="BC227" s="174" t="s">
        <v>374</v>
      </c>
      <c r="BD227" s="61" t="str">
        <f t="shared" si="183"/>
        <v>5</v>
      </c>
      <c r="BE227" s="218" t="str">
        <f t="shared" si="195"/>
        <v>-</v>
      </c>
      <c r="BF227" s="174" t="s">
        <v>374</v>
      </c>
      <c r="BG227" s="478" t="s">
        <v>594</v>
      </c>
      <c r="BH227" s="60"/>
      <c r="BI227" s="170" t="s">
        <v>374</v>
      </c>
      <c r="BJ227" s="61" t="str">
        <f t="shared" si="184"/>
        <v>5</v>
      </c>
      <c r="BK227" s="218" t="s">
        <v>593</v>
      </c>
      <c r="BL227" s="174" t="s">
        <v>374</v>
      </c>
      <c r="BM227" s="478" t="s">
        <v>594</v>
      </c>
      <c r="BN227" s="60"/>
      <c r="BO227" s="174" t="s">
        <v>374</v>
      </c>
      <c r="BP227" s="61" t="str">
        <f t="shared" si="185"/>
        <v>5</v>
      </c>
      <c r="BQ227" s="218" t="str">
        <f t="shared" si="196"/>
        <v>-</v>
      </c>
      <c r="BR227" s="174" t="s">
        <v>374</v>
      </c>
      <c r="BS227" s="478" t="s">
        <v>594</v>
      </c>
      <c r="BT227" s="60"/>
      <c r="BU227" s="170"/>
      <c r="BV227" s="61" t="str">
        <f t="shared" si="186"/>
        <v xml:space="preserve"> </v>
      </c>
      <c r="BW227" s="218" t="s">
        <v>593</v>
      </c>
      <c r="BX227" s="61"/>
      <c r="BY227" s="218" t="str">
        <f t="shared" si="197"/>
        <v>-</v>
      </c>
      <c r="BZ227" s="60"/>
      <c r="CA227" s="174"/>
      <c r="CB227" s="61" t="str">
        <f t="shared" si="187"/>
        <v xml:space="preserve"> </v>
      </c>
      <c r="CC227" s="218" t="str">
        <f t="shared" si="198"/>
        <v>-</v>
      </c>
      <c r="CD227" s="174"/>
      <c r="CE227" s="92" t="str">
        <f t="shared" si="207"/>
        <v>OK</v>
      </c>
      <c r="CF227" s="60"/>
      <c r="CG227" s="174"/>
      <c r="CH227" s="61" t="str">
        <f t="shared" si="188"/>
        <v xml:space="preserve"> </v>
      </c>
      <c r="CI227" s="218" t="str">
        <f t="shared" si="199"/>
        <v>-</v>
      </c>
      <c r="CJ227" s="174"/>
      <c r="CK227" s="92" t="str">
        <f t="shared" si="208"/>
        <v>OK</v>
      </c>
      <c r="CL227" s="60"/>
      <c r="CM227" s="174"/>
      <c r="CN227" s="61" t="str">
        <f t="shared" si="189"/>
        <v xml:space="preserve"> </v>
      </c>
      <c r="CO227" s="218" t="s">
        <v>593</v>
      </c>
      <c r="CP227" s="61"/>
      <c r="CQ227" s="218" t="str">
        <f t="shared" si="200"/>
        <v>-</v>
      </c>
      <c r="CR227" s="60"/>
      <c r="CS227" s="174"/>
      <c r="CT227" s="61" t="str">
        <f t="shared" si="190"/>
        <v xml:space="preserve"> </v>
      </c>
      <c r="CU227" s="218" t="str">
        <f t="shared" si="201"/>
        <v>-</v>
      </c>
      <c r="CV227" s="174"/>
      <c r="CW227" s="92" t="s">
        <v>593</v>
      </c>
      <c r="CX227" s="60"/>
      <c r="CY227" s="174"/>
      <c r="CZ227" s="61" t="str">
        <f t="shared" si="191"/>
        <v xml:space="preserve"> </v>
      </c>
      <c r="DA227" s="218" t="str">
        <f t="shared" si="202"/>
        <v>-</v>
      </c>
      <c r="DB227" s="174"/>
      <c r="DC227" s="92" t="s">
        <v>593</v>
      </c>
    </row>
    <row r="228" spans="2:107" s="26" customFormat="1">
      <c r="B228" s="65">
        <f t="shared" si="192"/>
        <v>221</v>
      </c>
      <c r="C228" s="7"/>
      <c r="D228" s="7"/>
      <c r="E228" s="7"/>
      <c r="F228" s="22" t="s">
        <v>144</v>
      </c>
      <c r="G228" s="16"/>
      <c r="H228" s="13"/>
      <c r="I228" s="8"/>
      <c r="J228" s="8"/>
      <c r="K228" s="8"/>
      <c r="L228" s="8"/>
      <c r="M228" s="418" t="s">
        <v>145</v>
      </c>
      <c r="N228" s="1"/>
      <c r="O228" s="57"/>
      <c r="P228" s="95">
        <f t="shared" si="209"/>
        <v>198</v>
      </c>
      <c r="Q228" s="115">
        <v>400</v>
      </c>
      <c r="R228" s="21" t="str">
        <f t="shared" si="210"/>
        <v>NX</v>
      </c>
      <c r="S228" s="98" t="s">
        <v>146</v>
      </c>
      <c r="T228" s="96"/>
      <c r="U228" s="21" t="s">
        <v>435</v>
      </c>
      <c r="V228" s="10"/>
      <c r="W228" s="25">
        <v>3</v>
      </c>
      <c r="X228" s="1" t="s">
        <v>147</v>
      </c>
      <c r="Y228" s="1">
        <v>1</v>
      </c>
      <c r="Z228" s="1">
        <v>400</v>
      </c>
      <c r="AA228" s="8" t="s">
        <v>129</v>
      </c>
      <c r="AB228" s="8" t="s">
        <v>257</v>
      </c>
      <c r="AC228" s="12"/>
      <c r="AD228" s="60"/>
      <c r="AE228" s="174"/>
      <c r="AF228" s="271" t="str">
        <f t="shared" si="179"/>
        <v xml:space="preserve">                                                                                                                                                                                                                                                                                                                                                                                                                </v>
      </c>
      <c r="AG228" s="218" t="str">
        <f t="shared" si="203"/>
        <v>-</v>
      </c>
      <c r="AH228" s="174"/>
      <c r="AI228" s="92" t="str">
        <f t="shared" si="205"/>
        <v>OK</v>
      </c>
      <c r="AJ228" s="60"/>
      <c r="AK228" s="174"/>
      <c r="AL228" s="271" t="str">
        <f t="shared" si="180"/>
        <v xml:space="preserve">                                                                                                                                                                                                                                                                                                                                                                                                                </v>
      </c>
      <c r="AM228" s="218" t="str">
        <f t="shared" si="193"/>
        <v>-</v>
      </c>
      <c r="AN228" s="174"/>
      <c r="AO228" s="92" t="str">
        <f t="shared" si="206"/>
        <v>OK</v>
      </c>
      <c r="AP228" s="60"/>
      <c r="AQ228" s="170"/>
      <c r="AR228" s="271" t="str">
        <f t="shared" si="181"/>
        <v xml:space="preserve">                                                                                                                                                                                                                                                                                                                                                                                                                </v>
      </c>
      <c r="AS228" s="218" t="s">
        <v>593</v>
      </c>
      <c r="AT228" s="271"/>
      <c r="AU228" s="218" t="str">
        <f t="shared" si="178"/>
        <v>-</v>
      </c>
      <c r="AV228" s="60"/>
      <c r="AW228" s="174" t="s">
        <v>190</v>
      </c>
      <c r="AX228" s="271" t="str">
        <f t="shared" si="182"/>
        <v xml:space="preserve">申込受付中。                                                                                                                                                                                                                                                                                                                                                                                                    </v>
      </c>
      <c r="AY228" s="218" t="str">
        <f t="shared" si="194"/>
        <v>-</v>
      </c>
      <c r="AZ228" s="174" t="s">
        <v>190</v>
      </c>
      <c r="BA228" s="478" t="s">
        <v>594</v>
      </c>
      <c r="BB228" s="60"/>
      <c r="BC228" s="174" t="s">
        <v>190</v>
      </c>
      <c r="BD228" s="271" t="str">
        <f t="shared" si="183"/>
        <v xml:space="preserve">申込受付中。                                                                                                                                                                                                                                                                                                                                                                                                    </v>
      </c>
      <c r="BE228" s="218" t="str">
        <f t="shared" si="195"/>
        <v>-</v>
      </c>
      <c r="BF228" s="174" t="s">
        <v>190</v>
      </c>
      <c r="BG228" s="478" t="s">
        <v>594</v>
      </c>
      <c r="BH228" s="60"/>
      <c r="BI228" s="170" t="s">
        <v>730</v>
      </c>
      <c r="BJ228" s="271" t="str">
        <f t="shared" si="184"/>
        <v xml:space="preserve">申込受付中。                                                                                                                                                                                                                                                                                                                                                                                                    </v>
      </c>
      <c r="BK228" s="218" t="s">
        <v>593</v>
      </c>
      <c r="BL228" s="174" t="s">
        <v>190</v>
      </c>
      <c r="BM228" s="478" t="s">
        <v>594</v>
      </c>
      <c r="BN228" s="60"/>
      <c r="BO228" s="174" t="s">
        <v>190</v>
      </c>
      <c r="BP228" s="271" t="str">
        <f t="shared" si="185"/>
        <v xml:space="preserve">申込受付中。                                                                                                                                                                                                                                                                                                                                                                                                    </v>
      </c>
      <c r="BQ228" s="218" t="str">
        <f t="shared" si="196"/>
        <v>-</v>
      </c>
      <c r="BR228" s="174" t="s">
        <v>190</v>
      </c>
      <c r="BS228" s="478" t="s">
        <v>594</v>
      </c>
      <c r="BT228" s="60"/>
      <c r="BU228" s="170"/>
      <c r="BV228" s="271" t="str">
        <f t="shared" si="186"/>
        <v xml:space="preserve">                                                                                                                                                                                                                                                                                                                                                                                                                </v>
      </c>
      <c r="BW228" s="218" t="s">
        <v>593</v>
      </c>
      <c r="BX228" s="271"/>
      <c r="BY228" s="218" t="str">
        <f t="shared" si="197"/>
        <v>-</v>
      </c>
      <c r="BZ228" s="60"/>
      <c r="CA228" s="174"/>
      <c r="CB228" s="271" t="str">
        <f t="shared" si="187"/>
        <v xml:space="preserve">                                                                                                                                                                                                                                                                                                                                                                                                                </v>
      </c>
      <c r="CC228" s="218" t="str">
        <f t="shared" si="198"/>
        <v>-</v>
      </c>
      <c r="CD228" s="174"/>
      <c r="CE228" s="92" t="str">
        <f t="shared" si="207"/>
        <v>OK</v>
      </c>
      <c r="CF228" s="60"/>
      <c r="CG228" s="174"/>
      <c r="CH228" s="271" t="str">
        <f t="shared" si="188"/>
        <v xml:space="preserve">                                                                                                                                                                                                                                                                                                                                                                                                                </v>
      </c>
      <c r="CI228" s="218" t="str">
        <f t="shared" si="199"/>
        <v>-</v>
      </c>
      <c r="CJ228" s="174"/>
      <c r="CK228" s="92" t="str">
        <f t="shared" si="208"/>
        <v>OK</v>
      </c>
      <c r="CL228" s="60"/>
      <c r="CM228" s="174"/>
      <c r="CN228" s="271" t="str">
        <f t="shared" si="189"/>
        <v xml:space="preserve">                                                                                                                                                                                                                                                                                                                                                                                                                </v>
      </c>
      <c r="CO228" s="218" t="s">
        <v>593</v>
      </c>
      <c r="CP228" s="271"/>
      <c r="CQ228" s="218" t="str">
        <f t="shared" si="200"/>
        <v>-</v>
      </c>
      <c r="CR228" s="60"/>
      <c r="CS228" s="174"/>
      <c r="CT228" s="271" t="str">
        <f t="shared" si="190"/>
        <v xml:space="preserve">                                                                                                                                                                                                                                                                                                                                                                                                                </v>
      </c>
      <c r="CU228" s="218" t="str">
        <f t="shared" si="201"/>
        <v>-</v>
      </c>
      <c r="CV228" s="174"/>
      <c r="CW228" s="92" t="s">
        <v>593</v>
      </c>
      <c r="CX228" s="60"/>
      <c r="CY228" s="174"/>
      <c r="CZ228" s="271" t="str">
        <f t="shared" si="191"/>
        <v xml:space="preserve">                                                                                                                                                                                                                                                                                                                                                                                                                </v>
      </c>
      <c r="DA228" s="218" t="str">
        <f t="shared" si="202"/>
        <v>-</v>
      </c>
      <c r="DB228" s="174"/>
      <c r="DC228" s="92" t="s">
        <v>593</v>
      </c>
    </row>
    <row r="229" spans="2:107" s="26" customFormat="1" ht="63.75">
      <c r="B229" s="65">
        <f t="shared" si="192"/>
        <v>222</v>
      </c>
      <c r="C229" s="7"/>
      <c r="D229" s="7"/>
      <c r="E229" s="7"/>
      <c r="F229" s="22" t="s">
        <v>148</v>
      </c>
      <c r="G229" s="16"/>
      <c r="H229" s="13"/>
      <c r="I229" s="8"/>
      <c r="J229" s="8"/>
      <c r="K229" s="8"/>
      <c r="L229" s="8"/>
      <c r="M229" s="418" t="s">
        <v>448</v>
      </c>
      <c r="N229" s="1"/>
      <c r="O229" s="57"/>
      <c r="P229" s="95">
        <f t="shared" si="209"/>
        <v>199</v>
      </c>
      <c r="Q229" s="115">
        <v>400</v>
      </c>
      <c r="R229" s="21" t="str">
        <f t="shared" si="210"/>
        <v>NX</v>
      </c>
      <c r="S229" s="98" t="s">
        <v>149</v>
      </c>
      <c r="T229" s="96"/>
      <c r="U229" s="21" t="s">
        <v>435</v>
      </c>
      <c r="V229" s="10"/>
      <c r="W229" s="25">
        <v>3</v>
      </c>
      <c r="X229" s="1" t="s">
        <v>150</v>
      </c>
      <c r="Y229" s="1">
        <v>1</v>
      </c>
      <c r="Z229" s="1">
        <v>400</v>
      </c>
      <c r="AA229" s="8" t="s">
        <v>129</v>
      </c>
      <c r="AB229" s="8" t="s">
        <v>257</v>
      </c>
      <c r="AC229" s="12"/>
      <c r="AD229" s="60"/>
      <c r="AE229" s="174"/>
      <c r="AF229" s="91" t="str">
        <f t="shared" si="179"/>
        <v xml:space="preserve">                                                                                                                                                                                                                                                                                                                                                                                                                </v>
      </c>
      <c r="AG229" s="218" t="str">
        <f t="shared" si="203"/>
        <v>-</v>
      </c>
      <c r="AH229" s="174"/>
      <c r="AI229" s="92" t="str">
        <f t="shared" si="205"/>
        <v>OK</v>
      </c>
      <c r="AJ229" s="60"/>
      <c r="AK229" s="174"/>
      <c r="AL229" s="91" t="str">
        <f t="shared" si="180"/>
        <v xml:space="preserve">                                                                                                                                                                                                                                                                                                                                                                                                                </v>
      </c>
      <c r="AM229" s="218" t="str">
        <f t="shared" si="193"/>
        <v>-</v>
      </c>
      <c r="AN229" s="174"/>
      <c r="AO229" s="92" t="str">
        <f t="shared" si="206"/>
        <v>OK</v>
      </c>
      <c r="AP229" s="60"/>
      <c r="AQ229" s="170"/>
      <c r="AR229" s="91" t="str">
        <f t="shared" si="181"/>
        <v xml:space="preserve">                                                                                                                                                                                                                                                                                                                                                                                                                </v>
      </c>
      <c r="AS229" s="218" t="s">
        <v>593</v>
      </c>
      <c r="AT229" s="91"/>
      <c r="AU229" s="218" t="str">
        <f t="shared" si="178"/>
        <v>-</v>
      </c>
      <c r="AV229" s="60"/>
      <c r="AW229" s="174"/>
      <c r="AX229" s="91" t="str">
        <f t="shared" si="182"/>
        <v xml:space="preserve">                                                                                                                                                                                                                                                                                                                                                                                                                </v>
      </c>
      <c r="AY229" s="218" t="str">
        <f t="shared" si="194"/>
        <v>-</v>
      </c>
      <c r="AZ229" s="174"/>
      <c r="BA229" s="478" t="s">
        <v>594</v>
      </c>
      <c r="BB229" s="60"/>
      <c r="BC229" s="174"/>
      <c r="BD229" s="91" t="str">
        <f t="shared" si="183"/>
        <v xml:space="preserve">                                                                                                                                                                                                                                                                                                                                                                                                                </v>
      </c>
      <c r="BE229" s="218" t="str">
        <f t="shared" si="195"/>
        <v>-</v>
      </c>
      <c r="BF229" s="174"/>
      <c r="BG229" s="478" t="s">
        <v>594</v>
      </c>
      <c r="BH229" s="60"/>
      <c r="BI229" s="170" t="s">
        <v>703</v>
      </c>
      <c r="BJ229" s="91" t="str">
        <f t="shared" si="184"/>
        <v xml:space="preserve">                                                                                                                                                                                                                                                                                                                                                                                                                </v>
      </c>
      <c r="BK229" s="218" t="s">
        <v>593</v>
      </c>
      <c r="BL229" s="174"/>
      <c r="BM229" s="478" t="s">
        <v>594</v>
      </c>
      <c r="BN229" s="60"/>
      <c r="BO229" s="174"/>
      <c r="BP229" s="91" t="str">
        <f t="shared" si="185"/>
        <v xml:space="preserve">                                                                                                                                                                                                                                                                                                                                                                                                                </v>
      </c>
      <c r="BQ229" s="218" t="str">
        <f t="shared" si="196"/>
        <v>-</v>
      </c>
      <c r="BR229" s="174"/>
      <c r="BS229" s="478" t="s">
        <v>594</v>
      </c>
      <c r="BT229" s="60"/>
      <c r="BU229" s="170"/>
      <c r="BV229" s="91" t="str">
        <f t="shared" si="186"/>
        <v xml:space="preserve">                                                                                                                                                                                                                                                                                                                                                                                                                </v>
      </c>
      <c r="BW229" s="218" t="s">
        <v>593</v>
      </c>
      <c r="BX229" s="91"/>
      <c r="BY229" s="218" t="str">
        <f t="shared" si="197"/>
        <v>-</v>
      </c>
      <c r="BZ229" s="60"/>
      <c r="CA229" s="174"/>
      <c r="CB229" s="91" t="str">
        <f t="shared" si="187"/>
        <v xml:space="preserve">                                                                                                                                                                                                                                                                                                                                                                                                                </v>
      </c>
      <c r="CC229" s="218" t="str">
        <f t="shared" si="198"/>
        <v>-</v>
      </c>
      <c r="CD229" s="174"/>
      <c r="CE229" s="92" t="str">
        <f t="shared" si="207"/>
        <v>OK</v>
      </c>
      <c r="CF229" s="60"/>
      <c r="CG229" s="174"/>
      <c r="CH229" s="91" t="str">
        <f t="shared" si="188"/>
        <v xml:space="preserve">                                                                                                                                                                                                                                                                                                                                                                                                                </v>
      </c>
      <c r="CI229" s="218" t="str">
        <f t="shared" si="199"/>
        <v>-</v>
      </c>
      <c r="CJ229" s="174"/>
      <c r="CK229" s="92" t="str">
        <f t="shared" si="208"/>
        <v>OK</v>
      </c>
      <c r="CL229" s="60"/>
      <c r="CM229" s="174"/>
      <c r="CN229" s="91" t="str">
        <f t="shared" si="189"/>
        <v xml:space="preserve">                                                                                                                                                                                                                                                                                                                                                                                                                </v>
      </c>
      <c r="CO229" s="218" t="s">
        <v>593</v>
      </c>
      <c r="CP229" s="91"/>
      <c r="CQ229" s="218" t="str">
        <f t="shared" si="200"/>
        <v>-</v>
      </c>
      <c r="CR229" s="60"/>
      <c r="CS229" s="174"/>
      <c r="CT229" s="91" t="str">
        <f t="shared" si="190"/>
        <v xml:space="preserve">                                                                                                                                                                                                                                                                                                                                                                                                                </v>
      </c>
      <c r="CU229" s="218" t="str">
        <f t="shared" si="201"/>
        <v>-</v>
      </c>
      <c r="CV229" s="174"/>
      <c r="CW229" s="92" t="s">
        <v>593</v>
      </c>
      <c r="CX229" s="60"/>
      <c r="CY229" s="174"/>
      <c r="CZ229" s="91" t="str">
        <f t="shared" si="191"/>
        <v xml:space="preserve">                                                                                                                                                                                                                                                                                                                                                                                                                </v>
      </c>
      <c r="DA229" s="218" t="str">
        <f t="shared" si="202"/>
        <v>-</v>
      </c>
      <c r="DB229" s="174"/>
      <c r="DC229" s="92" t="s">
        <v>593</v>
      </c>
    </row>
    <row r="230" spans="2:107" s="26" customFormat="1">
      <c r="B230" s="65">
        <f t="shared" si="192"/>
        <v>223</v>
      </c>
      <c r="C230" s="7"/>
      <c r="D230" s="7"/>
      <c r="E230" s="7"/>
      <c r="F230" s="22" t="s">
        <v>151</v>
      </c>
      <c r="G230" s="16"/>
      <c r="H230" s="13"/>
      <c r="I230" s="8"/>
      <c r="J230" s="8"/>
      <c r="K230" s="8"/>
      <c r="L230" s="8"/>
      <c r="M230" s="11" t="s">
        <v>152</v>
      </c>
      <c r="N230" s="1"/>
      <c r="O230" s="57"/>
      <c r="P230" s="95">
        <f t="shared" si="209"/>
        <v>200</v>
      </c>
      <c r="Q230" s="115">
        <v>400</v>
      </c>
      <c r="R230" s="21" t="str">
        <f t="shared" si="210"/>
        <v>NX</v>
      </c>
      <c r="S230" s="98" t="s">
        <v>153</v>
      </c>
      <c r="T230" s="96"/>
      <c r="U230" s="21" t="s">
        <v>435</v>
      </c>
      <c r="V230" s="10"/>
      <c r="W230" s="25">
        <v>3</v>
      </c>
      <c r="X230" s="1" t="s">
        <v>154</v>
      </c>
      <c r="Y230" s="1">
        <v>1</v>
      </c>
      <c r="Z230" s="1">
        <v>400</v>
      </c>
      <c r="AA230" s="8" t="s">
        <v>129</v>
      </c>
      <c r="AB230" s="8" t="s">
        <v>257</v>
      </c>
      <c r="AC230" s="12"/>
      <c r="AD230" s="60"/>
      <c r="AE230" s="169"/>
      <c r="AF230" s="91" t="str">
        <f t="shared" si="179"/>
        <v xml:space="preserve">                                                                                                                                                                                                                                                                                                                                                                                                                </v>
      </c>
      <c r="AG230" s="218" t="str">
        <f t="shared" si="203"/>
        <v>-</v>
      </c>
      <c r="AH230" s="169"/>
      <c r="AI230" s="92" t="str">
        <f t="shared" si="205"/>
        <v>OK</v>
      </c>
      <c r="AJ230" s="60"/>
      <c r="AK230" s="169"/>
      <c r="AL230" s="91" t="str">
        <f t="shared" si="180"/>
        <v xml:space="preserve">                                                                                                                                                                                                                                                                                                                                                                                                                </v>
      </c>
      <c r="AM230" s="218" t="str">
        <f t="shared" si="193"/>
        <v>-</v>
      </c>
      <c r="AN230" s="169"/>
      <c r="AO230" s="92" t="str">
        <f t="shared" si="206"/>
        <v>OK</v>
      </c>
      <c r="AP230" s="60"/>
      <c r="AQ230" s="172"/>
      <c r="AR230" s="91" t="str">
        <f t="shared" si="181"/>
        <v xml:space="preserve">                                                                                                                                                                                                                                                                                                                                                                                                                </v>
      </c>
      <c r="AS230" s="218" t="s">
        <v>593</v>
      </c>
      <c r="AT230" s="91"/>
      <c r="AU230" s="218" t="str">
        <f t="shared" si="178"/>
        <v>-</v>
      </c>
      <c r="AV230" s="60"/>
      <c r="AW230" s="169"/>
      <c r="AX230" s="91" t="str">
        <f t="shared" si="182"/>
        <v xml:space="preserve">                                                                                                                                                                                                                                                                                                                                                                                                                </v>
      </c>
      <c r="AY230" s="218" t="str">
        <f t="shared" si="194"/>
        <v>-</v>
      </c>
      <c r="AZ230" s="169"/>
      <c r="BA230" s="478" t="s">
        <v>594</v>
      </c>
      <c r="BB230" s="60"/>
      <c r="BC230" s="169"/>
      <c r="BD230" s="91" t="str">
        <f t="shared" si="183"/>
        <v xml:space="preserve">                                                                                                                                                                                                                                                                                                                                                                                                                </v>
      </c>
      <c r="BE230" s="218" t="str">
        <f t="shared" si="195"/>
        <v>-</v>
      </c>
      <c r="BF230" s="169"/>
      <c r="BG230" s="478" t="s">
        <v>594</v>
      </c>
      <c r="BH230" s="60"/>
      <c r="BI230" s="170" t="s">
        <v>703</v>
      </c>
      <c r="BJ230" s="91" t="str">
        <f t="shared" si="184"/>
        <v xml:space="preserve">                                                                                                                                                                                                                                                                                                                                                                                                                </v>
      </c>
      <c r="BK230" s="218" t="s">
        <v>593</v>
      </c>
      <c r="BL230" s="169"/>
      <c r="BM230" s="478" t="s">
        <v>594</v>
      </c>
      <c r="BN230" s="60"/>
      <c r="BO230" s="169"/>
      <c r="BP230" s="91" t="str">
        <f t="shared" si="185"/>
        <v xml:space="preserve">                                                                                                                                                                                                                                                                                                                                                                                                                </v>
      </c>
      <c r="BQ230" s="218" t="str">
        <f t="shared" si="196"/>
        <v>-</v>
      </c>
      <c r="BR230" s="169"/>
      <c r="BS230" s="478" t="s">
        <v>594</v>
      </c>
      <c r="BT230" s="60"/>
      <c r="BU230" s="172"/>
      <c r="BV230" s="91" t="str">
        <f t="shared" si="186"/>
        <v xml:space="preserve">                                                                                                                                                                                                                                                                                                                                                                                                                </v>
      </c>
      <c r="BW230" s="218" t="s">
        <v>593</v>
      </c>
      <c r="BX230" s="91"/>
      <c r="BY230" s="218" t="str">
        <f t="shared" si="197"/>
        <v>-</v>
      </c>
      <c r="BZ230" s="60"/>
      <c r="CA230" s="169"/>
      <c r="CB230" s="91" t="str">
        <f t="shared" si="187"/>
        <v xml:space="preserve">                                                                                                                                                                                                                                                                                                                                                                                                                </v>
      </c>
      <c r="CC230" s="218" t="str">
        <f t="shared" si="198"/>
        <v>-</v>
      </c>
      <c r="CD230" s="169"/>
      <c r="CE230" s="92" t="str">
        <f t="shared" si="207"/>
        <v>OK</v>
      </c>
      <c r="CF230" s="60"/>
      <c r="CG230" s="169"/>
      <c r="CH230" s="91" t="str">
        <f t="shared" si="188"/>
        <v xml:space="preserve">                                                                                                                                                                                                                                                                                                                                                                                                                </v>
      </c>
      <c r="CI230" s="218" t="str">
        <f t="shared" si="199"/>
        <v>-</v>
      </c>
      <c r="CJ230" s="169"/>
      <c r="CK230" s="92" t="str">
        <f t="shared" si="208"/>
        <v>OK</v>
      </c>
      <c r="CL230" s="60"/>
      <c r="CM230" s="169"/>
      <c r="CN230" s="91" t="str">
        <f t="shared" si="189"/>
        <v xml:space="preserve">                                                                                                                                                                                                                                                                                                                                                                                                                </v>
      </c>
      <c r="CO230" s="218" t="s">
        <v>593</v>
      </c>
      <c r="CP230" s="91"/>
      <c r="CQ230" s="218" t="str">
        <f t="shared" si="200"/>
        <v>-</v>
      </c>
      <c r="CR230" s="60"/>
      <c r="CS230" s="169"/>
      <c r="CT230" s="91" t="str">
        <f t="shared" si="190"/>
        <v xml:space="preserve">                                                                                                                                                                                                                                                                                                                                                                                                                </v>
      </c>
      <c r="CU230" s="218" t="str">
        <f t="shared" si="201"/>
        <v>-</v>
      </c>
      <c r="CV230" s="169"/>
      <c r="CW230" s="92" t="s">
        <v>593</v>
      </c>
      <c r="CX230" s="60"/>
      <c r="CY230" s="169"/>
      <c r="CZ230" s="91" t="str">
        <f t="shared" si="191"/>
        <v xml:space="preserve">                                                                                                                                                                                                                                                                                                                                                                                                                </v>
      </c>
      <c r="DA230" s="218" t="str">
        <f t="shared" si="202"/>
        <v>-</v>
      </c>
      <c r="DB230" s="169"/>
      <c r="DC230" s="92" t="s">
        <v>593</v>
      </c>
    </row>
    <row r="231" spans="2:107" s="26" customFormat="1" ht="76.5">
      <c r="B231" s="65">
        <f t="shared" si="192"/>
        <v>224</v>
      </c>
      <c r="C231" s="7"/>
      <c r="D231" s="7"/>
      <c r="E231" s="7"/>
      <c r="F231" s="22" t="s">
        <v>155</v>
      </c>
      <c r="G231" s="16"/>
      <c r="H231" s="13"/>
      <c r="I231" s="8"/>
      <c r="J231" s="8"/>
      <c r="K231" s="8"/>
      <c r="L231" s="8"/>
      <c r="M231" s="11" t="s">
        <v>449</v>
      </c>
      <c r="N231" s="1"/>
      <c r="O231" s="57"/>
      <c r="P231" s="95">
        <f t="shared" si="209"/>
        <v>201</v>
      </c>
      <c r="Q231" s="115">
        <v>400</v>
      </c>
      <c r="R231" s="21" t="str">
        <f t="shared" si="210"/>
        <v>NX</v>
      </c>
      <c r="S231" s="98" t="s">
        <v>156</v>
      </c>
      <c r="T231" s="96"/>
      <c r="U231" s="21" t="s">
        <v>435</v>
      </c>
      <c r="V231" s="10"/>
      <c r="W231" s="25">
        <v>3</v>
      </c>
      <c r="X231" s="1" t="s">
        <v>157</v>
      </c>
      <c r="Y231" s="1">
        <v>1</v>
      </c>
      <c r="Z231" s="1">
        <v>400</v>
      </c>
      <c r="AA231" s="8" t="s">
        <v>129</v>
      </c>
      <c r="AB231" s="8" t="s">
        <v>257</v>
      </c>
      <c r="AC231" s="12"/>
      <c r="AD231" s="60"/>
      <c r="AE231" s="169"/>
      <c r="AF231" s="91" t="str">
        <f t="shared" si="179"/>
        <v xml:space="preserve">                                                                                                                                                                                                                                                                                                                                                                                                                </v>
      </c>
      <c r="AG231" s="218" t="str">
        <f t="shared" si="203"/>
        <v>-</v>
      </c>
      <c r="AH231" s="169"/>
      <c r="AI231" s="92" t="str">
        <f t="shared" si="205"/>
        <v>OK</v>
      </c>
      <c r="AJ231" s="60"/>
      <c r="AK231" s="169"/>
      <c r="AL231" s="91" t="str">
        <f t="shared" si="180"/>
        <v xml:space="preserve">                                                                                                                                                                                                                                                                                                                                                                                                                </v>
      </c>
      <c r="AM231" s="218" t="str">
        <f t="shared" si="193"/>
        <v>-</v>
      </c>
      <c r="AN231" s="169"/>
      <c r="AO231" s="92" t="str">
        <f t="shared" si="206"/>
        <v>OK</v>
      </c>
      <c r="AP231" s="60"/>
      <c r="AQ231" s="172"/>
      <c r="AR231" s="91" t="str">
        <f t="shared" si="181"/>
        <v xml:space="preserve">                                                                                                                                                                                                                                                                                                                                                                                                                </v>
      </c>
      <c r="AS231" s="218" t="s">
        <v>593</v>
      </c>
      <c r="AT231" s="91"/>
      <c r="AU231" s="218" t="str">
        <f t="shared" si="178"/>
        <v>-</v>
      </c>
      <c r="AV231" s="60"/>
      <c r="AW231" s="169"/>
      <c r="AX231" s="91" t="str">
        <f t="shared" si="182"/>
        <v xml:space="preserve">                                                                                                                                                                                                                                                                                                                                                                                                                </v>
      </c>
      <c r="AY231" s="218" t="str">
        <f t="shared" si="194"/>
        <v>-</v>
      </c>
      <c r="AZ231" s="169"/>
      <c r="BA231" s="478" t="s">
        <v>594</v>
      </c>
      <c r="BB231" s="60"/>
      <c r="BC231" s="169"/>
      <c r="BD231" s="91" t="str">
        <f t="shared" si="183"/>
        <v xml:space="preserve">                                                                                                                                                                                                                                                                                                                                                                                                                </v>
      </c>
      <c r="BE231" s="218" t="str">
        <f t="shared" si="195"/>
        <v>-</v>
      </c>
      <c r="BF231" s="169"/>
      <c r="BG231" s="478" t="s">
        <v>594</v>
      </c>
      <c r="BH231" s="60"/>
      <c r="BI231" s="170" t="s">
        <v>703</v>
      </c>
      <c r="BJ231" s="91" t="str">
        <f t="shared" si="184"/>
        <v xml:space="preserve">                                                                                                                                                                                                                                                                                                                                                                                                                </v>
      </c>
      <c r="BK231" s="218" t="s">
        <v>593</v>
      </c>
      <c r="BL231" s="169"/>
      <c r="BM231" s="478" t="s">
        <v>594</v>
      </c>
      <c r="BN231" s="60"/>
      <c r="BO231" s="169"/>
      <c r="BP231" s="91" t="str">
        <f t="shared" si="185"/>
        <v xml:space="preserve">                                                                                                                                                                                                                                                                                                                                                                                                                </v>
      </c>
      <c r="BQ231" s="218" t="str">
        <f t="shared" si="196"/>
        <v>-</v>
      </c>
      <c r="BR231" s="169"/>
      <c r="BS231" s="478" t="s">
        <v>594</v>
      </c>
      <c r="BT231" s="60"/>
      <c r="BU231" s="172"/>
      <c r="BV231" s="91" t="str">
        <f t="shared" si="186"/>
        <v xml:space="preserve">                                                                                                                                                                                                                                                                                                                                                                                                                </v>
      </c>
      <c r="BW231" s="218" t="s">
        <v>593</v>
      </c>
      <c r="BX231" s="91"/>
      <c r="BY231" s="218" t="str">
        <f t="shared" si="197"/>
        <v>-</v>
      </c>
      <c r="BZ231" s="60"/>
      <c r="CA231" s="169"/>
      <c r="CB231" s="91" t="str">
        <f t="shared" si="187"/>
        <v xml:space="preserve">                                                                                                                                                                                                                                                                                                                                                                                                                </v>
      </c>
      <c r="CC231" s="218" t="str">
        <f t="shared" si="198"/>
        <v>-</v>
      </c>
      <c r="CD231" s="169"/>
      <c r="CE231" s="92" t="str">
        <f t="shared" si="207"/>
        <v>OK</v>
      </c>
      <c r="CF231" s="60"/>
      <c r="CG231" s="169"/>
      <c r="CH231" s="91" t="str">
        <f t="shared" si="188"/>
        <v xml:space="preserve">                                                                                                                                                                                                                                                                                                                                                                                                                </v>
      </c>
      <c r="CI231" s="218" t="str">
        <f t="shared" si="199"/>
        <v>-</v>
      </c>
      <c r="CJ231" s="169"/>
      <c r="CK231" s="92" t="str">
        <f t="shared" si="208"/>
        <v>OK</v>
      </c>
      <c r="CL231" s="60"/>
      <c r="CM231" s="169"/>
      <c r="CN231" s="91" t="str">
        <f t="shared" si="189"/>
        <v xml:space="preserve">                                                                                                                                                                                                                                                                                                                                                                                                                </v>
      </c>
      <c r="CO231" s="218" t="s">
        <v>593</v>
      </c>
      <c r="CP231" s="91"/>
      <c r="CQ231" s="218" t="str">
        <f t="shared" si="200"/>
        <v>-</v>
      </c>
      <c r="CR231" s="60"/>
      <c r="CS231" s="169"/>
      <c r="CT231" s="91" t="str">
        <f t="shared" si="190"/>
        <v xml:space="preserve">                                                                                                                                                                                                                                                                                                                                                                                                                </v>
      </c>
      <c r="CU231" s="218" t="str">
        <f t="shared" si="201"/>
        <v>-</v>
      </c>
      <c r="CV231" s="169"/>
      <c r="CW231" s="92" t="s">
        <v>593</v>
      </c>
      <c r="CX231" s="60"/>
      <c r="CY231" s="169"/>
      <c r="CZ231" s="91" t="str">
        <f t="shared" si="191"/>
        <v xml:space="preserve">                                                                                                                                                                                                                                                                                                                                                                                                                </v>
      </c>
      <c r="DA231" s="218" t="str">
        <f t="shared" si="202"/>
        <v>-</v>
      </c>
      <c r="DB231" s="169"/>
      <c r="DC231" s="92" t="s">
        <v>593</v>
      </c>
    </row>
    <row r="232" spans="2:107" s="26" customFormat="1">
      <c r="B232" s="65">
        <f t="shared" si="192"/>
        <v>225</v>
      </c>
      <c r="C232" s="7"/>
      <c r="D232" s="7"/>
      <c r="E232" s="7"/>
      <c r="F232" s="22" t="s">
        <v>158</v>
      </c>
      <c r="G232" s="16"/>
      <c r="H232" s="13"/>
      <c r="I232" s="8"/>
      <c r="J232" s="8"/>
      <c r="K232" s="8"/>
      <c r="L232" s="8"/>
      <c r="M232" s="11" t="s">
        <v>152</v>
      </c>
      <c r="N232" s="1"/>
      <c r="O232" s="57"/>
      <c r="P232" s="95">
        <f t="shared" si="209"/>
        <v>202</v>
      </c>
      <c r="Q232" s="115">
        <v>400</v>
      </c>
      <c r="R232" s="21" t="str">
        <f t="shared" si="210"/>
        <v>NX</v>
      </c>
      <c r="S232" s="98" t="s">
        <v>159</v>
      </c>
      <c r="T232" s="96"/>
      <c r="U232" s="21" t="s">
        <v>435</v>
      </c>
      <c r="V232" s="10"/>
      <c r="W232" s="25">
        <v>3</v>
      </c>
      <c r="X232" s="1" t="s">
        <v>160</v>
      </c>
      <c r="Y232" s="1">
        <v>1</v>
      </c>
      <c r="Z232" s="1">
        <v>400</v>
      </c>
      <c r="AA232" s="8" t="s">
        <v>129</v>
      </c>
      <c r="AB232" s="8" t="s">
        <v>257</v>
      </c>
      <c r="AC232" s="12"/>
      <c r="AD232" s="60"/>
      <c r="AE232" s="169"/>
      <c r="AF232" s="91" t="str">
        <f t="shared" si="179"/>
        <v xml:space="preserve">                                                                                                                                                                                                                                                                                                                                                                                                                </v>
      </c>
      <c r="AG232" s="218" t="str">
        <f t="shared" si="203"/>
        <v>-</v>
      </c>
      <c r="AH232" s="169"/>
      <c r="AI232" s="92" t="str">
        <f t="shared" si="205"/>
        <v>OK</v>
      </c>
      <c r="AJ232" s="60"/>
      <c r="AK232" s="169"/>
      <c r="AL232" s="91" t="str">
        <f t="shared" si="180"/>
        <v xml:space="preserve">                                                                                                                                                                                                                                                                                                                                                                                                                </v>
      </c>
      <c r="AM232" s="218" t="str">
        <f t="shared" si="193"/>
        <v>-</v>
      </c>
      <c r="AN232" s="169"/>
      <c r="AO232" s="92" t="str">
        <f t="shared" si="206"/>
        <v>OK</v>
      </c>
      <c r="AP232" s="60"/>
      <c r="AQ232" s="172"/>
      <c r="AR232" s="91" t="str">
        <f t="shared" si="181"/>
        <v xml:space="preserve">                                                                                                                                                                                                                                                                                                                                                                                                                </v>
      </c>
      <c r="AS232" s="218" t="s">
        <v>593</v>
      </c>
      <c r="AT232" s="91"/>
      <c r="AU232" s="218" t="str">
        <f t="shared" si="178"/>
        <v>-</v>
      </c>
      <c r="AV232" s="60"/>
      <c r="AW232" s="169"/>
      <c r="AX232" s="91" t="str">
        <f t="shared" si="182"/>
        <v xml:space="preserve">                                                                                                                                                                                                                                                                                                                                                                                                                </v>
      </c>
      <c r="AY232" s="218" t="str">
        <f t="shared" si="194"/>
        <v>-</v>
      </c>
      <c r="AZ232" s="169"/>
      <c r="BA232" s="478" t="s">
        <v>594</v>
      </c>
      <c r="BB232" s="60"/>
      <c r="BC232" s="169"/>
      <c r="BD232" s="91" t="str">
        <f t="shared" si="183"/>
        <v xml:space="preserve">                                                                                                                                                                                                                                                                                                                                                                                                                </v>
      </c>
      <c r="BE232" s="218" t="str">
        <f t="shared" si="195"/>
        <v>-</v>
      </c>
      <c r="BF232" s="169"/>
      <c r="BG232" s="478" t="s">
        <v>594</v>
      </c>
      <c r="BH232" s="60"/>
      <c r="BI232" s="170" t="s">
        <v>703</v>
      </c>
      <c r="BJ232" s="91" t="str">
        <f t="shared" si="184"/>
        <v xml:space="preserve">                                                                                                                                                                                                                                                                                                                                                                                                                </v>
      </c>
      <c r="BK232" s="218" t="s">
        <v>593</v>
      </c>
      <c r="BL232" s="169"/>
      <c r="BM232" s="478" t="s">
        <v>594</v>
      </c>
      <c r="BN232" s="60"/>
      <c r="BO232" s="169"/>
      <c r="BP232" s="91" t="str">
        <f t="shared" si="185"/>
        <v xml:space="preserve">                                                                                                                                                                                                                                                                                                                                                                                                                </v>
      </c>
      <c r="BQ232" s="218" t="str">
        <f t="shared" si="196"/>
        <v>-</v>
      </c>
      <c r="BR232" s="169"/>
      <c r="BS232" s="478" t="s">
        <v>594</v>
      </c>
      <c r="BT232" s="60"/>
      <c r="BU232" s="172"/>
      <c r="BV232" s="91" t="str">
        <f t="shared" si="186"/>
        <v xml:space="preserve">                                                                                                                                                                                                                                                                                                                                                                                                                </v>
      </c>
      <c r="BW232" s="218" t="s">
        <v>593</v>
      </c>
      <c r="BX232" s="91"/>
      <c r="BY232" s="218" t="str">
        <f t="shared" si="197"/>
        <v>-</v>
      </c>
      <c r="BZ232" s="60"/>
      <c r="CA232" s="169"/>
      <c r="CB232" s="91" t="str">
        <f t="shared" si="187"/>
        <v xml:space="preserve">                                                                                                                                                                                                                                                                                                                                                                                                                </v>
      </c>
      <c r="CC232" s="218" t="str">
        <f t="shared" si="198"/>
        <v>-</v>
      </c>
      <c r="CD232" s="169"/>
      <c r="CE232" s="92" t="str">
        <f t="shared" si="207"/>
        <v>OK</v>
      </c>
      <c r="CF232" s="60"/>
      <c r="CG232" s="169"/>
      <c r="CH232" s="91" t="str">
        <f t="shared" si="188"/>
        <v xml:space="preserve">                                                                                                                                                                                                                                                                                                                                                                                                                </v>
      </c>
      <c r="CI232" s="218" t="str">
        <f t="shared" si="199"/>
        <v>-</v>
      </c>
      <c r="CJ232" s="169"/>
      <c r="CK232" s="92" t="str">
        <f t="shared" si="208"/>
        <v>OK</v>
      </c>
      <c r="CL232" s="60"/>
      <c r="CM232" s="169"/>
      <c r="CN232" s="91" t="str">
        <f t="shared" si="189"/>
        <v xml:space="preserve">                                                                                                                                                                                                                                                                                                                                                                                                                </v>
      </c>
      <c r="CO232" s="218" t="s">
        <v>593</v>
      </c>
      <c r="CP232" s="91"/>
      <c r="CQ232" s="218" t="str">
        <f t="shared" si="200"/>
        <v>-</v>
      </c>
      <c r="CR232" s="60"/>
      <c r="CS232" s="169"/>
      <c r="CT232" s="91" t="str">
        <f t="shared" si="190"/>
        <v xml:space="preserve">                                                                                                                                                                                                                                                                                                                                                                                                                </v>
      </c>
      <c r="CU232" s="218" t="str">
        <f t="shared" si="201"/>
        <v>-</v>
      </c>
      <c r="CV232" s="169"/>
      <c r="CW232" s="92" t="s">
        <v>593</v>
      </c>
      <c r="CX232" s="60"/>
      <c r="CY232" s="169"/>
      <c r="CZ232" s="91" t="str">
        <f t="shared" si="191"/>
        <v xml:space="preserve">                                                                                                                                                                                                                                                                                                                                                                                                                </v>
      </c>
      <c r="DA232" s="218" t="str">
        <f t="shared" si="202"/>
        <v>-</v>
      </c>
      <c r="DB232" s="169"/>
      <c r="DC232" s="92" t="s">
        <v>593</v>
      </c>
    </row>
    <row r="233" spans="2:107" s="26" customFormat="1">
      <c r="B233" s="65">
        <f t="shared" si="192"/>
        <v>226</v>
      </c>
      <c r="C233" s="7"/>
      <c r="D233" s="7"/>
      <c r="E233" s="7"/>
      <c r="F233" s="22" t="s">
        <v>161</v>
      </c>
      <c r="G233" s="16"/>
      <c r="H233" s="13"/>
      <c r="I233" s="8"/>
      <c r="J233" s="8"/>
      <c r="K233" s="8"/>
      <c r="L233" s="8"/>
      <c r="M233" s="11" t="s">
        <v>152</v>
      </c>
      <c r="N233" s="1"/>
      <c r="O233" s="57"/>
      <c r="P233" s="95">
        <f t="shared" si="209"/>
        <v>203</v>
      </c>
      <c r="Q233" s="115">
        <v>400</v>
      </c>
      <c r="R233" s="21" t="str">
        <f t="shared" si="210"/>
        <v>NX</v>
      </c>
      <c r="S233" s="98" t="s">
        <v>162</v>
      </c>
      <c r="T233" s="96"/>
      <c r="U233" s="21" t="s">
        <v>435</v>
      </c>
      <c r="V233" s="10"/>
      <c r="W233" s="25">
        <v>3</v>
      </c>
      <c r="X233" s="1" t="s">
        <v>163</v>
      </c>
      <c r="Y233" s="1">
        <v>1</v>
      </c>
      <c r="Z233" s="1">
        <v>400</v>
      </c>
      <c r="AA233" s="8" t="s">
        <v>129</v>
      </c>
      <c r="AB233" s="8" t="s">
        <v>257</v>
      </c>
      <c r="AC233" s="12"/>
      <c r="AD233" s="60"/>
      <c r="AE233" s="169"/>
      <c r="AF233" s="91" t="str">
        <f t="shared" si="179"/>
        <v xml:space="preserve">                                                                                                                                                                                                                                                                                                                                                                                                                </v>
      </c>
      <c r="AG233" s="218" t="str">
        <f t="shared" si="203"/>
        <v>-</v>
      </c>
      <c r="AH233" s="169"/>
      <c r="AI233" s="92" t="str">
        <f t="shared" si="205"/>
        <v>OK</v>
      </c>
      <c r="AJ233" s="60"/>
      <c r="AK233" s="169"/>
      <c r="AL233" s="91" t="str">
        <f t="shared" si="180"/>
        <v xml:space="preserve">                                                                                                                                                                                                                                                                                                                                                                                                                </v>
      </c>
      <c r="AM233" s="218" t="str">
        <f t="shared" si="193"/>
        <v>-</v>
      </c>
      <c r="AN233" s="169"/>
      <c r="AO233" s="92" t="str">
        <f t="shared" si="206"/>
        <v>OK</v>
      </c>
      <c r="AP233" s="60"/>
      <c r="AQ233" s="172"/>
      <c r="AR233" s="91" t="str">
        <f t="shared" si="181"/>
        <v xml:space="preserve">                                                                                                                                                                                                                                                                                                                                                                                                                </v>
      </c>
      <c r="AS233" s="218" t="s">
        <v>593</v>
      </c>
      <c r="AT233" s="91"/>
      <c r="AU233" s="218" t="str">
        <f t="shared" si="178"/>
        <v>-</v>
      </c>
      <c r="AV233" s="60"/>
      <c r="AW233" s="169"/>
      <c r="AX233" s="91" t="str">
        <f t="shared" si="182"/>
        <v xml:space="preserve">                                                                                                                                                                                                                                                                                                                                                                                                                </v>
      </c>
      <c r="AY233" s="218" t="str">
        <f t="shared" si="194"/>
        <v>-</v>
      </c>
      <c r="AZ233" s="169"/>
      <c r="BA233" s="478" t="s">
        <v>594</v>
      </c>
      <c r="BB233" s="60"/>
      <c r="BC233" s="169"/>
      <c r="BD233" s="91" t="str">
        <f t="shared" si="183"/>
        <v xml:space="preserve">                                                                                                                                                                                                                                                                                                                                                                                                                </v>
      </c>
      <c r="BE233" s="218" t="str">
        <f t="shared" si="195"/>
        <v>-</v>
      </c>
      <c r="BF233" s="169"/>
      <c r="BG233" s="478" t="s">
        <v>594</v>
      </c>
      <c r="BH233" s="60"/>
      <c r="BI233" s="170" t="s">
        <v>703</v>
      </c>
      <c r="BJ233" s="91" t="str">
        <f t="shared" si="184"/>
        <v xml:space="preserve">                                                                                                                                                                                                                                                                                                                                                                                                                </v>
      </c>
      <c r="BK233" s="218" t="s">
        <v>593</v>
      </c>
      <c r="BL233" s="169"/>
      <c r="BM233" s="478" t="s">
        <v>594</v>
      </c>
      <c r="BN233" s="60"/>
      <c r="BO233" s="169"/>
      <c r="BP233" s="91" t="str">
        <f t="shared" si="185"/>
        <v xml:space="preserve">                                                                                                                                                                                                                                                                                                                                                                                                                </v>
      </c>
      <c r="BQ233" s="218" t="str">
        <f t="shared" si="196"/>
        <v>-</v>
      </c>
      <c r="BR233" s="169"/>
      <c r="BS233" s="478" t="s">
        <v>594</v>
      </c>
      <c r="BT233" s="60"/>
      <c r="BU233" s="172"/>
      <c r="BV233" s="91" t="str">
        <f t="shared" si="186"/>
        <v xml:space="preserve">                                                                                                                                                                                                                                                                                                                                                                                                                </v>
      </c>
      <c r="BW233" s="218" t="s">
        <v>593</v>
      </c>
      <c r="BX233" s="91"/>
      <c r="BY233" s="218" t="str">
        <f t="shared" si="197"/>
        <v>-</v>
      </c>
      <c r="BZ233" s="60"/>
      <c r="CA233" s="169"/>
      <c r="CB233" s="91" t="str">
        <f t="shared" si="187"/>
        <v xml:space="preserve">                                                                                                                                                                                                                                                                                                                                                                                                                </v>
      </c>
      <c r="CC233" s="218" t="str">
        <f t="shared" si="198"/>
        <v>-</v>
      </c>
      <c r="CD233" s="169"/>
      <c r="CE233" s="92" t="str">
        <f t="shared" si="207"/>
        <v>OK</v>
      </c>
      <c r="CF233" s="60"/>
      <c r="CG233" s="169"/>
      <c r="CH233" s="91" t="str">
        <f t="shared" si="188"/>
        <v xml:space="preserve">                                                                                                                                                                                                                                                                                                                                                                                                                </v>
      </c>
      <c r="CI233" s="218" t="str">
        <f t="shared" si="199"/>
        <v>-</v>
      </c>
      <c r="CJ233" s="169"/>
      <c r="CK233" s="92" t="str">
        <f t="shared" si="208"/>
        <v>OK</v>
      </c>
      <c r="CL233" s="60"/>
      <c r="CM233" s="169"/>
      <c r="CN233" s="91" t="str">
        <f t="shared" si="189"/>
        <v xml:space="preserve">                                                                                                                                                                                                                                                                                                                                                                                                                </v>
      </c>
      <c r="CO233" s="218" t="s">
        <v>593</v>
      </c>
      <c r="CP233" s="91"/>
      <c r="CQ233" s="218" t="str">
        <f t="shared" si="200"/>
        <v>-</v>
      </c>
      <c r="CR233" s="60"/>
      <c r="CS233" s="169"/>
      <c r="CT233" s="91" t="str">
        <f t="shared" si="190"/>
        <v xml:space="preserve">                                                                                                                                                                                                                                                                                                                                                                                                                </v>
      </c>
      <c r="CU233" s="218" t="str">
        <f t="shared" si="201"/>
        <v>-</v>
      </c>
      <c r="CV233" s="169"/>
      <c r="CW233" s="92" t="s">
        <v>593</v>
      </c>
      <c r="CX233" s="60"/>
      <c r="CY233" s="169"/>
      <c r="CZ233" s="91" t="str">
        <f t="shared" si="191"/>
        <v xml:space="preserve">                                                                                                                                                                                                                                                                                                                                                                                                                </v>
      </c>
      <c r="DA233" s="218" t="str">
        <f t="shared" si="202"/>
        <v>-</v>
      </c>
      <c r="DB233" s="169"/>
      <c r="DC233" s="92" t="s">
        <v>593</v>
      </c>
    </row>
    <row r="234" spans="2:107" s="26" customFormat="1" ht="89.25">
      <c r="B234" s="65">
        <f t="shared" si="192"/>
        <v>227</v>
      </c>
      <c r="C234" s="7"/>
      <c r="D234" s="7"/>
      <c r="E234" s="7"/>
      <c r="F234" s="22" t="s">
        <v>164</v>
      </c>
      <c r="G234" s="16"/>
      <c r="H234" s="13"/>
      <c r="I234" s="8"/>
      <c r="J234" s="8"/>
      <c r="K234" s="8"/>
      <c r="L234" s="8"/>
      <c r="M234" s="11" t="s">
        <v>450</v>
      </c>
      <c r="N234" s="1"/>
      <c r="O234" s="57"/>
      <c r="P234" s="95">
        <f t="shared" si="209"/>
        <v>204</v>
      </c>
      <c r="Q234" s="115">
        <v>1</v>
      </c>
      <c r="R234" s="21" t="str">
        <f t="shared" si="210"/>
        <v>X</v>
      </c>
      <c r="S234" s="98" t="s">
        <v>165</v>
      </c>
      <c r="T234" s="96"/>
      <c r="U234" s="21" t="s">
        <v>435</v>
      </c>
      <c r="V234" s="10"/>
      <c r="W234" s="25">
        <v>3</v>
      </c>
      <c r="X234" s="1" t="s">
        <v>303</v>
      </c>
      <c r="Y234" s="1">
        <v>1</v>
      </c>
      <c r="Z234" s="1">
        <v>1</v>
      </c>
      <c r="AA234" s="8" t="s">
        <v>114</v>
      </c>
      <c r="AB234" s="8" t="s">
        <v>21</v>
      </c>
      <c r="AC234" s="104"/>
      <c r="AD234" s="60"/>
      <c r="AE234" s="174"/>
      <c r="AF234" s="61" t="str">
        <f t="shared" si="179"/>
        <v xml:space="preserve"> </v>
      </c>
      <c r="AG234" s="218" t="str">
        <f t="shared" si="203"/>
        <v>-</v>
      </c>
      <c r="AH234" s="174"/>
      <c r="AI234" s="92" t="str">
        <f t="shared" si="205"/>
        <v>OK</v>
      </c>
      <c r="AJ234" s="60"/>
      <c r="AK234" s="174"/>
      <c r="AL234" s="61" t="str">
        <f t="shared" si="180"/>
        <v xml:space="preserve"> </v>
      </c>
      <c r="AM234" s="218" t="str">
        <f t="shared" si="193"/>
        <v>-</v>
      </c>
      <c r="AN234" s="174"/>
      <c r="AO234" s="92" t="str">
        <f t="shared" si="206"/>
        <v>OK</v>
      </c>
      <c r="AP234" s="60"/>
      <c r="AQ234" s="170"/>
      <c r="AR234" s="61" t="str">
        <f t="shared" si="181"/>
        <v xml:space="preserve"> </v>
      </c>
      <c r="AS234" s="218" t="s">
        <v>593</v>
      </c>
      <c r="AT234" s="61"/>
      <c r="AU234" s="218" t="str">
        <f t="shared" si="178"/>
        <v>-</v>
      </c>
      <c r="AV234" s="60"/>
      <c r="AW234" s="174"/>
      <c r="AX234" s="61" t="str">
        <f t="shared" si="182"/>
        <v xml:space="preserve"> </v>
      </c>
      <c r="AY234" s="218" t="str">
        <f t="shared" si="194"/>
        <v>-</v>
      </c>
      <c r="AZ234" s="174"/>
      <c r="BA234" s="478" t="s">
        <v>594</v>
      </c>
      <c r="BB234" s="60"/>
      <c r="BC234" s="174"/>
      <c r="BD234" s="61" t="str">
        <f t="shared" si="183"/>
        <v xml:space="preserve"> </v>
      </c>
      <c r="BE234" s="218" t="str">
        <f t="shared" si="195"/>
        <v>-</v>
      </c>
      <c r="BF234" s="174"/>
      <c r="BG234" s="478" t="s">
        <v>594</v>
      </c>
      <c r="BH234" s="60"/>
      <c r="BI234" s="170" t="s">
        <v>38</v>
      </c>
      <c r="BJ234" s="61" t="str">
        <f t="shared" si="184"/>
        <v xml:space="preserve"> </v>
      </c>
      <c r="BK234" s="218" t="s">
        <v>593</v>
      </c>
      <c r="BL234" s="174"/>
      <c r="BM234" s="478" t="s">
        <v>594</v>
      </c>
      <c r="BN234" s="60"/>
      <c r="BO234" s="174"/>
      <c r="BP234" s="61" t="str">
        <f t="shared" si="185"/>
        <v xml:space="preserve"> </v>
      </c>
      <c r="BQ234" s="218" t="str">
        <f t="shared" si="196"/>
        <v>-</v>
      </c>
      <c r="BR234" s="174"/>
      <c r="BS234" s="478" t="s">
        <v>594</v>
      </c>
      <c r="BT234" s="60"/>
      <c r="BU234" s="170"/>
      <c r="BV234" s="61" t="str">
        <f t="shared" si="186"/>
        <v xml:space="preserve"> </v>
      </c>
      <c r="BW234" s="218" t="s">
        <v>593</v>
      </c>
      <c r="BX234" s="61"/>
      <c r="BY234" s="218" t="str">
        <f t="shared" si="197"/>
        <v>-</v>
      </c>
      <c r="BZ234" s="60"/>
      <c r="CA234" s="174"/>
      <c r="CB234" s="61" t="str">
        <f t="shared" si="187"/>
        <v xml:space="preserve"> </v>
      </c>
      <c r="CC234" s="218" t="str">
        <f t="shared" si="198"/>
        <v>-</v>
      </c>
      <c r="CD234" s="174"/>
      <c r="CE234" s="92" t="str">
        <f t="shared" si="207"/>
        <v>OK</v>
      </c>
      <c r="CF234" s="60"/>
      <c r="CG234" s="174"/>
      <c r="CH234" s="61" t="str">
        <f t="shared" si="188"/>
        <v xml:space="preserve"> </v>
      </c>
      <c r="CI234" s="218" t="str">
        <f t="shared" si="199"/>
        <v>-</v>
      </c>
      <c r="CJ234" s="174"/>
      <c r="CK234" s="92" t="str">
        <f t="shared" si="208"/>
        <v>OK</v>
      </c>
      <c r="CL234" s="60"/>
      <c r="CM234" s="174"/>
      <c r="CN234" s="61" t="str">
        <f t="shared" si="189"/>
        <v xml:space="preserve"> </v>
      </c>
      <c r="CO234" s="218" t="s">
        <v>593</v>
      </c>
      <c r="CP234" s="61"/>
      <c r="CQ234" s="218" t="str">
        <f t="shared" si="200"/>
        <v>-</v>
      </c>
      <c r="CR234" s="60"/>
      <c r="CS234" s="174"/>
      <c r="CT234" s="61" t="str">
        <f t="shared" si="190"/>
        <v xml:space="preserve"> </v>
      </c>
      <c r="CU234" s="218" t="str">
        <f t="shared" si="201"/>
        <v>-</v>
      </c>
      <c r="CV234" s="174"/>
      <c r="CW234" s="92" t="s">
        <v>593</v>
      </c>
      <c r="CX234" s="60"/>
      <c r="CY234" s="174"/>
      <c r="CZ234" s="61" t="str">
        <f t="shared" si="191"/>
        <v xml:space="preserve"> </v>
      </c>
      <c r="DA234" s="218" t="str">
        <f t="shared" si="202"/>
        <v>-</v>
      </c>
      <c r="DB234" s="174"/>
      <c r="DC234" s="92" t="s">
        <v>593</v>
      </c>
    </row>
    <row r="235" spans="2:107" s="26" customFormat="1">
      <c r="B235" s="65">
        <f t="shared" si="192"/>
        <v>228</v>
      </c>
      <c r="C235" s="7"/>
      <c r="D235" s="7"/>
      <c r="E235" s="7"/>
      <c r="F235" s="22" t="s">
        <v>166</v>
      </c>
      <c r="G235" s="16"/>
      <c r="H235" s="13"/>
      <c r="I235" s="8"/>
      <c r="J235" s="8"/>
      <c r="K235" s="8"/>
      <c r="L235" s="8"/>
      <c r="M235" s="11"/>
      <c r="N235" s="1"/>
      <c r="O235" s="57"/>
      <c r="P235" s="95">
        <f t="shared" si="209"/>
        <v>205</v>
      </c>
      <c r="Q235" s="115">
        <v>128</v>
      </c>
      <c r="R235" s="21" t="str">
        <f t="shared" si="210"/>
        <v>X</v>
      </c>
      <c r="S235" s="98" t="s">
        <v>167</v>
      </c>
      <c r="T235" s="96"/>
      <c r="U235" s="21" t="s">
        <v>435</v>
      </c>
      <c r="V235" s="10"/>
      <c r="W235" s="25">
        <v>3</v>
      </c>
      <c r="X235" s="1" t="s">
        <v>304</v>
      </c>
      <c r="Y235" s="1">
        <v>1</v>
      </c>
      <c r="Z235" s="1">
        <v>128</v>
      </c>
      <c r="AA235" s="8" t="s">
        <v>114</v>
      </c>
      <c r="AB235" s="8" t="s">
        <v>21</v>
      </c>
      <c r="AC235" s="12"/>
      <c r="AD235" s="60"/>
      <c r="AE235" s="169"/>
      <c r="AF235" s="61" t="str">
        <f t="shared" si="179"/>
        <v xml:space="preserve">                                                                                                                                </v>
      </c>
      <c r="AG235" s="218" t="str">
        <f t="shared" si="203"/>
        <v>-</v>
      </c>
      <c r="AH235" s="169"/>
      <c r="AI235" s="92" t="str">
        <f t="shared" si="205"/>
        <v>OK</v>
      </c>
      <c r="AJ235" s="60"/>
      <c r="AK235" s="169"/>
      <c r="AL235" s="61" t="str">
        <f t="shared" si="180"/>
        <v xml:space="preserve">                                                                                                                                </v>
      </c>
      <c r="AM235" s="218" t="str">
        <f t="shared" si="193"/>
        <v>-</v>
      </c>
      <c r="AN235" s="169"/>
      <c r="AO235" s="92" t="str">
        <f t="shared" si="206"/>
        <v>OK</v>
      </c>
      <c r="AP235" s="60"/>
      <c r="AQ235" s="172"/>
      <c r="AR235" s="61" t="str">
        <f t="shared" si="181"/>
        <v xml:space="preserve">                                                                                                                                </v>
      </c>
      <c r="AS235" s="218" t="s">
        <v>593</v>
      </c>
      <c r="AT235" s="61"/>
      <c r="AU235" s="218" t="str">
        <f t="shared" si="178"/>
        <v>-</v>
      </c>
      <c r="AV235" s="60"/>
      <c r="AW235" s="169"/>
      <c r="AX235" s="61" t="str">
        <f t="shared" si="182"/>
        <v xml:space="preserve">                                                                                                                                </v>
      </c>
      <c r="AY235" s="218" t="str">
        <f t="shared" si="194"/>
        <v>-</v>
      </c>
      <c r="AZ235" s="169"/>
      <c r="BA235" s="478" t="s">
        <v>594</v>
      </c>
      <c r="BB235" s="60"/>
      <c r="BC235" s="169"/>
      <c r="BD235" s="61" t="str">
        <f t="shared" si="183"/>
        <v xml:space="preserve">                                                                                                                                </v>
      </c>
      <c r="BE235" s="218" t="str">
        <f t="shared" si="195"/>
        <v>-</v>
      </c>
      <c r="BF235" s="169"/>
      <c r="BG235" s="478" t="s">
        <v>594</v>
      </c>
      <c r="BH235" s="60"/>
      <c r="BI235" s="170" t="s">
        <v>704</v>
      </c>
      <c r="BJ235" s="61" t="str">
        <f t="shared" si="184"/>
        <v xml:space="preserve">                                                                                                                                </v>
      </c>
      <c r="BK235" s="218" t="s">
        <v>593</v>
      </c>
      <c r="BL235" s="169"/>
      <c r="BM235" s="478" t="s">
        <v>594</v>
      </c>
      <c r="BN235" s="60"/>
      <c r="BO235" s="169"/>
      <c r="BP235" s="61" t="str">
        <f t="shared" si="185"/>
        <v xml:space="preserve">                                                                                                                                </v>
      </c>
      <c r="BQ235" s="218" t="str">
        <f t="shared" si="196"/>
        <v>-</v>
      </c>
      <c r="BR235" s="169"/>
      <c r="BS235" s="478" t="s">
        <v>594</v>
      </c>
      <c r="BT235" s="60"/>
      <c r="BU235" s="172"/>
      <c r="BV235" s="61" t="str">
        <f t="shared" si="186"/>
        <v xml:space="preserve">                                                                                                                                </v>
      </c>
      <c r="BW235" s="218" t="s">
        <v>593</v>
      </c>
      <c r="BX235" s="61"/>
      <c r="BY235" s="218" t="str">
        <f t="shared" si="197"/>
        <v>-</v>
      </c>
      <c r="BZ235" s="60"/>
      <c r="CA235" s="169"/>
      <c r="CB235" s="61" t="str">
        <f t="shared" si="187"/>
        <v xml:space="preserve">                                                                                                                                </v>
      </c>
      <c r="CC235" s="218" t="str">
        <f t="shared" si="198"/>
        <v>-</v>
      </c>
      <c r="CD235" s="169"/>
      <c r="CE235" s="92" t="str">
        <f t="shared" si="207"/>
        <v>OK</v>
      </c>
      <c r="CF235" s="60"/>
      <c r="CG235" s="169"/>
      <c r="CH235" s="61" t="str">
        <f t="shared" si="188"/>
        <v xml:space="preserve">                                                                                                                                </v>
      </c>
      <c r="CI235" s="218" t="str">
        <f t="shared" si="199"/>
        <v>-</v>
      </c>
      <c r="CJ235" s="169"/>
      <c r="CK235" s="92" t="str">
        <f t="shared" si="208"/>
        <v>OK</v>
      </c>
      <c r="CL235" s="60"/>
      <c r="CM235" s="169"/>
      <c r="CN235" s="61" t="str">
        <f t="shared" si="189"/>
        <v xml:space="preserve">                                                                                                                                </v>
      </c>
      <c r="CO235" s="218" t="s">
        <v>593</v>
      </c>
      <c r="CP235" s="61"/>
      <c r="CQ235" s="218" t="str">
        <f t="shared" si="200"/>
        <v>-</v>
      </c>
      <c r="CR235" s="60"/>
      <c r="CS235" s="169"/>
      <c r="CT235" s="61" t="str">
        <f t="shared" si="190"/>
        <v xml:space="preserve">                                                                                                                                </v>
      </c>
      <c r="CU235" s="218" t="str">
        <f t="shared" si="201"/>
        <v>-</v>
      </c>
      <c r="CV235" s="169"/>
      <c r="CW235" s="92" t="s">
        <v>593</v>
      </c>
      <c r="CX235" s="60"/>
      <c r="CY235" s="169"/>
      <c r="CZ235" s="61" t="str">
        <f t="shared" si="191"/>
        <v xml:space="preserve">                                                                                                                                </v>
      </c>
      <c r="DA235" s="218" t="str">
        <f t="shared" si="202"/>
        <v>-</v>
      </c>
      <c r="DB235" s="169"/>
      <c r="DC235" s="92" t="s">
        <v>593</v>
      </c>
    </row>
    <row r="236" spans="2:107" s="26" customFormat="1" ht="114.75">
      <c r="B236" s="65">
        <f t="shared" si="192"/>
        <v>229</v>
      </c>
      <c r="C236" s="7"/>
      <c r="D236" s="7"/>
      <c r="E236" s="7"/>
      <c r="F236" s="22" t="s">
        <v>168</v>
      </c>
      <c r="G236" s="16"/>
      <c r="H236" s="13"/>
      <c r="I236" s="8"/>
      <c r="J236" s="8"/>
      <c r="K236" s="8"/>
      <c r="L236" s="8"/>
      <c r="M236" s="11" t="s">
        <v>399</v>
      </c>
      <c r="N236" s="1"/>
      <c r="O236" s="57"/>
      <c r="P236" s="95">
        <f t="shared" si="209"/>
        <v>206</v>
      </c>
      <c r="Q236" s="115">
        <v>1</v>
      </c>
      <c r="R236" s="21" t="str">
        <f t="shared" si="210"/>
        <v>X</v>
      </c>
      <c r="S236" s="98" t="s">
        <v>169</v>
      </c>
      <c r="T236" s="96"/>
      <c r="U236" s="21" t="s">
        <v>435</v>
      </c>
      <c r="V236" s="10"/>
      <c r="W236" s="25">
        <v>3</v>
      </c>
      <c r="X236" s="1" t="s">
        <v>305</v>
      </c>
      <c r="Y236" s="1">
        <v>1</v>
      </c>
      <c r="Z236" s="1">
        <v>1</v>
      </c>
      <c r="AA236" s="8" t="s">
        <v>114</v>
      </c>
      <c r="AB236" s="8" t="s">
        <v>21</v>
      </c>
      <c r="AC236" s="104"/>
      <c r="AD236" s="60"/>
      <c r="AE236" s="174"/>
      <c r="AF236" s="61" t="str">
        <f t="shared" si="179"/>
        <v xml:space="preserve"> </v>
      </c>
      <c r="AG236" s="218" t="str">
        <f t="shared" si="203"/>
        <v>-</v>
      </c>
      <c r="AH236" s="174"/>
      <c r="AI236" s="92" t="str">
        <f t="shared" si="205"/>
        <v>OK</v>
      </c>
      <c r="AJ236" s="60"/>
      <c r="AK236" s="174"/>
      <c r="AL236" s="61" t="str">
        <f t="shared" si="180"/>
        <v xml:space="preserve"> </v>
      </c>
      <c r="AM236" s="218" t="str">
        <f t="shared" si="193"/>
        <v>-</v>
      </c>
      <c r="AN236" s="174"/>
      <c r="AO236" s="92" t="str">
        <f t="shared" si="206"/>
        <v>OK</v>
      </c>
      <c r="AP236" s="60"/>
      <c r="AQ236" s="170"/>
      <c r="AR236" s="61" t="str">
        <f t="shared" si="181"/>
        <v xml:space="preserve"> </v>
      </c>
      <c r="AS236" s="218" t="s">
        <v>593</v>
      </c>
      <c r="AT236" s="61"/>
      <c r="AU236" s="218" t="str">
        <f t="shared" si="178"/>
        <v>-</v>
      </c>
      <c r="AV236" s="60"/>
      <c r="AW236" s="174"/>
      <c r="AX236" s="61" t="str">
        <f t="shared" si="182"/>
        <v xml:space="preserve"> </v>
      </c>
      <c r="AY236" s="218" t="str">
        <f t="shared" si="194"/>
        <v>-</v>
      </c>
      <c r="AZ236" s="174"/>
      <c r="BA236" s="478" t="s">
        <v>594</v>
      </c>
      <c r="BB236" s="60"/>
      <c r="BC236" s="174"/>
      <c r="BD236" s="61" t="str">
        <f t="shared" si="183"/>
        <v xml:space="preserve"> </v>
      </c>
      <c r="BE236" s="218" t="str">
        <f t="shared" si="195"/>
        <v>-</v>
      </c>
      <c r="BF236" s="174"/>
      <c r="BG236" s="478" t="s">
        <v>594</v>
      </c>
      <c r="BH236" s="60"/>
      <c r="BI236" s="170" t="s">
        <v>38</v>
      </c>
      <c r="BJ236" s="61" t="str">
        <f t="shared" si="184"/>
        <v xml:space="preserve"> </v>
      </c>
      <c r="BK236" s="218" t="s">
        <v>593</v>
      </c>
      <c r="BL236" s="174"/>
      <c r="BM236" s="478" t="s">
        <v>594</v>
      </c>
      <c r="BN236" s="60"/>
      <c r="BO236" s="174"/>
      <c r="BP236" s="61" t="str">
        <f t="shared" si="185"/>
        <v xml:space="preserve"> </v>
      </c>
      <c r="BQ236" s="218" t="str">
        <f t="shared" si="196"/>
        <v>-</v>
      </c>
      <c r="BR236" s="174"/>
      <c r="BS236" s="478" t="s">
        <v>594</v>
      </c>
      <c r="BT236" s="60"/>
      <c r="BU236" s="170"/>
      <c r="BV236" s="61" t="str">
        <f t="shared" si="186"/>
        <v xml:space="preserve"> </v>
      </c>
      <c r="BW236" s="218" t="s">
        <v>593</v>
      </c>
      <c r="BX236" s="61"/>
      <c r="BY236" s="218" t="str">
        <f t="shared" si="197"/>
        <v>-</v>
      </c>
      <c r="BZ236" s="60"/>
      <c r="CA236" s="174"/>
      <c r="CB236" s="61" t="str">
        <f t="shared" si="187"/>
        <v xml:space="preserve"> </v>
      </c>
      <c r="CC236" s="218" t="str">
        <f t="shared" si="198"/>
        <v>-</v>
      </c>
      <c r="CD236" s="174"/>
      <c r="CE236" s="92" t="str">
        <f t="shared" si="207"/>
        <v>OK</v>
      </c>
      <c r="CF236" s="60"/>
      <c r="CG236" s="174"/>
      <c r="CH236" s="61" t="str">
        <f t="shared" si="188"/>
        <v xml:space="preserve"> </v>
      </c>
      <c r="CI236" s="218" t="str">
        <f t="shared" si="199"/>
        <v>-</v>
      </c>
      <c r="CJ236" s="174"/>
      <c r="CK236" s="92" t="str">
        <f t="shared" si="208"/>
        <v>OK</v>
      </c>
      <c r="CL236" s="60"/>
      <c r="CM236" s="174"/>
      <c r="CN236" s="61" t="str">
        <f t="shared" si="189"/>
        <v xml:space="preserve"> </v>
      </c>
      <c r="CO236" s="218" t="s">
        <v>593</v>
      </c>
      <c r="CP236" s="61"/>
      <c r="CQ236" s="218" t="str">
        <f t="shared" si="200"/>
        <v>-</v>
      </c>
      <c r="CR236" s="60"/>
      <c r="CS236" s="174"/>
      <c r="CT236" s="61" t="str">
        <f t="shared" si="190"/>
        <v xml:space="preserve"> </v>
      </c>
      <c r="CU236" s="218" t="str">
        <f t="shared" si="201"/>
        <v>-</v>
      </c>
      <c r="CV236" s="174"/>
      <c r="CW236" s="92" t="s">
        <v>593</v>
      </c>
      <c r="CX236" s="60"/>
      <c r="CY236" s="174"/>
      <c r="CZ236" s="61" t="str">
        <f t="shared" si="191"/>
        <v xml:space="preserve"> </v>
      </c>
      <c r="DA236" s="218" t="str">
        <f t="shared" si="202"/>
        <v>-</v>
      </c>
      <c r="DB236" s="174"/>
      <c r="DC236" s="92" t="s">
        <v>593</v>
      </c>
    </row>
    <row r="237" spans="2:107" s="26" customFormat="1" ht="127.5">
      <c r="B237" s="65">
        <f t="shared" si="192"/>
        <v>230</v>
      </c>
      <c r="C237" s="7"/>
      <c r="D237" s="7"/>
      <c r="E237" s="7"/>
      <c r="F237" s="22" t="s">
        <v>170</v>
      </c>
      <c r="G237" s="16"/>
      <c r="H237" s="13"/>
      <c r="I237" s="8"/>
      <c r="J237" s="8" t="s">
        <v>426</v>
      </c>
      <c r="K237" s="8"/>
      <c r="L237" s="8"/>
      <c r="M237" s="418" t="s">
        <v>451</v>
      </c>
      <c r="N237" s="1"/>
      <c r="O237" s="57"/>
      <c r="P237" s="95">
        <f t="shared" si="209"/>
        <v>207</v>
      </c>
      <c r="Q237" s="115">
        <v>1</v>
      </c>
      <c r="R237" s="21" t="str">
        <f t="shared" si="210"/>
        <v>X</v>
      </c>
      <c r="S237" s="98" t="s">
        <v>171</v>
      </c>
      <c r="T237" s="96"/>
      <c r="U237" s="21" t="s">
        <v>435</v>
      </c>
      <c r="V237" s="10"/>
      <c r="W237" s="25">
        <v>3</v>
      </c>
      <c r="X237" s="1" t="s">
        <v>306</v>
      </c>
      <c r="Y237" s="1">
        <v>1</v>
      </c>
      <c r="Z237" s="1">
        <v>1</v>
      </c>
      <c r="AA237" s="8" t="s">
        <v>114</v>
      </c>
      <c r="AB237" s="8" t="s">
        <v>21</v>
      </c>
      <c r="AC237" s="104"/>
      <c r="AD237" s="60"/>
      <c r="AE237" s="174"/>
      <c r="AF237" s="61" t="str">
        <f t="shared" si="179"/>
        <v xml:space="preserve"> </v>
      </c>
      <c r="AG237" s="218" t="str">
        <f t="shared" si="203"/>
        <v>-</v>
      </c>
      <c r="AH237" s="174"/>
      <c r="AI237" s="92" t="str">
        <f t="shared" si="205"/>
        <v>OK</v>
      </c>
      <c r="AJ237" s="60"/>
      <c r="AK237" s="174"/>
      <c r="AL237" s="61" t="str">
        <f t="shared" si="180"/>
        <v xml:space="preserve"> </v>
      </c>
      <c r="AM237" s="218" t="str">
        <f t="shared" si="193"/>
        <v>-</v>
      </c>
      <c r="AN237" s="174"/>
      <c r="AO237" s="92" t="str">
        <f t="shared" si="206"/>
        <v>OK</v>
      </c>
      <c r="AP237" s="60"/>
      <c r="AQ237" s="170"/>
      <c r="AR237" s="61" t="str">
        <f t="shared" si="181"/>
        <v xml:space="preserve"> </v>
      </c>
      <c r="AS237" s="218" t="s">
        <v>593</v>
      </c>
      <c r="AT237" s="61"/>
      <c r="AU237" s="218" t="str">
        <f t="shared" si="178"/>
        <v>-</v>
      </c>
      <c r="AV237" s="60"/>
      <c r="AW237" s="174" t="s">
        <v>33</v>
      </c>
      <c r="AX237" s="61" t="str">
        <f t="shared" si="182"/>
        <v>1</v>
      </c>
      <c r="AY237" s="218" t="str">
        <f t="shared" si="194"/>
        <v>-</v>
      </c>
      <c r="AZ237" s="174" t="s">
        <v>33</v>
      </c>
      <c r="BA237" s="478" t="s">
        <v>594</v>
      </c>
      <c r="BB237" s="60"/>
      <c r="BC237" s="174" t="s">
        <v>33</v>
      </c>
      <c r="BD237" s="61" t="str">
        <f t="shared" si="183"/>
        <v>1</v>
      </c>
      <c r="BE237" s="218" t="str">
        <f t="shared" si="195"/>
        <v>-</v>
      </c>
      <c r="BF237" s="174" t="s">
        <v>33</v>
      </c>
      <c r="BG237" s="478" t="s">
        <v>594</v>
      </c>
      <c r="BH237" s="60"/>
      <c r="BI237" s="170" t="s">
        <v>33</v>
      </c>
      <c r="BJ237" s="61" t="str">
        <f t="shared" si="184"/>
        <v>1</v>
      </c>
      <c r="BK237" s="218" t="s">
        <v>593</v>
      </c>
      <c r="BL237" s="174" t="s">
        <v>33</v>
      </c>
      <c r="BM237" s="478" t="s">
        <v>594</v>
      </c>
      <c r="BN237" s="60"/>
      <c r="BO237" s="174" t="s">
        <v>33</v>
      </c>
      <c r="BP237" s="61" t="str">
        <f t="shared" si="185"/>
        <v>1</v>
      </c>
      <c r="BQ237" s="218" t="str">
        <f t="shared" si="196"/>
        <v>-</v>
      </c>
      <c r="BR237" s="174" t="s">
        <v>33</v>
      </c>
      <c r="BS237" s="478" t="s">
        <v>594</v>
      </c>
      <c r="BT237" s="60"/>
      <c r="BU237" s="170"/>
      <c r="BV237" s="61" t="str">
        <f t="shared" si="186"/>
        <v xml:space="preserve"> </v>
      </c>
      <c r="BW237" s="218" t="s">
        <v>593</v>
      </c>
      <c r="BX237" s="61"/>
      <c r="BY237" s="218" t="str">
        <f t="shared" si="197"/>
        <v>-</v>
      </c>
      <c r="BZ237" s="60"/>
      <c r="CA237" s="174"/>
      <c r="CB237" s="61" t="str">
        <f t="shared" si="187"/>
        <v xml:space="preserve"> </v>
      </c>
      <c r="CC237" s="218" t="str">
        <f t="shared" si="198"/>
        <v>-</v>
      </c>
      <c r="CD237" s="174"/>
      <c r="CE237" s="92" t="str">
        <f t="shared" si="207"/>
        <v>OK</v>
      </c>
      <c r="CF237" s="60"/>
      <c r="CG237" s="174"/>
      <c r="CH237" s="61" t="str">
        <f t="shared" si="188"/>
        <v xml:space="preserve"> </v>
      </c>
      <c r="CI237" s="218" t="str">
        <f t="shared" si="199"/>
        <v>-</v>
      </c>
      <c r="CJ237" s="174"/>
      <c r="CK237" s="92" t="str">
        <f t="shared" si="208"/>
        <v>OK</v>
      </c>
      <c r="CL237" s="60"/>
      <c r="CM237" s="174"/>
      <c r="CN237" s="61" t="str">
        <f t="shared" si="189"/>
        <v xml:space="preserve"> </v>
      </c>
      <c r="CO237" s="218" t="s">
        <v>593</v>
      </c>
      <c r="CP237" s="61"/>
      <c r="CQ237" s="218" t="str">
        <f t="shared" si="200"/>
        <v>-</v>
      </c>
      <c r="CR237" s="60"/>
      <c r="CS237" s="174"/>
      <c r="CT237" s="61" t="str">
        <f t="shared" si="190"/>
        <v xml:space="preserve"> </v>
      </c>
      <c r="CU237" s="218" t="str">
        <f t="shared" si="201"/>
        <v>-</v>
      </c>
      <c r="CV237" s="174"/>
      <c r="CW237" s="92" t="s">
        <v>593</v>
      </c>
      <c r="CX237" s="60"/>
      <c r="CY237" s="174"/>
      <c r="CZ237" s="61" t="str">
        <f t="shared" si="191"/>
        <v xml:space="preserve"> </v>
      </c>
      <c r="DA237" s="218" t="str">
        <f t="shared" si="202"/>
        <v>-</v>
      </c>
      <c r="DB237" s="174"/>
      <c r="DC237" s="92" t="s">
        <v>593</v>
      </c>
    </row>
    <row r="238" spans="2:107" s="26" customFormat="1" ht="319.5" customHeight="1">
      <c r="B238" s="65">
        <f t="shared" si="192"/>
        <v>231</v>
      </c>
      <c r="C238" s="7"/>
      <c r="D238" s="7"/>
      <c r="E238" s="54"/>
      <c r="F238" s="113" t="s">
        <v>452</v>
      </c>
      <c r="G238" s="67"/>
      <c r="H238" s="62"/>
      <c r="I238" s="8"/>
      <c r="J238" s="8" t="s">
        <v>426</v>
      </c>
      <c r="K238" s="8"/>
      <c r="L238" s="8"/>
      <c r="M238" s="415" t="s">
        <v>453</v>
      </c>
      <c r="N238" s="16"/>
      <c r="O238" s="57"/>
      <c r="P238" s="95">
        <f t="shared" si="209"/>
        <v>208</v>
      </c>
      <c r="Q238" s="115">
        <v>2</v>
      </c>
      <c r="R238" s="21" t="str">
        <f t="shared" si="210"/>
        <v>X</v>
      </c>
      <c r="S238" s="98" t="s">
        <v>172</v>
      </c>
      <c r="T238" s="96"/>
      <c r="U238" s="21" t="s">
        <v>435</v>
      </c>
      <c r="V238" s="10"/>
      <c r="W238" s="25">
        <v>3</v>
      </c>
      <c r="X238" s="1" t="s">
        <v>308</v>
      </c>
      <c r="Y238" s="1">
        <v>2</v>
      </c>
      <c r="Z238" s="1">
        <v>2</v>
      </c>
      <c r="AA238" s="8" t="s">
        <v>261</v>
      </c>
      <c r="AB238" s="8" t="s">
        <v>257</v>
      </c>
      <c r="AC238" s="68"/>
      <c r="AD238" s="60"/>
      <c r="AE238" s="174"/>
      <c r="AF238" s="273" t="str">
        <f t="shared" si="179"/>
        <v xml:space="preserve">  </v>
      </c>
      <c r="AG238" s="218" t="str">
        <f t="shared" si="203"/>
        <v>-</v>
      </c>
      <c r="AH238" s="174"/>
      <c r="AI238" s="92" t="str">
        <f t="shared" si="205"/>
        <v>OK</v>
      </c>
      <c r="AJ238" s="60"/>
      <c r="AK238" s="174"/>
      <c r="AL238" s="273" t="str">
        <f t="shared" si="180"/>
        <v xml:space="preserve">  </v>
      </c>
      <c r="AM238" s="218" t="str">
        <f t="shared" si="193"/>
        <v>-</v>
      </c>
      <c r="AN238" s="174"/>
      <c r="AO238" s="92" t="str">
        <f t="shared" si="206"/>
        <v>OK</v>
      </c>
      <c r="AP238" s="60"/>
      <c r="AQ238" s="170"/>
      <c r="AR238" s="273" t="str">
        <f t="shared" si="181"/>
        <v xml:space="preserve">  </v>
      </c>
      <c r="AS238" s="218" t="s">
        <v>593</v>
      </c>
      <c r="AT238" s="273"/>
      <c r="AU238" s="218" t="str">
        <f t="shared" si="178"/>
        <v>-</v>
      </c>
      <c r="AV238" s="60"/>
      <c r="AW238" s="174" t="s">
        <v>198</v>
      </c>
      <c r="AX238" s="273" t="str">
        <f t="shared" si="182"/>
        <v>F2</v>
      </c>
      <c r="AY238" s="218" t="str">
        <f t="shared" si="194"/>
        <v>-</v>
      </c>
      <c r="AZ238" s="174" t="s">
        <v>198</v>
      </c>
      <c r="BA238" s="92" t="str">
        <f>IF(EXACT(AW238,AZ238),"OK","NG")</f>
        <v>OK</v>
      </c>
      <c r="BB238" s="60"/>
      <c r="BC238" s="174" t="s">
        <v>250</v>
      </c>
      <c r="BD238" s="273" t="str">
        <f t="shared" si="183"/>
        <v>E1</v>
      </c>
      <c r="BE238" s="218" t="str">
        <f t="shared" si="195"/>
        <v>-</v>
      </c>
      <c r="BF238" s="174" t="s">
        <v>250</v>
      </c>
      <c r="BG238" s="92" t="str">
        <f>IF(EXACT(BC238,BF238),"OK","NG")</f>
        <v>OK</v>
      </c>
      <c r="BH238" s="60"/>
      <c r="BI238" s="170" t="s">
        <v>198</v>
      </c>
      <c r="BJ238" s="273" t="str">
        <f t="shared" si="184"/>
        <v>F2</v>
      </c>
      <c r="BK238" s="218" t="s">
        <v>593</v>
      </c>
      <c r="BL238" s="174" t="s">
        <v>198</v>
      </c>
      <c r="BM238" s="92" t="str">
        <f>IF(EXACT(BI238,BL238),"OK","NG")</f>
        <v>OK</v>
      </c>
      <c r="BN238" s="60"/>
      <c r="BO238" s="174" t="s">
        <v>250</v>
      </c>
      <c r="BP238" s="273" t="str">
        <f t="shared" si="185"/>
        <v>E1</v>
      </c>
      <c r="BQ238" s="218" t="str">
        <f t="shared" si="196"/>
        <v>-</v>
      </c>
      <c r="BR238" s="174" t="s">
        <v>250</v>
      </c>
      <c r="BS238" s="92" t="str">
        <f>IF(EXACT(BO238,BR238),"OK","NG")</f>
        <v>OK</v>
      </c>
      <c r="BT238" s="60"/>
      <c r="BU238" s="170"/>
      <c r="BV238" s="273" t="str">
        <f t="shared" si="186"/>
        <v xml:space="preserve">  </v>
      </c>
      <c r="BW238" s="218" t="s">
        <v>593</v>
      </c>
      <c r="BX238" s="273"/>
      <c r="BY238" s="218" t="str">
        <f t="shared" si="197"/>
        <v>-</v>
      </c>
      <c r="BZ238" s="60"/>
      <c r="CA238" s="174"/>
      <c r="CB238" s="273" t="str">
        <f t="shared" si="187"/>
        <v xml:space="preserve">  </v>
      </c>
      <c r="CC238" s="218" t="str">
        <f t="shared" si="198"/>
        <v>-</v>
      </c>
      <c r="CD238" s="174"/>
      <c r="CE238" s="92" t="str">
        <f t="shared" si="207"/>
        <v>OK</v>
      </c>
      <c r="CF238" s="60"/>
      <c r="CG238" s="174"/>
      <c r="CH238" s="273" t="str">
        <f t="shared" si="188"/>
        <v xml:space="preserve">  </v>
      </c>
      <c r="CI238" s="218" t="str">
        <f t="shared" si="199"/>
        <v>-</v>
      </c>
      <c r="CJ238" s="174"/>
      <c r="CK238" s="92" t="str">
        <f t="shared" si="208"/>
        <v>OK</v>
      </c>
      <c r="CL238" s="60"/>
      <c r="CM238" s="174"/>
      <c r="CN238" s="273" t="str">
        <f t="shared" si="189"/>
        <v xml:space="preserve">  </v>
      </c>
      <c r="CO238" s="218" t="s">
        <v>593</v>
      </c>
      <c r="CP238" s="273"/>
      <c r="CQ238" s="218" t="str">
        <f t="shared" si="200"/>
        <v>-</v>
      </c>
      <c r="CR238" s="60"/>
      <c r="CS238" s="174"/>
      <c r="CT238" s="273" t="str">
        <f t="shared" si="190"/>
        <v xml:space="preserve">  </v>
      </c>
      <c r="CU238" s="218" t="str">
        <f t="shared" si="201"/>
        <v>-</v>
      </c>
      <c r="CV238" s="174"/>
      <c r="CW238" s="92" t="s">
        <v>593</v>
      </c>
      <c r="CX238" s="60"/>
      <c r="CY238" s="174"/>
      <c r="CZ238" s="273" t="str">
        <f t="shared" si="191"/>
        <v xml:space="preserve">  </v>
      </c>
      <c r="DA238" s="218" t="str">
        <f t="shared" si="202"/>
        <v>-</v>
      </c>
      <c r="DB238" s="174"/>
      <c r="DC238" s="92" t="s">
        <v>593</v>
      </c>
    </row>
    <row r="239" spans="2:107" s="26" customFormat="1" ht="25.5">
      <c r="B239" s="65">
        <f t="shared" si="192"/>
        <v>232</v>
      </c>
      <c r="C239" s="7"/>
      <c r="D239" s="7"/>
      <c r="E239" s="54"/>
      <c r="F239" s="66" t="s">
        <v>173</v>
      </c>
      <c r="G239" s="67"/>
      <c r="H239" s="62"/>
      <c r="I239" s="8"/>
      <c r="J239" s="8"/>
      <c r="K239" s="8"/>
      <c r="L239" s="8"/>
      <c r="M239" s="11" t="s">
        <v>354</v>
      </c>
      <c r="N239" s="16"/>
      <c r="O239" s="57"/>
      <c r="P239" s="95">
        <f t="shared" si="209"/>
        <v>209</v>
      </c>
      <c r="Q239" s="115">
        <v>7</v>
      </c>
      <c r="R239" s="21" t="str">
        <f t="shared" si="210"/>
        <v>X</v>
      </c>
      <c r="S239" s="98" t="s">
        <v>174</v>
      </c>
      <c r="T239" s="96"/>
      <c r="U239" s="21" t="s">
        <v>257</v>
      </c>
      <c r="V239" s="10"/>
      <c r="W239" s="25">
        <v>3</v>
      </c>
      <c r="X239" s="1" t="s">
        <v>309</v>
      </c>
      <c r="Y239" s="1">
        <v>7</v>
      </c>
      <c r="Z239" s="1">
        <v>7</v>
      </c>
      <c r="AA239" s="8" t="s">
        <v>261</v>
      </c>
      <c r="AB239" s="8" t="s">
        <v>257</v>
      </c>
      <c r="AC239" s="105"/>
      <c r="AD239" s="60"/>
      <c r="AE239" s="169"/>
      <c r="AF239" s="61" t="str">
        <f t="shared" si="179"/>
        <v xml:space="preserve">       </v>
      </c>
      <c r="AG239" s="218" t="str">
        <f t="shared" si="203"/>
        <v>-</v>
      </c>
      <c r="AH239" s="169"/>
      <c r="AI239" s="92" t="str">
        <f t="shared" si="205"/>
        <v>OK</v>
      </c>
      <c r="AJ239" s="60"/>
      <c r="AK239" s="169"/>
      <c r="AL239" s="61" t="str">
        <f t="shared" si="180"/>
        <v xml:space="preserve">       </v>
      </c>
      <c r="AM239" s="218" t="str">
        <f t="shared" si="193"/>
        <v>-</v>
      </c>
      <c r="AN239" s="169"/>
      <c r="AO239" s="92" t="str">
        <f t="shared" si="206"/>
        <v>OK</v>
      </c>
      <c r="AP239" s="60"/>
      <c r="AQ239" s="172"/>
      <c r="AR239" s="61" t="str">
        <f t="shared" si="181"/>
        <v xml:space="preserve">       </v>
      </c>
      <c r="AS239" s="218" t="s">
        <v>593</v>
      </c>
      <c r="AT239" s="61"/>
      <c r="AU239" s="218" t="str">
        <f t="shared" si="178"/>
        <v>-</v>
      </c>
      <c r="AV239" s="60"/>
      <c r="AW239" s="169"/>
      <c r="AX239" s="61" t="str">
        <f t="shared" si="182"/>
        <v xml:space="preserve">       </v>
      </c>
      <c r="AY239" s="218" t="str">
        <f t="shared" si="194"/>
        <v>-</v>
      </c>
      <c r="AZ239" s="169"/>
      <c r="BA239" s="478" t="s">
        <v>594</v>
      </c>
      <c r="BB239" s="60"/>
      <c r="BC239" s="169"/>
      <c r="BD239" s="61" t="str">
        <f t="shared" si="183"/>
        <v xml:space="preserve">       </v>
      </c>
      <c r="BE239" s="218" t="str">
        <f t="shared" si="195"/>
        <v>-</v>
      </c>
      <c r="BF239" s="169"/>
      <c r="BG239" s="478" t="s">
        <v>594</v>
      </c>
      <c r="BH239" s="60"/>
      <c r="BI239" s="170" t="s">
        <v>705</v>
      </c>
      <c r="BJ239" s="61" t="str">
        <f t="shared" si="184"/>
        <v xml:space="preserve">       </v>
      </c>
      <c r="BK239" s="218" t="s">
        <v>593</v>
      </c>
      <c r="BL239" s="169"/>
      <c r="BM239" s="478" t="s">
        <v>594</v>
      </c>
      <c r="BN239" s="60"/>
      <c r="BO239" s="169"/>
      <c r="BP239" s="61" t="str">
        <f t="shared" si="185"/>
        <v xml:space="preserve">       </v>
      </c>
      <c r="BQ239" s="218" t="str">
        <f t="shared" si="196"/>
        <v>-</v>
      </c>
      <c r="BR239" s="169"/>
      <c r="BS239" s="478" t="s">
        <v>594</v>
      </c>
      <c r="BT239" s="60"/>
      <c r="BU239" s="172"/>
      <c r="BV239" s="61" t="str">
        <f t="shared" si="186"/>
        <v xml:space="preserve">       </v>
      </c>
      <c r="BW239" s="218" t="s">
        <v>593</v>
      </c>
      <c r="BX239" s="61"/>
      <c r="BY239" s="218" t="str">
        <f t="shared" si="197"/>
        <v>-</v>
      </c>
      <c r="BZ239" s="60"/>
      <c r="CA239" s="169"/>
      <c r="CB239" s="61" t="str">
        <f t="shared" si="187"/>
        <v xml:space="preserve">       </v>
      </c>
      <c r="CC239" s="218" t="str">
        <f t="shared" si="198"/>
        <v>-</v>
      </c>
      <c r="CD239" s="169"/>
      <c r="CE239" s="92" t="str">
        <f t="shared" si="207"/>
        <v>OK</v>
      </c>
      <c r="CF239" s="60"/>
      <c r="CG239" s="169"/>
      <c r="CH239" s="61" t="str">
        <f t="shared" si="188"/>
        <v xml:space="preserve">       </v>
      </c>
      <c r="CI239" s="218" t="str">
        <f t="shared" si="199"/>
        <v>-</v>
      </c>
      <c r="CJ239" s="169"/>
      <c r="CK239" s="92" t="str">
        <f t="shared" si="208"/>
        <v>OK</v>
      </c>
      <c r="CL239" s="60"/>
      <c r="CM239" s="169"/>
      <c r="CN239" s="61" t="str">
        <f t="shared" si="189"/>
        <v xml:space="preserve">       </v>
      </c>
      <c r="CO239" s="218" t="s">
        <v>593</v>
      </c>
      <c r="CP239" s="61"/>
      <c r="CQ239" s="218" t="str">
        <f t="shared" si="200"/>
        <v>-</v>
      </c>
      <c r="CR239" s="60"/>
      <c r="CS239" s="169"/>
      <c r="CT239" s="61" t="str">
        <f t="shared" si="190"/>
        <v xml:space="preserve">       </v>
      </c>
      <c r="CU239" s="218" t="str">
        <f t="shared" si="201"/>
        <v>-</v>
      </c>
      <c r="CV239" s="169"/>
      <c r="CW239" s="92" t="s">
        <v>593</v>
      </c>
      <c r="CX239" s="60"/>
      <c r="CY239" s="169"/>
      <c r="CZ239" s="61" t="str">
        <f t="shared" si="191"/>
        <v xml:space="preserve">       </v>
      </c>
      <c r="DA239" s="218" t="str">
        <f t="shared" si="202"/>
        <v>-</v>
      </c>
      <c r="DB239" s="169"/>
      <c r="DC239" s="92" t="s">
        <v>593</v>
      </c>
    </row>
    <row r="240" spans="2:107" s="81" customFormat="1" ht="25.5">
      <c r="B240" s="65">
        <f t="shared" si="192"/>
        <v>233</v>
      </c>
      <c r="C240" s="69"/>
      <c r="D240" s="69"/>
      <c r="E240" s="70"/>
      <c r="F240" s="71" t="s">
        <v>355</v>
      </c>
      <c r="G240" s="72"/>
      <c r="H240" s="73"/>
      <c r="I240" s="74"/>
      <c r="J240" s="74"/>
      <c r="K240" s="75"/>
      <c r="L240" s="75"/>
      <c r="M240" s="84" t="s">
        <v>354</v>
      </c>
      <c r="N240" s="76"/>
      <c r="O240" s="77"/>
      <c r="P240" s="95">
        <f t="shared" si="209"/>
        <v>210</v>
      </c>
      <c r="Q240" s="119">
        <v>10</v>
      </c>
      <c r="R240" s="21" t="str">
        <f t="shared" si="210"/>
        <v>X</v>
      </c>
      <c r="S240" s="98" t="s">
        <v>175</v>
      </c>
      <c r="T240" s="106"/>
      <c r="U240" s="21" t="s">
        <v>257</v>
      </c>
      <c r="V240" s="77"/>
      <c r="W240" s="78">
        <v>3</v>
      </c>
      <c r="X240" s="56" t="s">
        <v>176</v>
      </c>
      <c r="Y240" s="56">
        <v>10</v>
      </c>
      <c r="Z240" s="56">
        <v>10</v>
      </c>
      <c r="AA240" s="74" t="s">
        <v>114</v>
      </c>
      <c r="AB240" s="74" t="s">
        <v>21</v>
      </c>
      <c r="AC240" s="105"/>
      <c r="AD240" s="79"/>
      <c r="AE240" s="481"/>
      <c r="AF240" s="80" t="str">
        <f t="shared" si="179"/>
        <v xml:space="preserve">          </v>
      </c>
      <c r="AG240" s="218" t="str">
        <f t="shared" si="203"/>
        <v>-</v>
      </c>
      <c r="AH240" s="274"/>
      <c r="AI240" s="92" t="str">
        <f t="shared" si="205"/>
        <v>OK</v>
      </c>
      <c r="AJ240" s="79"/>
      <c r="AK240" s="481"/>
      <c r="AL240" s="80" t="str">
        <f t="shared" si="180"/>
        <v xml:space="preserve">          </v>
      </c>
      <c r="AM240" s="218" t="str">
        <f t="shared" si="193"/>
        <v>-</v>
      </c>
      <c r="AN240" s="274"/>
      <c r="AO240" s="92" t="str">
        <f t="shared" si="206"/>
        <v>OK</v>
      </c>
      <c r="AP240" s="79"/>
      <c r="AQ240" s="512"/>
      <c r="AR240" s="80" t="str">
        <f t="shared" si="181"/>
        <v xml:space="preserve">          </v>
      </c>
      <c r="AS240" s="218" t="s">
        <v>593</v>
      </c>
      <c r="AT240" s="80"/>
      <c r="AU240" s="218" t="str">
        <f t="shared" si="178"/>
        <v>-</v>
      </c>
      <c r="AV240" s="79"/>
      <c r="AW240" s="481"/>
      <c r="AX240" s="80" t="str">
        <f t="shared" si="182"/>
        <v xml:space="preserve">          </v>
      </c>
      <c r="AY240" s="218" t="str">
        <f t="shared" si="194"/>
        <v>-</v>
      </c>
      <c r="AZ240" s="274"/>
      <c r="BA240" s="478" t="s">
        <v>594</v>
      </c>
      <c r="BB240" s="79"/>
      <c r="BC240" s="481"/>
      <c r="BD240" s="80" t="str">
        <f t="shared" si="183"/>
        <v xml:space="preserve">          </v>
      </c>
      <c r="BE240" s="218" t="str">
        <f t="shared" si="195"/>
        <v>-</v>
      </c>
      <c r="BF240" s="274"/>
      <c r="BG240" s="478" t="s">
        <v>594</v>
      </c>
      <c r="BH240" s="79"/>
      <c r="BI240" s="508" t="s">
        <v>706</v>
      </c>
      <c r="BJ240" s="80" t="str">
        <f t="shared" si="184"/>
        <v xml:space="preserve">          </v>
      </c>
      <c r="BK240" s="218" t="s">
        <v>593</v>
      </c>
      <c r="BL240" s="274"/>
      <c r="BM240" s="478" t="s">
        <v>594</v>
      </c>
      <c r="BN240" s="79"/>
      <c r="BO240" s="481"/>
      <c r="BP240" s="80" t="str">
        <f t="shared" si="185"/>
        <v xml:space="preserve">          </v>
      </c>
      <c r="BQ240" s="218" t="str">
        <f t="shared" si="196"/>
        <v>-</v>
      </c>
      <c r="BR240" s="274"/>
      <c r="BS240" s="478" t="s">
        <v>594</v>
      </c>
      <c r="BT240" s="79"/>
      <c r="BU240" s="512"/>
      <c r="BV240" s="80" t="str">
        <f t="shared" si="186"/>
        <v xml:space="preserve">          </v>
      </c>
      <c r="BW240" s="218" t="s">
        <v>593</v>
      </c>
      <c r="BX240" s="80"/>
      <c r="BY240" s="218" t="str">
        <f t="shared" si="197"/>
        <v>-</v>
      </c>
      <c r="BZ240" s="79"/>
      <c r="CA240" s="481"/>
      <c r="CB240" s="80" t="str">
        <f t="shared" si="187"/>
        <v xml:space="preserve">          </v>
      </c>
      <c r="CC240" s="218" t="str">
        <f t="shared" si="198"/>
        <v>-</v>
      </c>
      <c r="CD240" s="274"/>
      <c r="CE240" s="92" t="str">
        <f t="shared" si="207"/>
        <v>OK</v>
      </c>
      <c r="CF240" s="79"/>
      <c r="CG240" s="481"/>
      <c r="CH240" s="80" t="str">
        <f t="shared" si="188"/>
        <v xml:space="preserve">          </v>
      </c>
      <c r="CI240" s="218" t="str">
        <f t="shared" si="199"/>
        <v>-</v>
      </c>
      <c r="CJ240" s="274"/>
      <c r="CK240" s="92" t="str">
        <f t="shared" si="208"/>
        <v>OK</v>
      </c>
      <c r="CL240" s="79"/>
      <c r="CM240" s="481"/>
      <c r="CN240" s="80" t="str">
        <f t="shared" si="189"/>
        <v xml:space="preserve">          </v>
      </c>
      <c r="CO240" s="218" t="s">
        <v>593</v>
      </c>
      <c r="CP240" s="80"/>
      <c r="CQ240" s="218" t="str">
        <f t="shared" si="200"/>
        <v>-</v>
      </c>
      <c r="CR240" s="79"/>
      <c r="CS240" s="481"/>
      <c r="CT240" s="80" t="str">
        <f t="shared" si="190"/>
        <v xml:space="preserve">          </v>
      </c>
      <c r="CU240" s="218" t="str">
        <f t="shared" si="201"/>
        <v>-</v>
      </c>
      <c r="CV240" s="274"/>
      <c r="CW240" s="92" t="s">
        <v>593</v>
      </c>
      <c r="CX240" s="79"/>
      <c r="CY240" s="481"/>
      <c r="CZ240" s="80" t="str">
        <f t="shared" si="191"/>
        <v xml:space="preserve">          </v>
      </c>
      <c r="DA240" s="218" t="str">
        <f t="shared" si="202"/>
        <v>-</v>
      </c>
      <c r="DB240" s="274"/>
      <c r="DC240" s="92" t="s">
        <v>593</v>
      </c>
    </row>
    <row r="241" spans="1:107" s="81" customFormat="1" ht="25.5">
      <c r="B241" s="65">
        <f t="shared" si="192"/>
        <v>234</v>
      </c>
      <c r="C241" s="69"/>
      <c r="D241" s="69"/>
      <c r="E241" s="69"/>
      <c r="F241" s="82" t="s">
        <v>177</v>
      </c>
      <c r="G241" s="14"/>
      <c r="H241" s="83"/>
      <c r="I241" s="74"/>
      <c r="J241" s="74"/>
      <c r="K241" s="75"/>
      <c r="L241" s="75"/>
      <c r="M241" s="84" t="s">
        <v>354</v>
      </c>
      <c r="N241" s="76"/>
      <c r="O241" s="77"/>
      <c r="P241" s="95">
        <f t="shared" si="209"/>
        <v>211</v>
      </c>
      <c r="Q241" s="119">
        <v>3</v>
      </c>
      <c r="R241" s="21" t="str">
        <f t="shared" si="210"/>
        <v>X</v>
      </c>
      <c r="S241" s="98" t="s">
        <v>178</v>
      </c>
      <c r="T241" s="106"/>
      <c r="U241" s="21" t="s">
        <v>257</v>
      </c>
      <c r="V241" s="77"/>
      <c r="W241" s="78">
        <v>3</v>
      </c>
      <c r="X241" s="56" t="s">
        <v>179</v>
      </c>
      <c r="Y241" s="56">
        <v>3</v>
      </c>
      <c r="Z241" s="56">
        <v>3</v>
      </c>
      <c r="AA241" s="74" t="s">
        <v>114</v>
      </c>
      <c r="AB241" s="74" t="s">
        <v>21</v>
      </c>
      <c r="AC241" s="105"/>
      <c r="AD241" s="79"/>
      <c r="AE241" s="481"/>
      <c r="AF241" s="80" t="str">
        <f t="shared" si="179"/>
        <v xml:space="preserve">   </v>
      </c>
      <c r="AG241" s="218" t="str">
        <f t="shared" si="203"/>
        <v>-</v>
      </c>
      <c r="AH241" s="274"/>
      <c r="AI241" s="92" t="str">
        <f t="shared" si="205"/>
        <v>OK</v>
      </c>
      <c r="AJ241" s="79"/>
      <c r="AK241" s="481"/>
      <c r="AL241" s="80" t="str">
        <f t="shared" si="180"/>
        <v xml:space="preserve">   </v>
      </c>
      <c r="AM241" s="218" t="str">
        <f t="shared" si="193"/>
        <v>-</v>
      </c>
      <c r="AN241" s="274"/>
      <c r="AO241" s="92" t="str">
        <f t="shared" si="206"/>
        <v>OK</v>
      </c>
      <c r="AP241" s="79"/>
      <c r="AQ241" s="512"/>
      <c r="AR241" s="80" t="str">
        <f t="shared" si="181"/>
        <v xml:space="preserve">   </v>
      </c>
      <c r="AS241" s="218" t="s">
        <v>593</v>
      </c>
      <c r="AT241" s="80"/>
      <c r="AU241" s="218" t="str">
        <f t="shared" si="178"/>
        <v>-</v>
      </c>
      <c r="AV241" s="79"/>
      <c r="AW241" s="481"/>
      <c r="AX241" s="80" t="str">
        <f t="shared" si="182"/>
        <v xml:space="preserve">   </v>
      </c>
      <c r="AY241" s="218" t="str">
        <f t="shared" si="194"/>
        <v>-</v>
      </c>
      <c r="AZ241" s="274"/>
      <c r="BA241" s="478" t="s">
        <v>594</v>
      </c>
      <c r="BB241" s="79"/>
      <c r="BC241" s="481"/>
      <c r="BD241" s="80" t="str">
        <f t="shared" si="183"/>
        <v xml:space="preserve">   </v>
      </c>
      <c r="BE241" s="218" t="str">
        <f t="shared" si="195"/>
        <v>-</v>
      </c>
      <c r="BF241" s="274"/>
      <c r="BG241" s="478" t="s">
        <v>594</v>
      </c>
      <c r="BH241" s="79"/>
      <c r="BI241" s="508" t="s">
        <v>707</v>
      </c>
      <c r="BJ241" s="80" t="str">
        <f t="shared" si="184"/>
        <v xml:space="preserve">   </v>
      </c>
      <c r="BK241" s="218" t="s">
        <v>593</v>
      </c>
      <c r="BL241" s="274"/>
      <c r="BM241" s="478" t="s">
        <v>594</v>
      </c>
      <c r="BN241" s="79"/>
      <c r="BO241" s="481"/>
      <c r="BP241" s="80" t="str">
        <f t="shared" si="185"/>
        <v xml:space="preserve">   </v>
      </c>
      <c r="BQ241" s="218" t="str">
        <f t="shared" si="196"/>
        <v>-</v>
      </c>
      <c r="BR241" s="274"/>
      <c r="BS241" s="478" t="s">
        <v>594</v>
      </c>
      <c r="BT241" s="79"/>
      <c r="BU241" s="512"/>
      <c r="BV241" s="80" t="str">
        <f t="shared" si="186"/>
        <v xml:space="preserve">   </v>
      </c>
      <c r="BW241" s="218" t="s">
        <v>593</v>
      </c>
      <c r="BX241" s="80"/>
      <c r="BY241" s="218" t="str">
        <f t="shared" si="197"/>
        <v>-</v>
      </c>
      <c r="BZ241" s="79"/>
      <c r="CA241" s="481"/>
      <c r="CB241" s="80" t="str">
        <f t="shared" si="187"/>
        <v xml:space="preserve">   </v>
      </c>
      <c r="CC241" s="218" t="str">
        <f t="shared" si="198"/>
        <v>-</v>
      </c>
      <c r="CD241" s="274"/>
      <c r="CE241" s="92" t="str">
        <f t="shared" si="207"/>
        <v>OK</v>
      </c>
      <c r="CF241" s="79"/>
      <c r="CG241" s="481"/>
      <c r="CH241" s="80" t="str">
        <f t="shared" si="188"/>
        <v xml:space="preserve">   </v>
      </c>
      <c r="CI241" s="218" t="str">
        <f t="shared" si="199"/>
        <v>-</v>
      </c>
      <c r="CJ241" s="274"/>
      <c r="CK241" s="92" t="str">
        <f t="shared" si="208"/>
        <v>OK</v>
      </c>
      <c r="CL241" s="79"/>
      <c r="CM241" s="481"/>
      <c r="CN241" s="80" t="str">
        <f t="shared" si="189"/>
        <v xml:space="preserve">   </v>
      </c>
      <c r="CO241" s="218" t="s">
        <v>593</v>
      </c>
      <c r="CP241" s="80"/>
      <c r="CQ241" s="218" t="str">
        <f t="shared" si="200"/>
        <v>-</v>
      </c>
      <c r="CR241" s="79"/>
      <c r="CS241" s="481"/>
      <c r="CT241" s="80" t="str">
        <f t="shared" si="190"/>
        <v xml:space="preserve">   </v>
      </c>
      <c r="CU241" s="218" t="str">
        <f t="shared" si="201"/>
        <v>-</v>
      </c>
      <c r="CV241" s="274"/>
      <c r="CW241" s="92" t="s">
        <v>593</v>
      </c>
      <c r="CX241" s="79"/>
      <c r="CY241" s="481"/>
      <c r="CZ241" s="80" t="str">
        <f t="shared" si="191"/>
        <v xml:space="preserve">   </v>
      </c>
      <c r="DA241" s="218" t="str">
        <f t="shared" si="202"/>
        <v>-</v>
      </c>
      <c r="DB241" s="274"/>
      <c r="DC241" s="92" t="s">
        <v>593</v>
      </c>
    </row>
    <row r="242" spans="1:107" s="81" customFormat="1" ht="25.5">
      <c r="B242" s="65">
        <f t="shared" si="192"/>
        <v>235</v>
      </c>
      <c r="C242" s="69"/>
      <c r="D242" s="69"/>
      <c r="E242" s="69"/>
      <c r="F242" s="82" t="s">
        <v>180</v>
      </c>
      <c r="G242" s="14"/>
      <c r="H242" s="83"/>
      <c r="I242" s="74"/>
      <c r="J242" s="74"/>
      <c r="K242" s="75"/>
      <c r="L242" s="75"/>
      <c r="M242" s="84" t="s">
        <v>354</v>
      </c>
      <c r="N242" s="76"/>
      <c r="O242" s="77"/>
      <c r="P242" s="95">
        <f>P241+1</f>
        <v>212</v>
      </c>
      <c r="Q242" s="119">
        <v>2</v>
      </c>
      <c r="R242" s="21" t="str">
        <f t="shared" si="210"/>
        <v>X</v>
      </c>
      <c r="S242" s="98" t="s">
        <v>181</v>
      </c>
      <c r="T242" s="106"/>
      <c r="U242" s="21" t="s">
        <v>257</v>
      </c>
      <c r="V242" s="77"/>
      <c r="W242" s="78">
        <v>3</v>
      </c>
      <c r="X242" s="56" t="s">
        <v>182</v>
      </c>
      <c r="Y242" s="56">
        <v>2</v>
      </c>
      <c r="Z242" s="56">
        <v>2</v>
      </c>
      <c r="AA242" s="74" t="s">
        <v>114</v>
      </c>
      <c r="AB242" s="74" t="s">
        <v>21</v>
      </c>
      <c r="AC242" s="105"/>
      <c r="AD242" s="79"/>
      <c r="AE242" s="481"/>
      <c r="AF242" s="80" t="str">
        <f t="shared" si="179"/>
        <v xml:space="preserve">  </v>
      </c>
      <c r="AG242" s="218" t="str">
        <f t="shared" si="203"/>
        <v>-</v>
      </c>
      <c r="AH242" s="274"/>
      <c r="AI242" s="92" t="str">
        <f t="shared" si="205"/>
        <v>OK</v>
      </c>
      <c r="AJ242" s="79"/>
      <c r="AK242" s="481"/>
      <c r="AL242" s="80" t="str">
        <f t="shared" si="180"/>
        <v xml:space="preserve">  </v>
      </c>
      <c r="AM242" s="218" t="str">
        <f t="shared" si="193"/>
        <v>-</v>
      </c>
      <c r="AN242" s="274"/>
      <c r="AO242" s="92" t="str">
        <f t="shared" si="206"/>
        <v>OK</v>
      </c>
      <c r="AP242" s="79"/>
      <c r="AQ242" s="512"/>
      <c r="AR242" s="80" t="str">
        <f t="shared" si="181"/>
        <v xml:space="preserve">  </v>
      </c>
      <c r="AS242" s="218" t="s">
        <v>593</v>
      </c>
      <c r="AT242" s="80"/>
      <c r="AU242" s="218" t="str">
        <f t="shared" si="178"/>
        <v>-</v>
      </c>
      <c r="AV242" s="79"/>
      <c r="AW242" s="481"/>
      <c r="AX242" s="80" t="str">
        <f t="shared" si="182"/>
        <v xml:space="preserve">  </v>
      </c>
      <c r="AY242" s="218" t="str">
        <f t="shared" si="194"/>
        <v>-</v>
      </c>
      <c r="AZ242" s="274"/>
      <c r="BA242" s="478" t="s">
        <v>594</v>
      </c>
      <c r="BB242" s="79"/>
      <c r="BC242" s="481"/>
      <c r="BD242" s="80" t="str">
        <f t="shared" si="183"/>
        <v xml:space="preserve">  </v>
      </c>
      <c r="BE242" s="218" t="str">
        <f t="shared" si="195"/>
        <v>-</v>
      </c>
      <c r="BF242" s="274"/>
      <c r="BG242" s="478" t="s">
        <v>594</v>
      </c>
      <c r="BH242" s="79"/>
      <c r="BI242" s="508" t="s">
        <v>698</v>
      </c>
      <c r="BJ242" s="80" t="str">
        <f t="shared" si="184"/>
        <v xml:space="preserve">  </v>
      </c>
      <c r="BK242" s="218" t="s">
        <v>593</v>
      </c>
      <c r="BL242" s="274"/>
      <c r="BM242" s="478" t="s">
        <v>594</v>
      </c>
      <c r="BN242" s="79"/>
      <c r="BO242" s="481"/>
      <c r="BP242" s="80" t="str">
        <f t="shared" si="185"/>
        <v xml:space="preserve">  </v>
      </c>
      <c r="BQ242" s="218" t="str">
        <f t="shared" si="196"/>
        <v>-</v>
      </c>
      <c r="BR242" s="274"/>
      <c r="BS242" s="478" t="s">
        <v>594</v>
      </c>
      <c r="BT242" s="79"/>
      <c r="BU242" s="512"/>
      <c r="BV242" s="80" t="str">
        <f t="shared" si="186"/>
        <v xml:space="preserve">  </v>
      </c>
      <c r="BW242" s="218" t="s">
        <v>593</v>
      </c>
      <c r="BX242" s="80"/>
      <c r="BY242" s="218" t="str">
        <f t="shared" si="197"/>
        <v>-</v>
      </c>
      <c r="BZ242" s="79"/>
      <c r="CA242" s="481"/>
      <c r="CB242" s="80" t="str">
        <f t="shared" si="187"/>
        <v xml:space="preserve">  </v>
      </c>
      <c r="CC242" s="218" t="str">
        <f t="shared" si="198"/>
        <v>-</v>
      </c>
      <c r="CD242" s="274"/>
      <c r="CE242" s="92" t="str">
        <f t="shared" si="207"/>
        <v>OK</v>
      </c>
      <c r="CF242" s="79"/>
      <c r="CG242" s="481"/>
      <c r="CH242" s="80" t="str">
        <f t="shared" si="188"/>
        <v xml:space="preserve">  </v>
      </c>
      <c r="CI242" s="218" t="str">
        <f t="shared" si="199"/>
        <v>-</v>
      </c>
      <c r="CJ242" s="274"/>
      <c r="CK242" s="92" t="str">
        <f t="shared" si="208"/>
        <v>OK</v>
      </c>
      <c r="CL242" s="79"/>
      <c r="CM242" s="481"/>
      <c r="CN242" s="80" t="str">
        <f t="shared" si="189"/>
        <v xml:space="preserve">  </v>
      </c>
      <c r="CO242" s="218" t="s">
        <v>593</v>
      </c>
      <c r="CP242" s="80"/>
      <c r="CQ242" s="218" t="str">
        <f t="shared" si="200"/>
        <v>-</v>
      </c>
      <c r="CR242" s="79"/>
      <c r="CS242" s="481"/>
      <c r="CT242" s="80" t="str">
        <f t="shared" si="190"/>
        <v xml:space="preserve">  </v>
      </c>
      <c r="CU242" s="218" t="str">
        <f t="shared" si="201"/>
        <v>-</v>
      </c>
      <c r="CV242" s="274"/>
      <c r="CW242" s="92" t="s">
        <v>593</v>
      </c>
      <c r="CX242" s="79"/>
      <c r="CY242" s="481"/>
      <c r="CZ242" s="80" t="str">
        <f t="shared" si="191"/>
        <v xml:space="preserve">  </v>
      </c>
      <c r="DA242" s="218" t="str">
        <f t="shared" si="202"/>
        <v>-</v>
      </c>
      <c r="DB242" s="274"/>
      <c r="DC242" s="92" t="s">
        <v>593</v>
      </c>
    </row>
    <row r="243" spans="1:107" s="81" customFormat="1" ht="51.75" customHeight="1">
      <c r="B243" s="65">
        <f t="shared" si="192"/>
        <v>236</v>
      </c>
      <c r="C243" s="69"/>
      <c r="D243" s="69"/>
      <c r="E243" s="69"/>
      <c r="F243" s="233" t="s">
        <v>183</v>
      </c>
      <c r="G243" s="234"/>
      <c r="H243" s="235"/>
      <c r="I243" s="74"/>
      <c r="J243" s="74"/>
      <c r="K243" s="75"/>
      <c r="L243" s="75"/>
      <c r="M243" s="84" t="s">
        <v>184</v>
      </c>
      <c r="N243" s="76"/>
      <c r="O243" s="77"/>
      <c r="P243" s="95">
        <f>P242+1</f>
        <v>213</v>
      </c>
      <c r="Q243" s="119">
        <v>5</v>
      </c>
      <c r="R243" s="21" t="str">
        <f t="shared" si="210"/>
        <v>X</v>
      </c>
      <c r="S243" s="98" t="s">
        <v>185</v>
      </c>
      <c r="T243" s="106"/>
      <c r="U243" s="21" t="s">
        <v>257</v>
      </c>
      <c r="V243" s="77"/>
      <c r="W243" s="78">
        <v>3</v>
      </c>
      <c r="X243" s="56" t="s">
        <v>310</v>
      </c>
      <c r="Y243" s="56">
        <v>5</v>
      </c>
      <c r="Z243" s="56">
        <v>5</v>
      </c>
      <c r="AA243" s="74" t="s">
        <v>114</v>
      </c>
      <c r="AB243" s="74" t="s">
        <v>21</v>
      </c>
      <c r="AC243" s="85"/>
      <c r="AD243" s="79"/>
      <c r="AE243" s="487"/>
      <c r="AF243" s="80" t="str">
        <f t="shared" si="179"/>
        <v xml:space="preserve">     </v>
      </c>
      <c r="AG243" s="218" t="str">
        <f t="shared" si="203"/>
        <v>-</v>
      </c>
      <c r="AH243" s="381"/>
      <c r="AI243" s="92" t="str">
        <f t="shared" si="205"/>
        <v>OK</v>
      </c>
      <c r="AJ243" s="79"/>
      <c r="AK243" s="487"/>
      <c r="AL243" s="80" t="str">
        <f t="shared" si="180"/>
        <v xml:space="preserve">     </v>
      </c>
      <c r="AM243" s="218" t="str">
        <f t="shared" si="193"/>
        <v>-</v>
      </c>
      <c r="AN243" s="381"/>
      <c r="AO243" s="92" t="str">
        <f t="shared" si="206"/>
        <v>OK</v>
      </c>
      <c r="AP243" s="79"/>
      <c r="AQ243" s="508"/>
      <c r="AR243" s="80" t="str">
        <f t="shared" si="181"/>
        <v xml:space="preserve">     </v>
      </c>
      <c r="AS243" s="218" t="s">
        <v>593</v>
      </c>
      <c r="AT243" s="80"/>
      <c r="AU243" s="218" t="str">
        <f t="shared" si="178"/>
        <v>-</v>
      </c>
      <c r="AV243" s="79"/>
      <c r="AW243" s="487" t="s">
        <v>340</v>
      </c>
      <c r="AX243" s="80" t="str">
        <f t="shared" si="182"/>
        <v>03903</v>
      </c>
      <c r="AY243" s="218" t="str">
        <f t="shared" si="194"/>
        <v>-</v>
      </c>
      <c r="AZ243" s="381" t="s">
        <v>340</v>
      </c>
      <c r="BA243" s="478" t="s">
        <v>594</v>
      </c>
      <c r="BB243" s="79"/>
      <c r="BC243" s="487" t="s">
        <v>380</v>
      </c>
      <c r="BD243" s="80" t="str">
        <f t="shared" si="183"/>
        <v>04990</v>
      </c>
      <c r="BE243" s="218" t="str">
        <f t="shared" si="195"/>
        <v>-</v>
      </c>
      <c r="BF243" s="381" t="s">
        <v>380</v>
      </c>
      <c r="BG243" s="478" t="s">
        <v>594</v>
      </c>
      <c r="BH243" s="79"/>
      <c r="BI243" s="508" t="s">
        <v>340</v>
      </c>
      <c r="BJ243" s="80" t="str">
        <f t="shared" si="184"/>
        <v>03903</v>
      </c>
      <c r="BK243" s="218" t="s">
        <v>593</v>
      </c>
      <c r="BL243" s="381" t="s">
        <v>340</v>
      </c>
      <c r="BM243" s="478" t="s">
        <v>594</v>
      </c>
      <c r="BN243" s="79"/>
      <c r="BO243" s="487" t="s">
        <v>380</v>
      </c>
      <c r="BP243" s="80" t="str">
        <f t="shared" si="185"/>
        <v>04990</v>
      </c>
      <c r="BQ243" s="218" t="str">
        <f t="shared" si="196"/>
        <v>-</v>
      </c>
      <c r="BR243" s="381" t="s">
        <v>380</v>
      </c>
      <c r="BS243" s="478" t="s">
        <v>594</v>
      </c>
      <c r="BT243" s="79"/>
      <c r="BU243" s="508"/>
      <c r="BV243" s="80" t="str">
        <f t="shared" si="186"/>
        <v xml:space="preserve">     </v>
      </c>
      <c r="BW243" s="218" t="s">
        <v>593</v>
      </c>
      <c r="BX243" s="80"/>
      <c r="BY243" s="218" t="str">
        <f t="shared" si="197"/>
        <v>-</v>
      </c>
      <c r="BZ243" s="79"/>
      <c r="CA243" s="487"/>
      <c r="CB243" s="80" t="str">
        <f t="shared" si="187"/>
        <v xml:space="preserve">     </v>
      </c>
      <c r="CC243" s="218" t="str">
        <f t="shared" si="198"/>
        <v>-</v>
      </c>
      <c r="CD243" s="381"/>
      <c r="CE243" s="92" t="str">
        <f t="shared" si="207"/>
        <v>OK</v>
      </c>
      <c r="CF243" s="79"/>
      <c r="CG243" s="487"/>
      <c r="CH243" s="80" t="str">
        <f t="shared" si="188"/>
        <v xml:space="preserve">     </v>
      </c>
      <c r="CI243" s="218" t="str">
        <f t="shared" si="199"/>
        <v>-</v>
      </c>
      <c r="CJ243" s="381"/>
      <c r="CK243" s="92" t="str">
        <f t="shared" si="208"/>
        <v>OK</v>
      </c>
      <c r="CL243" s="79"/>
      <c r="CM243" s="487"/>
      <c r="CN243" s="80" t="str">
        <f t="shared" si="189"/>
        <v xml:space="preserve">     </v>
      </c>
      <c r="CO243" s="218" t="s">
        <v>593</v>
      </c>
      <c r="CP243" s="80"/>
      <c r="CQ243" s="218" t="str">
        <f t="shared" si="200"/>
        <v>-</v>
      </c>
      <c r="CR243" s="79"/>
      <c r="CS243" s="487"/>
      <c r="CT243" s="80" t="str">
        <f t="shared" si="190"/>
        <v xml:space="preserve">     </v>
      </c>
      <c r="CU243" s="218" t="str">
        <f t="shared" si="201"/>
        <v>-</v>
      </c>
      <c r="CV243" s="381"/>
      <c r="CW243" s="92" t="s">
        <v>593</v>
      </c>
      <c r="CX243" s="79"/>
      <c r="CY243" s="487"/>
      <c r="CZ243" s="80" t="str">
        <f t="shared" si="191"/>
        <v xml:space="preserve">     </v>
      </c>
      <c r="DA243" s="218" t="str">
        <f t="shared" si="202"/>
        <v>-</v>
      </c>
      <c r="DB243" s="381"/>
      <c r="DC243" s="92" t="s">
        <v>593</v>
      </c>
    </row>
    <row r="244" spans="1:107" s="81" customFormat="1" ht="51.75" customHeight="1">
      <c r="B244" s="65">
        <f t="shared" si="192"/>
        <v>237</v>
      </c>
      <c r="C244" s="69"/>
      <c r="D244" s="69"/>
      <c r="E244" s="69"/>
      <c r="F244" s="233" t="s">
        <v>186</v>
      </c>
      <c r="G244" s="234"/>
      <c r="H244" s="235"/>
      <c r="I244" s="74"/>
      <c r="J244" s="74"/>
      <c r="K244" s="75"/>
      <c r="L244" s="75"/>
      <c r="M244" s="84" t="s">
        <v>187</v>
      </c>
      <c r="N244" s="76"/>
      <c r="O244" s="77"/>
      <c r="P244" s="95">
        <f>P243+1</f>
        <v>214</v>
      </c>
      <c r="Q244" s="119">
        <v>64</v>
      </c>
      <c r="R244" s="21" t="str">
        <f>IF(AA244="M","NX",AA244)</f>
        <v>NX</v>
      </c>
      <c r="S244" s="98" t="s">
        <v>188</v>
      </c>
      <c r="T244" s="106"/>
      <c r="U244" s="21" t="s">
        <v>257</v>
      </c>
      <c r="V244" s="77" t="s">
        <v>311</v>
      </c>
      <c r="W244" s="78">
        <v>3</v>
      </c>
      <c r="X244" s="56" t="s">
        <v>312</v>
      </c>
      <c r="Y244" s="56">
        <v>1</v>
      </c>
      <c r="Z244" s="56">
        <v>64</v>
      </c>
      <c r="AA244" s="74" t="s">
        <v>300</v>
      </c>
      <c r="AB244" s="74" t="s">
        <v>21</v>
      </c>
      <c r="AC244" s="85" t="s">
        <v>311</v>
      </c>
      <c r="AD244" s="79"/>
      <c r="AE244" s="487"/>
      <c r="AF244" s="80" t="str">
        <f t="shared" si="179"/>
        <v xml:space="preserve">                                                                </v>
      </c>
      <c r="AG244" s="218" t="str">
        <f t="shared" si="203"/>
        <v>-</v>
      </c>
      <c r="AH244" s="381"/>
      <c r="AI244" s="92" t="str">
        <f t="shared" si="205"/>
        <v>OK</v>
      </c>
      <c r="AJ244" s="79"/>
      <c r="AK244" s="487"/>
      <c r="AL244" s="80" t="str">
        <f t="shared" si="180"/>
        <v xml:space="preserve">                                                                </v>
      </c>
      <c r="AM244" s="218" t="str">
        <f t="shared" si="193"/>
        <v>-</v>
      </c>
      <c r="AN244" s="381"/>
      <c r="AO244" s="92" t="str">
        <f t="shared" si="206"/>
        <v>OK</v>
      </c>
      <c r="AP244" s="79"/>
      <c r="AQ244" s="508"/>
      <c r="AR244" s="80" t="str">
        <f t="shared" si="181"/>
        <v xml:space="preserve">                                                                </v>
      </c>
      <c r="AS244" s="218" t="s">
        <v>593</v>
      </c>
      <c r="AT244" s="80"/>
      <c r="AU244" s="218" t="str">
        <f t="shared" si="178"/>
        <v>-</v>
      </c>
      <c r="AV244" s="79"/>
      <c r="AW244" s="487" t="s">
        <v>328</v>
      </c>
      <c r="AX244" s="80" t="str">
        <f t="shared" si="182"/>
        <v xml:space="preserve">株式会社ＳＴＮｅｔ                                              </v>
      </c>
      <c r="AY244" s="218" t="str">
        <f t="shared" si="194"/>
        <v>-</v>
      </c>
      <c r="AZ244" s="381" t="s">
        <v>328</v>
      </c>
      <c r="BA244" s="478" t="s">
        <v>594</v>
      </c>
      <c r="BB244" s="79"/>
      <c r="BC244" s="487" t="s">
        <v>381</v>
      </c>
      <c r="BD244" s="80" t="str">
        <f t="shared" si="183"/>
        <v xml:space="preserve">Ｗｉｍａｘ                                                      </v>
      </c>
      <c r="BE244" s="218" t="str">
        <f t="shared" si="195"/>
        <v>-</v>
      </c>
      <c r="BF244" s="381" t="s">
        <v>381</v>
      </c>
      <c r="BG244" s="478" t="s">
        <v>594</v>
      </c>
      <c r="BH244" s="79"/>
      <c r="BI244" s="508" t="s">
        <v>740</v>
      </c>
      <c r="BJ244" s="80" t="str">
        <f t="shared" si="184"/>
        <v xml:space="preserve">株式会社ＳＴＮｅｔ                                              </v>
      </c>
      <c r="BK244" s="218" t="s">
        <v>593</v>
      </c>
      <c r="BL244" s="381" t="s">
        <v>328</v>
      </c>
      <c r="BM244" s="478" t="s">
        <v>594</v>
      </c>
      <c r="BN244" s="79"/>
      <c r="BO244" s="487" t="s">
        <v>381</v>
      </c>
      <c r="BP244" s="80" t="str">
        <f t="shared" si="185"/>
        <v xml:space="preserve">Ｗｉｍａｘ                                                      </v>
      </c>
      <c r="BQ244" s="218" t="str">
        <f t="shared" si="196"/>
        <v>-</v>
      </c>
      <c r="BR244" s="381" t="s">
        <v>381</v>
      </c>
      <c r="BS244" s="478" t="s">
        <v>594</v>
      </c>
      <c r="BT244" s="79"/>
      <c r="BU244" s="508"/>
      <c r="BV244" s="80" t="str">
        <f t="shared" si="186"/>
        <v xml:space="preserve">                                                                </v>
      </c>
      <c r="BW244" s="218" t="s">
        <v>593</v>
      </c>
      <c r="BX244" s="80"/>
      <c r="BY244" s="218" t="str">
        <f t="shared" si="197"/>
        <v>-</v>
      </c>
      <c r="BZ244" s="79"/>
      <c r="CA244" s="487"/>
      <c r="CB244" s="80" t="str">
        <f t="shared" si="187"/>
        <v xml:space="preserve">                                                                </v>
      </c>
      <c r="CC244" s="218" t="str">
        <f t="shared" si="198"/>
        <v>-</v>
      </c>
      <c r="CD244" s="381"/>
      <c r="CE244" s="92" t="str">
        <f t="shared" si="207"/>
        <v>OK</v>
      </c>
      <c r="CF244" s="79"/>
      <c r="CG244" s="487"/>
      <c r="CH244" s="80" t="str">
        <f t="shared" si="188"/>
        <v xml:space="preserve">                                                                </v>
      </c>
      <c r="CI244" s="218" t="str">
        <f t="shared" si="199"/>
        <v>-</v>
      </c>
      <c r="CJ244" s="381"/>
      <c r="CK244" s="92" t="str">
        <f t="shared" si="208"/>
        <v>OK</v>
      </c>
      <c r="CL244" s="79"/>
      <c r="CM244" s="487"/>
      <c r="CN244" s="80" t="str">
        <f t="shared" si="189"/>
        <v xml:space="preserve">                                                                </v>
      </c>
      <c r="CO244" s="218" t="s">
        <v>593</v>
      </c>
      <c r="CP244" s="80"/>
      <c r="CQ244" s="218" t="str">
        <f t="shared" si="200"/>
        <v>-</v>
      </c>
      <c r="CR244" s="79"/>
      <c r="CS244" s="487"/>
      <c r="CT244" s="80" t="str">
        <f t="shared" si="190"/>
        <v xml:space="preserve">                                                                </v>
      </c>
      <c r="CU244" s="218" t="str">
        <f t="shared" si="201"/>
        <v>-</v>
      </c>
      <c r="CV244" s="381"/>
      <c r="CW244" s="92" t="s">
        <v>593</v>
      </c>
      <c r="CX244" s="79"/>
      <c r="CY244" s="487"/>
      <c r="CZ244" s="80" t="str">
        <f t="shared" si="191"/>
        <v xml:space="preserve">                                                                </v>
      </c>
      <c r="DA244" s="218" t="str">
        <f t="shared" si="202"/>
        <v>-</v>
      </c>
      <c r="DB244" s="381"/>
      <c r="DC244" s="92" t="s">
        <v>593</v>
      </c>
    </row>
    <row r="245" spans="1:107" s="81" customFormat="1" ht="92.25" customHeight="1">
      <c r="B245" s="65">
        <f t="shared" si="192"/>
        <v>238</v>
      </c>
      <c r="C245" s="69"/>
      <c r="D245" s="69"/>
      <c r="E245" s="69"/>
      <c r="F245" s="82" t="s">
        <v>356</v>
      </c>
      <c r="G245" s="14"/>
      <c r="H245" s="83"/>
      <c r="I245" s="74"/>
      <c r="J245" s="74"/>
      <c r="K245" s="75"/>
      <c r="L245" s="75"/>
      <c r="M245" s="84" t="s">
        <v>222</v>
      </c>
      <c r="N245" s="76"/>
      <c r="O245" s="77"/>
      <c r="P245" s="95">
        <f>P244+1</f>
        <v>215</v>
      </c>
      <c r="Q245" s="119">
        <v>7</v>
      </c>
      <c r="R245" s="21" t="s">
        <v>261</v>
      </c>
      <c r="S245" s="98" t="s">
        <v>313</v>
      </c>
      <c r="T245" s="106"/>
      <c r="U245" s="21" t="s">
        <v>257</v>
      </c>
      <c r="V245" s="77"/>
      <c r="W245" s="78">
        <v>3</v>
      </c>
      <c r="X245" s="56" t="s">
        <v>314</v>
      </c>
      <c r="Y245" s="56">
        <v>7</v>
      </c>
      <c r="Z245" s="56">
        <v>7</v>
      </c>
      <c r="AA245" s="74" t="s">
        <v>261</v>
      </c>
      <c r="AB245" s="74" t="s">
        <v>21</v>
      </c>
      <c r="AC245" s="85"/>
      <c r="AD245" s="79"/>
      <c r="AE245" s="481"/>
      <c r="AF245" s="80" t="str">
        <f t="shared" si="179"/>
        <v xml:space="preserve">       </v>
      </c>
      <c r="AG245" s="218" t="str">
        <f t="shared" si="203"/>
        <v>-</v>
      </c>
      <c r="AH245" s="274"/>
      <c r="AI245" s="406" t="str">
        <f t="shared" si="205"/>
        <v>OK</v>
      </c>
      <c r="AJ245" s="79"/>
      <c r="AK245" s="481"/>
      <c r="AL245" s="80" t="str">
        <f t="shared" si="180"/>
        <v xml:space="preserve">       </v>
      </c>
      <c r="AM245" s="218" t="str">
        <f t="shared" si="193"/>
        <v>-</v>
      </c>
      <c r="AN245" s="274"/>
      <c r="AO245" s="406" t="str">
        <f t="shared" si="206"/>
        <v>OK</v>
      </c>
      <c r="AP245" s="79"/>
      <c r="AQ245" s="512"/>
      <c r="AR245" s="80" t="str">
        <f t="shared" si="181"/>
        <v xml:space="preserve">       </v>
      </c>
      <c r="AS245" s="218" t="s">
        <v>593</v>
      </c>
      <c r="AT245" s="80"/>
      <c r="AU245" s="218" t="str">
        <f t="shared" si="178"/>
        <v>-</v>
      </c>
      <c r="AV245" s="79"/>
      <c r="AW245" s="481"/>
      <c r="AX245" s="80" t="str">
        <f t="shared" si="182"/>
        <v xml:space="preserve">       </v>
      </c>
      <c r="AY245" s="218" t="str">
        <f t="shared" si="194"/>
        <v>-</v>
      </c>
      <c r="AZ245" s="274"/>
      <c r="BA245" s="478" t="s">
        <v>594</v>
      </c>
      <c r="BB245" s="79"/>
      <c r="BC245" s="481"/>
      <c r="BD245" s="80" t="str">
        <f t="shared" si="183"/>
        <v xml:space="preserve">       </v>
      </c>
      <c r="BE245" s="218" t="str">
        <f t="shared" si="195"/>
        <v>-</v>
      </c>
      <c r="BF245" s="274"/>
      <c r="BG245" s="478" t="s">
        <v>594</v>
      </c>
      <c r="BH245" s="79"/>
      <c r="BI245" s="508" t="s">
        <v>705</v>
      </c>
      <c r="BJ245" s="80" t="str">
        <f t="shared" si="184"/>
        <v xml:space="preserve">       </v>
      </c>
      <c r="BK245" s="218" t="s">
        <v>593</v>
      </c>
      <c r="BL245" s="274"/>
      <c r="BM245" s="478" t="s">
        <v>594</v>
      </c>
      <c r="BN245" s="79"/>
      <c r="BO245" s="481"/>
      <c r="BP245" s="80" t="str">
        <f t="shared" si="185"/>
        <v xml:space="preserve">       </v>
      </c>
      <c r="BQ245" s="218" t="str">
        <f t="shared" si="196"/>
        <v>-</v>
      </c>
      <c r="BR245" s="274"/>
      <c r="BS245" s="478" t="s">
        <v>594</v>
      </c>
      <c r="BT245" s="79"/>
      <c r="BU245" s="512"/>
      <c r="BV245" s="80" t="str">
        <f t="shared" si="186"/>
        <v xml:space="preserve">       </v>
      </c>
      <c r="BW245" s="218" t="s">
        <v>593</v>
      </c>
      <c r="BX245" s="80"/>
      <c r="BY245" s="218" t="str">
        <f t="shared" si="197"/>
        <v>-</v>
      </c>
      <c r="BZ245" s="79"/>
      <c r="CA245" s="481"/>
      <c r="CB245" s="80" t="str">
        <f t="shared" si="187"/>
        <v xml:space="preserve">       </v>
      </c>
      <c r="CC245" s="218" t="str">
        <f t="shared" si="198"/>
        <v>-</v>
      </c>
      <c r="CD245" s="274"/>
      <c r="CE245" s="406" t="str">
        <f t="shared" si="207"/>
        <v>OK</v>
      </c>
      <c r="CF245" s="79"/>
      <c r="CG245" s="481"/>
      <c r="CH245" s="80" t="str">
        <f t="shared" si="188"/>
        <v xml:space="preserve">       </v>
      </c>
      <c r="CI245" s="218" t="str">
        <f t="shared" si="199"/>
        <v>-</v>
      </c>
      <c r="CJ245" s="274"/>
      <c r="CK245" s="406" t="str">
        <f t="shared" si="208"/>
        <v>OK</v>
      </c>
      <c r="CL245" s="79"/>
      <c r="CM245" s="481"/>
      <c r="CN245" s="80" t="str">
        <f t="shared" si="189"/>
        <v xml:space="preserve">       </v>
      </c>
      <c r="CO245" s="218" t="s">
        <v>593</v>
      </c>
      <c r="CP245" s="80"/>
      <c r="CQ245" s="218" t="str">
        <f t="shared" si="200"/>
        <v>-</v>
      </c>
      <c r="CR245" s="79"/>
      <c r="CS245" s="481"/>
      <c r="CT245" s="80" t="str">
        <f t="shared" si="190"/>
        <v xml:space="preserve">       </v>
      </c>
      <c r="CU245" s="218" t="str">
        <f t="shared" si="201"/>
        <v>-</v>
      </c>
      <c r="CV245" s="274"/>
      <c r="CW245" s="92" t="s">
        <v>593</v>
      </c>
      <c r="CX245" s="79"/>
      <c r="CY245" s="481"/>
      <c r="CZ245" s="80" t="str">
        <f t="shared" si="191"/>
        <v xml:space="preserve">       </v>
      </c>
      <c r="DA245" s="218" t="str">
        <f t="shared" si="202"/>
        <v>-</v>
      </c>
      <c r="DB245" s="274"/>
      <c r="DC245" s="92" t="s">
        <v>593</v>
      </c>
    </row>
    <row r="246" spans="1:107" s="81" customFormat="1" ht="127.9" thickBot="1">
      <c r="A246" s="221"/>
      <c r="B246" s="243">
        <f t="shared" si="192"/>
        <v>239</v>
      </c>
      <c r="C246" s="244"/>
      <c r="D246" s="244"/>
      <c r="E246" s="244"/>
      <c r="F246" s="246" t="s">
        <v>315</v>
      </c>
      <c r="G246" s="247"/>
      <c r="H246" s="248"/>
      <c r="I246" s="249"/>
      <c r="J246" s="249"/>
      <c r="K246" s="249"/>
      <c r="L246" s="249"/>
      <c r="M246" s="392" t="s">
        <v>357</v>
      </c>
      <c r="N246" s="399"/>
      <c r="O246" s="400"/>
      <c r="P246" s="279">
        <f>P245+1</f>
        <v>216</v>
      </c>
      <c r="Q246" s="410">
        <v>1</v>
      </c>
      <c r="R246" s="37">
        <v>9</v>
      </c>
      <c r="S246" s="410" t="s">
        <v>316</v>
      </c>
      <c r="T246" s="142"/>
      <c r="U246" s="141" t="s">
        <v>257</v>
      </c>
      <c r="V246" s="238"/>
      <c r="W246" s="191" t="str">
        <f>IF(C246&lt;&gt;"","0",IF(D246&lt;&gt;"","1",IF(E246&lt;&gt;"","2",IF(F246&lt;&gt;"","3",IF(G246&lt;&gt;"","4",IF(H246&lt;&gt;"","5"))))))</f>
        <v>3</v>
      </c>
      <c r="X246" s="144" t="s">
        <v>317</v>
      </c>
      <c r="Y246" s="144">
        <v>1</v>
      </c>
      <c r="Z246" s="144">
        <v>1</v>
      </c>
      <c r="AA246" s="239">
        <v>9</v>
      </c>
      <c r="AB246" s="137" t="s">
        <v>257</v>
      </c>
      <c r="AC246" s="240"/>
      <c r="AD246" s="216"/>
      <c r="AE246" s="396"/>
      <c r="AF246" s="217" t="str">
        <f t="shared" si="179"/>
        <v xml:space="preserve"> </v>
      </c>
      <c r="AG246" s="231" t="str">
        <f t="shared" si="203"/>
        <v>-</v>
      </c>
      <c r="AH246" s="383"/>
      <c r="AI246" s="395" t="str">
        <f t="shared" si="205"/>
        <v>OK</v>
      </c>
      <c r="AJ246" s="216"/>
      <c r="AK246" s="396"/>
      <c r="AL246" s="217" t="str">
        <f t="shared" si="180"/>
        <v xml:space="preserve"> </v>
      </c>
      <c r="AM246" s="231" t="str">
        <f t="shared" si="193"/>
        <v>-</v>
      </c>
      <c r="AN246" s="396"/>
      <c r="AO246" s="395" t="str">
        <f t="shared" si="206"/>
        <v>OK</v>
      </c>
      <c r="AP246" s="216"/>
      <c r="AQ246" s="509"/>
      <c r="AR246" s="217" t="str">
        <f t="shared" si="181"/>
        <v xml:space="preserve"> </v>
      </c>
      <c r="AS246" s="231" t="s">
        <v>593</v>
      </c>
      <c r="AT246" s="217"/>
      <c r="AU246" s="231" t="str">
        <f t="shared" si="178"/>
        <v>-</v>
      </c>
      <c r="AV246" s="216"/>
      <c r="AW246" s="396" t="s">
        <v>33</v>
      </c>
      <c r="AX246" s="217" t="str">
        <f t="shared" si="182"/>
        <v>1</v>
      </c>
      <c r="AY246" s="231" t="str">
        <f t="shared" si="194"/>
        <v>-</v>
      </c>
      <c r="AZ246" s="396" t="s">
        <v>33</v>
      </c>
      <c r="BA246" s="479" t="s">
        <v>245</v>
      </c>
      <c r="BB246" s="216"/>
      <c r="BC246" s="396" t="s">
        <v>33</v>
      </c>
      <c r="BD246" s="217" t="str">
        <f t="shared" si="183"/>
        <v>1</v>
      </c>
      <c r="BE246" s="231" t="str">
        <f t="shared" si="195"/>
        <v>-</v>
      </c>
      <c r="BF246" s="396" t="s">
        <v>33</v>
      </c>
      <c r="BG246" s="479" t="s">
        <v>245</v>
      </c>
      <c r="BH246" s="216"/>
      <c r="BI246" s="509" t="s">
        <v>33</v>
      </c>
      <c r="BJ246" s="217" t="str">
        <f t="shared" si="184"/>
        <v>1</v>
      </c>
      <c r="BK246" s="231" t="s">
        <v>593</v>
      </c>
      <c r="BL246" s="396" t="s">
        <v>33</v>
      </c>
      <c r="BM246" s="479" t="s">
        <v>245</v>
      </c>
      <c r="BN246" s="216"/>
      <c r="BO246" s="396" t="s">
        <v>33</v>
      </c>
      <c r="BP246" s="217" t="str">
        <f t="shared" si="185"/>
        <v>1</v>
      </c>
      <c r="BQ246" s="231" t="str">
        <f t="shared" si="196"/>
        <v>-</v>
      </c>
      <c r="BR246" s="396" t="s">
        <v>33</v>
      </c>
      <c r="BS246" s="479" t="s">
        <v>245</v>
      </c>
      <c r="BT246" s="216"/>
      <c r="BU246" s="509"/>
      <c r="BV246" s="217" t="str">
        <f t="shared" si="186"/>
        <v xml:space="preserve"> </v>
      </c>
      <c r="BW246" s="231" t="s">
        <v>593</v>
      </c>
      <c r="BX246" s="217"/>
      <c r="BY246" s="231" t="str">
        <f t="shared" si="197"/>
        <v>-</v>
      </c>
      <c r="BZ246" s="216"/>
      <c r="CA246" s="396"/>
      <c r="CB246" s="217" t="str">
        <f t="shared" si="187"/>
        <v xml:space="preserve"> </v>
      </c>
      <c r="CC246" s="231" t="str">
        <f t="shared" si="198"/>
        <v>-</v>
      </c>
      <c r="CD246" s="396"/>
      <c r="CE246" s="395" t="str">
        <f t="shared" si="207"/>
        <v>OK</v>
      </c>
      <c r="CF246" s="216"/>
      <c r="CG246" s="396"/>
      <c r="CH246" s="217" t="str">
        <f t="shared" si="188"/>
        <v xml:space="preserve"> </v>
      </c>
      <c r="CI246" s="231" t="str">
        <f t="shared" si="199"/>
        <v>-</v>
      </c>
      <c r="CJ246" s="396"/>
      <c r="CK246" s="395" t="str">
        <f t="shared" si="208"/>
        <v>OK</v>
      </c>
      <c r="CL246" s="216"/>
      <c r="CM246" s="396"/>
      <c r="CN246" s="217" t="str">
        <f t="shared" si="189"/>
        <v xml:space="preserve"> </v>
      </c>
      <c r="CO246" s="231" t="s">
        <v>593</v>
      </c>
      <c r="CP246" s="217"/>
      <c r="CQ246" s="231" t="str">
        <f t="shared" si="200"/>
        <v>-</v>
      </c>
      <c r="CR246" s="216"/>
      <c r="CS246" s="396"/>
      <c r="CT246" s="217" t="str">
        <f t="shared" si="190"/>
        <v xml:space="preserve"> </v>
      </c>
      <c r="CU246" s="231" t="str">
        <f t="shared" si="201"/>
        <v>-</v>
      </c>
      <c r="CV246" s="396"/>
      <c r="CW246" s="395" t="s">
        <v>593</v>
      </c>
      <c r="CX246" s="216"/>
      <c r="CY246" s="396"/>
      <c r="CZ246" s="217" t="str">
        <f t="shared" si="191"/>
        <v xml:space="preserve"> </v>
      </c>
      <c r="DA246" s="231" t="str">
        <f t="shared" si="202"/>
        <v>-</v>
      </c>
      <c r="DB246" s="396"/>
      <c r="DC246" s="395" t="s">
        <v>593</v>
      </c>
    </row>
    <row r="247" spans="1:107" s="26" customFormat="1" ht="18.75" customHeight="1" thickTop="1">
      <c r="B247" s="2">
        <f t="shared" si="192"/>
        <v>240</v>
      </c>
      <c r="C247" s="253"/>
      <c r="D247" s="253"/>
      <c r="E247" s="254" t="s">
        <v>439</v>
      </c>
      <c r="F247" s="254"/>
      <c r="G247" s="254"/>
      <c r="H247" s="87"/>
      <c r="I247" s="88" t="s">
        <v>31</v>
      </c>
      <c r="J247" s="88" t="s">
        <v>426</v>
      </c>
      <c r="K247" s="88"/>
      <c r="L247" s="88"/>
      <c r="M247" s="89" t="s">
        <v>352</v>
      </c>
      <c r="N247" s="287"/>
      <c r="O247" s="288"/>
      <c r="P247" s="183"/>
      <c r="Q247" s="121"/>
      <c r="R247" s="107"/>
      <c r="S247" s="289"/>
      <c r="T247" s="287"/>
      <c r="U247" s="107"/>
      <c r="V247" s="290"/>
      <c r="W247" s="25" t="str">
        <f>IF(C247&lt;&gt;"","0",IF(D247&lt;&gt;"","1",IF(E247&lt;&gt;"","2",IF(F247&lt;&gt;"","3",IF(G247&lt;&gt;"","4",IF(H247&lt;&gt;"","5"))))))</f>
        <v>2</v>
      </c>
      <c r="X247" s="1" t="s">
        <v>122</v>
      </c>
      <c r="Y247" s="1"/>
      <c r="Z247" s="1"/>
      <c r="AA247" s="8"/>
      <c r="AB247" s="8" t="s">
        <v>257</v>
      </c>
      <c r="AC247" s="63"/>
      <c r="AD247" s="60"/>
      <c r="AE247" s="169"/>
      <c r="AF247" s="61" t="str">
        <f t="shared" si="179"/>
        <v/>
      </c>
      <c r="AG247" s="218" t="str">
        <f t="shared" ref="AG247:AG276" si="211">IF(OR(AE$8="判定対象外",AF$8="判定対象外",AF247="-"),"-",IF(AE247=AF247,"OK","NG"))</f>
        <v>-</v>
      </c>
      <c r="AH247" s="169"/>
      <c r="AI247" s="92" t="str">
        <f>IF(EXACT(AE247,AH247),"OK","NG")</f>
        <v>OK</v>
      </c>
      <c r="AJ247" s="60"/>
      <c r="AK247" s="169"/>
      <c r="AL247" s="61" t="str">
        <f t="shared" si="180"/>
        <v/>
      </c>
      <c r="AM247" s="218" t="str">
        <f t="shared" si="193"/>
        <v>-</v>
      </c>
      <c r="AN247" s="169"/>
      <c r="AO247" s="92" t="str">
        <f>IF(EXACT(AK247,AN247),"OK","NG")</f>
        <v>OK</v>
      </c>
      <c r="AP247" s="60"/>
      <c r="AQ247" s="172"/>
      <c r="AR247" s="61" t="str">
        <f t="shared" si="181"/>
        <v/>
      </c>
      <c r="AS247" s="218" t="s">
        <v>593</v>
      </c>
      <c r="AT247" s="61"/>
      <c r="AU247" s="218" t="str">
        <f t="shared" si="178"/>
        <v>-</v>
      </c>
      <c r="AV247" s="60"/>
      <c r="AW247" s="169"/>
      <c r="AX247" s="61" t="str">
        <f t="shared" si="182"/>
        <v/>
      </c>
      <c r="AY247" s="218" t="str">
        <f t="shared" si="194"/>
        <v>-</v>
      </c>
      <c r="AZ247" s="169"/>
      <c r="BA247" s="92" t="str">
        <f>IF(EXACT(AW247,AZ247),"OK","NG")</f>
        <v>OK</v>
      </c>
      <c r="BB247" s="60"/>
      <c r="BC247" s="169"/>
      <c r="BD247" s="61" t="str">
        <f t="shared" si="183"/>
        <v/>
      </c>
      <c r="BE247" s="218" t="str">
        <f t="shared" si="195"/>
        <v>-</v>
      </c>
      <c r="BF247" s="169"/>
      <c r="BG247" s="92" t="str">
        <f>IF(EXACT(BC247,BF247),"OK","NG")</f>
        <v>OK</v>
      </c>
      <c r="BH247" s="60"/>
      <c r="BI247" s="172"/>
      <c r="BJ247" s="61" t="str">
        <f t="shared" si="184"/>
        <v/>
      </c>
      <c r="BK247" s="218" t="s">
        <v>593</v>
      </c>
      <c r="BL247" s="169"/>
      <c r="BM247" s="92" t="str">
        <f>IF(EXACT(BI247,BL247),"OK","NG")</f>
        <v>OK</v>
      </c>
      <c r="BN247" s="60"/>
      <c r="BO247" s="169"/>
      <c r="BP247" s="61" t="str">
        <f t="shared" si="185"/>
        <v/>
      </c>
      <c r="BQ247" s="218" t="str">
        <f t="shared" si="196"/>
        <v>-</v>
      </c>
      <c r="BR247" s="169"/>
      <c r="BS247" s="92" t="str">
        <f>IF(EXACT(BO247,BR247),"OK","NG")</f>
        <v>OK</v>
      </c>
      <c r="BT247" s="60"/>
      <c r="BU247" s="172"/>
      <c r="BV247" s="61" t="str">
        <f t="shared" si="186"/>
        <v/>
      </c>
      <c r="BW247" s="218" t="s">
        <v>593</v>
      </c>
      <c r="BX247" s="61"/>
      <c r="BY247" s="218" t="str">
        <f t="shared" si="197"/>
        <v>-</v>
      </c>
      <c r="BZ247" s="60"/>
      <c r="CA247" s="169"/>
      <c r="CB247" s="61" t="str">
        <f t="shared" si="187"/>
        <v/>
      </c>
      <c r="CC247" s="218" t="str">
        <f t="shared" si="198"/>
        <v>-</v>
      </c>
      <c r="CD247" s="169"/>
      <c r="CE247" s="92" t="str">
        <f>IF(EXACT(CA247,CD247),"OK","NG")</f>
        <v>OK</v>
      </c>
      <c r="CF247" s="60"/>
      <c r="CG247" s="169"/>
      <c r="CH247" s="61" t="str">
        <f t="shared" si="188"/>
        <v/>
      </c>
      <c r="CI247" s="218" t="str">
        <f t="shared" si="199"/>
        <v>-</v>
      </c>
      <c r="CJ247" s="169"/>
      <c r="CK247" s="92" t="str">
        <f>IF(EXACT(CG247,CJ247),"OK","NG")</f>
        <v>OK</v>
      </c>
      <c r="CL247" s="60"/>
      <c r="CM247" s="169"/>
      <c r="CN247" s="61" t="str">
        <f t="shared" si="189"/>
        <v/>
      </c>
      <c r="CO247" s="218" t="s">
        <v>593</v>
      </c>
      <c r="CP247" s="61"/>
      <c r="CQ247" s="218" t="str">
        <f t="shared" si="200"/>
        <v>-</v>
      </c>
      <c r="CR247" s="60"/>
      <c r="CS247" s="169"/>
      <c r="CT247" s="61" t="str">
        <f t="shared" si="190"/>
        <v/>
      </c>
      <c r="CU247" s="218" t="str">
        <f t="shared" si="201"/>
        <v>-</v>
      </c>
      <c r="CV247" s="169"/>
      <c r="CW247" s="92" t="s">
        <v>593</v>
      </c>
      <c r="CX247" s="60"/>
      <c r="CY247" s="169"/>
      <c r="CZ247" s="61" t="str">
        <f t="shared" si="191"/>
        <v/>
      </c>
      <c r="DA247" s="218" t="str">
        <f t="shared" si="202"/>
        <v>-</v>
      </c>
      <c r="DB247" s="169"/>
      <c r="DC247" s="92" t="s">
        <v>593</v>
      </c>
    </row>
    <row r="248" spans="1:107" s="26" customFormat="1" ht="63.75">
      <c r="B248" s="2">
        <f t="shared" si="192"/>
        <v>241</v>
      </c>
      <c r="C248" s="129"/>
      <c r="D248" s="7"/>
      <c r="E248" s="7"/>
      <c r="F248" s="112" t="s">
        <v>92</v>
      </c>
      <c r="G248" s="16"/>
      <c r="H248" s="13"/>
      <c r="I248" s="6"/>
      <c r="J248" s="6"/>
      <c r="K248" s="6"/>
      <c r="L248" s="8"/>
      <c r="M248" s="23" t="s">
        <v>296</v>
      </c>
      <c r="N248" s="1"/>
      <c r="O248" s="57"/>
      <c r="P248" s="95">
        <f>P246+1</f>
        <v>217</v>
      </c>
      <c r="Q248" s="117">
        <v>2</v>
      </c>
      <c r="R248" s="21" t="str">
        <f t="shared" ref="R248:R254" si="212">IF(AA248="M","NX",AA248)</f>
        <v>X</v>
      </c>
      <c r="S248" s="98" t="s">
        <v>440</v>
      </c>
      <c r="T248" s="96"/>
      <c r="U248" s="21" t="s">
        <v>435</v>
      </c>
      <c r="V248" s="118" t="s">
        <v>199</v>
      </c>
      <c r="W248" s="25" t="str">
        <f>IF(C248&lt;&gt;"","0",IF(D248&lt;&gt;"","1",IF(E248&lt;&gt;"","2",IF(F248&lt;&gt;"","3",IF(G248&lt;&gt;"","4",IF(H248&lt;&gt;"","5"))))))</f>
        <v>3</v>
      </c>
      <c r="X248" s="5" t="s">
        <v>297</v>
      </c>
      <c r="Y248" s="58">
        <v>2</v>
      </c>
      <c r="Z248" s="58">
        <v>2</v>
      </c>
      <c r="AA248" s="59" t="s">
        <v>114</v>
      </c>
      <c r="AB248" s="59" t="s">
        <v>21</v>
      </c>
      <c r="AC248" s="12"/>
      <c r="AD248" s="60"/>
      <c r="AE248" s="174"/>
      <c r="AF248" s="273" t="str">
        <f t="shared" si="179"/>
        <v xml:space="preserve">  </v>
      </c>
      <c r="AG248" s="218" t="str">
        <f t="shared" si="211"/>
        <v>-</v>
      </c>
      <c r="AH248" s="174"/>
      <c r="AI248" s="92" t="str">
        <f>IF(EXACT(AE248,AH248),"OK","NG")</f>
        <v>OK</v>
      </c>
      <c r="AJ248" s="60"/>
      <c r="AK248" s="174"/>
      <c r="AL248" s="273" t="str">
        <f t="shared" si="180"/>
        <v xml:space="preserve">  </v>
      </c>
      <c r="AM248" s="218" t="str">
        <f t="shared" si="193"/>
        <v>-</v>
      </c>
      <c r="AN248" s="174"/>
      <c r="AO248" s="92" t="str">
        <f>IF(EXACT(AK248,AN248),"OK","NG")</f>
        <v>OK</v>
      </c>
      <c r="AP248" s="60"/>
      <c r="AQ248" s="170"/>
      <c r="AR248" s="273" t="str">
        <f t="shared" si="181"/>
        <v xml:space="preserve">  </v>
      </c>
      <c r="AS248" s="218" t="s">
        <v>593</v>
      </c>
      <c r="AT248" s="273"/>
      <c r="AU248" s="218" t="str">
        <f t="shared" si="178"/>
        <v>-</v>
      </c>
      <c r="AV248" s="60"/>
      <c r="AW248" s="174" t="s">
        <v>102</v>
      </c>
      <c r="AX248" s="273" t="str">
        <f t="shared" si="182"/>
        <v>01</v>
      </c>
      <c r="AY248" s="218" t="str">
        <f t="shared" si="194"/>
        <v>-</v>
      </c>
      <c r="AZ248" s="174" t="s">
        <v>102</v>
      </c>
      <c r="BA248" s="478" t="s">
        <v>594</v>
      </c>
      <c r="BB248" s="60"/>
      <c r="BC248" s="174" t="s">
        <v>102</v>
      </c>
      <c r="BD248" s="273" t="str">
        <f t="shared" si="183"/>
        <v>01</v>
      </c>
      <c r="BE248" s="218" t="str">
        <f t="shared" si="195"/>
        <v>-</v>
      </c>
      <c r="BF248" s="174" t="s">
        <v>102</v>
      </c>
      <c r="BG248" s="478" t="s">
        <v>594</v>
      </c>
      <c r="BH248" s="60"/>
      <c r="BI248" s="170" t="s">
        <v>102</v>
      </c>
      <c r="BJ248" s="273" t="str">
        <f t="shared" si="184"/>
        <v>01</v>
      </c>
      <c r="BK248" s="218" t="s">
        <v>593</v>
      </c>
      <c r="BL248" s="174" t="s">
        <v>102</v>
      </c>
      <c r="BM248" s="478" t="s">
        <v>594</v>
      </c>
      <c r="BN248" s="60"/>
      <c r="BO248" s="174" t="s">
        <v>102</v>
      </c>
      <c r="BP248" s="273" t="str">
        <f t="shared" si="185"/>
        <v>01</v>
      </c>
      <c r="BQ248" s="218" t="str">
        <f t="shared" si="196"/>
        <v>-</v>
      </c>
      <c r="BR248" s="174" t="s">
        <v>102</v>
      </c>
      <c r="BS248" s="478" t="s">
        <v>594</v>
      </c>
      <c r="BT248" s="60"/>
      <c r="BU248" s="170"/>
      <c r="BV248" s="273" t="str">
        <f t="shared" si="186"/>
        <v xml:space="preserve">  </v>
      </c>
      <c r="BW248" s="218" t="s">
        <v>593</v>
      </c>
      <c r="BX248" s="273"/>
      <c r="BY248" s="218" t="str">
        <f t="shared" si="197"/>
        <v>-</v>
      </c>
      <c r="BZ248" s="60"/>
      <c r="CA248" s="174"/>
      <c r="CB248" s="273" t="str">
        <f t="shared" si="187"/>
        <v xml:space="preserve">  </v>
      </c>
      <c r="CC248" s="218" t="str">
        <f t="shared" si="198"/>
        <v>-</v>
      </c>
      <c r="CD248" s="174"/>
      <c r="CE248" s="92" t="str">
        <f>IF(EXACT(CA248,CD248),"OK","NG")</f>
        <v>OK</v>
      </c>
      <c r="CF248" s="60"/>
      <c r="CG248" s="174"/>
      <c r="CH248" s="273" t="str">
        <f t="shared" si="188"/>
        <v xml:space="preserve">  </v>
      </c>
      <c r="CI248" s="218" t="str">
        <f t="shared" si="199"/>
        <v>-</v>
      </c>
      <c r="CJ248" s="174"/>
      <c r="CK248" s="92" t="str">
        <f>IF(EXACT(CG248,CJ248),"OK","NG")</f>
        <v>OK</v>
      </c>
      <c r="CL248" s="60"/>
      <c r="CM248" s="174"/>
      <c r="CN248" s="273" t="str">
        <f t="shared" si="189"/>
        <v xml:space="preserve">  </v>
      </c>
      <c r="CO248" s="218" t="s">
        <v>593</v>
      </c>
      <c r="CP248" s="273"/>
      <c r="CQ248" s="218" t="str">
        <f t="shared" si="200"/>
        <v>-</v>
      </c>
      <c r="CR248" s="60"/>
      <c r="CS248" s="174"/>
      <c r="CT248" s="273" t="str">
        <f t="shared" si="190"/>
        <v xml:space="preserve">  </v>
      </c>
      <c r="CU248" s="218" t="str">
        <f t="shared" si="201"/>
        <v>-</v>
      </c>
      <c r="CV248" s="174"/>
      <c r="CW248" s="92" t="s">
        <v>593</v>
      </c>
      <c r="CX248" s="60"/>
      <c r="CY248" s="174"/>
      <c r="CZ248" s="273" t="str">
        <f t="shared" si="191"/>
        <v xml:space="preserve">  </v>
      </c>
      <c r="DA248" s="218" t="str">
        <f t="shared" si="202"/>
        <v>-</v>
      </c>
      <c r="DB248" s="174"/>
      <c r="DC248" s="92" t="s">
        <v>593</v>
      </c>
    </row>
    <row r="249" spans="1:107" s="26" customFormat="1" ht="293.25">
      <c r="B249" s="2">
        <f t="shared" si="192"/>
        <v>242</v>
      </c>
      <c r="C249" s="7"/>
      <c r="D249" s="7"/>
      <c r="E249" s="7"/>
      <c r="F249" s="112" t="s">
        <v>424</v>
      </c>
      <c r="G249" s="16"/>
      <c r="H249" s="13"/>
      <c r="I249" s="8"/>
      <c r="J249" s="8" t="s">
        <v>426</v>
      </c>
      <c r="K249" s="8"/>
      <c r="L249" s="8"/>
      <c r="M249" s="414" t="s">
        <v>441</v>
      </c>
      <c r="N249" s="11"/>
      <c r="O249" s="57"/>
      <c r="P249" s="95">
        <f>P248+1</f>
        <v>218</v>
      </c>
      <c r="Q249" s="115">
        <v>2</v>
      </c>
      <c r="R249" s="21" t="str">
        <f t="shared" si="212"/>
        <v>X</v>
      </c>
      <c r="S249" s="98" t="s">
        <v>442</v>
      </c>
      <c r="T249" s="96"/>
      <c r="U249" s="21" t="s">
        <v>443</v>
      </c>
      <c r="V249" s="10"/>
      <c r="W249" s="25">
        <v>3</v>
      </c>
      <c r="X249" s="1" t="s">
        <v>288</v>
      </c>
      <c r="Y249" s="1">
        <v>2</v>
      </c>
      <c r="Z249" s="1">
        <v>2</v>
      </c>
      <c r="AA249" s="8" t="s">
        <v>114</v>
      </c>
      <c r="AB249" s="8" t="s">
        <v>21</v>
      </c>
      <c r="AC249" s="12"/>
      <c r="AD249" s="60"/>
      <c r="AE249" s="174"/>
      <c r="AF249" s="273" t="str">
        <f t="shared" si="179"/>
        <v xml:space="preserve">  </v>
      </c>
      <c r="AG249" s="218" t="str">
        <f t="shared" si="211"/>
        <v>-</v>
      </c>
      <c r="AH249" s="174"/>
      <c r="AI249" s="92" t="str">
        <f t="shared" ref="AI249:AI276" si="213">IF(EXACT(AE249,AH249),"OK","NG")</f>
        <v>OK</v>
      </c>
      <c r="AJ249" s="60"/>
      <c r="AK249" s="174"/>
      <c r="AL249" s="273" t="str">
        <f t="shared" si="180"/>
        <v xml:space="preserve">  </v>
      </c>
      <c r="AM249" s="218" t="str">
        <f t="shared" si="193"/>
        <v>-</v>
      </c>
      <c r="AN249" s="174"/>
      <c r="AO249" s="92" t="str">
        <f t="shared" ref="AO249:AO276" si="214">IF(EXACT(AK249,AN249),"OK","NG")</f>
        <v>OK</v>
      </c>
      <c r="AP249" s="60"/>
      <c r="AQ249" s="170"/>
      <c r="AR249" s="273" t="str">
        <f t="shared" si="181"/>
        <v xml:space="preserve">  </v>
      </c>
      <c r="AS249" s="218" t="s">
        <v>593</v>
      </c>
      <c r="AT249" s="273"/>
      <c r="AU249" s="218" t="str">
        <f t="shared" si="178"/>
        <v>-</v>
      </c>
      <c r="AV249" s="60"/>
      <c r="AW249" s="174" t="s">
        <v>207</v>
      </c>
      <c r="AX249" s="273" t="str">
        <f t="shared" si="182"/>
        <v>B4</v>
      </c>
      <c r="AY249" s="218" t="str">
        <f t="shared" si="194"/>
        <v>-</v>
      </c>
      <c r="AZ249" s="174" t="s">
        <v>207</v>
      </c>
      <c r="BA249" s="92" t="str">
        <f>IF(EXACT(AW249,AZ249),"OK","NG")</f>
        <v>OK</v>
      </c>
      <c r="BB249" s="60"/>
      <c r="BC249" s="174" t="s">
        <v>382</v>
      </c>
      <c r="BD249" s="273" t="str">
        <f t="shared" si="183"/>
        <v>A3</v>
      </c>
      <c r="BE249" s="218" t="str">
        <f t="shared" si="195"/>
        <v>-</v>
      </c>
      <c r="BF249" s="174" t="s">
        <v>382</v>
      </c>
      <c r="BG249" s="92" t="str">
        <f>IF(EXACT(BC249,BF249),"OK","NG")</f>
        <v>OK</v>
      </c>
      <c r="BH249" s="60"/>
      <c r="BI249" s="170" t="s">
        <v>207</v>
      </c>
      <c r="BJ249" s="273" t="str">
        <f t="shared" si="184"/>
        <v>B4</v>
      </c>
      <c r="BK249" s="218" t="s">
        <v>593</v>
      </c>
      <c r="BL249" s="174" t="s">
        <v>207</v>
      </c>
      <c r="BM249" s="92" t="str">
        <f>IF(EXACT(BI249,BL249),"OK","NG")</f>
        <v>OK</v>
      </c>
      <c r="BN249" s="60"/>
      <c r="BO249" s="174" t="s">
        <v>382</v>
      </c>
      <c r="BP249" s="273" t="str">
        <f t="shared" si="185"/>
        <v>A3</v>
      </c>
      <c r="BQ249" s="218" t="str">
        <f t="shared" si="196"/>
        <v>-</v>
      </c>
      <c r="BR249" s="174" t="s">
        <v>382</v>
      </c>
      <c r="BS249" s="92" t="str">
        <f>IF(EXACT(BO249,BR249),"OK","NG")</f>
        <v>OK</v>
      </c>
      <c r="BT249" s="60"/>
      <c r="BU249" s="170"/>
      <c r="BV249" s="273" t="str">
        <f t="shared" si="186"/>
        <v xml:space="preserve">  </v>
      </c>
      <c r="BW249" s="218" t="s">
        <v>593</v>
      </c>
      <c r="BX249" s="273"/>
      <c r="BY249" s="218" t="str">
        <f t="shared" si="197"/>
        <v>-</v>
      </c>
      <c r="BZ249" s="60"/>
      <c r="CA249" s="174"/>
      <c r="CB249" s="273" t="str">
        <f t="shared" si="187"/>
        <v xml:space="preserve">  </v>
      </c>
      <c r="CC249" s="218" t="str">
        <f t="shared" si="198"/>
        <v>-</v>
      </c>
      <c r="CD249" s="174"/>
      <c r="CE249" s="92" t="str">
        <f t="shared" ref="CE249:CE276" si="215">IF(EXACT(CA249,CD249),"OK","NG")</f>
        <v>OK</v>
      </c>
      <c r="CF249" s="60"/>
      <c r="CG249" s="174"/>
      <c r="CH249" s="273" t="str">
        <f t="shared" si="188"/>
        <v xml:space="preserve">  </v>
      </c>
      <c r="CI249" s="218" t="str">
        <f t="shared" si="199"/>
        <v>-</v>
      </c>
      <c r="CJ249" s="174"/>
      <c r="CK249" s="92" t="str">
        <f t="shared" ref="CK249:CK276" si="216">IF(EXACT(CG249,CJ249),"OK","NG")</f>
        <v>OK</v>
      </c>
      <c r="CL249" s="60"/>
      <c r="CM249" s="174"/>
      <c r="CN249" s="273" t="str">
        <f t="shared" si="189"/>
        <v xml:space="preserve">  </v>
      </c>
      <c r="CO249" s="218" t="s">
        <v>593</v>
      </c>
      <c r="CP249" s="273"/>
      <c r="CQ249" s="218" t="str">
        <f t="shared" si="200"/>
        <v>-</v>
      </c>
      <c r="CR249" s="60"/>
      <c r="CS249" s="174"/>
      <c r="CT249" s="273" t="str">
        <f t="shared" si="190"/>
        <v xml:space="preserve">  </v>
      </c>
      <c r="CU249" s="218" t="str">
        <f t="shared" si="201"/>
        <v>-</v>
      </c>
      <c r="CV249" s="174"/>
      <c r="CW249" s="92" t="s">
        <v>593</v>
      </c>
      <c r="CX249" s="60"/>
      <c r="CY249" s="174"/>
      <c r="CZ249" s="273" t="str">
        <f t="shared" si="191"/>
        <v xml:space="preserve">  </v>
      </c>
      <c r="DA249" s="218" t="str">
        <f t="shared" si="202"/>
        <v>-</v>
      </c>
      <c r="DB249" s="174"/>
      <c r="DC249" s="92" t="s">
        <v>593</v>
      </c>
    </row>
    <row r="250" spans="1:107" s="26" customFormat="1">
      <c r="B250" s="2">
        <f t="shared" si="192"/>
        <v>243</v>
      </c>
      <c r="C250" s="7"/>
      <c r="D250" s="7"/>
      <c r="E250" s="7"/>
      <c r="F250" s="22" t="s">
        <v>353</v>
      </c>
      <c r="G250" s="16"/>
      <c r="H250" s="13"/>
      <c r="I250" s="8"/>
      <c r="J250" s="8"/>
      <c r="K250" s="8"/>
      <c r="L250" s="8"/>
      <c r="M250" s="417" t="s">
        <v>220</v>
      </c>
      <c r="N250" s="11"/>
      <c r="O250" s="57"/>
      <c r="P250" s="95">
        <f t="shared" ref="P250:P271" si="217">P249+1</f>
        <v>219</v>
      </c>
      <c r="Q250" s="115">
        <v>2</v>
      </c>
      <c r="R250" s="21" t="str">
        <f t="shared" si="212"/>
        <v>X</v>
      </c>
      <c r="S250" s="98" t="s">
        <v>124</v>
      </c>
      <c r="T250" s="96"/>
      <c r="U250" s="21" t="s">
        <v>257</v>
      </c>
      <c r="V250" s="10"/>
      <c r="W250" s="25">
        <v>3</v>
      </c>
      <c r="X250" s="1" t="s">
        <v>125</v>
      </c>
      <c r="Y250" s="1">
        <v>2</v>
      </c>
      <c r="Z250" s="1">
        <v>2</v>
      </c>
      <c r="AA250" s="8" t="s">
        <v>114</v>
      </c>
      <c r="AB250" s="8" t="s">
        <v>21</v>
      </c>
      <c r="AC250" s="12"/>
      <c r="AD250" s="60"/>
      <c r="AE250" s="169"/>
      <c r="AF250" s="61" t="str">
        <f t="shared" si="179"/>
        <v xml:space="preserve">  </v>
      </c>
      <c r="AG250" s="218" t="str">
        <f t="shared" si="211"/>
        <v>-</v>
      </c>
      <c r="AH250" s="169"/>
      <c r="AI250" s="92" t="str">
        <f t="shared" si="213"/>
        <v>OK</v>
      </c>
      <c r="AJ250" s="60"/>
      <c r="AK250" s="169"/>
      <c r="AL250" s="61" t="str">
        <f t="shared" si="180"/>
        <v xml:space="preserve">  </v>
      </c>
      <c r="AM250" s="218" t="str">
        <f t="shared" si="193"/>
        <v>-</v>
      </c>
      <c r="AN250" s="169"/>
      <c r="AO250" s="92" t="str">
        <f t="shared" si="214"/>
        <v>OK</v>
      </c>
      <c r="AP250" s="60"/>
      <c r="AQ250" s="172"/>
      <c r="AR250" s="61" t="str">
        <f t="shared" si="181"/>
        <v xml:space="preserve">  </v>
      </c>
      <c r="AS250" s="218" t="s">
        <v>593</v>
      </c>
      <c r="AT250" s="61"/>
      <c r="AU250" s="218" t="str">
        <f t="shared" si="178"/>
        <v>-</v>
      </c>
      <c r="AV250" s="60"/>
      <c r="AW250" s="169"/>
      <c r="AX250" s="61" t="str">
        <f t="shared" si="182"/>
        <v xml:space="preserve">  </v>
      </c>
      <c r="AY250" s="218" t="str">
        <f t="shared" si="194"/>
        <v>-</v>
      </c>
      <c r="AZ250" s="169"/>
      <c r="BA250" s="92" t="str">
        <f>IF(EXACT(AW250,AZ250),"OK","NG")</f>
        <v>OK</v>
      </c>
      <c r="BB250" s="60"/>
      <c r="BC250" s="169"/>
      <c r="BD250" s="61" t="str">
        <f t="shared" si="183"/>
        <v xml:space="preserve">  </v>
      </c>
      <c r="BE250" s="218" t="str">
        <f t="shared" si="195"/>
        <v>-</v>
      </c>
      <c r="BF250" s="169"/>
      <c r="BG250" s="92" t="str">
        <f>IF(EXACT(BC250,BF250),"OK","NG")</f>
        <v>OK</v>
      </c>
      <c r="BH250" s="60"/>
      <c r="BI250" s="170" t="s">
        <v>698</v>
      </c>
      <c r="BJ250" s="61" t="str">
        <f t="shared" si="184"/>
        <v xml:space="preserve">  </v>
      </c>
      <c r="BK250" s="218" t="s">
        <v>593</v>
      </c>
      <c r="BL250" s="169"/>
      <c r="BM250" s="92" t="str">
        <f>IF(EXACT(BI250,BL250),"OK","NG")</f>
        <v>NG</v>
      </c>
      <c r="BN250" s="60"/>
      <c r="BO250" s="169"/>
      <c r="BP250" s="61" t="str">
        <f t="shared" si="185"/>
        <v xml:space="preserve">  </v>
      </c>
      <c r="BQ250" s="218" t="str">
        <f t="shared" si="196"/>
        <v>-</v>
      </c>
      <c r="BR250" s="169"/>
      <c r="BS250" s="92" t="str">
        <f>IF(EXACT(BO250,BR250),"OK","NG")</f>
        <v>OK</v>
      </c>
      <c r="BT250" s="60"/>
      <c r="BU250" s="172"/>
      <c r="BV250" s="61" t="str">
        <f t="shared" si="186"/>
        <v xml:space="preserve">  </v>
      </c>
      <c r="BW250" s="218" t="s">
        <v>593</v>
      </c>
      <c r="BX250" s="61"/>
      <c r="BY250" s="218" t="str">
        <f t="shared" si="197"/>
        <v>-</v>
      </c>
      <c r="BZ250" s="60"/>
      <c r="CA250" s="169"/>
      <c r="CB250" s="61" t="str">
        <f t="shared" si="187"/>
        <v xml:space="preserve">  </v>
      </c>
      <c r="CC250" s="218" t="str">
        <f t="shared" si="198"/>
        <v>-</v>
      </c>
      <c r="CD250" s="169"/>
      <c r="CE250" s="92" t="str">
        <f t="shared" si="215"/>
        <v>OK</v>
      </c>
      <c r="CF250" s="60"/>
      <c r="CG250" s="169"/>
      <c r="CH250" s="61" t="str">
        <f t="shared" si="188"/>
        <v xml:space="preserve">  </v>
      </c>
      <c r="CI250" s="218" t="str">
        <f t="shared" si="199"/>
        <v>-</v>
      </c>
      <c r="CJ250" s="169"/>
      <c r="CK250" s="92" t="str">
        <f t="shared" si="216"/>
        <v>OK</v>
      </c>
      <c r="CL250" s="60"/>
      <c r="CM250" s="169"/>
      <c r="CN250" s="61" t="str">
        <f t="shared" si="189"/>
        <v xml:space="preserve">  </v>
      </c>
      <c r="CO250" s="218" t="s">
        <v>593</v>
      </c>
      <c r="CP250" s="61"/>
      <c r="CQ250" s="218" t="str">
        <f t="shared" si="200"/>
        <v>-</v>
      </c>
      <c r="CR250" s="60"/>
      <c r="CS250" s="169"/>
      <c r="CT250" s="61" t="str">
        <f t="shared" si="190"/>
        <v xml:space="preserve">  </v>
      </c>
      <c r="CU250" s="218" t="str">
        <f t="shared" si="201"/>
        <v>-</v>
      </c>
      <c r="CV250" s="169"/>
      <c r="CW250" s="92" t="s">
        <v>593</v>
      </c>
      <c r="CX250" s="60"/>
      <c r="CY250" s="169"/>
      <c r="CZ250" s="61" t="str">
        <f t="shared" si="191"/>
        <v xml:space="preserve">  </v>
      </c>
      <c r="DA250" s="218" t="str">
        <f t="shared" si="202"/>
        <v>-</v>
      </c>
      <c r="DB250" s="169"/>
      <c r="DC250" s="92" t="s">
        <v>593</v>
      </c>
    </row>
    <row r="251" spans="1:107" s="26" customFormat="1">
      <c r="B251" s="2">
        <f t="shared" si="192"/>
        <v>244</v>
      </c>
      <c r="C251" s="7"/>
      <c r="D251" s="7"/>
      <c r="E251" s="7"/>
      <c r="F251" s="22" t="s">
        <v>126</v>
      </c>
      <c r="G251" s="16"/>
      <c r="H251" s="13"/>
      <c r="I251" s="8"/>
      <c r="J251" s="8" t="s">
        <v>269</v>
      </c>
      <c r="K251" s="8"/>
      <c r="L251" s="8"/>
      <c r="M251" s="1" t="s">
        <v>127</v>
      </c>
      <c r="N251" s="1"/>
      <c r="O251" s="57"/>
      <c r="P251" s="95">
        <f t="shared" si="217"/>
        <v>220</v>
      </c>
      <c r="Q251" s="115">
        <v>255</v>
      </c>
      <c r="R251" s="21" t="str">
        <f t="shared" si="212"/>
        <v>NX</v>
      </c>
      <c r="S251" s="98" t="s">
        <v>128</v>
      </c>
      <c r="T251" s="96"/>
      <c r="U251" s="21" t="s">
        <v>257</v>
      </c>
      <c r="V251" s="10"/>
      <c r="W251" s="25">
        <v>3</v>
      </c>
      <c r="X251" s="1" t="s">
        <v>298</v>
      </c>
      <c r="Y251" s="1">
        <v>1</v>
      </c>
      <c r="Z251" s="1">
        <v>255</v>
      </c>
      <c r="AA251" s="8" t="s">
        <v>129</v>
      </c>
      <c r="AB251" s="8" t="s">
        <v>21</v>
      </c>
      <c r="AC251" s="12"/>
      <c r="AD251" s="60"/>
      <c r="AE251" s="174"/>
      <c r="AF251" s="228" t="str">
        <f t="shared" si="179"/>
        <v xml:space="preserve">                                                                                                                                                                                                                                                               </v>
      </c>
      <c r="AG251" s="218" t="str">
        <f t="shared" si="211"/>
        <v>-</v>
      </c>
      <c r="AH251" s="174"/>
      <c r="AI251" s="92" t="str">
        <f t="shared" si="213"/>
        <v>OK</v>
      </c>
      <c r="AJ251" s="60"/>
      <c r="AK251" s="174"/>
      <c r="AL251" s="228" t="str">
        <f t="shared" si="180"/>
        <v xml:space="preserve">                                                                                                                                                                                                                                                               </v>
      </c>
      <c r="AM251" s="218" t="str">
        <f t="shared" si="193"/>
        <v>-</v>
      </c>
      <c r="AN251" s="174"/>
      <c r="AO251" s="92" t="str">
        <f t="shared" si="214"/>
        <v>OK</v>
      </c>
      <c r="AP251" s="60"/>
      <c r="AQ251" s="170"/>
      <c r="AR251" s="228" t="str">
        <f t="shared" si="181"/>
        <v xml:space="preserve">                                                                                                                                                                                                                                                               </v>
      </c>
      <c r="AS251" s="218" t="s">
        <v>593</v>
      </c>
      <c r="AT251" s="228"/>
      <c r="AU251" s="218" t="str">
        <f t="shared" si="178"/>
        <v>-</v>
      </c>
      <c r="AV251" s="60"/>
      <c r="AW251" s="174" t="s">
        <v>2</v>
      </c>
      <c r="AX251" s="228" t="str">
        <f t="shared" si="182"/>
        <v xml:space="preserve">メガ・エッグ　光マンション                                                                                                                                                                                                                                     </v>
      </c>
      <c r="AY251" s="218" t="str">
        <f t="shared" si="194"/>
        <v>-</v>
      </c>
      <c r="AZ251" s="174" t="s">
        <v>2</v>
      </c>
      <c r="BA251" s="92" t="str">
        <f>IF(EXACT(AW251,AZ251),"OK","NG")</f>
        <v>OK</v>
      </c>
      <c r="BB251" s="60"/>
      <c r="BC251" s="174" t="s">
        <v>383</v>
      </c>
      <c r="BD251" s="228" t="str">
        <f t="shared" si="183"/>
        <v xml:space="preserve">ピカラ光ホーム                                                                                                                                                                                                                                                 </v>
      </c>
      <c r="BE251" s="218" t="str">
        <f t="shared" si="195"/>
        <v>-</v>
      </c>
      <c r="BF251" s="174" t="s">
        <v>383</v>
      </c>
      <c r="BG251" s="92" t="str">
        <f>IF(EXACT(BC251,BF251),"OK","NG")</f>
        <v>OK</v>
      </c>
      <c r="BH251" s="60"/>
      <c r="BI251" s="170" t="s">
        <v>741</v>
      </c>
      <c r="BJ251" s="228" t="str">
        <f t="shared" si="184"/>
        <v xml:space="preserve">メガ・エッグ　光マンション                                                                                                                                                                                                                                     </v>
      </c>
      <c r="BK251" s="218" t="s">
        <v>593</v>
      </c>
      <c r="BL251" s="174" t="s">
        <v>2</v>
      </c>
      <c r="BM251" s="92" t="str">
        <f>IF(EXACT(BI251,BL251),"OK","NG")</f>
        <v>NG</v>
      </c>
      <c r="BN251" s="60"/>
      <c r="BO251" s="174" t="s">
        <v>383</v>
      </c>
      <c r="BP251" s="228" t="str">
        <f t="shared" si="185"/>
        <v xml:space="preserve">ピカラ光ホーム                                                                                                                                                                                                                                                 </v>
      </c>
      <c r="BQ251" s="218" t="str">
        <f t="shared" si="196"/>
        <v>-</v>
      </c>
      <c r="BR251" s="174" t="s">
        <v>383</v>
      </c>
      <c r="BS251" s="92" t="str">
        <f>IF(EXACT(BO251,BR251),"OK","NG")</f>
        <v>OK</v>
      </c>
      <c r="BT251" s="60"/>
      <c r="BU251" s="170"/>
      <c r="BV251" s="228" t="str">
        <f t="shared" si="186"/>
        <v xml:space="preserve">                                                                                                                                                                                                                                                               </v>
      </c>
      <c r="BW251" s="218" t="s">
        <v>593</v>
      </c>
      <c r="BX251" s="228"/>
      <c r="BY251" s="218" t="str">
        <f t="shared" si="197"/>
        <v>-</v>
      </c>
      <c r="BZ251" s="60"/>
      <c r="CA251" s="174"/>
      <c r="CB251" s="228" t="str">
        <f t="shared" si="187"/>
        <v xml:space="preserve">                                                                                                                                                                                                                                                               </v>
      </c>
      <c r="CC251" s="218" t="str">
        <f t="shared" si="198"/>
        <v>-</v>
      </c>
      <c r="CD251" s="174"/>
      <c r="CE251" s="92" t="str">
        <f t="shared" si="215"/>
        <v>OK</v>
      </c>
      <c r="CF251" s="60"/>
      <c r="CG251" s="174"/>
      <c r="CH251" s="228" t="str">
        <f t="shared" si="188"/>
        <v xml:space="preserve">                                                                                                                                                                                                                                                               </v>
      </c>
      <c r="CI251" s="218" t="str">
        <f t="shared" si="199"/>
        <v>-</v>
      </c>
      <c r="CJ251" s="174"/>
      <c r="CK251" s="92" t="str">
        <f t="shared" si="216"/>
        <v>OK</v>
      </c>
      <c r="CL251" s="60"/>
      <c r="CM251" s="174"/>
      <c r="CN251" s="228" t="str">
        <f t="shared" si="189"/>
        <v xml:space="preserve">                                                                                                                                                                                                                                                               </v>
      </c>
      <c r="CO251" s="218" t="s">
        <v>593</v>
      </c>
      <c r="CP251" s="228"/>
      <c r="CQ251" s="218" t="str">
        <f t="shared" si="200"/>
        <v>-</v>
      </c>
      <c r="CR251" s="60"/>
      <c r="CS251" s="174"/>
      <c r="CT251" s="228" t="str">
        <f t="shared" si="190"/>
        <v xml:space="preserve">                                                                                                                                                                                                                                                               </v>
      </c>
      <c r="CU251" s="218" t="str">
        <f t="shared" si="201"/>
        <v>-</v>
      </c>
      <c r="CV251" s="174"/>
      <c r="CW251" s="92" t="s">
        <v>593</v>
      </c>
      <c r="CX251" s="60"/>
      <c r="CY251" s="174"/>
      <c r="CZ251" s="228" t="str">
        <f t="shared" si="191"/>
        <v xml:space="preserve">                                                                                                                                                                                                                                                               </v>
      </c>
      <c r="DA251" s="218" t="str">
        <f t="shared" si="202"/>
        <v>-</v>
      </c>
      <c r="DB251" s="174"/>
      <c r="DC251" s="92" t="s">
        <v>593</v>
      </c>
    </row>
    <row r="252" spans="1:107" s="26" customFormat="1">
      <c r="B252" s="19">
        <f t="shared" si="192"/>
        <v>245</v>
      </c>
      <c r="C252" s="7"/>
      <c r="D252" s="7"/>
      <c r="E252" s="7"/>
      <c r="F252" s="3" t="s">
        <v>130</v>
      </c>
      <c r="G252" s="3"/>
      <c r="H252" s="4"/>
      <c r="I252" s="6"/>
      <c r="J252" s="6"/>
      <c r="K252" s="6"/>
      <c r="L252" s="6"/>
      <c r="M252" s="23" t="s">
        <v>131</v>
      </c>
      <c r="N252" s="5"/>
      <c r="O252" s="55"/>
      <c r="P252" s="95">
        <f t="shared" si="217"/>
        <v>221</v>
      </c>
      <c r="Q252" s="116">
        <v>256</v>
      </c>
      <c r="R252" s="21" t="str">
        <f t="shared" si="212"/>
        <v>NX</v>
      </c>
      <c r="S252" s="98" t="s">
        <v>132</v>
      </c>
      <c r="T252" s="96"/>
      <c r="U252" s="21" t="s">
        <v>435</v>
      </c>
      <c r="V252" s="10"/>
      <c r="W252" s="28">
        <v>3</v>
      </c>
      <c r="X252" s="5" t="s">
        <v>299</v>
      </c>
      <c r="Y252" s="5">
        <v>1</v>
      </c>
      <c r="Z252" s="5">
        <v>256</v>
      </c>
      <c r="AA252" s="6" t="s">
        <v>300</v>
      </c>
      <c r="AB252" s="6" t="s">
        <v>257</v>
      </c>
      <c r="AC252" s="64"/>
      <c r="AD252" s="60"/>
      <c r="AE252" s="169"/>
      <c r="AF252" s="61" t="str">
        <f t="shared" si="179"/>
        <v xml:space="preserve">                                                                                                                                                                                                                                                                </v>
      </c>
      <c r="AG252" s="218" t="str">
        <f t="shared" si="211"/>
        <v>-</v>
      </c>
      <c r="AH252" s="169"/>
      <c r="AI252" s="92" t="str">
        <f t="shared" si="213"/>
        <v>OK</v>
      </c>
      <c r="AJ252" s="60"/>
      <c r="AK252" s="169"/>
      <c r="AL252" s="61" t="str">
        <f t="shared" si="180"/>
        <v xml:space="preserve">                                                                                                                                                                                                                                                                </v>
      </c>
      <c r="AM252" s="218" t="str">
        <f t="shared" si="193"/>
        <v>-</v>
      </c>
      <c r="AN252" s="169"/>
      <c r="AO252" s="92" t="str">
        <f t="shared" si="214"/>
        <v>OK</v>
      </c>
      <c r="AP252" s="60"/>
      <c r="AQ252" s="172"/>
      <c r="AR252" s="61" t="str">
        <f t="shared" si="181"/>
        <v xml:space="preserve">                                                                                                                                                                                                                                                                </v>
      </c>
      <c r="AS252" s="218" t="s">
        <v>593</v>
      </c>
      <c r="AT252" s="61"/>
      <c r="AU252" s="218" t="str">
        <f t="shared" si="178"/>
        <v>-</v>
      </c>
      <c r="AV252" s="60"/>
      <c r="AW252" s="169"/>
      <c r="AX252" s="61" t="str">
        <f t="shared" si="182"/>
        <v xml:space="preserve">                                                                                                                                                                                                                                                                </v>
      </c>
      <c r="AY252" s="218" t="str">
        <f t="shared" si="194"/>
        <v>-</v>
      </c>
      <c r="AZ252" s="169"/>
      <c r="BA252" s="92" t="str">
        <f>IF(EXACT(AW252,AZ252),"OK","NG")</f>
        <v>OK</v>
      </c>
      <c r="BB252" s="60"/>
      <c r="BC252" s="169"/>
      <c r="BD252" s="61" t="str">
        <f t="shared" si="183"/>
        <v xml:space="preserve">                                                                                                                                                                                                                                                                </v>
      </c>
      <c r="BE252" s="218" t="str">
        <f t="shared" si="195"/>
        <v>-</v>
      </c>
      <c r="BF252" s="169"/>
      <c r="BG252" s="92" t="str">
        <f>IF(EXACT(BC252,BF252),"OK","NG")</f>
        <v>OK</v>
      </c>
      <c r="BH252" s="60"/>
      <c r="BI252" s="170" t="s">
        <v>700</v>
      </c>
      <c r="BJ252" s="61" t="str">
        <f t="shared" si="184"/>
        <v xml:space="preserve">                                                                                                                                                                                                                                                                </v>
      </c>
      <c r="BK252" s="218" t="s">
        <v>593</v>
      </c>
      <c r="BL252" s="169"/>
      <c r="BM252" s="92" t="str">
        <f>IF(EXACT(BI252,BL252),"OK","NG")</f>
        <v>NG</v>
      </c>
      <c r="BN252" s="60"/>
      <c r="BO252" s="169"/>
      <c r="BP252" s="61" t="str">
        <f t="shared" si="185"/>
        <v xml:space="preserve">                                                                                                                                                                                                                                                                </v>
      </c>
      <c r="BQ252" s="218" t="str">
        <f t="shared" si="196"/>
        <v>-</v>
      </c>
      <c r="BR252" s="169"/>
      <c r="BS252" s="92" t="str">
        <f>IF(EXACT(BO252,BR252),"OK","NG")</f>
        <v>OK</v>
      </c>
      <c r="BT252" s="60"/>
      <c r="BU252" s="172"/>
      <c r="BV252" s="61" t="str">
        <f t="shared" si="186"/>
        <v xml:space="preserve">                                                                                                                                                                                                                                                                </v>
      </c>
      <c r="BW252" s="218" t="s">
        <v>593</v>
      </c>
      <c r="BX252" s="61"/>
      <c r="BY252" s="218" t="str">
        <f t="shared" si="197"/>
        <v>-</v>
      </c>
      <c r="BZ252" s="60"/>
      <c r="CA252" s="169"/>
      <c r="CB252" s="61" t="str">
        <f t="shared" si="187"/>
        <v xml:space="preserve">                                                                                                                                                                                                                                                                </v>
      </c>
      <c r="CC252" s="218" t="str">
        <f t="shared" si="198"/>
        <v>-</v>
      </c>
      <c r="CD252" s="169"/>
      <c r="CE252" s="92" t="str">
        <f t="shared" si="215"/>
        <v>OK</v>
      </c>
      <c r="CF252" s="60"/>
      <c r="CG252" s="169"/>
      <c r="CH252" s="61" t="str">
        <f t="shared" si="188"/>
        <v xml:space="preserve">                                                                                                                                                                                                                                                                </v>
      </c>
      <c r="CI252" s="218" t="str">
        <f t="shared" si="199"/>
        <v>-</v>
      </c>
      <c r="CJ252" s="169"/>
      <c r="CK252" s="92" t="str">
        <f t="shared" si="216"/>
        <v>OK</v>
      </c>
      <c r="CL252" s="60"/>
      <c r="CM252" s="169"/>
      <c r="CN252" s="61" t="str">
        <f t="shared" si="189"/>
        <v xml:space="preserve">                                                                                                                                                                                                                                                                </v>
      </c>
      <c r="CO252" s="218" t="s">
        <v>593</v>
      </c>
      <c r="CP252" s="61"/>
      <c r="CQ252" s="218" t="str">
        <f t="shared" si="200"/>
        <v>-</v>
      </c>
      <c r="CR252" s="60"/>
      <c r="CS252" s="169"/>
      <c r="CT252" s="61" t="str">
        <f t="shared" si="190"/>
        <v xml:space="preserve">                                                                                                                                                                                                                                                                </v>
      </c>
      <c r="CU252" s="218" t="str">
        <f t="shared" si="201"/>
        <v>-</v>
      </c>
      <c r="CV252" s="169"/>
      <c r="CW252" s="92" t="s">
        <v>593</v>
      </c>
      <c r="CX252" s="60"/>
      <c r="CY252" s="169"/>
      <c r="CZ252" s="61" t="str">
        <f t="shared" si="191"/>
        <v xml:space="preserve">                                                                                                                                                                                                                                                                </v>
      </c>
      <c r="DA252" s="218" t="str">
        <f t="shared" si="202"/>
        <v>-</v>
      </c>
      <c r="DB252" s="169"/>
      <c r="DC252" s="92" t="s">
        <v>593</v>
      </c>
    </row>
    <row r="253" spans="1:107" s="26" customFormat="1" ht="63.75">
      <c r="B253" s="2">
        <f t="shared" si="192"/>
        <v>246</v>
      </c>
      <c r="C253" s="7"/>
      <c r="D253" s="7"/>
      <c r="E253" s="7"/>
      <c r="F253" s="22" t="s">
        <v>133</v>
      </c>
      <c r="G253" s="16"/>
      <c r="H253" s="13"/>
      <c r="I253" s="8"/>
      <c r="J253" s="8"/>
      <c r="K253" s="8"/>
      <c r="L253" s="8"/>
      <c r="M253" s="11" t="s">
        <v>444</v>
      </c>
      <c r="N253" s="1"/>
      <c r="O253" s="57"/>
      <c r="P253" s="95">
        <f t="shared" si="217"/>
        <v>222</v>
      </c>
      <c r="Q253" s="115">
        <v>256</v>
      </c>
      <c r="R253" s="21" t="str">
        <f t="shared" si="212"/>
        <v>NX</v>
      </c>
      <c r="S253" s="98" t="s">
        <v>134</v>
      </c>
      <c r="T253" s="96"/>
      <c r="U253" s="21" t="s">
        <v>435</v>
      </c>
      <c r="V253" s="10"/>
      <c r="W253" s="25">
        <v>3</v>
      </c>
      <c r="X253" s="1" t="s">
        <v>135</v>
      </c>
      <c r="Y253" s="1">
        <v>1</v>
      </c>
      <c r="Z253" s="1">
        <v>256</v>
      </c>
      <c r="AA253" s="8" t="s">
        <v>129</v>
      </c>
      <c r="AB253" s="8" t="s">
        <v>257</v>
      </c>
      <c r="AC253" s="12"/>
      <c r="AD253" s="60"/>
      <c r="AE253" s="174"/>
      <c r="AF253" s="170" t="str">
        <f t="shared" si="179"/>
        <v xml:space="preserve">                                                                                                                                                                                                                                                                </v>
      </c>
      <c r="AG253" s="218" t="str">
        <f t="shared" si="211"/>
        <v>-</v>
      </c>
      <c r="AH253" s="174"/>
      <c r="AI253" s="92" t="str">
        <f t="shared" si="213"/>
        <v>OK</v>
      </c>
      <c r="AJ253" s="60"/>
      <c r="AK253" s="174"/>
      <c r="AL253" s="170" t="str">
        <f t="shared" si="180"/>
        <v xml:space="preserve">                                                                                                                                                                                                                                                                </v>
      </c>
      <c r="AM253" s="218" t="str">
        <f t="shared" si="193"/>
        <v>-</v>
      </c>
      <c r="AN253" s="174"/>
      <c r="AO253" s="92" t="str">
        <f t="shared" si="214"/>
        <v>OK</v>
      </c>
      <c r="AP253" s="60"/>
      <c r="AQ253" s="170"/>
      <c r="AR253" s="170" t="str">
        <f t="shared" si="181"/>
        <v xml:space="preserve">                                                                                                                                                                                                                                                                </v>
      </c>
      <c r="AS253" s="218" t="s">
        <v>593</v>
      </c>
      <c r="AT253" s="170"/>
      <c r="AU253" s="218" t="str">
        <f t="shared" si="178"/>
        <v>-</v>
      </c>
      <c r="AV253" s="60"/>
      <c r="AW253" s="174"/>
      <c r="AX253" s="170" t="str">
        <f t="shared" si="182"/>
        <v xml:space="preserve">                                                                                                                                                                                                                                                                </v>
      </c>
      <c r="AY253" s="218" t="str">
        <f t="shared" si="194"/>
        <v>-</v>
      </c>
      <c r="AZ253" s="174"/>
      <c r="BA253" s="478" t="s">
        <v>594</v>
      </c>
      <c r="BB253" s="60"/>
      <c r="BC253" s="174"/>
      <c r="BD253" s="170" t="str">
        <f t="shared" si="183"/>
        <v xml:space="preserve">                                                                                                                                                                                                                                                                </v>
      </c>
      <c r="BE253" s="218" t="str">
        <f t="shared" si="195"/>
        <v>-</v>
      </c>
      <c r="BF253" s="174"/>
      <c r="BG253" s="478" t="s">
        <v>594</v>
      </c>
      <c r="BH253" s="60"/>
      <c r="BI253" s="170" t="s">
        <v>700</v>
      </c>
      <c r="BJ253" s="170" t="str">
        <f t="shared" si="184"/>
        <v xml:space="preserve">                                                                                                                                                                                                                                                                </v>
      </c>
      <c r="BK253" s="218" t="s">
        <v>593</v>
      </c>
      <c r="BL253" s="174"/>
      <c r="BM253" s="478" t="s">
        <v>594</v>
      </c>
      <c r="BN253" s="60"/>
      <c r="BO253" s="174"/>
      <c r="BP253" s="170" t="str">
        <f t="shared" si="185"/>
        <v xml:space="preserve">                                                                                                                                                                                                                                                                </v>
      </c>
      <c r="BQ253" s="218" t="str">
        <f t="shared" si="196"/>
        <v>-</v>
      </c>
      <c r="BR253" s="174"/>
      <c r="BS253" s="478" t="s">
        <v>594</v>
      </c>
      <c r="BT253" s="60"/>
      <c r="BU253" s="170"/>
      <c r="BV253" s="170" t="str">
        <f t="shared" si="186"/>
        <v xml:space="preserve">                                                                                                                                                                                                                                                                </v>
      </c>
      <c r="BW253" s="218" t="s">
        <v>593</v>
      </c>
      <c r="BX253" s="170"/>
      <c r="BY253" s="218" t="str">
        <f t="shared" si="197"/>
        <v>-</v>
      </c>
      <c r="BZ253" s="60"/>
      <c r="CA253" s="174"/>
      <c r="CB253" s="170" t="str">
        <f t="shared" si="187"/>
        <v xml:space="preserve">                                                                                                                                                                                                                                                                </v>
      </c>
      <c r="CC253" s="218" t="str">
        <f t="shared" si="198"/>
        <v>-</v>
      </c>
      <c r="CD253" s="174"/>
      <c r="CE253" s="92" t="str">
        <f t="shared" si="215"/>
        <v>OK</v>
      </c>
      <c r="CF253" s="60"/>
      <c r="CG253" s="174"/>
      <c r="CH253" s="170" t="str">
        <f t="shared" si="188"/>
        <v xml:space="preserve">                                                                                                                                                                                                                                                                </v>
      </c>
      <c r="CI253" s="218" t="str">
        <f t="shared" si="199"/>
        <v>-</v>
      </c>
      <c r="CJ253" s="174"/>
      <c r="CK253" s="92" t="str">
        <f t="shared" si="216"/>
        <v>OK</v>
      </c>
      <c r="CL253" s="60"/>
      <c r="CM253" s="174"/>
      <c r="CN253" s="170" t="str">
        <f t="shared" si="189"/>
        <v xml:space="preserve">                                                                                                                                                                                                                                                                </v>
      </c>
      <c r="CO253" s="218" t="s">
        <v>593</v>
      </c>
      <c r="CP253" s="170"/>
      <c r="CQ253" s="218" t="str">
        <f t="shared" si="200"/>
        <v>-</v>
      </c>
      <c r="CR253" s="60"/>
      <c r="CS253" s="174"/>
      <c r="CT253" s="170" t="str">
        <f t="shared" si="190"/>
        <v xml:space="preserve">                                                                                                                                                                                                                                                                </v>
      </c>
      <c r="CU253" s="218" t="str">
        <f t="shared" si="201"/>
        <v>-</v>
      </c>
      <c r="CV253" s="174"/>
      <c r="CW253" s="92" t="s">
        <v>593</v>
      </c>
      <c r="CX253" s="60"/>
      <c r="CY253" s="174"/>
      <c r="CZ253" s="170" t="str">
        <f t="shared" si="191"/>
        <v xml:space="preserve">                                                                                                                                                                                                                                                                </v>
      </c>
      <c r="DA253" s="218" t="str">
        <f t="shared" si="202"/>
        <v>-</v>
      </c>
      <c r="DB253" s="174"/>
      <c r="DC253" s="92" t="s">
        <v>593</v>
      </c>
    </row>
    <row r="254" spans="1:107" s="26" customFormat="1" ht="63.75">
      <c r="B254" s="2">
        <f t="shared" si="192"/>
        <v>247</v>
      </c>
      <c r="C254" s="7"/>
      <c r="D254" s="7"/>
      <c r="E254" s="7"/>
      <c r="F254" s="22" t="s">
        <v>136</v>
      </c>
      <c r="G254" s="16"/>
      <c r="H254" s="13"/>
      <c r="I254" s="8"/>
      <c r="J254" s="8"/>
      <c r="K254" s="8"/>
      <c r="L254" s="8"/>
      <c r="M254" s="11" t="s">
        <v>445</v>
      </c>
      <c r="N254" s="1"/>
      <c r="O254" s="57"/>
      <c r="P254" s="95">
        <f t="shared" si="217"/>
        <v>223</v>
      </c>
      <c r="Q254" s="115">
        <v>256</v>
      </c>
      <c r="R254" s="21" t="str">
        <f t="shared" si="212"/>
        <v>NX</v>
      </c>
      <c r="S254" s="98" t="s">
        <v>137</v>
      </c>
      <c r="T254" s="96"/>
      <c r="U254" s="21" t="s">
        <v>435</v>
      </c>
      <c r="V254" s="10"/>
      <c r="W254" s="25">
        <v>3</v>
      </c>
      <c r="X254" s="1" t="s">
        <v>138</v>
      </c>
      <c r="Y254" s="1">
        <v>1</v>
      </c>
      <c r="Z254" s="1">
        <v>256</v>
      </c>
      <c r="AA254" s="8" t="s">
        <v>129</v>
      </c>
      <c r="AB254" s="8" t="s">
        <v>257</v>
      </c>
      <c r="AC254" s="12"/>
      <c r="AD254" s="60"/>
      <c r="AE254" s="174"/>
      <c r="AF254" s="170" t="str">
        <f t="shared" si="179"/>
        <v xml:space="preserve">                                                                                                                                                                                                                                                                </v>
      </c>
      <c r="AG254" s="218" t="str">
        <f t="shared" si="211"/>
        <v>-</v>
      </c>
      <c r="AH254" s="174"/>
      <c r="AI254" s="92" t="str">
        <f t="shared" si="213"/>
        <v>OK</v>
      </c>
      <c r="AJ254" s="60"/>
      <c r="AK254" s="174"/>
      <c r="AL254" s="170" t="str">
        <f t="shared" si="180"/>
        <v xml:space="preserve">                                                                                                                                                                                                                                                                </v>
      </c>
      <c r="AM254" s="218" t="str">
        <f t="shared" si="193"/>
        <v>-</v>
      </c>
      <c r="AN254" s="174"/>
      <c r="AO254" s="92" t="str">
        <f t="shared" si="214"/>
        <v>OK</v>
      </c>
      <c r="AP254" s="60"/>
      <c r="AQ254" s="170"/>
      <c r="AR254" s="170" t="str">
        <f t="shared" si="181"/>
        <v xml:space="preserve">                                                                                                                                                                                                                                                                </v>
      </c>
      <c r="AS254" s="218" t="s">
        <v>593</v>
      </c>
      <c r="AT254" s="170"/>
      <c r="AU254" s="218" t="str">
        <f t="shared" si="178"/>
        <v>-</v>
      </c>
      <c r="AV254" s="60"/>
      <c r="AW254" s="174"/>
      <c r="AX254" s="170" t="str">
        <f t="shared" si="182"/>
        <v xml:space="preserve">                                                                                                                                                                                                                                                                </v>
      </c>
      <c r="AY254" s="218" t="str">
        <f t="shared" si="194"/>
        <v>-</v>
      </c>
      <c r="AZ254" s="174"/>
      <c r="BA254" s="478" t="s">
        <v>594</v>
      </c>
      <c r="BB254" s="60"/>
      <c r="BC254" s="174"/>
      <c r="BD254" s="170" t="str">
        <f t="shared" si="183"/>
        <v xml:space="preserve">                                                                                                                                                                                                                                                                </v>
      </c>
      <c r="BE254" s="218" t="str">
        <f t="shared" si="195"/>
        <v>-</v>
      </c>
      <c r="BF254" s="174"/>
      <c r="BG254" s="478" t="s">
        <v>594</v>
      </c>
      <c r="BH254" s="60"/>
      <c r="BI254" s="170" t="s">
        <v>700</v>
      </c>
      <c r="BJ254" s="170" t="str">
        <f t="shared" si="184"/>
        <v xml:space="preserve">                                                                                                                                                                                                                                                                </v>
      </c>
      <c r="BK254" s="218" t="s">
        <v>593</v>
      </c>
      <c r="BL254" s="174"/>
      <c r="BM254" s="478" t="s">
        <v>594</v>
      </c>
      <c r="BN254" s="60"/>
      <c r="BO254" s="174"/>
      <c r="BP254" s="170" t="str">
        <f t="shared" si="185"/>
        <v xml:space="preserve">                                                                                                                                                                                                                                                                </v>
      </c>
      <c r="BQ254" s="218" t="str">
        <f t="shared" si="196"/>
        <v>-</v>
      </c>
      <c r="BR254" s="174"/>
      <c r="BS254" s="478" t="s">
        <v>594</v>
      </c>
      <c r="BT254" s="60"/>
      <c r="BU254" s="170"/>
      <c r="BV254" s="170" t="str">
        <f t="shared" si="186"/>
        <v xml:space="preserve">                                                                                                                                                                                                                                                                </v>
      </c>
      <c r="BW254" s="218" t="s">
        <v>593</v>
      </c>
      <c r="BX254" s="170"/>
      <c r="BY254" s="218" t="str">
        <f t="shared" si="197"/>
        <v>-</v>
      </c>
      <c r="BZ254" s="60"/>
      <c r="CA254" s="174"/>
      <c r="CB254" s="170" t="str">
        <f t="shared" si="187"/>
        <v xml:space="preserve">                                                                                                                                                                                                                                                                </v>
      </c>
      <c r="CC254" s="218" t="str">
        <f t="shared" si="198"/>
        <v>-</v>
      </c>
      <c r="CD254" s="174"/>
      <c r="CE254" s="92" t="str">
        <f t="shared" si="215"/>
        <v>OK</v>
      </c>
      <c r="CF254" s="60"/>
      <c r="CG254" s="174"/>
      <c r="CH254" s="170" t="str">
        <f t="shared" si="188"/>
        <v xml:space="preserve">                                                                                                                                                                                                                                                                </v>
      </c>
      <c r="CI254" s="218" t="str">
        <f t="shared" si="199"/>
        <v>-</v>
      </c>
      <c r="CJ254" s="174"/>
      <c r="CK254" s="92" t="str">
        <f t="shared" si="216"/>
        <v>OK</v>
      </c>
      <c r="CL254" s="60"/>
      <c r="CM254" s="174"/>
      <c r="CN254" s="170" t="str">
        <f t="shared" si="189"/>
        <v xml:space="preserve">                                                                                                                                                                                                                                                                </v>
      </c>
      <c r="CO254" s="218" t="s">
        <v>593</v>
      </c>
      <c r="CP254" s="170"/>
      <c r="CQ254" s="218" t="str">
        <f t="shared" si="200"/>
        <v>-</v>
      </c>
      <c r="CR254" s="60"/>
      <c r="CS254" s="174"/>
      <c r="CT254" s="170" t="str">
        <f t="shared" si="190"/>
        <v xml:space="preserve">                                                                                                                                                                                                                                                                </v>
      </c>
      <c r="CU254" s="218" t="str">
        <f t="shared" si="201"/>
        <v>-</v>
      </c>
      <c r="CV254" s="174"/>
      <c r="CW254" s="92" t="s">
        <v>593</v>
      </c>
      <c r="CX254" s="60"/>
      <c r="CY254" s="174"/>
      <c r="CZ254" s="170" t="str">
        <f t="shared" si="191"/>
        <v xml:space="preserve">                                                                                                                                                                                                                                                                </v>
      </c>
      <c r="DA254" s="218" t="str">
        <f t="shared" si="202"/>
        <v>-</v>
      </c>
      <c r="DB254" s="174"/>
      <c r="DC254" s="92" t="s">
        <v>593</v>
      </c>
    </row>
    <row r="255" spans="1:107" s="26" customFormat="1" ht="69" customHeight="1">
      <c r="B255" s="19">
        <f t="shared" si="192"/>
        <v>248</v>
      </c>
      <c r="C255" s="7"/>
      <c r="D255" s="7"/>
      <c r="E255" s="7"/>
      <c r="F255" s="112" t="s">
        <v>446</v>
      </c>
      <c r="G255" s="16"/>
      <c r="H255" s="13"/>
      <c r="I255" s="8"/>
      <c r="J255" s="8" t="s">
        <v>426</v>
      </c>
      <c r="K255" s="8"/>
      <c r="L255" s="8"/>
      <c r="M255" s="11" t="s">
        <v>301</v>
      </c>
      <c r="N255" s="1"/>
      <c r="O255" s="57"/>
      <c r="P255" s="95">
        <f t="shared" si="217"/>
        <v>224</v>
      </c>
      <c r="Q255" s="115">
        <v>1</v>
      </c>
      <c r="R255" s="21" t="s">
        <v>418</v>
      </c>
      <c r="S255" s="98" t="s">
        <v>139</v>
      </c>
      <c r="T255" s="96"/>
      <c r="U255" s="21" t="s">
        <v>435</v>
      </c>
      <c r="V255" s="10"/>
      <c r="W255" s="25">
        <v>3</v>
      </c>
      <c r="X255" s="1" t="s">
        <v>140</v>
      </c>
      <c r="Y255" s="1">
        <v>1</v>
      </c>
      <c r="Z255" s="1">
        <v>1</v>
      </c>
      <c r="AA255" s="8">
        <v>9</v>
      </c>
      <c r="AB255" s="8" t="s">
        <v>21</v>
      </c>
      <c r="AC255" s="12"/>
      <c r="AD255" s="60"/>
      <c r="AE255" s="174"/>
      <c r="AF255" s="61" t="str">
        <f t="shared" si="179"/>
        <v xml:space="preserve"> </v>
      </c>
      <c r="AG255" s="218" t="str">
        <f t="shared" si="211"/>
        <v>-</v>
      </c>
      <c r="AH255" s="174"/>
      <c r="AI255" s="92" t="str">
        <f t="shared" si="213"/>
        <v>OK</v>
      </c>
      <c r="AJ255" s="60"/>
      <c r="AK255" s="174"/>
      <c r="AL255" s="61" t="str">
        <f t="shared" si="180"/>
        <v xml:space="preserve"> </v>
      </c>
      <c r="AM255" s="218" t="str">
        <f t="shared" si="193"/>
        <v>-</v>
      </c>
      <c r="AN255" s="174"/>
      <c r="AO255" s="92" t="str">
        <f t="shared" si="214"/>
        <v>OK</v>
      </c>
      <c r="AP255" s="60"/>
      <c r="AQ255" s="170"/>
      <c r="AR255" s="61" t="str">
        <f t="shared" si="181"/>
        <v xml:space="preserve"> </v>
      </c>
      <c r="AS255" s="218" t="s">
        <v>593</v>
      </c>
      <c r="AT255" s="61"/>
      <c r="AU255" s="218" t="str">
        <f t="shared" si="178"/>
        <v>-</v>
      </c>
      <c r="AV255" s="60"/>
      <c r="AW255" s="174" t="s">
        <v>33</v>
      </c>
      <c r="AX255" s="61" t="str">
        <f t="shared" si="182"/>
        <v>1</v>
      </c>
      <c r="AY255" s="218" t="str">
        <f t="shared" si="194"/>
        <v>-</v>
      </c>
      <c r="AZ255" s="174" t="s">
        <v>33</v>
      </c>
      <c r="BA255" s="478" t="s">
        <v>594</v>
      </c>
      <c r="BB255" s="60"/>
      <c r="BC255" s="174" t="s">
        <v>33</v>
      </c>
      <c r="BD255" s="61" t="str">
        <f t="shared" si="183"/>
        <v>1</v>
      </c>
      <c r="BE255" s="218" t="str">
        <f t="shared" si="195"/>
        <v>-</v>
      </c>
      <c r="BF255" s="174" t="s">
        <v>33</v>
      </c>
      <c r="BG255" s="478" t="s">
        <v>594</v>
      </c>
      <c r="BH255" s="60"/>
      <c r="BI255" s="170" t="s">
        <v>33</v>
      </c>
      <c r="BJ255" s="61" t="str">
        <f t="shared" si="184"/>
        <v>1</v>
      </c>
      <c r="BK255" s="218" t="s">
        <v>593</v>
      </c>
      <c r="BL255" s="174" t="s">
        <v>33</v>
      </c>
      <c r="BM255" s="478" t="s">
        <v>594</v>
      </c>
      <c r="BN255" s="60"/>
      <c r="BO255" s="174" t="s">
        <v>33</v>
      </c>
      <c r="BP255" s="61" t="str">
        <f t="shared" si="185"/>
        <v>1</v>
      </c>
      <c r="BQ255" s="218" t="str">
        <f t="shared" si="196"/>
        <v>-</v>
      </c>
      <c r="BR255" s="174" t="s">
        <v>33</v>
      </c>
      <c r="BS255" s="478" t="s">
        <v>594</v>
      </c>
      <c r="BT255" s="60"/>
      <c r="BU255" s="170"/>
      <c r="BV255" s="61" t="str">
        <f t="shared" si="186"/>
        <v xml:space="preserve"> </v>
      </c>
      <c r="BW255" s="218" t="s">
        <v>593</v>
      </c>
      <c r="BX255" s="61"/>
      <c r="BY255" s="218" t="str">
        <f t="shared" si="197"/>
        <v>-</v>
      </c>
      <c r="BZ255" s="60"/>
      <c r="CA255" s="174"/>
      <c r="CB255" s="61" t="str">
        <f t="shared" si="187"/>
        <v xml:space="preserve"> </v>
      </c>
      <c r="CC255" s="218" t="str">
        <f t="shared" si="198"/>
        <v>-</v>
      </c>
      <c r="CD255" s="174"/>
      <c r="CE255" s="92" t="str">
        <f t="shared" si="215"/>
        <v>OK</v>
      </c>
      <c r="CF255" s="60"/>
      <c r="CG255" s="174"/>
      <c r="CH255" s="61" t="str">
        <f t="shared" si="188"/>
        <v xml:space="preserve"> </v>
      </c>
      <c r="CI255" s="218" t="str">
        <f t="shared" si="199"/>
        <v>-</v>
      </c>
      <c r="CJ255" s="174"/>
      <c r="CK255" s="92" t="str">
        <f t="shared" si="216"/>
        <v>OK</v>
      </c>
      <c r="CL255" s="60"/>
      <c r="CM255" s="174"/>
      <c r="CN255" s="61" t="str">
        <f t="shared" si="189"/>
        <v xml:space="preserve"> </v>
      </c>
      <c r="CO255" s="218" t="s">
        <v>593</v>
      </c>
      <c r="CP255" s="61"/>
      <c r="CQ255" s="218" t="str">
        <f t="shared" si="200"/>
        <v>-</v>
      </c>
      <c r="CR255" s="60"/>
      <c r="CS255" s="174"/>
      <c r="CT255" s="61" t="str">
        <f t="shared" si="190"/>
        <v xml:space="preserve"> </v>
      </c>
      <c r="CU255" s="218" t="str">
        <f t="shared" si="201"/>
        <v>-</v>
      </c>
      <c r="CV255" s="174"/>
      <c r="CW255" s="92" t="s">
        <v>593</v>
      </c>
      <c r="CX255" s="60"/>
      <c r="CY255" s="174"/>
      <c r="CZ255" s="61" t="str">
        <f t="shared" si="191"/>
        <v xml:space="preserve"> </v>
      </c>
      <c r="DA255" s="218" t="str">
        <f t="shared" si="202"/>
        <v>-</v>
      </c>
      <c r="DB255" s="174"/>
      <c r="DC255" s="92" t="s">
        <v>593</v>
      </c>
    </row>
    <row r="256" spans="1:107" s="26" customFormat="1" ht="114.75">
      <c r="B256" s="2">
        <f t="shared" si="192"/>
        <v>249</v>
      </c>
      <c r="C256" s="7"/>
      <c r="D256" s="7"/>
      <c r="E256" s="7"/>
      <c r="F256" s="22" t="s">
        <v>141</v>
      </c>
      <c r="G256" s="16"/>
      <c r="H256" s="13"/>
      <c r="I256" s="8"/>
      <c r="J256" s="8"/>
      <c r="K256" s="8"/>
      <c r="L256" s="8"/>
      <c r="M256" s="418" t="s">
        <v>221</v>
      </c>
      <c r="N256" s="1"/>
      <c r="O256" s="57"/>
      <c r="P256" s="95">
        <f t="shared" si="217"/>
        <v>225</v>
      </c>
      <c r="Q256" s="115">
        <v>1</v>
      </c>
      <c r="R256" s="21" t="s">
        <v>418</v>
      </c>
      <c r="S256" s="98" t="s">
        <v>142</v>
      </c>
      <c r="T256" s="96"/>
      <c r="U256" s="21" t="s">
        <v>435</v>
      </c>
      <c r="V256" s="10"/>
      <c r="W256" s="25">
        <v>3</v>
      </c>
      <c r="X256" s="1" t="s">
        <v>20</v>
      </c>
      <c r="Y256" s="1">
        <v>1</v>
      </c>
      <c r="Z256" s="1">
        <v>1</v>
      </c>
      <c r="AA256" s="8">
        <v>9</v>
      </c>
      <c r="AB256" s="8" t="s">
        <v>21</v>
      </c>
      <c r="AC256" s="103"/>
      <c r="AD256" s="60"/>
      <c r="AE256" s="174"/>
      <c r="AF256" s="61" t="str">
        <f t="shared" si="179"/>
        <v xml:space="preserve"> </v>
      </c>
      <c r="AG256" s="218" t="str">
        <f t="shared" si="211"/>
        <v>-</v>
      </c>
      <c r="AH256" s="174"/>
      <c r="AI256" s="92" t="str">
        <f t="shared" si="213"/>
        <v>OK</v>
      </c>
      <c r="AJ256" s="60"/>
      <c r="AK256" s="174"/>
      <c r="AL256" s="61" t="str">
        <f t="shared" si="180"/>
        <v xml:space="preserve"> </v>
      </c>
      <c r="AM256" s="218" t="str">
        <f t="shared" si="193"/>
        <v>-</v>
      </c>
      <c r="AN256" s="174"/>
      <c r="AO256" s="92" t="str">
        <f t="shared" si="214"/>
        <v>OK</v>
      </c>
      <c r="AP256" s="60"/>
      <c r="AQ256" s="170"/>
      <c r="AR256" s="61" t="str">
        <f t="shared" si="181"/>
        <v xml:space="preserve"> </v>
      </c>
      <c r="AS256" s="218" t="s">
        <v>593</v>
      </c>
      <c r="AT256" s="61"/>
      <c r="AU256" s="218" t="str">
        <f t="shared" si="178"/>
        <v>-</v>
      </c>
      <c r="AV256" s="60"/>
      <c r="AW256" s="174"/>
      <c r="AX256" s="61" t="str">
        <f t="shared" si="182"/>
        <v xml:space="preserve"> </v>
      </c>
      <c r="AY256" s="218" t="str">
        <f t="shared" si="194"/>
        <v>-</v>
      </c>
      <c r="AZ256" s="174"/>
      <c r="BA256" s="478" t="s">
        <v>594</v>
      </c>
      <c r="BB256" s="60"/>
      <c r="BC256" s="174"/>
      <c r="BD256" s="61" t="str">
        <f t="shared" si="183"/>
        <v xml:space="preserve"> </v>
      </c>
      <c r="BE256" s="218" t="str">
        <f t="shared" si="195"/>
        <v>-</v>
      </c>
      <c r="BF256" s="174"/>
      <c r="BG256" s="478" t="s">
        <v>594</v>
      </c>
      <c r="BH256" s="60"/>
      <c r="BI256" s="170" t="s">
        <v>38</v>
      </c>
      <c r="BJ256" s="61" t="str">
        <f t="shared" si="184"/>
        <v xml:space="preserve"> </v>
      </c>
      <c r="BK256" s="218" t="s">
        <v>593</v>
      </c>
      <c r="BL256" s="174"/>
      <c r="BM256" s="478" t="s">
        <v>594</v>
      </c>
      <c r="BN256" s="60"/>
      <c r="BO256" s="174"/>
      <c r="BP256" s="61" t="str">
        <f t="shared" si="185"/>
        <v xml:space="preserve"> </v>
      </c>
      <c r="BQ256" s="218" t="str">
        <f t="shared" si="196"/>
        <v>-</v>
      </c>
      <c r="BR256" s="174"/>
      <c r="BS256" s="478" t="s">
        <v>594</v>
      </c>
      <c r="BT256" s="60"/>
      <c r="BU256" s="170"/>
      <c r="BV256" s="61" t="str">
        <f t="shared" si="186"/>
        <v xml:space="preserve"> </v>
      </c>
      <c r="BW256" s="218" t="s">
        <v>593</v>
      </c>
      <c r="BX256" s="61"/>
      <c r="BY256" s="218" t="str">
        <f t="shared" si="197"/>
        <v>-</v>
      </c>
      <c r="BZ256" s="60"/>
      <c r="CA256" s="174"/>
      <c r="CB256" s="61" t="str">
        <f t="shared" si="187"/>
        <v xml:space="preserve"> </v>
      </c>
      <c r="CC256" s="218" t="str">
        <f t="shared" si="198"/>
        <v>-</v>
      </c>
      <c r="CD256" s="174"/>
      <c r="CE256" s="92" t="str">
        <f t="shared" si="215"/>
        <v>OK</v>
      </c>
      <c r="CF256" s="60"/>
      <c r="CG256" s="174"/>
      <c r="CH256" s="61" t="str">
        <f t="shared" si="188"/>
        <v xml:space="preserve"> </v>
      </c>
      <c r="CI256" s="218" t="str">
        <f t="shared" si="199"/>
        <v>-</v>
      </c>
      <c r="CJ256" s="174"/>
      <c r="CK256" s="92" t="str">
        <f t="shared" si="216"/>
        <v>OK</v>
      </c>
      <c r="CL256" s="60"/>
      <c r="CM256" s="174"/>
      <c r="CN256" s="61" t="str">
        <f t="shared" si="189"/>
        <v xml:space="preserve"> </v>
      </c>
      <c r="CO256" s="218" t="s">
        <v>593</v>
      </c>
      <c r="CP256" s="61"/>
      <c r="CQ256" s="218" t="str">
        <f t="shared" si="200"/>
        <v>-</v>
      </c>
      <c r="CR256" s="60"/>
      <c r="CS256" s="174"/>
      <c r="CT256" s="61" t="str">
        <f t="shared" si="190"/>
        <v xml:space="preserve"> </v>
      </c>
      <c r="CU256" s="218" t="str">
        <f t="shared" si="201"/>
        <v>-</v>
      </c>
      <c r="CV256" s="174"/>
      <c r="CW256" s="92" t="s">
        <v>593</v>
      </c>
      <c r="CX256" s="60"/>
      <c r="CY256" s="174"/>
      <c r="CZ256" s="61" t="str">
        <f t="shared" si="191"/>
        <v xml:space="preserve"> </v>
      </c>
      <c r="DA256" s="218" t="str">
        <f t="shared" si="202"/>
        <v>-</v>
      </c>
      <c r="DB256" s="174"/>
      <c r="DC256" s="92" t="s">
        <v>593</v>
      </c>
    </row>
    <row r="257" spans="2:107" s="26" customFormat="1" ht="129.75" customHeight="1">
      <c r="B257" s="65">
        <f t="shared" si="192"/>
        <v>250</v>
      </c>
      <c r="C257" s="7"/>
      <c r="D257" s="7"/>
      <c r="E257" s="7"/>
      <c r="F257" s="112" t="s">
        <v>143</v>
      </c>
      <c r="G257" s="16"/>
      <c r="H257" s="13"/>
      <c r="I257" s="8"/>
      <c r="J257" s="8"/>
      <c r="K257" s="8"/>
      <c r="L257" s="8"/>
      <c r="M257" s="11" t="s">
        <v>447</v>
      </c>
      <c r="N257" s="1"/>
      <c r="O257" s="57"/>
      <c r="P257" s="95">
        <f t="shared" si="217"/>
        <v>226</v>
      </c>
      <c r="Q257" s="115">
        <v>1</v>
      </c>
      <c r="R257" s="21" t="str">
        <f t="shared" ref="R257:R273" si="218">IF(AA257="M","NX",AA257)</f>
        <v>X</v>
      </c>
      <c r="S257" s="98" t="s">
        <v>189</v>
      </c>
      <c r="T257" s="96"/>
      <c r="U257" s="21" t="s">
        <v>435</v>
      </c>
      <c r="V257" s="10"/>
      <c r="W257" s="25">
        <v>3</v>
      </c>
      <c r="X257" s="1" t="s">
        <v>302</v>
      </c>
      <c r="Y257" s="1">
        <v>1</v>
      </c>
      <c r="Z257" s="1">
        <v>1</v>
      </c>
      <c r="AA257" s="8" t="s">
        <v>261</v>
      </c>
      <c r="AB257" s="8" t="s">
        <v>257</v>
      </c>
      <c r="AC257" s="12"/>
      <c r="AD257" s="60"/>
      <c r="AE257" s="174"/>
      <c r="AF257" s="61" t="str">
        <f t="shared" si="179"/>
        <v xml:space="preserve"> </v>
      </c>
      <c r="AG257" s="218" t="str">
        <f t="shared" si="211"/>
        <v>-</v>
      </c>
      <c r="AH257" s="174"/>
      <c r="AI257" s="92" t="str">
        <f t="shared" si="213"/>
        <v>OK</v>
      </c>
      <c r="AJ257" s="60"/>
      <c r="AK257" s="174"/>
      <c r="AL257" s="61" t="str">
        <f t="shared" si="180"/>
        <v xml:space="preserve"> </v>
      </c>
      <c r="AM257" s="218" t="str">
        <f t="shared" si="193"/>
        <v>-</v>
      </c>
      <c r="AN257" s="174"/>
      <c r="AO257" s="92" t="str">
        <f t="shared" si="214"/>
        <v>OK</v>
      </c>
      <c r="AP257" s="60"/>
      <c r="AQ257" s="170"/>
      <c r="AR257" s="61" t="str">
        <f t="shared" si="181"/>
        <v xml:space="preserve"> </v>
      </c>
      <c r="AS257" s="218" t="s">
        <v>593</v>
      </c>
      <c r="AT257" s="61"/>
      <c r="AU257" s="218" t="str">
        <f t="shared" si="178"/>
        <v>-</v>
      </c>
      <c r="AV257" s="60"/>
      <c r="AW257" s="174" t="s">
        <v>374</v>
      </c>
      <c r="AX257" s="61" t="str">
        <f t="shared" si="182"/>
        <v>5</v>
      </c>
      <c r="AY257" s="218" t="str">
        <f t="shared" si="194"/>
        <v>-</v>
      </c>
      <c r="AZ257" s="174" t="s">
        <v>374</v>
      </c>
      <c r="BA257" s="478" t="s">
        <v>594</v>
      </c>
      <c r="BB257" s="60"/>
      <c r="BC257" s="174" t="s">
        <v>374</v>
      </c>
      <c r="BD257" s="61" t="str">
        <f t="shared" si="183"/>
        <v>5</v>
      </c>
      <c r="BE257" s="218" t="str">
        <f t="shared" si="195"/>
        <v>-</v>
      </c>
      <c r="BF257" s="174" t="s">
        <v>374</v>
      </c>
      <c r="BG257" s="478" t="s">
        <v>594</v>
      </c>
      <c r="BH257" s="60"/>
      <c r="BI257" s="170" t="s">
        <v>374</v>
      </c>
      <c r="BJ257" s="61" t="str">
        <f t="shared" si="184"/>
        <v>5</v>
      </c>
      <c r="BK257" s="218" t="s">
        <v>593</v>
      </c>
      <c r="BL257" s="174" t="s">
        <v>374</v>
      </c>
      <c r="BM257" s="478" t="s">
        <v>594</v>
      </c>
      <c r="BN257" s="60"/>
      <c r="BO257" s="174" t="s">
        <v>374</v>
      </c>
      <c r="BP257" s="61" t="str">
        <f t="shared" si="185"/>
        <v>5</v>
      </c>
      <c r="BQ257" s="218" t="str">
        <f t="shared" si="196"/>
        <v>-</v>
      </c>
      <c r="BR257" s="174" t="s">
        <v>374</v>
      </c>
      <c r="BS257" s="478" t="s">
        <v>594</v>
      </c>
      <c r="BT257" s="60"/>
      <c r="BU257" s="170"/>
      <c r="BV257" s="61" t="str">
        <f t="shared" si="186"/>
        <v xml:space="preserve"> </v>
      </c>
      <c r="BW257" s="218" t="s">
        <v>593</v>
      </c>
      <c r="BX257" s="61"/>
      <c r="BY257" s="218" t="str">
        <f t="shared" si="197"/>
        <v>-</v>
      </c>
      <c r="BZ257" s="60"/>
      <c r="CA257" s="174"/>
      <c r="CB257" s="61" t="str">
        <f t="shared" si="187"/>
        <v xml:space="preserve"> </v>
      </c>
      <c r="CC257" s="218" t="str">
        <f t="shared" si="198"/>
        <v>-</v>
      </c>
      <c r="CD257" s="174"/>
      <c r="CE257" s="92" t="str">
        <f t="shared" si="215"/>
        <v>OK</v>
      </c>
      <c r="CF257" s="60"/>
      <c r="CG257" s="174"/>
      <c r="CH257" s="61" t="str">
        <f t="shared" si="188"/>
        <v xml:space="preserve"> </v>
      </c>
      <c r="CI257" s="218" t="str">
        <f t="shared" si="199"/>
        <v>-</v>
      </c>
      <c r="CJ257" s="174"/>
      <c r="CK257" s="92" t="str">
        <f t="shared" si="216"/>
        <v>OK</v>
      </c>
      <c r="CL257" s="60"/>
      <c r="CM257" s="174"/>
      <c r="CN257" s="61" t="str">
        <f t="shared" si="189"/>
        <v xml:space="preserve"> </v>
      </c>
      <c r="CO257" s="218" t="s">
        <v>593</v>
      </c>
      <c r="CP257" s="61"/>
      <c r="CQ257" s="218" t="str">
        <f t="shared" si="200"/>
        <v>-</v>
      </c>
      <c r="CR257" s="60"/>
      <c r="CS257" s="174"/>
      <c r="CT257" s="61" t="str">
        <f t="shared" si="190"/>
        <v xml:space="preserve"> </v>
      </c>
      <c r="CU257" s="218" t="str">
        <f t="shared" si="201"/>
        <v>-</v>
      </c>
      <c r="CV257" s="174"/>
      <c r="CW257" s="92" t="s">
        <v>593</v>
      </c>
      <c r="CX257" s="60"/>
      <c r="CY257" s="174"/>
      <c r="CZ257" s="61" t="str">
        <f t="shared" si="191"/>
        <v xml:space="preserve"> </v>
      </c>
      <c r="DA257" s="218" t="str">
        <f t="shared" si="202"/>
        <v>-</v>
      </c>
      <c r="DB257" s="174"/>
      <c r="DC257" s="92" t="s">
        <v>593</v>
      </c>
    </row>
    <row r="258" spans="2:107" s="26" customFormat="1">
      <c r="B258" s="65">
        <f t="shared" si="192"/>
        <v>251</v>
      </c>
      <c r="C258" s="7"/>
      <c r="D258" s="7"/>
      <c r="E258" s="7"/>
      <c r="F258" s="22" t="s">
        <v>144</v>
      </c>
      <c r="G258" s="16"/>
      <c r="H258" s="13"/>
      <c r="I258" s="8"/>
      <c r="J258" s="8"/>
      <c r="K258" s="8"/>
      <c r="L258" s="8"/>
      <c r="M258" s="418" t="s">
        <v>145</v>
      </c>
      <c r="N258" s="1"/>
      <c r="O258" s="57"/>
      <c r="P258" s="95">
        <f t="shared" si="217"/>
        <v>227</v>
      </c>
      <c r="Q258" s="115">
        <v>400</v>
      </c>
      <c r="R258" s="21" t="str">
        <f t="shared" si="218"/>
        <v>NX</v>
      </c>
      <c r="S258" s="98" t="s">
        <v>146</v>
      </c>
      <c r="T258" s="96"/>
      <c r="U258" s="21" t="s">
        <v>435</v>
      </c>
      <c r="V258" s="10"/>
      <c r="W258" s="25">
        <v>3</v>
      </c>
      <c r="X258" s="1" t="s">
        <v>147</v>
      </c>
      <c r="Y258" s="1">
        <v>1</v>
      </c>
      <c r="Z258" s="1">
        <v>400</v>
      </c>
      <c r="AA258" s="8" t="s">
        <v>129</v>
      </c>
      <c r="AB258" s="8" t="s">
        <v>257</v>
      </c>
      <c r="AC258" s="12"/>
      <c r="AD258" s="60"/>
      <c r="AE258" s="174"/>
      <c r="AF258" s="271" t="str">
        <f t="shared" si="179"/>
        <v xml:space="preserve">                                                                                                                                                                                                                                                                                                                                                                                                                </v>
      </c>
      <c r="AG258" s="218" t="str">
        <f t="shared" si="211"/>
        <v>-</v>
      </c>
      <c r="AH258" s="174"/>
      <c r="AI258" s="92" t="str">
        <f t="shared" si="213"/>
        <v>OK</v>
      </c>
      <c r="AJ258" s="60"/>
      <c r="AK258" s="174"/>
      <c r="AL258" s="271" t="str">
        <f t="shared" si="180"/>
        <v xml:space="preserve">                                                                                                                                                                                                                                                                                                                                                                                                                </v>
      </c>
      <c r="AM258" s="218" t="str">
        <f t="shared" si="193"/>
        <v>-</v>
      </c>
      <c r="AN258" s="174"/>
      <c r="AO258" s="92" t="str">
        <f t="shared" si="214"/>
        <v>OK</v>
      </c>
      <c r="AP258" s="60"/>
      <c r="AQ258" s="170"/>
      <c r="AR258" s="271" t="str">
        <f t="shared" si="181"/>
        <v xml:space="preserve">                                                                                                                                                                                                                                                                                                                                                                                                                </v>
      </c>
      <c r="AS258" s="218" t="s">
        <v>593</v>
      </c>
      <c r="AT258" s="271"/>
      <c r="AU258" s="218" t="str">
        <f t="shared" si="178"/>
        <v>-</v>
      </c>
      <c r="AV258" s="60"/>
      <c r="AW258" s="174" t="s">
        <v>190</v>
      </c>
      <c r="AX258" s="271" t="str">
        <f t="shared" si="182"/>
        <v xml:space="preserve">申込受付中。                                                                                                                                                                                                                                                                                                                                                                                                    </v>
      </c>
      <c r="AY258" s="218" t="str">
        <f t="shared" si="194"/>
        <v>-</v>
      </c>
      <c r="AZ258" s="174" t="s">
        <v>190</v>
      </c>
      <c r="BA258" s="478" t="s">
        <v>594</v>
      </c>
      <c r="BB258" s="60"/>
      <c r="BC258" s="174" t="s">
        <v>190</v>
      </c>
      <c r="BD258" s="271" t="str">
        <f t="shared" si="183"/>
        <v xml:space="preserve">申込受付中。                                                                                                                                                                                                                                                                                                                                                                                                    </v>
      </c>
      <c r="BE258" s="218" t="str">
        <f t="shared" si="195"/>
        <v>-</v>
      </c>
      <c r="BF258" s="174" t="s">
        <v>190</v>
      </c>
      <c r="BG258" s="478" t="s">
        <v>594</v>
      </c>
      <c r="BH258" s="60"/>
      <c r="BI258" s="170" t="s">
        <v>730</v>
      </c>
      <c r="BJ258" s="271" t="str">
        <f t="shared" si="184"/>
        <v xml:space="preserve">申込受付中。                                                                                                                                                                                                                                                                                                                                                                                                    </v>
      </c>
      <c r="BK258" s="218" t="s">
        <v>593</v>
      </c>
      <c r="BL258" s="174" t="s">
        <v>190</v>
      </c>
      <c r="BM258" s="478" t="s">
        <v>594</v>
      </c>
      <c r="BN258" s="60"/>
      <c r="BO258" s="174" t="s">
        <v>190</v>
      </c>
      <c r="BP258" s="271" t="str">
        <f t="shared" si="185"/>
        <v xml:space="preserve">申込受付中。                                                                                                                                                                                                                                                                                                                                                                                                    </v>
      </c>
      <c r="BQ258" s="218" t="str">
        <f t="shared" si="196"/>
        <v>-</v>
      </c>
      <c r="BR258" s="174" t="s">
        <v>190</v>
      </c>
      <c r="BS258" s="478" t="s">
        <v>594</v>
      </c>
      <c r="BT258" s="60"/>
      <c r="BU258" s="170"/>
      <c r="BV258" s="271" t="str">
        <f t="shared" si="186"/>
        <v xml:space="preserve">                                                                                                                                                                                                                                                                                                                                                                                                                </v>
      </c>
      <c r="BW258" s="218" t="s">
        <v>593</v>
      </c>
      <c r="BX258" s="271"/>
      <c r="BY258" s="218" t="str">
        <f t="shared" si="197"/>
        <v>-</v>
      </c>
      <c r="BZ258" s="60"/>
      <c r="CA258" s="174"/>
      <c r="CB258" s="271" t="str">
        <f t="shared" si="187"/>
        <v xml:space="preserve">                                                                                                                                                                                                                                                                                                                                                                                                                </v>
      </c>
      <c r="CC258" s="218" t="str">
        <f t="shared" si="198"/>
        <v>-</v>
      </c>
      <c r="CD258" s="174"/>
      <c r="CE258" s="92" t="str">
        <f t="shared" si="215"/>
        <v>OK</v>
      </c>
      <c r="CF258" s="60"/>
      <c r="CG258" s="174"/>
      <c r="CH258" s="271" t="str">
        <f t="shared" si="188"/>
        <v xml:space="preserve">                                                                                                                                                                                                                                                                                                                                                                                                                </v>
      </c>
      <c r="CI258" s="218" t="str">
        <f t="shared" si="199"/>
        <v>-</v>
      </c>
      <c r="CJ258" s="174"/>
      <c r="CK258" s="92" t="str">
        <f t="shared" si="216"/>
        <v>OK</v>
      </c>
      <c r="CL258" s="60"/>
      <c r="CM258" s="174"/>
      <c r="CN258" s="271" t="str">
        <f t="shared" si="189"/>
        <v xml:space="preserve">                                                                                                                                                                                                                                                                                                                                                                                                                </v>
      </c>
      <c r="CO258" s="218" t="s">
        <v>593</v>
      </c>
      <c r="CP258" s="271"/>
      <c r="CQ258" s="218" t="str">
        <f t="shared" si="200"/>
        <v>-</v>
      </c>
      <c r="CR258" s="60"/>
      <c r="CS258" s="174"/>
      <c r="CT258" s="271" t="str">
        <f t="shared" si="190"/>
        <v xml:space="preserve">                                                                                                                                                                                                                                                                                                                                                                                                                </v>
      </c>
      <c r="CU258" s="218" t="str">
        <f t="shared" si="201"/>
        <v>-</v>
      </c>
      <c r="CV258" s="174"/>
      <c r="CW258" s="92" t="s">
        <v>593</v>
      </c>
      <c r="CX258" s="60"/>
      <c r="CY258" s="174"/>
      <c r="CZ258" s="271" t="str">
        <f t="shared" si="191"/>
        <v xml:space="preserve">                                                                                                                                                                                                                                                                                                                                                                                                                </v>
      </c>
      <c r="DA258" s="218" t="str">
        <f t="shared" si="202"/>
        <v>-</v>
      </c>
      <c r="DB258" s="174"/>
      <c r="DC258" s="92" t="s">
        <v>593</v>
      </c>
    </row>
    <row r="259" spans="2:107" s="26" customFormat="1" ht="63.75">
      <c r="B259" s="65">
        <f t="shared" si="192"/>
        <v>252</v>
      </c>
      <c r="C259" s="7"/>
      <c r="D259" s="7"/>
      <c r="E259" s="7"/>
      <c r="F259" s="22" t="s">
        <v>148</v>
      </c>
      <c r="G259" s="16"/>
      <c r="H259" s="13"/>
      <c r="I259" s="8"/>
      <c r="J259" s="8"/>
      <c r="K259" s="8"/>
      <c r="L259" s="8"/>
      <c r="M259" s="418" t="s">
        <v>448</v>
      </c>
      <c r="N259" s="1"/>
      <c r="O259" s="57"/>
      <c r="P259" s="95">
        <f t="shared" si="217"/>
        <v>228</v>
      </c>
      <c r="Q259" s="115">
        <v>400</v>
      </c>
      <c r="R259" s="21" t="str">
        <f t="shared" si="218"/>
        <v>NX</v>
      </c>
      <c r="S259" s="98" t="s">
        <v>149</v>
      </c>
      <c r="T259" s="96"/>
      <c r="U259" s="21" t="s">
        <v>435</v>
      </c>
      <c r="V259" s="10"/>
      <c r="W259" s="25">
        <v>3</v>
      </c>
      <c r="X259" s="1" t="s">
        <v>150</v>
      </c>
      <c r="Y259" s="1">
        <v>1</v>
      </c>
      <c r="Z259" s="1">
        <v>400</v>
      </c>
      <c r="AA259" s="8" t="s">
        <v>129</v>
      </c>
      <c r="AB259" s="8" t="s">
        <v>257</v>
      </c>
      <c r="AC259" s="12"/>
      <c r="AD259" s="60"/>
      <c r="AE259" s="174"/>
      <c r="AF259" s="91" t="str">
        <f t="shared" si="179"/>
        <v xml:space="preserve">                                                                                                                                                                                                                                                                                                                                                                                                                </v>
      </c>
      <c r="AG259" s="218" t="str">
        <f t="shared" si="211"/>
        <v>-</v>
      </c>
      <c r="AH259" s="174"/>
      <c r="AI259" s="92" t="str">
        <f t="shared" si="213"/>
        <v>OK</v>
      </c>
      <c r="AJ259" s="60"/>
      <c r="AK259" s="174"/>
      <c r="AL259" s="91" t="str">
        <f t="shared" si="180"/>
        <v xml:space="preserve">                                                                                                                                                                                                                                                                                                                                                                                                                </v>
      </c>
      <c r="AM259" s="218" t="str">
        <f t="shared" si="193"/>
        <v>-</v>
      </c>
      <c r="AN259" s="174"/>
      <c r="AO259" s="92" t="str">
        <f t="shared" si="214"/>
        <v>OK</v>
      </c>
      <c r="AP259" s="60"/>
      <c r="AQ259" s="170"/>
      <c r="AR259" s="91" t="str">
        <f t="shared" si="181"/>
        <v xml:space="preserve">                                                                                                                                                                                                                                                                                                                                                                                                                </v>
      </c>
      <c r="AS259" s="218" t="s">
        <v>593</v>
      </c>
      <c r="AT259" s="91"/>
      <c r="AU259" s="218" t="str">
        <f t="shared" si="178"/>
        <v>-</v>
      </c>
      <c r="AV259" s="60"/>
      <c r="AW259" s="174"/>
      <c r="AX259" s="91" t="str">
        <f t="shared" si="182"/>
        <v xml:space="preserve">                                                                                                                                                                                                                                                                                                                                                                                                                </v>
      </c>
      <c r="AY259" s="218" t="str">
        <f t="shared" si="194"/>
        <v>-</v>
      </c>
      <c r="AZ259" s="174"/>
      <c r="BA259" s="478" t="s">
        <v>594</v>
      </c>
      <c r="BB259" s="60"/>
      <c r="BC259" s="174"/>
      <c r="BD259" s="91" t="str">
        <f t="shared" si="183"/>
        <v xml:space="preserve">                                                                                                                                                                                                                                                                                                                                                                                                                </v>
      </c>
      <c r="BE259" s="218" t="str">
        <f t="shared" si="195"/>
        <v>-</v>
      </c>
      <c r="BF259" s="174"/>
      <c r="BG259" s="478" t="s">
        <v>594</v>
      </c>
      <c r="BH259" s="60"/>
      <c r="BI259" s="170" t="s">
        <v>703</v>
      </c>
      <c r="BJ259" s="91" t="str">
        <f t="shared" si="184"/>
        <v xml:space="preserve">                                                                                                                                                                                                                                                                                                                                                                                                                </v>
      </c>
      <c r="BK259" s="218" t="s">
        <v>593</v>
      </c>
      <c r="BL259" s="174"/>
      <c r="BM259" s="478" t="s">
        <v>594</v>
      </c>
      <c r="BN259" s="60"/>
      <c r="BO259" s="174"/>
      <c r="BP259" s="91" t="str">
        <f t="shared" si="185"/>
        <v xml:space="preserve">                                                                                                                                                                                                                                                                                                                                                                                                                </v>
      </c>
      <c r="BQ259" s="218" t="str">
        <f t="shared" si="196"/>
        <v>-</v>
      </c>
      <c r="BR259" s="174"/>
      <c r="BS259" s="478" t="s">
        <v>594</v>
      </c>
      <c r="BT259" s="60"/>
      <c r="BU259" s="170"/>
      <c r="BV259" s="91" t="str">
        <f t="shared" si="186"/>
        <v xml:space="preserve">                                                                                                                                                                                                                                                                                                                                                                                                                </v>
      </c>
      <c r="BW259" s="218" t="s">
        <v>593</v>
      </c>
      <c r="BX259" s="91"/>
      <c r="BY259" s="218" t="str">
        <f t="shared" si="197"/>
        <v>-</v>
      </c>
      <c r="BZ259" s="60"/>
      <c r="CA259" s="174"/>
      <c r="CB259" s="91" t="str">
        <f t="shared" si="187"/>
        <v xml:space="preserve">                                                                                                                                                                                                                                                                                                                                                                                                                </v>
      </c>
      <c r="CC259" s="218" t="str">
        <f t="shared" si="198"/>
        <v>-</v>
      </c>
      <c r="CD259" s="174"/>
      <c r="CE259" s="92" t="str">
        <f t="shared" si="215"/>
        <v>OK</v>
      </c>
      <c r="CF259" s="60"/>
      <c r="CG259" s="174"/>
      <c r="CH259" s="91" t="str">
        <f t="shared" si="188"/>
        <v xml:space="preserve">                                                                                                                                                                                                                                                                                                                                                                                                                </v>
      </c>
      <c r="CI259" s="218" t="str">
        <f t="shared" si="199"/>
        <v>-</v>
      </c>
      <c r="CJ259" s="174"/>
      <c r="CK259" s="92" t="str">
        <f t="shared" si="216"/>
        <v>OK</v>
      </c>
      <c r="CL259" s="60"/>
      <c r="CM259" s="174"/>
      <c r="CN259" s="91" t="str">
        <f t="shared" si="189"/>
        <v xml:space="preserve">                                                                                                                                                                                                                                                                                                                                                                                                                </v>
      </c>
      <c r="CO259" s="218" t="s">
        <v>593</v>
      </c>
      <c r="CP259" s="91"/>
      <c r="CQ259" s="218" t="str">
        <f t="shared" si="200"/>
        <v>-</v>
      </c>
      <c r="CR259" s="60"/>
      <c r="CS259" s="174"/>
      <c r="CT259" s="91" t="str">
        <f t="shared" si="190"/>
        <v xml:space="preserve">                                                                                                                                                                                                                                                                                                                                                                                                                </v>
      </c>
      <c r="CU259" s="218" t="str">
        <f t="shared" si="201"/>
        <v>-</v>
      </c>
      <c r="CV259" s="174"/>
      <c r="CW259" s="92" t="s">
        <v>593</v>
      </c>
      <c r="CX259" s="60"/>
      <c r="CY259" s="174"/>
      <c r="CZ259" s="91" t="str">
        <f t="shared" si="191"/>
        <v xml:space="preserve">                                                                                                                                                                                                                                                                                                                                                                                                                </v>
      </c>
      <c r="DA259" s="218" t="str">
        <f t="shared" si="202"/>
        <v>-</v>
      </c>
      <c r="DB259" s="174"/>
      <c r="DC259" s="92" t="s">
        <v>593</v>
      </c>
    </row>
    <row r="260" spans="2:107" s="26" customFormat="1">
      <c r="B260" s="65">
        <f t="shared" si="192"/>
        <v>253</v>
      </c>
      <c r="C260" s="7"/>
      <c r="D260" s="7"/>
      <c r="E260" s="7"/>
      <c r="F260" s="22" t="s">
        <v>151</v>
      </c>
      <c r="G260" s="16"/>
      <c r="H260" s="13"/>
      <c r="I260" s="8"/>
      <c r="J260" s="8"/>
      <c r="K260" s="8"/>
      <c r="L260" s="8"/>
      <c r="M260" s="11" t="s">
        <v>152</v>
      </c>
      <c r="N260" s="1"/>
      <c r="O260" s="57"/>
      <c r="P260" s="95">
        <f t="shared" si="217"/>
        <v>229</v>
      </c>
      <c r="Q260" s="115">
        <v>400</v>
      </c>
      <c r="R260" s="21" t="str">
        <f t="shared" si="218"/>
        <v>NX</v>
      </c>
      <c r="S260" s="98" t="s">
        <v>153</v>
      </c>
      <c r="T260" s="96"/>
      <c r="U260" s="21" t="s">
        <v>435</v>
      </c>
      <c r="V260" s="10"/>
      <c r="W260" s="25">
        <v>3</v>
      </c>
      <c r="X260" s="1" t="s">
        <v>154</v>
      </c>
      <c r="Y260" s="1">
        <v>1</v>
      </c>
      <c r="Z260" s="1">
        <v>400</v>
      </c>
      <c r="AA260" s="8" t="s">
        <v>129</v>
      </c>
      <c r="AB260" s="8" t="s">
        <v>257</v>
      </c>
      <c r="AC260" s="12"/>
      <c r="AD260" s="60"/>
      <c r="AE260" s="169"/>
      <c r="AF260" s="91" t="str">
        <f t="shared" si="179"/>
        <v xml:space="preserve">                                                                                                                                                                                                                                                                                                                                                                                                                </v>
      </c>
      <c r="AG260" s="218" t="str">
        <f t="shared" si="211"/>
        <v>-</v>
      </c>
      <c r="AH260" s="169"/>
      <c r="AI260" s="92" t="str">
        <f t="shared" si="213"/>
        <v>OK</v>
      </c>
      <c r="AJ260" s="60"/>
      <c r="AK260" s="169"/>
      <c r="AL260" s="91" t="str">
        <f t="shared" si="180"/>
        <v xml:space="preserve">                                                                                                                                                                                                                                                                                                                                                                                                                </v>
      </c>
      <c r="AM260" s="218" t="str">
        <f t="shared" si="193"/>
        <v>-</v>
      </c>
      <c r="AN260" s="169"/>
      <c r="AO260" s="92" t="str">
        <f t="shared" si="214"/>
        <v>OK</v>
      </c>
      <c r="AP260" s="60"/>
      <c r="AQ260" s="172"/>
      <c r="AR260" s="91" t="str">
        <f t="shared" si="181"/>
        <v xml:space="preserve">                                                                                                                                                                                                                                                                                                                                                                                                                </v>
      </c>
      <c r="AS260" s="218" t="s">
        <v>593</v>
      </c>
      <c r="AT260" s="91"/>
      <c r="AU260" s="218" t="str">
        <f t="shared" si="178"/>
        <v>-</v>
      </c>
      <c r="AV260" s="60"/>
      <c r="AW260" s="169"/>
      <c r="AX260" s="91" t="str">
        <f t="shared" si="182"/>
        <v xml:space="preserve">                                                                                                                                                                                                                                                                                                                                                                                                                </v>
      </c>
      <c r="AY260" s="218" t="str">
        <f t="shared" si="194"/>
        <v>-</v>
      </c>
      <c r="AZ260" s="169"/>
      <c r="BA260" s="478" t="s">
        <v>594</v>
      </c>
      <c r="BB260" s="60"/>
      <c r="BC260" s="169"/>
      <c r="BD260" s="91" t="str">
        <f t="shared" si="183"/>
        <v xml:space="preserve">                                                                                                                                                                                                                                                                                                                                                                                                                </v>
      </c>
      <c r="BE260" s="218" t="str">
        <f t="shared" si="195"/>
        <v>-</v>
      </c>
      <c r="BF260" s="169"/>
      <c r="BG260" s="478" t="s">
        <v>594</v>
      </c>
      <c r="BH260" s="60"/>
      <c r="BI260" s="170" t="s">
        <v>703</v>
      </c>
      <c r="BJ260" s="91" t="str">
        <f t="shared" si="184"/>
        <v xml:space="preserve">                                                                                                                                                                                                                                                                                                                                                                                                                </v>
      </c>
      <c r="BK260" s="218" t="s">
        <v>593</v>
      </c>
      <c r="BL260" s="169"/>
      <c r="BM260" s="478" t="s">
        <v>594</v>
      </c>
      <c r="BN260" s="60"/>
      <c r="BO260" s="169"/>
      <c r="BP260" s="91" t="str">
        <f t="shared" si="185"/>
        <v xml:space="preserve">                                                                                                                                                                                                                                                                                                                                                                                                                </v>
      </c>
      <c r="BQ260" s="218" t="str">
        <f t="shared" si="196"/>
        <v>-</v>
      </c>
      <c r="BR260" s="169"/>
      <c r="BS260" s="478" t="s">
        <v>594</v>
      </c>
      <c r="BT260" s="60"/>
      <c r="BU260" s="172"/>
      <c r="BV260" s="91" t="str">
        <f t="shared" si="186"/>
        <v xml:space="preserve">                                                                                                                                                                                                                                                                                                                                                                                                                </v>
      </c>
      <c r="BW260" s="218" t="s">
        <v>593</v>
      </c>
      <c r="BX260" s="91"/>
      <c r="BY260" s="218" t="str">
        <f t="shared" si="197"/>
        <v>-</v>
      </c>
      <c r="BZ260" s="60"/>
      <c r="CA260" s="169"/>
      <c r="CB260" s="91" t="str">
        <f t="shared" si="187"/>
        <v xml:space="preserve">                                                                                                                                                                                                                                                                                                                                                                                                                </v>
      </c>
      <c r="CC260" s="218" t="str">
        <f t="shared" si="198"/>
        <v>-</v>
      </c>
      <c r="CD260" s="169"/>
      <c r="CE260" s="92" t="str">
        <f t="shared" si="215"/>
        <v>OK</v>
      </c>
      <c r="CF260" s="60"/>
      <c r="CG260" s="169"/>
      <c r="CH260" s="91" t="str">
        <f t="shared" si="188"/>
        <v xml:space="preserve">                                                                                                                                                                                                                                                                                                                                                                                                                </v>
      </c>
      <c r="CI260" s="218" t="str">
        <f t="shared" si="199"/>
        <v>-</v>
      </c>
      <c r="CJ260" s="169"/>
      <c r="CK260" s="92" t="str">
        <f t="shared" si="216"/>
        <v>OK</v>
      </c>
      <c r="CL260" s="60"/>
      <c r="CM260" s="169"/>
      <c r="CN260" s="91" t="str">
        <f t="shared" si="189"/>
        <v xml:space="preserve">                                                                                                                                                                                                                                                                                                                                                                                                                </v>
      </c>
      <c r="CO260" s="218" t="s">
        <v>593</v>
      </c>
      <c r="CP260" s="91"/>
      <c r="CQ260" s="218" t="str">
        <f t="shared" si="200"/>
        <v>-</v>
      </c>
      <c r="CR260" s="60"/>
      <c r="CS260" s="169"/>
      <c r="CT260" s="91" t="str">
        <f t="shared" si="190"/>
        <v xml:space="preserve">                                                                                                                                                                                                                                                                                                                                                                                                                </v>
      </c>
      <c r="CU260" s="218" t="str">
        <f t="shared" si="201"/>
        <v>-</v>
      </c>
      <c r="CV260" s="169"/>
      <c r="CW260" s="92" t="s">
        <v>593</v>
      </c>
      <c r="CX260" s="60"/>
      <c r="CY260" s="169"/>
      <c r="CZ260" s="91" t="str">
        <f t="shared" si="191"/>
        <v xml:space="preserve">                                                                                                                                                                                                                                                                                                                                                                                                                </v>
      </c>
      <c r="DA260" s="218" t="str">
        <f t="shared" si="202"/>
        <v>-</v>
      </c>
      <c r="DB260" s="169"/>
      <c r="DC260" s="92" t="s">
        <v>593</v>
      </c>
    </row>
    <row r="261" spans="2:107" s="26" customFormat="1" ht="76.5">
      <c r="B261" s="65">
        <f t="shared" si="192"/>
        <v>254</v>
      </c>
      <c r="C261" s="7"/>
      <c r="D261" s="7"/>
      <c r="E261" s="7"/>
      <c r="F261" s="22" t="s">
        <v>155</v>
      </c>
      <c r="G261" s="16"/>
      <c r="H261" s="13"/>
      <c r="I261" s="8"/>
      <c r="J261" s="8"/>
      <c r="K261" s="8"/>
      <c r="L261" s="8"/>
      <c r="M261" s="11" t="s">
        <v>449</v>
      </c>
      <c r="N261" s="1"/>
      <c r="O261" s="57"/>
      <c r="P261" s="95">
        <f t="shared" si="217"/>
        <v>230</v>
      </c>
      <c r="Q261" s="115">
        <v>400</v>
      </c>
      <c r="R261" s="21" t="str">
        <f t="shared" si="218"/>
        <v>NX</v>
      </c>
      <c r="S261" s="98" t="s">
        <v>156</v>
      </c>
      <c r="T261" s="96"/>
      <c r="U261" s="21" t="s">
        <v>435</v>
      </c>
      <c r="V261" s="10"/>
      <c r="W261" s="25">
        <v>3</v>
      </c>
      <c r="X261" s="1" t="s">
        <v>157</v>
      </c>
      <c r="Y261" s="1">
        <v>1</v>
      </c>
      <c r="Z261" s="1">
        <v>400</v>
      </c>
      <c r="AA261" s="8" t="s">
        <v>129</v>
      </c>
      <c r="AB261" s="8" t="s">
        <v>257</v>
      </c>
      <c r="AC261" s="12"/>
      <c r="AD261" s="60"/>
      <c r="AE261" s="169"/>
      <c r="AF261" s="91" t="str">
        <f t="shared" si="179"/>
        <v xml:space="preserve">                                                                                                                                                                                                                                                                                                                                                                                                                </v>
      </c>
      <c r="AG261" s="218" t="str">
        <f t="shared" si="211"/>
        <v>-</v>
      </c>
      <c r="AH261" s="169"/>
      <c r="AI261" s="92" t="str">
        <f t="shared" si="213"/>
        <v>OK</v>
      </c>
      <c r="AJ261" s="60"/>
      <c r="AK261" s="169"/>
      <c r="AL261" s="91" t="str">
        <f t="shared" si="180"/>
        <v xml:space="preserve">                                                                                                                                                                                                                                                                                                                                                                                                                </v>
      </c>
      <c r="AM261" s="218" t="str">
        <f t="shared" si="193"/>
        <v>-</v>
      </c>
      <c r="AN261" s="169"/>
      <c r="AO261" s="92" t="str">
        <f t="shared" si="214"/>
        <v>OK</v>
      </c>
      <c r="AP261" s="60"/>
      <c r="AQ261" s="172"/>
      <c r="AR261" s="91" t="str">
        <f t="shared" si="181"/>
        <v xml:space="preserve">                                                                                                                                                                                                                                                                                                                                                                                                                </v>
      </c>
      <c r="AS261" s="218" t="s">
        <v>593</v>
      </c>
      <c r="AT261" s="91"/>
      <c r="AU261" s="218" t="str">
        <f t="shared" si="178"/>
        <v>-</v>
      </c>
      <c r="AV261" s="60"/>
      <c r="AW261" s="169"/>
      <c r="AX261" s="91" t="str">
        <f t="shared" si="182"/>
        <v xml:space="preserve">                                                                                                                                                                                                                                                                                                                                                                                                                </v>
      </c>
      <c r="AY261" s="218" t="str">
        <f t="shared" si="194"/>
        <v>-</v>
      </c>
      <c r="AZ261" s="169"/>
      <c r="BA261" s="478" t="s">
        <v>594</v>
      </c>
      <c r="BB261" s="60"/>
      <c r="BC261" s="169"/>
      <c r="BD261" s="91" t="str">
        <f t="shared" si="183"/>
        <v xml:space="preserve">                                                                                                                                                                                                                                                                                                                                                                                                                </v>
      </c>
      <c r="BE261" s="218" t="str">
        <f t="shared" si="195"/>
        <v>-</v>
      </c>
      <c r="BF261" s="169"/>
      <c r="BG261" s="478" t="s">
        <v>594</v>
      </c>
      <c r="BH261" s="60"/>
      <c r="BI261" s="170" t="s">
        <v>703</v>
      </c>
      <c r="BJ261" s="91" t="str">
        <f t="shared" si="184"/>
        <v xml:space="preserve">                                                                                                                                                                                                                                                                                                                                                                                                                </v>
      </c>
      <c r="BK261" s="218" t="s">
        <v>593</v>
      </c>
      <c r="BL261" s="169"/>
      <c r="BM261" s="478" t="s">
        <v>594</v>
      </c>
      <c r="BN261" s="60"/>
      <c r="BO261" s="169"/>
      <c r="BP261" s="91" t="str">
        <f t="shared" si="185"/>
        <v xml:space="preserve">                                                                                                                                                                                                                                                                                                                                                                                                                </v>
      </c>
      <c r="BQ261" s="218" t="str">
        <f t="shared" si="196"/>
        <v>-</v>
      </c>
      <c r="BR261" s="169"/>
      <c r="BS261" s="478" t="s">
        <v>594</v>
      </c>
      <c r="BT261" s="60"/>
      <c r="BU261" s="172"/>
      <c r="BV261" s="91" t="str">
        <f t="shared" si="186"/>
        <v xml:space="preserve">                                                                                                                                                                                                                                                                                                                                                                                                                </v>
      </c>
      <c r="BW261" s="218" t="s">
        <v>593</v>
      </c>
      <c r="BX261" s="91"/>
      <c r="BY261" s="218" t="str">
        <f t="shared" si="197"/>
        <v>-</v>
      </c>
      <c r="BZ261" s="60"/>
      <c r="CA261" s="169"/>
      <c r="CB261" s="91" t="str">
        <f t="shared" si="187"/>
        <v xml:space="preserve">                                                                                                                                                                                                                                                                                                                                                                                                                </v>
      </c>
      <c r="CC261" s="218" t="str">
        <f t="shared" si="198"/>
        <v>-</v>
      </c>
      <c r="CD261" s="169"/>
      <c r="CE261" s="92" t="str">
        <f t="shared" si="215"/>
        <v>OK</v>
      </c>
      <c r="CF261" s="60"/>
      <c r="CG261" s="169"/>
      <c r="CH261" s="91" t="str">
        <f t="shared" si="188"/>
        <v xml:space="preserve">                                                                                                                                                                                                                                                                                                                                                                                                                </v>
      </c>
      <c r="CI261" s="218" t="str">
        <f t="shared" si="199"/>
        <v>-</v>
      </c>
      <c r="CJ261" s="169"/>
      <c r="CK261" s="92" t="str">
        <f t="shared" si="216"/>
        <v>OK</v>
      </c>
      <c r="CL261" s="60"/>
      <c r="CM261" s="169"/>
      <c r="CN261" s="91" t="str">
        <f t="shared" si="189"/>
        <v xml:space="preserve">                                                                                                                                                                                                                                                                                                                                                                                                                </v>
      </c>
      <c r="CO261" s="218" t="s">
        <v>593</v>
      </c>
      <c r="CP261" s="91"/>
      <c r="CQ261" s="218" t="str">
        <f t="shared" si="200"/>
        <v>-</v>
      </c>
      <c r="CR261" s="60"/>
      <c r="CS261" s="169"/>
      <c r="CT261" s="91" t="str">
        <f t="shared" si="190"/>
        <v xml:space="preserve">                                                                                                                                                                                                                                                                                                                                                                                                                </v>
      </c>
      <c r="CU261" s="218" t="str">
        <f t="shared" si="201"/>
        <v>-</v>
      </c>
      <c r="CV261" s="169"/>
      <c r="CW261" s="92" t="s">
        <v>593</v>
      </c>
      <c r="CX261" s="60"/>
      <c r="CY261" s="169"/>
      <c r="CZ261" s="91" t="str">
        <f t="shared" si="191"/>
        <v xml:space="preserve">                                                                                                                                                                                                                                                                                                                                                                                                                </v>
      </c>
      <c r="DA261" s="218" t="str">
        <f t="shared" si="202"/>
        <v>-</v>
      </c>
      <c r="DB261" s="169"/>
      <c r="DC261" s="92" t="s">
        <v>593</v>
      </c>
    </row>
    <row r="262" spans="2:107" s="26" customFormat="1">
      <c r="B262" s="65">
        <f t="shared" si="192"/>
        <v>255</v>
      </c>
      <c r="C262" s="7"/>
      <c r="D262" s="7"/>
      <c r="E262" s="7"/>
      <c r="F262" s="22" t="s">
        <v>158</v>
      </c>
      <c r="G262" s="16"/>
      <c r="H262" s="13"/>
      <c r="I262" s="8"/>
      <c r="J262" s="8"/>
      <c r="K262" s="8"/>
      <c r="L262" s="8"/>
      <c r="M262" s="11" t="s">
        <v>152</v>
      </c>
      <c r="N262" s="1"/>
      <c r="O262" s="57"/>
      <c r="P262" s="95">
        <f t="shared" si="217"/>
        <v>231</v>
      </c>
      <c r="Q262" s="115">
        <v>400</v>
      </c>
      <c r="R262" s="21" t="str">
        <f t="shared" si="218"/>
        <v>NX</v>
      </c>
      <c r="S262" s="98" t="s">
        <v>159</v>
      </c>
      <c r="T262" s="96"/>
      <c r="U262" s="21" t="s">
        <v>435</v>
      </c>
      <c r="V262" s="10"/>
      <c r="W262" s="25">
        <v>3</v>
      </c>
      <c r="X262" s="1" t="s">
        <v>160</v>
      </c>
      <c r="Y262" s="1">
        <v>1</v>
      </c>
      <c r="Z262" s="1">
        <v>400</v>
      </c>
      <c r="AA262" s="8" t="s">
        <v>129</v>
      </c>
      <c r="AB262" s="8" t="s">
        <v>257</v>
      </c>
      <c r="AC262" s="12"/>
      <c r="AD262" s="60"/>
      <c r="AE262" s="169"/>
      <c r="AF262" s="91" t="str">
        <f t="shared" si="179"/>
        <v xml:space="preserve">                                                                                                                                                                                                                                                                                                                                                                                                                </v>
      </c>
      <c r="AG262" s="218" t="str">
        <f t="shared" si="211"/>
        <v>-</v>
      </c>
      <c r="AH262" s="169"/>
      <c r="AI262" s="92" t="str">
        <f t="shared" si="213"/>
        <v>OK</v>
      </c>
      <c r="AJ262" s="60"/>
      <c r="AK262" s="169"/>
      <c r="AL262" s="91" t="str">
        <f t="shared" si="180"/>
        <v xml:space="preserve">                                                                                                                                                                                                                                                                                                                                                                                                                </v>
      </c>
      <c r="AM262" s="218" t="str">
        <f t="shared" si="193"/>
        <v>-</v>
      </c>
      <c r="AN262" s="169"/>
      <c r="AO262" s="92" t="str">
        <f t="shared" si="214"/>
        <v>OK</v>
      </c>
      <c r="AP262" s="60"/>
      <c r="AQ262" s="172"/>
      <c r="AR262" s="91" t="str">
        <f t="shared" si="181"/>
        <v xml:space="preserve">                                                                                                                                                                                                                                                                                                                                                                                                                </v>
      </c>
      <c r="AS262" s="218" t="s">
        <v>593</v>
      </c>
      <c r="AT262" s="91"/>
      <c r="AU262" s="218" t="str">
        <f t="shared" si="178"/>
        <v>-</v>
      </c>
      <c r="AV262" s="60"/>
      <c r="AW262" s="169"/>
      <c r="AX262" s="91" t="str">
        <f t="shared" si="182"/>
        <v xml:space="preserve">                                                                                                                                                                                                                                                                                                                                                                                                                </v>
      </c>
      <c r="AY262" s="218" t="str">
        <f t="shared" si="194"/>
        <v>-</v>
      </c>
      <c r="AZ262" s="169"/>
      <c r="BA262" s="478" t="s">
        <v>594</v>
      </c>
      <c r="BB262" s="60"/>
      <c r="BC262" s="169"/>
      <c r="BD262" s="91" t="str">
        <f t="shared" si="183"/>
        <v xml:space="preserve">                                                                                                                                                                                                                                                                                                                                                                                                                </v>
      </c>
      <c r="BE262" s="218" t="str">
        <f t="shared" si="195"/>
        <v>-</v>
      </c>
      <c r="BF262" s="169"/>
      <c r="BG262" s="478" t="s">
        <v>594</v>
      </c>
      <c r="BH262" s="60"/>
      <c r="BI262" s="170" t="s">
        <v>703</v>
      </c>
      <c r="BJ262" s="91" t="str">
        <f t="shared" si="184"/>
        <v xml:space="preserve">                                                                                                                                                                                                                                                                                                                                                                                                                </v>
      </c>
      <c r="BK262" s="218" t="s">
        <v>593</v>
      </c>
      <c r="BL262" s="169"/>
      <c r="BM262" s="478" t="s">
        <v>594</v>
      </c>
      <c r="BN262" s="60"/>
      <c r="BO262" s="169"/>
      <c r="BP262" s="91" t="str">
        <f t="shared" si="185"/>
        <v xml:space="preserve">                                                                                                                                                                                                                                                                                                                                                                                                                </v>
      </c>
      <c r="BQ262" s="218" t="str">
        <f t="shared" si="196"/>
        <v>-</v>
      </c>
      <c r="BR262" s="169"/>
      <c r="BS262" s="478" t="s">
        <v>594</v>
      </c>
      <c r="BT262" s="60"/>
      <c r="BU262" s="172"/>
      <c r="BV262" s="91" t="str">
        <f t="shared" si="186"/>
        <v xml:space="preserve">                                                                                                                                                                                                                                                                                                                                                                                                                </v>
      </c>
      <c r="BW262" s="218" t="s">
        <v>593</v>
      </c>
      <c r="BX262" s="91"/>
      <c r="BY262" s="218" t="str">
        <f t="shared" si="197"/>
        <v>-</v>
      </c>
      <c r="BZ262" s="60"/>
      <c r="CA262" s="169"/>
      <c r="CB262" s="91" t="str">
        <f t="shared" si="187"/>
        <v xml:space="preserve">                                                                                                                                                                                                                                                                                                                                                                                                                </v>
      </c>
      <c r="CC262" s="218" t="str">
        <f t="shared" si="198"/>
        <v>-</v>
      </c>
      <c r="CD262" s="169"/>
      <c r="CE262" s="92" t="str">
        <f t="shared" si="215"/>
        <v>OK</v>
      </c>
      <c r="CF262" s="60"/>
      <c r="CG262" s="169"/>
      <c r="CH262" s="91" t="str">
        <f t="shared" si="188"/>
        <v xml:space="preserve">                                                                                                                                                                                                                                                                                                                                                                                                                </v>
      </c>
      <c r="CI262" s="218" t="str">
        <f t="shared" si="199"/>
        <v>-</v>
      </c>
      <c r="CJ262" s="169"/>
      <c r="CK262" s="92" t="str">
        <f t="shared" si="216"/>
        <v>OK</v>
      </c>
      <c r="CL262" s="60"/>
      <c r="CM262" s="169"/>
      <c r="CN262" s="91" t="str">
        <f t="shared" si="189"/>
        <v xml:space="preserve">                                                                                                                                                                                                                                                                                                                                                                                                                </v>
      </c>
      <c r="CO262" s="218" t="s">
        <v>593</v>
      </c>
      <c r="CP262" s="91"/>
      <c r="CQ262" s="218" t="str">
        <f t="shared" si="200"/>
        <v>-</v>
      </c>
      <c r="CR262" s="60"/>
      <c r="CS262" s="169"/>
      <c r="CT262" s="91" t="str">
        <f t="shared" si="190"/>
        <v xml:space="preserve">                                                                                                                                                                                                                                                                                                                                                                                                                </v>
      </c>
      <c r="CU262" s="218" t="str">
        <f t="shared" si="201"/>
        <v>-</v>
      </c>
      <c r="CV262" s="169"/>
      <c r="CW262" s="92" t="s">
        <v>593</v>
      </c>
      <c r="CX262" s="60"/>
      <c r="CY262" s="169"/>
      <c r="CZ262" s="91" t="str">
        <f t="shared" si="191"/>
        <v xml:space="preserve">                                                                                                                                                                                                                                                                                                                                                                                                                </v>
      </c>
      <c r="DA262" s="218" t="str">
        <f t="shared" si="202"/>
        <v>-</v>
      </c>
      <c r="DB262" s="169"/>
      <c r="DC262" s="92" t="s">
        <v>593</v>
      </c>
    </row>
    <row r="263" spans="2:107" s="26" customFormat="1">
      <c r="B263" s="65">
        <f t="shared" si="192"/>
        <v>256</v>
      </c>
      <c r="C263" s="7"/>
      <c r="D263" s="7"/>
      <c r="E263" s="7"/>
      <c r="F263" s="22" t="s">
        <v>161</v>
      </c>
      <c r="G263" s="16"/>
      <c r="H263" s="13"/>
      <c r="I263" s="8"/>
      <c r="J263" s="8"/>
      <c r="K263" s="8"/>
      <c r="L263" s="8"/>
      <c r="M263" s="11" t="s">
        <v>152</v>
      </c>
      <c r="N263" s="1"/>
      <c r="O263" s="57"/>
      <c r="P263" s="95">
        <f t="shared" si="217"/>
        <v>232</v>
      </c>
      <c r="Q263" s="115">
        <v>400</v>
      </c>
      <c r="R263" s="21" t="str">
        <f t="shared" si="218"/>
        <v>NX</v>
      </c>
      <c r="S263" s="98" t="s">
        <v>162</v>
      </c>
      <c r="T263" s="96"/>
      <c r="U263" s="21" t="s">
        <v>435</v>
      </c>
      <c r="V263" s="10"/>
      <c r="W263" s="25">
        <v>3</v>
      </c>
      <c r="X263" s="1" t="s">
        <v>163</v>
      </c>
      <c r="Y263" s="1">
        <v>1</v>
      </c>
      <c r="Z263" s="1">
        <v>400</v>
      </c>
      <c r="AA263" s="8" t="s">
        <v>129</v>
      </c>
      <c r="AB263" s="8" t="s">
        <v>257</v>
      </c>
      <c r="AC263" s="12"/>
      <c r="AD263" s="60"/>
      <c r="AE263" s="169"/>
      <c r="AF263" s="91" t="str">
        <f t="shared" si="179"/>
        <v xml:space="preserve">                                                                                                                                                                                                                                                                                                                                                                                                                </v>
      </c>
      <c r="AG263" s="218" t="str">
        <f t="shared" si="211"/>
        <v>-</v>
      </c>
      <c r="AH263" s="169"/>
      <c r="AI263" s="92" t="str">
        <f t="shared" si="213"/>
        <v>OK</v>
      </c>
      <c r="AJ263" s="60"/>
      <c r="AK263" s="169"/>
      <c r="AL263" s="91" t="str">
        <f t="shared" si="180"/>
        <v xml:space="preserve">                                                                                                                                                                                                                                                                                                                                                                                                                </v>
      </c>
      <c r="AM263" s="218" t="str">
        <f t="shared" si="193"/>
        <v>-</v>
      </c>
      <c r="AN263" s="169"/>
      <c r="AO263" s="92" t="str">
        <f t="shared" si="214"/>
        <v>OK</v>
      </c>
      <c r="AP263" s="60"/>
      <c r="AQ263" s="172"/>
      <c r="AR263" s="91" t="str">
        <f t="shared" si="181"/>
        <v xml:space="preserve">                                                                                                                                                                                                                                                                                                                                                                                                                </v>
      </c>
      <c r="AS263" s="218" t="s">
        <v>593</v>
      </c>
      <c r="AT263" s="91"/>
      <c r="AU263" s="218" t="str">
        <f t="shared" si="178"/>
        <v>-</v>
      </c>
      <c r="AV263" s="60"/>
      <c r="AW263" s="169"/>
      <c r="AX263" s="91" t="str">
        <f t="shared" si="182"/>
        <v xml:space="preserve">                                                                                                                                                                                                                                                                                                                                                                                                                </v>
      </c>
      <c r="AY263" s="218" t="str">
        <f t="shared" si="194"/>
        <v>-</v>
      </c>
      <c r="AZ263" s="169"/>
      <c r="BA263" s="478" t="s">
        <v>594</v>
      </c>
      <c r="BB263" s="60"/>
      <c r="BC263" s="169"/>
      <c r="BD263" s="91" t="str">
        <f t="shared" si="183"/>
        <v xml:space="preserve">                                                                                                                                                                                                                                                                                                                                                                                                                </v>
      </c>
      <c r="BE263" s="218" t="str">
        <f t="shared" si="195"/>
        <v>-</v>
      </c>
      <c r="BF263" s="169"/>
      <c r="BG263" s="478" t="s">
        <v>594</v>
      </c>
      <c r="BH263" s="60"/>
      <c r="BI263" s="170" t="s">
        <v>703</v>
      </c>
      <c r="BJ263" s="91" t="str">
        <f t="shared" si="184"/>
        <v xml:space="preserve">                                                                                                                                                                                                                                                                                                                                                                                                                </v>
      </c>
      <c r="BK263" s="218" t="s">
        <v>593</v>
      </c>
      <c r="BL263" s="169"/>
      <c r="BM263" s="478" t="s">
        <v>594</v>
      </c>
      <c r="BN263" s="60"/>
      <c r="BO263" s="169"/>
      <c r="BP263" s="91" t="str">
        <f t="shared" si="185"/>
        <v xml:space="preserve">                                                                                                                                                                                                                                                                                                                                                                                                                </v>
      </c>
      <c r="BQ263" s="218" t="str">
        <f t="shared" si="196"/>
        <v>-</v>
      </c>
      <c r="BR263" s="169"/>
      <c r="BS263" s="478" t="s">
        <v>594</v>
      </c>
      <c r="BT263" s="60"/>
      <c r="BU263" s="172"/>
      <c r="BV263" s="91" t="str">
        <f t="shared" si="186"/>
        <v xml:space="preserve">                                                                                                                                                                                                                                                                                                                                                                                                                </v>
      </c>
      <c r="BW263" s="218" t="s">
        <v>593</v>
      </c>
      <c r="BX263" s="91"/>
      <c r="BY263" s="218" t="str">
        <f t="shared" si="197"/>
        <v>-</v>
      </c>
      <c r="BZ263" s="60"/>
      <c r="CA263" s="169"/>
      <c r="CB263" s="91" t="str">
        <f t="shared" si="187"/>
        <v xml:space="preserve">                                                                                                                                                                                                                                                                                                                                                                                                                </v>
      </c>
      <c r="CC263" s="218" t="str">
        <f t="shared" si="198"/>
        <v>-</v>
      </c>
      <c r="CD263" s="169"/>
      <c r="CE263" s="92" t="str">
        <f t="shared" si="215"/>
        <v>OK</v>
      </c>
      <c r="CF263" s="60"/>
      <c r="CG263" s="169"/>
      <c r="CH263" s="91" t="str">
        <f t="shared" si="188"/>
        <v xml:space="preserve">                                                                                                                                                                                                                                                                                                                                                                                                                </v>
      </c>
      <c r="CI263" s="218" t="str">
        <f t="shared" si="199"/>
        <v>-</v>
      </c>
      <c r="CJ263" s="169"/>
      <c r="CK263" s="92" t="str">
        <f t="shared" si="216"/>
        <v>OK</v>
      </c>
      <c r="CL263" s="60"/>
      <c r="CM263" s="169"/>
      <c r="CN263" s="91" t="str">
        <f t="shared" si="189"/>
        <v xml:space="preserve">                                                                                                                                                                                                                                                                                                                                                                                                                </v>
      </c>
      <c r="CO263" s="218" t="s">
        <v>593</v>
      </c>
      <c r="CP263" s="91"/>
      <c r="CQ263" s="218" t="str">
        <f t="shared" si="200"/>
        <v>-</v>
      </c>
      <c r="CR263" s="60"/>
      <c r="CS263" s="169"/>
      <c r="CT263" s="91" t="str">
        <f t="shared" si="190"/>
        <v xml:space="preserve">                                                                                                                                                                                                                                                                                                                                                                                                                </v>
      </c>
      <c r="CU263" s="218" t="str">
        <f t="shared" si="201"/>
        <v>-</v>
      </c>
      <c r="CV263" s="169"/>
      <c r="CW263" s="92" t="s">
        <v>593</v>
      </c>
      <c r="CX263" s="60"/>
      <c r="CY263" s="169"/>
      <c r="CZ263" s="91" t="str">
        <f t="shared" si="191"/>
        <v xml:space="preserve">                                                                                                                                                                                                                                                                                                                                                                                                                </v>
      </c>
      <c r="DA263" s="218" t="str">
        <f t="shared" si="202"/>
        <v>-</v>
      </c>
      <c r="DB263" s="169"/>
      <c r="DC263" s="92" t="s">
        <v>593</v>
      </c>
    </row>
    <row r="264" spans="2:107" s="26" customFormat="1" ht="89.25">
      <c r="B264" s="65">
        <f t="shared" si="192"/>
        <v>257</v>
      </c>
      <c r="C264" s="7"/>
      <c r="D264" s="7"/>
      <c r="E264" s="7"/>
      <c r="F264" s="22" t="s">
        <v>164</v>
      </c>
      <c r="G264" s="16"/>
      <c r="H264" s="13"/>
      <c r="I264" s="8"/>
      <c r="J264" s="8"/>
      <c r="K264" s="8"/>
      <c r="L264" s="8"/>
      <c r="M264" s="11" t="s">
        <v>450</v>
      </c>
      <c r="N264" s="1"/>
      <c r="O264" s="57"/>
      <c r="P264" s="95">
        <f t="shared" si="217"/>
        <v>233</v>
      </c>
      <c r="Q264" s="115">
        <v>1</v>
      </c>
      <c r="R264" s="21" t="str">
        <f t="shared" si="218"/>
        <v>X</v>
      </c>
      <c r="S264" s="98" t="s">
        <v>165</v>
      </c>
      <c r="T264" s="96"/>
      <c r="U264" s="21" t="s">
        <v>435</v>
      </c>
      <c r="V264" s="10"/>
      <c r="W264" s="25">
        <v>3</v>
      </c>
      <c r="X264" s="1" t="s">
        <v>303</v>
      </c>
      <c r="Y264" s="1">
        <v>1</v>
      </c>
      <c r="Z264" s="1">
        <v>1</v>
      </c>
      <c r="AA264" s="8" t="s">
        <v>114</v>
      </c>
      <c r="AB264" s="8" t="s">
        <v>21</v>
      </c>
      <c r="AC264" s="104"/>
      <c r="AD264" s="60"/>
      <c r="AE264" s="174"/>
      <c r="AF264" s="61" t="str">
        <f t="shared" si="179"/>
        <v xml:space="preserve"> </v>
      </c>
      <c r="AG264" s="218" t="str">
        <f t="shared" si="211"/>
        <v>-</v>
      </c>
      <c r="AH264" s="174"/>
      <c r="AI264" s="92" t="str">
        <f t="shared" si="213"/>
        <v>OK</v>
      </c>
      <c r="AJ264" s="60"/>
      <c r="AK264" s="174"/>
      <c r="AL264" s="61" t="str">
        <f t="shared" si="180"/>
        <v xml:space="preserve"> </v>
      </c>
      <c r="AM264" s="218" t="str">
        <f t="shared" si="193"/>
        <v>-</v>
      </c>
      <c r="AN264" s="174"/>
      <c r="AO264" s="92" t="str">
        <f t="shared" si="214"/>
        <v>OK</v>
      </c>
      <c r="AP264" s="60"/>
      <c r="AQ264" s="170"/>
      <c r="AR264" s="61" t="str">
        <f t="shared" si="181"/>
        <v xml:space="preserve"> </v>
      </c>
      <c r="AS264" s="218" t="s">
        <v>593</v>
      </c>
      <c r="AT264" s="61"/>
      <c r="AU264" s="218" t="str">
        <f t="shared" si="178"/>
        <v>-</v>
      </c>
      <c r="AV264" s="60"/>
      <c r="AW264" s="174"/>
      <c r="AX264" s="61" t="str">
        <f t="shared" si="182"/>
        <v xml:space="preserve"> </v>
      </c>
      <c r="AY264" s="218" t="str">
        <f t="shared" si="194"/>
        <v>-</v>
      </c>
      <c r="AZ264" s="174"/>
      <c r="BA264" s="478" t="s">
        <v>594</v>
      </c>
      <c r="BB264" s="60"/>
      <c r="BC264" s="174"/>
      <c r="BD264" s="61" t="str">
        <f t="shared" si="183"/>
        <v xml:space="preserve"> </v>
      </c>
      <c r="BE264" s="218" t="str">
        <f t="shared" si="195"/>
        <v>-</v>
      </c>
      <c r="BF264" s="174"/>
      <c r="BG264" s="478" t="s">
        <v>594</v>
      </c>
      <c r="BH264" s="60"/>
      <c r="BI264" s="170" t="s">
        <v>38</v>
      </c>
      <c r="BJ264" s="61" t="str">
        <f t="shared" si="184"/>
        <v xml:space="preserve"> </v>
      </c>
      <c r="BK264" s="218" t="s">
        <v>593</v>
      </c>
      <c r="BL264" s="174"/>
      <c r="BM264" s="478" t="s">
        <v>594</v>
      </c>
      <c r="BN264" s="60"/>
      <c r="BO264" s="174"/>
      <c r="BP264" s="61" t="str">
        <f t="shared" si="185"/>
        <v xml:space="preserve"> </v>
      </c>
      <c r="BQ264" s="218" t="str">
        <f t="shared" si="196"/>
        <v>-</v>
      </c>
      <c r="BR264" s="174"/>
      <c r="BS264" s="478" t="s">
        <v>594</v>
      </c>
      <c r="BT264" s="60"/>
      <c r="BU264" s="170"/>
      <c r="BV264" s="61" t="str">
        <f t="shared" si="186"/>
        <v xml:space="preserve"> </v>
      </c>
      <c r="BW264" s="218" t="s">
        <v>593</v>
      </c>
      <c r="BX264" s="61"/>
      <c r="BY264" s="218" t="str">
        <f t="shared" si="197"/>
        <v>-</v>
      </c>
      <c r="BZ264" s="60"/>
      <c r="CA264" s="174"/>
      <c r="CB264" s="61" t="str">
        <f t="shared" si="187"/>
        <v xml:space="preserve"> </v>
      </c>
      <c r="CC264" s="218" t="str">
        <f t="shared" si="198"/>
        <v>-</v>
      </c>
      <c r="CD264" s="174"/>
      <c r="CE264" s="92" t="str">
        <f t="shared" si="215"/>
        <v>OK</v>
      </c>
      <c r="CF264" s="60"/>
      <c r="CG264" s="174"/>
      <c r="CH264" s="61" t="str">
        <f t="shared" si="188"/>
        <v xml:space="preserve"> </v>
      </c>
      <c r="CI264" s="218" t="str">
        <f t="shared" si="199"/>
        <v>-</v>
      </c>
      <c r="CJ264" s="174"/>
      <c r="CK264" s="92" t="str">
        <f t="shared" si="216"/>
        <v>OK</v>
      </c>
      <c r="CL264" s="60"/>
      <c r="CM264" s="174"/>
      <c r="CN264" s="61" t="str">
        <f t="shared" si="189"/>
        <v xml:space="preserve"> </v>
      </c>
      <c r="CO264" s="218" t="s">
        <v>593</v>
      </c>
      <c r="CP264" s="61"/>
      <c r="CQ264" s="218" t="str">
        <f t="shared" si="200"/>
        <v>-</v>
      </c>
      <c r="CR264" s="60"/>
      <c r="CS264" s="174"/>
      <c r="CT264" s="61" t="str">
        <f t="shared" si="190"/>
        <v xml:space="preserve"> </v>
      </c>
      <c r="CU264" s="218" t="str">
        <f t="shared" si="201"/>
        <v>-</v>
      </c>
      <c r="CV264" s="174"/>
      <c r="CW264" s="92" t="s">
        <v>593</v>
      </c>
      <c r="CX264" s="60"/>
      <c r="CY264" s="174"/>
      <c r="CZ264" s="61" t="str">
        <f t="shared" si="191"/>
        <v xml:space="preserve"> </v>
      </c>
      <c r="DA264" s="218" t="str">
        <f t="shared" si="202"/>
        <v>-</v>
      </c>
      <c r="DB264" s="174"/>
      <c r="DC264" s="92" t="s">
        <v>593</v>
      </c>
    </row>
    <row r="265" spans="2:107" s="26" customFormat="1">
      <c r="B265" s="65">
        <f t="shared" si="192"/>
        <v>258</v>
      </c>
      <c r="C265" s="7"/>
      <c r="D265" s="7"/>
      <c r="E265" s="7"/>
      <c r="F265" s="22" t="s">
        <v>166</v>
      </c>
      <c r="G265" s="16"/>
      <c r="H265" s="13"/>
      <c r="I265" s="8"/>
      <c r="J265" s="8"/>
      <c r="K265" s="8"/>
      <c r="L265" s="8"/>
      <c r="M265" s="11"/>
      <c r="N265" s="1"/>
      <c r="O265" s="57"/>
      <c r="P265" s="95">
        <f t="shared" si="217"/>
        <v>234</v>
      </c>
      <c r="Q265" s="115">
        <v>128</v>
      </c>
      <c r="R265" s="21" t="str">
        <f t="shared" si="218"/>
        <v>X</v>
      </c>
      <c r="S265" s="98" t="s">
        <v>167</v>
      </c>
      <c r="T265" s="96"/>
      <c r="U265" s="21" t="s">
        <v>435</v>
      </c>
      <c r="V265" s="10"/>
      <c r="W265" s="25">
        <v>3</v>
      </c>
      <c r="X265" s="1" t="s">
        <v>304</v>
      </c>
      <c r="Y265" s="1">
        <v>1</v>
      </c>
      <c r="Z265" s="1">
        <v>128</v>
      </c>
      <c r="AA265" s="8" t="s">
        <v>114</v>
      </c>
      <c r="AB265" s="8" t="s">
        <v>21</v>
      </c>
      <c r="AC265" s="12"/>
      <c r="AD265" s="60"/>
      <c r="AE265" s="169"/>
      <c r="AF265" s="61" t="str">
        <f t="shared" si="179"/>
        <v xml:space="preserve">                                                                                                                                </v>
      </c>
      <c r="AG265" s="218" t="str">
        <f t="shared" si="211"/>
        <v>-</v>
      </c>
      <c r="AH265" s="169"/>
      <c r="AI265" s="92" t="str">
        <f t="shared" si="213"/>
        <v>OK</v>
      </c>
      <c r="AJ265" s="60"/>
      <c r="AK265" s="169"/>
      <c r="AL265" s="61" t="str">
        <f t="shared" si="180"/>
        <v xml:space="preserve">                                                                                                                                </v>
      </c>
      <c r="AM265" s="218" t="str">
        <f t="shared" si="193"/>
        <v>-</v>
      </c>
      <c r="AN265" s="169"/>
      <c r="AO265" s="92" t="str">
        <f t="shared" si="214"/>
        <v>OK</v>
      </c>
      <c r="AP265" s="60"/>
      <c r="AQ265" s="172"/>
      <c r="AR265" s="61" t="str">
        <f t="shared" si="181"/>
        <v xml:space="preserve">                                                                                                                                </v>
      </c>
      <c r="AS265" s="218" t="s">
        <v>593</v>
      </c>
      <c r="AT265" s="61"/>
      <c r="AU265" s="218" t="str">
        <f t="shared" si="178"/>
        <v>-</v>
      </c>
      <c r="AV265" s="60"/>
      <c r="AW265" s="169"/>
      <c r="AX265" s="61" t="str">
        <f t="shared" si="182"/>
        <v xml:space="preserve">                                                                                                                                </v>
      </c>
      <c r="AY265" s="218" t="str">
        <f t="shared" si="194"/>
        <v>-</v>
      </c>
      <c r="AZ265" s="169"/>
      <c r="BA265" s="478" t="s">
        <v>594</v>
      </c>
      <c r="BB265" s="60"/>
      <c r="BC265" s="169"/>
      <c r="BD265" s="61" t="str">
        <f t="shared" si="183"/>
        <v xml:space="preserve">                                                                                                                                </v>
      </c>
      <c r="BE265" s="218" t="str">
        <f t="shared" si="195"/>
        <v>-</v>
      </c>
      <c r="BF265" s="169"/>
      <c r="BG265" s="478" t="s">
        <v>594</v>
      </c>
      <c r="BH265" s="60"/>
      <c r="BI265" s="170" t="s">
        <v>704</v>
      </c>
      <c r="BJ265" s="61" t="str">
        <f t="shared" si="184"/>
        <v xml:space="preserve">                                                                                                                                </v>
      </c>
      <c r="BK265" s="218" t="s">
        <v>593</v>
      </c>
      <c r="BL265" s="169"/>
      <c r="BM265" s="478" t="s">
        <v>594</v>
      </c>
      <c r="BN265" s="60"/>
      <c r="BO265" s="169"/>
      <c r="BP265" s="61" t="str">
        <f t="shared" si="185"/>
        <v xml:space="preserve">                                                                                                                                </v>
      </c>
      <c r="BQ265" s="218" t="str">
        <f t="shared" si="196"/>
        <v>-</v>
      </c>
      <c r="BR265" s="169"/>
      <c r="BS265" s="478" t="s">
        <v>594</v>
      </c>
      <c r="BT265" s="60"/>
      <c r="BU265" s="172"/>
      <c r="BV265" s="61" t="str">
        <f t="shared" si="186"/>
        <v xml:space="preserve">                                                                                                                                </v>
      </c>
      <c r="BW265" s="218" t="s">
        <v>593</v>
      </c>
      <c r="BX265" s="61"/>
      <c r="BY265" s="218" t="str">
        <f t="shared" si="197"/>
        <v>-</v>
      </c>
      <c r="BZ265" s="60"/>
      <c r="CA265" s="169"/>
      <c r="CB265" s="61" t="str">
        <f t="shared" si="187"/>
        <v xml:space="preserve">                                                                                                                                </v>
      </c>
      <c r="CC265" s="218" t="str">
        <f t="shared" si="198"/>
        <v>-</v>
      </c>
      <c r="CD265" s="169"/>
      <c r="CE265" s="92" t="str">
        <f t="shared" si="215"/>
        <v>OK</v>
      </c>
      <c r="CF265" s="60"/>
      <c r="CG265" s="169"/>
      <c r="CH265" s="61" t="str">
        <f t="shared" si="188"/>
        <v xml:space="preserve">                                                                                                                                </v>
      </c>
      <c r="CI265" s="218" t="str">
        <f t="shared" si="199"/>
        <v>-</v>
      </c>
      <c r="CJ265" s="169"/>
      <c r="CK265" s="92" t="str">
        <f t="shared" si="216"/>
        <v>OK</v>
      </c>
      <c r="CL265" s="60"/>
      <c r="CM265" s="169"/>
      <c r="CN265" s="61" t="str">
        <f t="shared" si="189"/>
        <v xml:space="preserve">                                                                                                                                </v>
      </c>
      <c r="CO265" s="218" t="s">
        <v>593</v>
      </c>
      <c r="CP265" s="61"/>
      <c r="CQ265" s="218" t="str">
        <f t="shared" si="200"/>
        <v>-</v>
      </c>
      <c r="CR265" s="60"/>
      <c r="CS265" s="169"/>
      <c r="CT265" s="61" t="str">
        <f t="shared" si="190"/>
        <v xml:space="preserve">                                                                                                                                </v>
      </c>
      <c r="CU265" s="218" t="str">
        <f t="shared" si="201"/>
        <v>-</v>
      </c>
      <c r="CV265" s="169"/>
      <c r="CW265" s="92" t="s">
        <v>593</v>
      </c>
      <c r="CX265" s="60"/>
      <c r="CY265" s="169"/>
      <c r="CZ265" s="61" t="str">
        <f t="shared" si="191"/>
        <v xml:space="preserve">                                                                                                                                </v>
      </c>
      <c r="DA265" s="218" t="str">
        <f t="shared" si="202"/>
        <v>-</v>
      </c>
      <c r="DB265" s="169"/>
      <c r="DC265" s="92" t="s">
        <v>593</v>
      </c>
    </row>
    <row r="266" spans="2:107" s="26" customFormat="1" ht="114.75">
      <c r="B266" s="65">
        <f t="shared" si="192"/>
        <v>259</v>
      </c>
      <c r="C266" s="7"/>
      <c r="D266" s="7"/>
      <c r="E266" s="7"/>
      <c r="F266" s="22" t="s">
        <v>168</v>
      </c>
      <c r="G266" s="16"/>
      <c r="H266" s="13"/>
      <c r="I266" s="8"/>
      <c r="J266" s="8"/>
      <c r="K266" s="8"/>
      <c r="L266" s="8"/>
      <c r="M266" s="11" t="s">
        <v>399</v>
      </c>
      <c r="N266" s="1"/>
      <c r="O266" s="57"/>
      <c r="P266" s="95">
        <f t="shared" si="217"/>
        <v>235</v>
      </c>
      <c r="Q266" s="115">
        <v>1</v>
      </c>
      <c r="R266" s="21" t="str">
        <f t="shared" si="218"/>
        <v>X</v>
      </c>
      <c r="S266" s="98" t="s">
        <v>169</v>
      </c>
      <c r="T266" s="96"/>
      <c r="U266" s="21" t="s">
        <v>435</v>
      </c>
      <c r="V266" s="10"/>
      <c r="W266" s="25">
        <v>3</v>
      </c>
      <c r="X266" s="1" t="s">
        <v>305</v>
      </c>
      <c r="Y266" s="1">
        <v>1</v>
      </c>
      <c r="Z266" s="1">
        <v>1</v>
      </c>
      <c r="AA266" s="8" t="s">
        <v>114</v>
      </c>
      <c r="AB266" s="8" t="s">
        <v>21</v>
      </c>
      <c r="AC266" s="104"/>
      <c r="AD266" s="60"/>
      <c r="AE266" s="174"/>
      <c r="AF266" s="61" t="str">
        <f t="shared" si="179"/>
        <v xml:space="preserve"> </v>
      </c>
      <c r="AG266" s="218" t="str">
        <f t="shared" si="211"/>
        <v>-</v>
      </c>
      <c r="AH266" s="174"/>
      <c r="AI266" s="92" t="str">
        <f t="shared" si="213"/>
        <v>OK</v>
      </c>
      <c r="AJ266" s="60"/>
      <c r="AK266" s="174"/>
      <c r="AL266" s="61" t="str">
        <f t="shared" si="180"/>
        <v xml:space="preserve"> </v>
      </c>
      <c r="AM266" s="218" t="str">
        <f t="shared" si="193"/>
        <v>-</v>
      </c>
      <c r="AN266" s="174"/>
      <c r="AO266" s="92" t="str">
        <f t="shared" si="214"/>
        <v>OK</v>
      </c>
      <c r="AP266" s="60"/>
      <c r="AQ266" s="170"/>
      <c r="AR266" s="61" t="str">
        <f t="shared" si="181"/>
        <v xml:space="preserve"> </v>
      </c>
      <c r="AS266" s="218" t="s">
        <v>593</v>
      </c>
      <c r="AT266" s="61"/>
      <c r="AU266" s="218" t="str">
        <f t="shared" si="178"/>
        <v>-</v>
      </c>
      <c r="AV266" s="60"/>
      <c r="AW266" s="174"/>
      <c r="AX266" s="61" t="str">
        <f t="shared" si="182"/>
        <v xml:space="preserve"> </v>
      </c>
      <c r="AY266" s="218" t="str">
        <f t="shared" si="194"/>
        <v>-</v>
      </c>
      <c r="AZ266" s="174"/>
      <c r="BA266" s="478" t="s">
        <v>594</v>
      </c>
      <c r="BB266" s="60"/>
      <c r="BC266" s="174"/>
      <c r="BD266" s="61" t="str">
        <f t="shared" si="183"/>
        <v xml:space="preserve"> </v>
      </c>
      <c r="BE266" s="218" t="str">
        <f t="shared" si="195"/>
        <v>-</v>
      </c>
      <c r="BF266" s="174"/>
      <c r="BG266" s="478" t="s">
        <v>594</v>
      </c>
      <c r="BH266" s="60"/>
      <c r="BI266" s="170" t="s">
        <v>38</v>
      </c>
      <c r="BJ266" s="61" t="str">
        <f t="shared" si="184"/>
        <v xml:space="preserve"> </v>
      </c>
      <c r="BK266" s="218" t="s">
        <v>593</v>
      </c>
      <c r="BL266" s="174"/>
      <c r="BM266" s="478" t="s">
        <v>594</v>
      </c>
      <c r="BN266" s="60"/>
      <c r="BO266" s="174"/>
      <c r="BP266" s="61" t="str">
        <f t="shared" si="185"/>
        <v xml:space="preserve"> </v>
      </c>
      <c r="BQ266" s="218" t="str">
        <f t="shared" si="196"/>
        <v>-</v>
      </c>
      <c r="BR266" s="174"/>
      <c r="BS266" s="478" t="s">
        <v>594</v>
      </c>
      <c r="BT266" s="60"/>
      <c r="BU266" s="170"/>
      <c r="BV266" s="61" t="str">
        <f t="shared" si="186"/>
        <v xml:space="preserve"> </v>
      </c>
      <c r="BW266" s="218" t="s">
        <v>593</v>
      </c>
      <c r="BX266" s="61"/>
      <c r="BY266" s="218" t="str">
        <f t="shared" si="197"/>
        <v>-</v>
      </c>
      <c r="BZ266" s="60"/>
      <c r="CA266" s="174"/>
      <c r="CB266" s="61" t="str">
        <f t="shared" si="187"/>
        <v xml:space="preserve"> </v>
      </c>
      <c r="CC266" s="218" t="str">
        <f t="shared" si="198"/>
        <v>-</v>
      </c>
      <c r="CD266" s="174"/>
      <c r="CE266" s="92" t="str">
        <f t="shared" si="215"/>
        <v>OK</v>
      </c>
      <c r="CF266" s="60"/>
      <c r="CG266" s="174"/>
      <c r="CH266" s="61" t="str">
        <f t="shared" si="188"/>
        <v xml:space="preserve"> </v>
      </c>
      <c r="CI266" s="218" t="str">
        <f t="shared" si="199"/>
        <v>-</v>
      </c>
      <c r="CJ266" s="174"/>
      <c r="CK266" s="92" t="str">
        <f t="shared" si="216"/>
        <v>OK</v>
      </c>
      <c r="CL266" s="60"/>
      <c r="CM266" s="174"/>
      <c r="CN266" s="61" t="str">
        <f t="shared" si="189"/>
        <v xml:space="preserve"> </v>
      </c>
      <c r="CO266" s="218" t="s">
        <v>593</v>
      </c>
      <c r="CP266" s="61"/>
      <c r="CQ266" s="218" t="str">
        <f t="shared" si="200"/>
        <v>-</v>
      </c>
      <c r="CR266" s="60"/>
      <c r="CS266" s="174"/>
      <c r="CT266" s="61" t="str">
        <f t="shared" si="190"/>
        <v xml:space="preserve"> </v>
      </c>
      <c r="CU266" s="218" t="str">
        <f t="shared" si="201"/>
        <v>-</v>
      </c>
      <c r="CV266" s="174"/>
      <c r="CW266" s="92" t="s">
        <v>593</v>
      </c>
      <c r="CX266" s="60"/>
      <c r="CY266" s="174"/>
      <c r="CZ266" s="61" t="str">
        <f t="shared" si="191"/>
        <v xml:space="preserve"> </v>
      </c>
      <c r="DA266" s="218" t="str">
        <f t="shared" si="202"/>
        <v>-</v>
      </c>
      <c r="DB266" s="174"/>
      <c r="DC266" s="92" t="s">
        <v>593</v>
      </c>
    </row>
    <row r="267" spans="2:107" s="26" customFormat="1" ht="127.5">
      <c r="B267" s="65">
        <f t="shared" si="192"/>
        <v>260</v>
      </c>
      <c r="C267" s="7"/>
      <c r="D267" s="7"/>
      <c r="E267" s="7"/>
      <c r="F267" s="22" t="s">
        <v>170</v>
      </c>
      <c r="G267" s="16"/>
      <c r="H267" s="13"/>
      <c r="I267" s="8"/>
      <c r="J267" s="8" t="s">
        <v>426</v>
      </c>
      <c r="K267" s="8"/>
      <c r="L267" s="8"/>
      <c r="M267" s="418" t="s">
        <v>451</v>
      </c>
      <c r="N267" s="1"/>
      <c r="O267" s="57"/>
      <c r="P267" s="95">
        <f t="shared" si="217"/>
        <v>236</v>
      </c>
      <c r="Q267" s="115">
        <v>1</v>
      </c>
      <c r="R267" s="21" t="str">
        <f t="shared" si="218"/>
        <v>X</v>
      </c>
      <c r="S267" s="98" t="s">
        <v>171</v>
      </c>
      <c r="T267" s="96"/>
      <c r="U267" s="21" t="s">
        <v>435</v>
      </c>
      <c r="V267" s="10"/>
      <c r="W267" s="25">
        <v>3</v>
      </c>
      <c r="X267" s="1" t="s">
        <v>306</v>
      </c>
      <c r="Y267" s="1">
        <v>1</v>
      </c>
      <c r="Z267" s="1">
        <v>1</v>
      </c>
      <c r="AA267" s="8" t="s">
        <v>114</v>
      </c>
      <c r="AB267" s="8" t="s">
        <v>21</v>
      </c>
      <c r="AC267" s="104"/>
      <c r="AD267" s="60"/>
      <c r="AE267" s="174"/>
      <c r="AF267" s="61" t="str">
        <f t="shared" si="179"/>
        <v xml:space="preserve"> </v>
      </c>
      <c r="AG267" s="218" t="str">
        <f t="shared" si="211"/>
        <v>-</v>
      </c>
      <c r="AH267" s="174"/>
      <c r="AI267" s="92" t="str">
        <f t="shared" si="213"/>
        <v>OK</v>
      </c>
      <c r="AJ267" s="60"/>
      <c r="AK267" s="174"/>
      <c r="AL267" s="61" t="str">
        <f t="shared" si="180"/>
        <v xml:space="preserve"> </v>
      </c>
      <c r="AM267" s="218" t="str">
        <f t="shared" si="193"/>
        <v>-</v>
      </c>
      <c r="AN267" s="174"/>
      <c r="AO267" s="92" t="str">
        <f t="shared" si="214"/>
        <v>OK</v>
      </c>
      <c r="AP267" s="60"/>
      <c r="AQ267" s="170"/>
      <c r="AR267" s="61" t="str">
        <f t="shared" si="181"/>
        <v xml:space="preserve"> </v>
      </c>
      <c r="AS267" s="218" t="s">
        <v>593</v>
      </c>
      <c r="AT267" s="61"/>
      <c r="AU267" s="218" t="str">
        <f t="shared" si="178"/>
        <v>-</v>
      </c>
      <c r="AV267" s="60"/>
      <c r="AW267" s="174" t="s">
        <v>33</v>
      </c>
      <c r="AX267" s="61" t="str">
        <f t="shared" si="182"/>
        <v>1</v>
      </c>
      <c r="AY267" s="218" t="str">
        <f t="shared" si="194"/>
        <v>-</v>
      </c>
      <c r="AZ267" s="174" t="s">
        <v>33</v>
      </c>
      <c r="BA267" s="478" t="s">
        <v>594</v>
      </c>
      <c r="BB267" s="60"/>
      <c r="BC267" s="174" t="s">
        <v>33</v>
      </c>
      <c r="BD267" s="61" t="str">
        <f t="shared" si="183"/>
        <v>1</v>
      </c>
      <c r="BE267" s="218" t="str">
        <f t="shared" si="195"/>
        <v>-</v>
      </c>
      <c r="BF267" s="174" t="s">
        <v>33</v>
      </c>
      <c r="BG267" s="478" t="s">
        <v>594</v>
      </c>
      <c r="BH267" s="60"/>
      <c r="BI267" s="170" t="s">
        <v>33</v>
      </c>
      <c r="BJ267" s="61" t="str">
        <f t="shared" si="184"/>
        <v>1</v>
      </c>
      <c r="BK267" s="218" t="s">
        <v>593</v>
      </c>
      <c r="BL267" s="174" t="s">
        <v>33</v>
      </c>
      <c r="BM267" s="478" t="s">
        <v>594</v>
      </c>
      <c r="BN267" s="60"/>
      <c r="BO267" s="174" t="s">
        <v>33</v>
      </c>
      <c r="BP267" s="61" t="str">
        <f t="shared" si="185"/>
        <v>1</v>
      </c>
      <c r="BQ267" s="218" t="str">
        <f t="shared" si="196"/>
        <v>-</v>
      </c>
      <c r="BR267" s="174" t="s">
        <v>33</v>
      </c>
      <c r="BS267" s="478" t="s">
        <v>594</v>
      </c>
      <c r="BT267" s="60"/>
      <c r="BU267" s="170"/>
      <c r="BV267" s="61" t="str">
        <f t="shared" si="186"/>
        <v xml:space="preserve"> </v>
      </c>
      <c r="BW267" s="218" t="s">
        <v>593</v>
      </c>
      <c r="BX267" s="61"/>
      <c r="BY267" s="218" t="str">
        <f t="shared" si="197"/>
        <v>-</v>
      </c>
      <c r="BZ267" s="60"/>
      <c r="CA267" s="174"/>
      <c r="CB267" s="61" t="str">
        <f t="shared" si="187"/>
        <v xml:space="preserve"> </v>
      </c>
      <c r="CC267" s="218" t="str">
        <f t="shared" si="198"/>
        <v>-</v>
      </c>
      <c r="CD267" s="174"/>
      <c r="CE267" s="92" t="str">
        <f t="shared" si="215"/>
        <v>OK</v>
      </c>
      <c r="CF267" s="60"/>
      <c r="CG267" s="174"/>
      <c r="CH267" s="61" t="str">
        <f t="shared" si="188"/>
        <v xml:space="preserve"> </v>
      </c>
      <c r="CI267" s="218" t="str">
        <f t="shared" si="199"/>
        <v>-</v>
      </c>
      <c r="CJ267" s="174"/>
      <c r="CK267" s="92" t="str">
        <f t="shared" si="216"/>
        <v>OK</v>
      </c>
      <c r="CL267" s="60"/>
      <c r="CM267" s="174"/>
      <c r="CN267" s="61" t="str">
        <f t="shared" si="189"/>
        <v xml:space="preserve"> </v>
      </c>
      <c r="CO267" s="218" t="s">
        <v>593</v>
      </c>
      <c r="CP267" s="61"/>
      <c r="CQ267" s="218" t="str">
        <f t="shared" si="200"/>
        <v>-</v>
      </c>
      <c r="CR267" s="60"/>
      <c r="CS267" s="174"/>
      <c r="CT267" s="61" t="str">
        <f t="shared" si="190"/>
        <v xml:space="preserve"> </v>
      </c>
      <c r="CU267" s="218" t="str">
        <f t="shared" si="201"/>
        <v>-</v>
      </c>
      <c r="CV267" s="174"/>
      <c r="CW267" s="92" t="s">
        <v>593</v>
      </c>
      <c r="CX267" s="60"/>
      <c r="CY267" s="174"/>
      <c r="CZ267" s="61" t="str">
        <f t="shared" si="191"/>
        <v xml:space="preserve"> </v>
      </c>
      <c r="DA267" s="218" t="str">
        <f t="shared" si="202"/>
        <v>-</v>
      </c>
      <c r="DB267" s="174"/>
      <c r="DC267" s="92" t="s">
        <v>593</v>
      </c>
    </row>
    <row r="268" spans="2:107" s="26" customFormat="1" ht="319.5" customHeight="1">
      <c r="B268" s="65">
        <f t="shared" si="192"/>
        <v>261</v>
      </c>
      <c r="C268" s="7"/>
      <c r="D268" s="7"/>
      <c r="E268" s="54"/>
      <c r="F268" s="113" t="s">
        <v>452</v>
      </c>
      <c r="G268" s="67"/>
      <c r="H268" s="62"/>
      <c r="I268" s="8"/>
      <c r="J268" s="8" t="s">
        <v>426</v>
      </c>
      <c r="K268" s="8"/>
      <c r="L268" s="8"/>
      <c r="M268" s="415" t="s">
        <v>453</v>
      </c>
      <c r="N268" s="16"/>
      <c r="O268" s="57"/>
      <c r="P268" s="95">
        <f t="shared" si="217"/>
        <v>237</v>
      </c>
      <c r="Q268" s="115">
        <v>2</v>
      </c>
      <c r="R268" s="21" t="str">
        <f t="shared" si="218"/>
        <v>X</v>
      </c>
      <c r="S268" s="98" t="s">
        <v>172</v>
      </c>
      <c r="T268" s="96"/>
      <c r="U268" s="21" t="s">
        <v>435</v>
      </c>
      <c r="V268" s="10"/>
      <c r="W268" s="25">
        <v>3</v>
      </c>
      <c r="X268" s="1" t="s">
        <v>308</v>
      </c>
      <c r="Y268" s="1">
        <v>2</v>
      </c>
      <c r="Z268" s="1">
        <v>2</v>
      </c>
      <c r="AA268" s="8" t="s">
        <v>261</v>
      </c>
      <c r="AB268" s="8" t="s">
        <v>257</v>
      </c>
      <c r="AC268" s="68"/>
      <c r="AD268" s="60"/>
      <c r="AE268" s="174"/>
      <c r="AF268" s="273" t="str">
        <f t="shared" si="179"/>
        <v xml:space="preserve">  </v>
      </c>
      <c r="AG268" s="218" t="str">
        <f t="shared" si="211"/>
        <v>-</v>
      </c>
      <c r="AH268" s="174"/>
      <c r="AI268" s="92" t="str">
        <f t="shared" si="213"/>
        <v>OK</v>
      </c>
      <c r="AJ268" s="60"/>
      <c r="AK268" s="174"/>
      <c r="AL268" s="273" t="str">
        <f t="shared" si="180"/>
        <v xml:space="preserve">  </v>
      </c>
      <c r="AM268" s="218" t="str">
        <f t="shared" si="193"/>
        <v>-</v>
      </c>
      <c r="AN268" s="174"/>
      <c r="AO268" s="92" t="str">
        <f t="shared" si="214"/>
        <v>OK</v>
      </c>
      <c r="AP268" s="60"/>
      <c r="AQ268" s="170"/>
      <c r="AR268" s="273" t="str">
        <f t="shared" si="181"/>
        <v xml:space="preserve">  </v>
      </c>
      <c r="AS268" s="218" t="s">
        <v>593</v>
      </c>
      <c r="AT268" s="273"/>
      <c r="AU268" s="218" t="str">
        <f t="shared" ref="AU268:AU331" si="219">IF(OR(AS$8="判定対象外",AT$8="判定対象外",AT268="-"),"-",IF(AS268=AT268,"OK","NG"))</f>
        <v>-</v>
      </c>
      <c r="AV268" s="60"/>
      <c r="AW268" s="174" t="s">
        <v>206</v>
      </c>
      <c r="AX268" s="273" t="str">
        <f t="shared" si="182"/>
        <v>G2</v>
      </c>
      <c r="AY268" s="218" t="str">
        <f t="shared" si="194"/>
        <v>-</v>
      </c>
      <c r="AZ268" s="174" t="s">
        <v>206</v>
      </c>
      <c r="BA268" s="92" t="str">
        <f>IF(EXACT(AW268,AZ268),"OK","NG")</f>
        <v>OK</v>
      </c>
      <c r="BB268" s="60"/>
      <c r="BC268" s="174" t="s">
        <v>384</v>
      </c>
      <c r="BD268" s="273" t="str">
        <f t="shared" si="183"/>
        <v>F1</v>
      </c>
      <c r="BE268" s="218" t="str">
        <f t="shared" si="195"/>
        <v>-</v>
      </c>
      <c r="BF268" s="174" t="s">
        <v>384</v>
      </c>
      <c r="BG268" s="92" t="str">
        <f>IF(EXACT(BC268,BF268),"OK","NG")</f>
        <v>OK</v>
      </c>
      <c r="BH268" s="60"/>
      <c r="BI268" s="170" t="s">
        <v>206</v>
      </c>
      <c r="BJ268" s="273" t="str">
        <f t="shared" si="184"/>
        <v>G2</v>
      </c>
      <c r="BK268" s="218" t="s">
        <v>593</v>
      </c>
      <c r="BL268" s="174" t="s">
        <v>206</v>
      </c>
      <c r="BM268" s="92" t="str">
        <f>IF(EXACT(BI268,BL268),"OK","NG")</f>
        <v>OK</v>
      </c>
      <c r="BN268" s="60"/>
      <c r="BO268" s="174" t="s">
        <v>384</v>
      </c>
      <c r="BP268" s="273" t="str">
        <f t="shared" si="185"/>
        <v>F1</v>
      </c>
      <c r="BQ268" s="218" t="str">
        <f t="shared" si="196"/>
        <v>-</v>
      </c>
      <c r="BR268" s="174" t="s">
        <v>384</v>
      </c>
      <c r="BS268" s="92" t="str">
        <f>IF(EXACT(BO268,BR268),"OK","NG")</f>
        <v>OK</v>
      </c>
      <c r="BT268" s="60"/>
      <c r="BU268" s="170"/>
      <c r="BV268" s="273" t="str">
        <f t="shared" si="186"/>
        <v xml:space="preserve">  </v>
      </c>
      <c r="BW268" s="218" t="s">
        <v>593</v>
      </c>
      <c r="BX268" s="273"/>
      <c r="BY268" s="218" t="str">
        <f t="shared" si="197"/>
        <v>-</v>
      </c>
      <c r="BZ268" s="60"/>
      <c r="CA268" s="174"/>
      <c r="CB268" s="273" t="str">
        <f t="shared" si="187"/>
        <v xml:space="preserve">  </v>
      </c>
      <c r="CC268" s="218" t="str">
        <f t="shared" si="198"/>
        <v>-</v>
      </c>
      <c r="CD268" s="174"/>
      <c r="CE268" s="92" t="str">
        <f t="shared" si="215"/>
        <v>OK</v>
      </c>
      <c r="CF268" s="60"/>
      <c r="CG268" s="174"/>
      <c r="CH268" s="273" t="str">
        <f t="shared" si="188"/>
        <v xml:space="preserve">  </v>
      </c>
      <c r="CI268" s="218" t="str">
        <f t="shared" si="199"/>
        <v>-</v>
      </c>
      <c r="CJ268" s="174"/>
      <c r="CK268" s="92" t="str">
        <f t="shared" si="216"/>
        <v>OK</v>
      </c>
      <c r="CL268" s="60"/>
      <c r="CM268" s="174"/>
      <c r="CN268" s="273" t="str">
        <f t="shared" si="189"/>
        <v xml:space="preserve">  </v>
      </c>
      <c r="CO268" s="218" t="s">
        <v>593</v>
      </c>
      <c r="CP268" s="273"/>
      <c r="CQ268" s="218" t="str">
        <f t="shared" si="200"/>
        <v>-</v>
      </c>
      <c r="CR268" s="60"/>
      <c r="CS268" s="174"/>
      <c r="CT268" s="273" t="str">
        <f t="shared" si="190"/>
        <v xml:space="preserve">  </v>
      </c>
      <c r="CU268" s="218" t="str">
        <f t="shared" si="201"/>
        <v>-</v>
      </c>
      <c r="CV268" s="174"/>
      <c r="CW268" s="92" t="s">
        <v>593</v>
      </c>
      <c r="CX268" s="60"/>
      <c r="CY268" s="174"/>
      <c r="CZ268" s="273" t="str">
        <f t="shared" si="191"/>
        <v xml:space="preserve">  </v>
      </c>
      <c r="DA268" s="218" t="str">
        <f t="shared" si="202"/>
        <v>-</v>
      </c>
      <c r="DB268" s="174"/>
      <c r="DC268" s="92" t="s">
        <v>593</v>
      </c>
    </row>
    <row r="269" spans="2:107" s="26" customFormat="1" ht="25.5">
      <c r="B269" s="65">
        <f t="shared" si="192"/>
        <v>262</v>
      </c>
      <c r="C269" s="7"/>
      <c r="D269" s="7"/>
      <c r="E269" s="54"/>
      <c r="F269" s="66" t="s">
        <v>173</v>
      </c>
      <c r="G269" s="67"/>
      <c r="H269" s="62"/>
      <c r="I269" s="8"/>
      <c r="J269" s="8"/>
      <c r="K269" s="8"/>
      <c r="L269" s="8"/>
      <c r="M269" s="11" t="s">
        <v>354</v>
      </c>
      <c r="N269" s="16"/>
      <c r="O269" s="57"/>
      <c r="P269" s="95">
        <f t="shared" si="217"/>
        <v>238</v>
      </c>
      <c r="Q269" s="115">
        <v>7</v>
      </c>
      <c r="R269" s="21" t="str">
        <f t="shared" si="218"/>
        <v>X</v>
      </c>
      <c r="S269" s="98" t="s">
        <v>174</v>
      </c>
      <c r="T269" s="96"/>
      <c r="U269" s="21" t="s">
        <v>257</v>
      </c>
      <c r="V269" s="10"/>
      <c r="W269" s="25">
        <v>3</v>
      </c>
      <c r="X269" s="1" t="s">
        <v>309</v>
      </c>
      <c r="Y269" s="1">
        <v>7</v>
      </c>
      <c r="Z269" s="1">
        <v>7</v>
      </c>
      <c r="AA269" s="8" t="s">
        <v>261</v>
      </c>
      <c r="AB269" s="8" t="s">
        <v>257</v>
      </c>
      <c r="AC269" s="105"/>
      <c r="AD269" s="60"/>
      <c r="AE269" s="169"/>
      <c r="AF269" s="61" t="str">
        <f t="shared" ref="AF269:AF332" si="220">IF(AH269="-","-",AH269&amp;REPT(IF($R269="N","　",IF($R269="9","0"," ")),$Z269-LENB(AH269)))</f>
        <v xml:space="preserve">       </v>
      </c>
      <c r="AG269" s="218" t="str">
        <f t="shared" si="211"/>
        <v>-</v>
      </c>
      <c r="AH269" s="169"/>
      <c r="AI269" s="92" t="str">
        <f t="shared" si="213"/>
        <v>OK</v>
      </c>
      <c r="AJ269" s="60"/>
      <c r="AK269" s="169"/>
      <c r="AL269" s="61" t="str">
        <f t="shared" ref="AL269:AL332" si="221">IF(AN269="-","-",AN269&amp;REPT(IF($R269="N","　",IF($R269="9","0"," ")),$Z269-LENB(AN269)))</f>
        <v xml:space="preserve">       </v>
      </c>
      <c r="AM269" s="218" t="str">
        <f t="shared" si="193"/>
        <v>-</v>
      </c>
      <c r="AN269" s="169"/>
      <c r="AO269" s="92" t="str">
        <f t="shared" si="214"/>
        <v>OK</v>
      </c>
      <c r="AP269" s="60"/>
      <c r="AQ269" s="172"/>
      <c r="AR269" s="61" t="str">
        <f t="shared" ref="AR269:AR332" si="222">IF(AT269="-","-",AT269&amp;REPT(IF($R269="N","　",IF($R269="9","0"," ")),$Z269-LENB(AT269)))</f>
        <v xml:space="preserve">       </v>
      </c>
      <c r="AS269" s="218" t="s">
        <v>593</v>
      </c>
      <c r="AT269" s="61"/>
      <c r="AU269" s="218" t="str">
        <f t="shared" si="219"/>
        <v>-</v>
      </c>
      <c r="AV269" s="60"/>
      <c r="AW269" s="169"/>
      <c r="AX269" s="61" t="str">
        <f t="shared" ref="AX269:AX332" si="223">IF(AZ269="-","-",AZ269&amp;REPT(IF($R269="N","　",IF($R269="9","0"," ")),$Z269-LENB(AZ269)))</f>
        <v xml:space="preserve">       </v>
      </c>
      <c r="AY269" s="218" t="str">
        <f t="shared" si="194"/>
        <v>-</v>
      </c>
      <c r="AZ269" s="169"/>
      <c r="BA269" s="478" t="s">
        <v>594</v>
      </c>
      <c r="BB269" s="60"/>
      <c r="BC269" s="169"/>
      <c r="BD269" s="61" t="str">
        <f t="shared" ref="BD269:BD332" si="224">IF(BF269="-","-",BF269&amp;REPT(IF($R269="N","　",IF($R269="9","0"," ")),$Z269-LENB(BF269)))</f>
        <v xml:space="preserve">       </v>
      </c>
      <c r="BE269" s="218" t="str">
        <f t="shared" si="195"/>
        <v>-</v>
      </c>
      <c r="BF269" s="169"/>
      <c r="BG269" s="478" t="s">
        <v>594</v>
      </c>
      <c r="BH269" s="60"/>
      <c r="BI269" s="170" t="s">
        <v>705</v>
      </c>
      <c r="BJ269" s="61" t="str">
        <f t="shared" ref="BJ269:BJ306" si="225">IF(BL269="-","-",BL269&amp;REPT(IF($R269="N","　",IF($R269="9","0"," ")),$Z269-LENB(BL269)))</f>
        <v xml:space="preserve">       </v>
      </c>
      <c r="BK269" s="218" t="s">
        <v>593</v>
      </c>
      <c r="BL269" s="169"/>
      <c r="BM269" s="478" t="s">
        <v>594</v>
      </c>
      <c r="BN269" s="60"/>
      <c r="BO269" s="169"/>
      <c r="BP269" s="61" t="str">
        <f t="shared" ref="BP269:BP332" si="226">IF(BR269="-","-",BR269&amp;REPT(IF($R269="N","　",IF($R269="9","0"," ")),$Z269-LENB(BR269)))</f>
        <v xml:space="preserve">       </v>
      </c>
      <c r="BQ269" s="218" t="str">
        <f t="shared" si="196"/>
        <v>-</v>
      </c>
      <c r="BR269" s="169"/>
      <c r="BS269" s="478" t="s">
        <v>594</v>
      </c>
      <c r="BT269" s="60"/>
      <c r="BU269" s="172"/>
      <c r="BV269" s="61" t="str">
        <f t="shared" ref="BV269:BV332" si="227">IF(BX269="-","-",BX269&amp;REPT(IF($R269="N","　",IF($R269="9","0"," ")),$Z269-LENB(BX269)))</f>
        <v xml:space="preserve">       </v>
      </c>
      <c r="BW269" s="218" t="s">
        <v>593</v>
      </c>
      <c r="BX269" s="61"/>
      <c r="BY269" s="218" t="str">
        <f t="shared" si="197"/>
        <v>-</v>
      </c>
      <c r="BZ269" s="60"/>
      <c r="CA269" s="169"/>
      <c r="CB269" s="61" t="str">
        <f t="shared" ref="CB269:CB332" si="228">IF(CD269="-","-",CD269&amp;REPT(IF($R269="N","　",IF($R269="9","0"," ")),$Z269-LENB(CD269)))</f>
        <v xml:space="preserve">       </v>
      </c>
      <c r="CC269" s="218" t="str">
        <f t="shared" si="198"/>
        <v>-</v>
      </c>
      <c r="CD269" s="169"/>
      <c r="CE269" s="92" t="str">
        <f t="shared" si="215"/>
        <v>OK</v>
      </c>
      <c r="CF269" s="60"/>
      <c r="CG269" s="169"/>
      <c r="CH269" s="61" t="str">
        <f t="shared" ref="CH269:CH332" si="229">IF(CJ269="-","-",CJ269&amp;REPT(IF($R269="N","　",IF($R269="9","0"," ")),$Z269-LENB(CJ269)))</f>
        <v xml:space="preserve">       </v>
      </c>
      <c r="CI269" s="218" t="str">
        <f t="shared" si="199"/>
        <v>-</v>
      </c>
      <c r="CJ269" s="169"/>
      <c r="CK269" s="92" t="str">
        <f t="shared" si="216"/>
        <v>OK</v>
      </c>
      <c r="CL269" s="60"/>
      <c r="CM269" s="169"/>
      <c r="CN269" s="61" t="str">
        <f t="shared" ref="CN269:CN332" si="230">IF(CP269="-","-",CP269&amp;REPT(IF($R269="N","　",IF($R269="9","0"," ")),$Z269-LENB(CP269)))</f>
        <v xml:space="preserve">       </v>
      </c>
      <c r="CO269" s="218" t="s">
        <v>593</v>
      </c>
      <c r="CP269" s="61"/>
      <c r="CQ269" s="218" t="str">
        <f t="shared" si="200"/>
        <v>-</v>
      </c>
      <c r="CR269" s="60"/>
      <c r="CS269" s="169"/>
      <c r="CT269" s="61" t="str">
        <f t="shared" ref="CT269:CT332" si="231">IF(CV269="-","-",CV269&amp;REPT(IF($R269="N","　",IF($R269="9","0"," ")),$Z269-LENB(CV269)))</f>
        <v xml:space="preserve">       </v>
      </c>
      <c r="CU269" s="218" t="str">
        <f t="shared" si="201"/>
        <v>-</v>
      </c>
      <c r="CV269" s="169"/>
      <c r="CW269" s="92" t="s">
        <v>593</v>
      </c>
      <c r="CX269" s="60"/>
      <c r="CY269" s="169"/>
      <c r="CZ269" s="61" t="str">
        <f t="shared" ref="CZ269:CZ332" si="232">IF(DB269="-","-",DB269&amp;REPT(IF($R269="N","　",IF($R269="9","0"," ")),$Z269-LENB(DB269)))</f>
        <v xml:space="preserve">       </v>
      </c>
      <c r="DA269" s="218" t="str">
        <f t="shared" si="202"/>
        <v>-</v>
      </c>
      <c r="DB269" s="169"/>
      <c r="DC269" s="92" t="s">
        <v>593</v>
      </c>
    </row>
    <row r="270" spans="2:107" s="81" customFormat="1" ht="25.5">
      <c r="B270" s="65">
        <f t="shared" si="192"/>
        <v>263</v>
      </c>
      <c r="C270" s="69"/>
      <c r="D270" s="69"/>
      <c r="E270" s="70"/>
      <c r="F270" s="71" t="s">
        <v>355</v>
      </c>
      <c r="G270" s="72"/>
      <c r="H270" s="73"/>
      <c r="I270" s="74"/>
      <c r="J270" s="74"/>
      <c r="K270" s="75"/>
      <c r="L270" s="75"/>
      <c r="M270" s="84" t="s">
        <v>354</v>
      </c>
      <c r="N270" s="76"/>
      <c r="O270" s="77"/>
      <c r="P270" s="95">
        <f t="shared" si="217"/>
        <v>239</v>
      </c>
      <c r="Q270" s="119">
        <v>10</v>
      </c>
      <c r="R270" s="21" t="str">
        <f t="shared" si="218"/>
        <v>X</v>
      </c>
      <c r="S270" s="98" t="s">
        <v>175</v>
      </c>
      <c r="T270" s="106"/>
      <c r="U270" s="21" t="s">
        <v>257</v>
      </c>
      <c r="V270" s="77"/>
      <c r="W270" s="78">
        <v>3</v>
      </c>
      <c r="X270" s="56" t="s">
        <v>176</v>
      </c>
      <c r="Y270" s="56">
        <v>10</v>
      </c>
      <c r="Z270" s="56">
        <v>10</v>
      </c>
      <c r="AA270" s="74" t="s">
        <v>114</v>
      </c>
      <c r="AB270" s="74" t="s">
        <v>21</v>
      </c>
      <c r="AC270" s="105"/>
      <c r="AD270" s="79"/>
      <c r="AE270" s="481"/>
      <c r="AF270" s="80" t="str">
        <f t="shared" si="220"/>
        <v xml:space="preserve">          </v>
      </c>
      <c r="AG270" s="218" t="str">
        <f t="shared" si="211"/>
        <v>-</v>
      </c>
      <c r="AH270" s="274"/>
      <c r="AI270" s="92" t="str">
        <f t="shared" si="213"/>
        <v>OK</v>
      </c>
      <c r="AJ270" s="79"/>
      <c r="AK270" s="481"/>
      <c r="AL270" s="80" t="str">
        <f t="shared" si="221"/>
        <v xml:space="preserve">          </v>
      </c>
      <c r="AM270" s="218" t="str">
        <f t="shared" si="193"/>
        <v>-</v>
      </c>
      <c r="AN270" s="274"/>
      <c r="AO270" s="92" t="str">
        <f t="shared" si="214"/>
        <v>OK</v>
      </c>
      <c r="AP270" s="79"/>
      <c r="AQ270" s="512"/>
      <c r="AR270" s="80" t="str">
        <f t="shared" si="222"/>
        <v xml:space="preserve">          </v>
      </c>
      <c r="AS270" s="218" t="s">
        <v>593</v>
      </c>
      <c r="AT270" s="80"/>
      <c r="AU270" s="218" t="str">
        <f t="shared" si="219"/>
        <v>-</v>
      </c>
      <c r="AV270" s="79"/>
      <c r="AW270" s="481"/>
      <c r="AX270" s="80" t="str">
        <f t="shared" si="223"/>
        <v xml:space="preserve">          </v>
      </c>
      <c r="AY270" s="218" t="str">
        <f t="shared" si="194"/>
        <v>-</v>
      </c>
      <c r="AZ270" s="274"/>
      <c r="BA270" s="478" t="s">
        <v>594</v>
      </c>
      <c r="BB270" s="79"/>
      <c r="BC270" s="481"/>
      <c r="BD270" s="80" t="str">
        <f t="shared" si="224"/>
        <v xml:space="preserve">          </v>
      </c>
      <c r="BE270" s="218" t="str">
        <f t="shared" si="195"/>
        <v>-</v>
      </c>
      <c r="BF270" s="274"/>
      <c r="BG270" s="478" t="s">
        <v>594</v>
      </c>
      <c r="BH270" s="79"/>
      <c r="BI270" s="508" t="s">
        <v>706</v>
      </c>
      <c r="BJ270" s="80" t="str">
        <f t="shared" si="225"/>
        <v xml:space="preserve">          </v>
      </c>
      <c r="BK270" s="218" t="s">
        <v>593</v>
      </c>
      <c r="BL270" s="274"/>
      <c r="BM270" s="478" t="s">
        <v>594</v>
      </c>
      <c r="BN270" s="79"/>
      <c r="BO270" s="481"/>
      <c r="BP270" s="80" t="str">
        <f t="shared" si="226"/>
        <v xml:space="preserve">          </v>
      </c>
      <c r="BQ270" s="218" t="str">
        <f t="shared" si="196"/>
        <v>-</v>
      </c>
      <c r="BR270" s="274"/>
      <c r="BS270" s="478" t="s">
        <v>594</v>
      </c>
      <c r="BT270" s="79"/>
      <c r="BU270" s="512"/>
      <c r="BV270" s="80" t="str">
        <f t="shared" si="227"/>
        <v xml:space="preserve">          </v>
      </c>
      <c r="BW270" s="218" t="s">
        <v>593</v>
      </c>
      <c r="BX270" s="80"/>
      <c r="BY270" s="218" t="str">
        <f t="shared" si="197"/>
        <v>-</v>
      </c>
      <c r="BZ270" s="79"/>
      <c r="CA270" s="481"/>
      <c r="CB270" s="80" t="str">
        <f t="shared" si="228"/>
        <v xml:space="preserve">          </v>
      </c>
      <c r="CC270" s="218" t="str">
        <f t="shared" si="198"/>
        <v>-</v>
      </c>
      <c r="CD270" s="274"/>
      <c r="CE270" s="92" t="str">
        <f t="shared" si="215"/>
        <v>OK</v>
      </c>
      <c r="CF270" s="79"/>
      <c r="CG270" s="481"/>
      <c r="CH270" s="80" t="str">
        <f t="shared" si="229"/>
        <v xml:space="preserve">          </v>
      </c>
      <c r="CI270" s="218" t="str">
        <f t="shared" si="199"/>
        <v>-</v>
      </c>
      <c r="CJ270" s="274"/>
      <c r="CK270" s="92" t="str">
        <f t="shared" si="216"/>
        <v>OK</v>
      </c>
      <c r="CL270" s="79"/>
      <c r="CM270" s="481"/>
      <c r="CN270" s="80" t="str">
        <f t="shared" si="230"/>
        <v xml:space="preserve">          </v>
      </c>
      <c r="CO270" s="218" t="s">
        <v>593</v>
      </c>
      <c r="CP270" s="80"/>
      <c r="CQ270" s="218" t="str">
        <f t="shared" si="200"/>
        <v>-</v>
      </c>
      <c r="CR270" s="79"/>
      <c r="CS270" s="481"/>
      <c r="CT270" s="80" t="str">
        <f t="shared" si="231"/>
        <v xml:space="preserve">          </v>
      </c>
      <c r="CU270" s="218" t="str">
        <f t="shared" si="201"/>
        <v>-</v>
      </c>
      <c r="CV270" s="274"/>
      <c r="CW270" s="92" t="s">
        <v>593</v>
      </c>
      <c r="CX270" s="79"/>
      <c r="CY270" s="481"/>
      <c r="CZ270" s="80" t="str">
        <f t="shared" si="232"/>
        <v xml:space="preserve">          </v>
      </c>
      <c r="DA270" s="218" t="str">
        <f t="shared" si="202"/>
        <v>-</v>
      </c>
      <c r="DB270" s="274"/>
      <c r="DC270" s="92" t="s">
        <v>593</v>
      </c>
    </row>
    <row r="271" spans="2:107" s="81" customFormat="1" ht="25.5">
      <c r="B271" s="65">
        <f t="shared" si="192"/>
        <v>264</v>
      </c>
      <c r="C271" s="69"/>
      <c r="D271" s="69"/>
      <c r="E271" s="69"/>
      <c r="F271" s="82" t="s">
        <v>177</v>
      </c>
      <c r="G271" s="14"/>
      <c r="H271" s="83"/>
      <c r="I271" s="74"/>
      <c r="J271" s="74"/>
      <c r="K271" s="75"/>
      <c r="L271" s="75"/>
      <c r="M271" s="84" t="s">
        <v>354</v>
      </c>
      <c r="N271" s="76"/>
      <c r="O271" s="77"/>
      <c r="P271" s="95">
        <f t="shared" si="217"/>
        <v>240</v>
      </c>
      <c r="Q271" s="119">
        <v>3</v>
      </c>
      <c r="R271" s="21" t="str">
        <f t="shared" si="218"/>
        <v>X</v>
      </c>
      <c r="S271" s="98" t="s">
        <v>178</v>
      </c>
      <c r="T271" s="106"/>
      <c r="U271" s="21" t="s">
        <v>257</v>
      </c>
      <c r="V271" s="77"/>
      <c r="W271" s="78">
        <v>3</v>
      </c>
      <c r="X271" s="56" t="s">
        <v>179</v>
      </c>
      <c r="Y271" s="56">
        <v>3</v>
      </c>
      <c r="Z271" s="56">
        <v>3</v>
      </c>
      <c r="AA271" s="74" t="s">
        <v>114</v>
      </c>
      <c r="AB271" s="74" t="s">
        <v>21</v>
      </c>
      <c r="AC271" s="105"/>
      <c r="AD271" s="79"/>
      <c r="AE271" s="481"/>
      <c r="AF271" s="80" t="str">
        <f t="shared" si="220"/>
        <v xml:space="preserve">   </v>
      </c>
      <c r="AG271" s="218" t="str">
        <f t="shared" si="211"/>
        <v>-</v>
      </c>
      <c r="AH271" s="274"/>
      <c r="AI271" s="92" t="str">
        <f t="shared" si="213"/>
        <v>OK</v>
      </c>
      <c r="AJ271" s="79"/>
      <c r="AK271" s="481"/>
      <c r="AL271" s="80" t="str">
        <f t="shared" si="221"/>
        <v xml:space="preserve">   </v>
      </c>
      <c r="AM271" s="218" t="str">
        <f t="shared" si="193"/>
        <v>-</v>
      </c>
      <c r="AN271" s="274"/>
      <c r="AO271" s="92" t="str">
        <f t="shared" si="214"/>
        <v>OK</v>
      </c>
      <c r="AP271" s="79"/>
      <c r="AQ271" s="512"/>
      <c r="AR271" s="80" t="str">
        <f t="shared" si="222"/>
        <v xml:space="preserve">   </v>
      </c>
      <c r="AS271" s="218" t="s">
        <v>593</v>
      </c>
      <c r="AT271" s="80"/>
      <c r="AU271" s="218" t="str">
        <f t="shared" si="219"/>
        <v>-</v>
      </c>
      <c r="AV271" s="79"/>
      <c r="AW271" s="481"/>
      <c r="AX271" s="80" t="str">
        <f t="shared" si="223"/>
        <v xml:space="preserve">   </v>
      </c>
      <c r="AY271" s="218" t="str">
        <f t="shared" si="194"/>
        <v>-</v>
      </c>
      <c r="AZ271" s="274"/>
      <c r="BA271" s="478" t="s">
        <v>594</v>
      </c>
      <c r="BB271" s="79"/>
      <c r="BC271" s="481"/>
      <c r="BD271" s="80" t="str">
        <f t="shared" si="224"/>
        <v xml:space="preserve">   </v>
      </c>
      <c r="BE271" s="218" t="str">
        <f t="shared" si="195"/>
        <v>-</v>
      </c>
      <c r="BF271" s="274"/>
      <c r="BG271" s="478" t="s">
        <v>594</v>
      </c>
      <c r="BH271" s="79"/>
      <c r="BI271" s="508" t="s">
        <v>707</v>
      </c>
      <c r="BJ271" s="80" t="str">
        <f t="shared" si="225"/>
        <v xml:space="preserve">   </v>
      </c>
      <c r="BK271" s="218" t="s">
        <v>593</v>
      </c>
      <c r="BL271" s="274"/>
      <c r="BM271" s="478" t="s">
        <v>594</v>
      </c>
      <c r="BN271" s="79"/>
      <c r="BO271" s="481"/>
      <c r="BP271" s="80" t="str">
        <f t="shared" si="226"/>
        <v xml:space="preserve">   </v>
      </c>
      <c r="BQ271" s="218" t="str">
        <f t="shared" si="196"/>
        <v>-</v>
      </c>
      <c r="BR271" s="274"/>
      <c r="BS271" s="478" t="s">
        <v>594</v>
      </c>
      <c r="BT271" s="79"/>
      <c r="BU271" s="512"/>
      <c r="BV271" s="80" t="str">
        <f t="shared" si="227"/>
        <v xml:space="preserve">   </v>
      </c>
      <c r="BW271" s="218" t="s">
        <v>593</v>
      </c>
      <c r="BX271" s="80"/>
      <c r="BY271" s="218" t="str">
        <f t="shared" si="197"/>
        <v>-</v>
      </c>
      <c r="BZ271" s="79"/>
      <c r="CA271" s="481"/>
      <c r="CB271" s="80" t="str">
        <f t="shared" si="228"/>
        <v xml:space="preserve">   </v>
      </c>
      <c r="CC271" s="218" t="str">
        <f t="shared" si="198"/>
        <v>-</v>
      </c>
      <c r="CD271" s="274"/>
      <c r="CE271" s="92" t="str">
        <f t="shared" si="215"/>
        <v>OK</v>
      </c>
      <c r="CF271" s="79"/>
      <c r="CG271" s="481"/>
      <c r="CH271" s="80" t="str">
        <f t="shared" si="229"/>
        <v xml:space="preserve">   </v>
      </c>
      <c r="CI271" s="218" t="str">
        <f t="shared" si="199"/>
        <v>-</v>
      </c>
      <c r="CJ271" s="274"/>
      <c r="CK271" s="92" t="str">
        <f t="shared" si="216"/>
        <v>OK</v>
      </c>
      <c r="CL271" s="79"/>
      <c r="CM271" s="481"/>
      <c r="CN271" s="80" t="str">
        <f t="shared" si="230"/>
        <v xml:space="preserve">   </v>
      </c>
      <c r="CO271" s="218" t="s">
        <v>593</v>
      </c>
      <c r="CP271" s="80"/>
      <c r="CQ271" s="218" t="str">
        <f t="shared" si="200"/>
        <v>-</v>
      </c>
      <c r="CR271" s="79"/>
      <c r="CS271" s="481"/>
      <c r="CT271" s="80" t="str">
        <f t="shared" si="231"/>
        <v xml:space="preserve">   </v>
      </c>
      <c r="CU271" s="218" t="str">
        <f t="shared" si="201"/>
        <v>-</v>
      </c>
      <c r="CV271" s="274"/>
      <c r="CW271" s="92" t="s">
        <v>593</v>
      </c>
      <c r="CX271" s="79"/>
      <c r="CY271" s="481"/>
      <c r="CZ271" s="80" t="str">
        <f t="shared" si="232"/>
        <v xml:space="preserve">   </v>
      </c>
      <c r="DA271" s="218" t="str">
        <f t="shared" si="202"/>
        <v>-</v>
      </c>
      <c r="DB271" s="274"/>
      <c r="DC271" s="92" t="s">
        <v>593</v>
      </c>
    </row>
    <row r="272" spans="2:107" s="81" customFormat="1" ht="25.5">
      <c r="B272" s="65">
        <f t="shared" si="192"/>
        <v>265</v>
      </c>
      <c r="C272" s="69"/>
      <c r="D272" s="69"/>
      <c r="E272" s="69"/>
      <c r="F272" s="82" t="s">
        <v>180</v>
      </c>
      <c r="G272" s="14"/>
      <c r="H272" s="83"/>
      <c r="I272" s="74"/>
      <c r="J272" s="74"/>
      <c r="K272" s="75"/>
      <c r="L272" s="75"/>
      <c r="M272" s="84" t="s">
        <v>354</v>
      </c>
      <c r="N272" s="76"/>
      <c r="O272" s="77"/>
      <c r="P272" s="95">
        <f>P271+1</f>
        <v>241</v>
      </c>
      <c r="Q272" s="119">
        <v>2</v>
      </c>
      <c r="R272" s="21" t="str">
        <f t="shared" si="218"/>
        <v>X</v>
      </c>
      <c r="S272" s="98" t="s">
        <v>181</v>
      </c>
      <c r="T272" s="106"/>
      <c r="U272" s="21" t="s">
        <v>257</v>
      </c>
      <c r="V272" s="77"/>
      <c r="W272" s="78">
        <v>3</v>
      </c>
      <c r="X272" s="56" t="s">
        <v>182</v>
      </c>
      <c r="Y272" s="56">
        <v>2</v>
      </c>
      <c r="Z272" s="56">
        <v>2</v>
      </c>
      <c r="AA272" s="74" t="s">
        <v>114</v>
      </c>
      <c r="AB272" s="74" t="s">
        <v>21</v>
      </c>
      <c r="AC272" s="105"/>
      <c r="AD272" s="79"/>
      <c r="AE272" s="481"/>
      <c r="AF272" s="80" t="str">
        <f t="shared" si="220"/>
        <v xml:space="preserve">  </v>
      </c>
      <c r="AG272" s="218" t="str">
        <f t="shared" si="211"/>
        <v>-</v>
      </c>
      <c r="AH272" s="274"/>
      <c r="AI272" s="92" t="str">
        <f t="shared" si="213"/>
        <v>OK</v>
      </c>
      <c r="AJ272" s="79"/>
      <c r="AK272" s="481"/>
      <c r="AL272" s="80" t="str">
        <f t="shared" si="221"/>
        <v xml:space="preserve">  </v>
      </c>
      <c r="AM272" s="218" t="str">
        <f t="shared" si="193"/>
        <v>-</v>
      </c>
      <c r="AN272" s="274"/>
      <c r="AO272" s="92" t="str">
        <f t="shared" si="214"/>
        <v>OK</v>
      </c>
      <c r="AP272" s="79"/>
      <c r="AQ272" s="512"/>
      <c r="AR272" s="80" t="str">
        <f t="shared" si="222"/>
        <v xml:space="preserve">  </v>
      </c>
      <c r="AS272" s="218" t="s">
        <v>593</v>
      </c>
      <c r="AT272" s="80"/>
      <c r="AU272" s="218" t="str">
        <f t="shared" si="219"/>
        <v>-</v>
      </c>
      <c r="AV272" s="79"/>
      <c r="AW272" s="481"/>
      <c r="AX272" s="80" t="str">
        <f t="shared" si="223"/>
        <v xml:space="preserve">  </v>
      </c>
      <c r="AY272" s="218" t="str">
        <f t="shared" si="194"/>
        <v>-</v>
      </c>
      <c r="AZ272" s="274"/>
      <c r="BA272" s="478" t="s">
        <v>594</v>
      </c>
      <c r="BB272" s="79"/>
      <c r="BC272" s="481"/>
      <c r="BD272" s="80" t="str">
        <f t="shared" si="224"/>
        <v xml:space="preserve">  </v>
      </c>
      <c r="BE272" s="218" t="str">
        <f t="shared" si="195"/>
        <v>-</v>
      </c>
      <c r="BF272" s="274"/>
      <c r="BG272" s="478" t="s">
        <v>594</v>
      </c>
      <c r="BH272" s="79"/>
      <c r="BI272" s="508" t="s">
        <v>698</v>
      </c>
      <c r="BJ272" s="80" t="str">
        <f t="shared" si="225"/>
        <v xml:space="preserve">  </v>
      </c>
      <c r="BK272" s="218" t="s">
        <v>593</v>
      </c>
      <c r="BL272" s="274"/>
      <c r="BM272" s="478" t="s">
        <v>594</v>
      </c>
      <c r="BN272" s="79"/>
      <c r="BO272" s="481"/>
      <c r="BP272" s="80" t="str">
        <f t="shared" si="226"/>
        <v xml:space="preserve">  </v>
      </c>
      <c r="BQ272" s="218" t="str">
        <f t="shared" si="196"/>
        <v>-</v>
      </c>
      <c r="BR272" s="274"/>
      <c r="BS272" s="478" t="s">
        <v>594</v>
      </c>
      <c r="BT272" s="79"/>
      <c r="BU272" s="512"/>
      <c r="BV272" s="80" t="str">
        <f t="shared" si="227"/>
        <v xml:space="preserve">  </v>
      </c>
      <c r="BW272" s="218" t="s">
        <v>593</v>
      </c>
      <c r="BX272" s="80"/>
      <c r="BY272" s="218" t="str">
        <f t="shared" si="197"/>
        <v>-</v>
      </c>
      <c r="BZ272" s="79"/>
      <c r="CA272" s="481"/>
      <c r="CB272" s="80" t="str">
        <f t="shared" si="228"/>
        <v xml:space="preserve">  </v>
      </c>
      <c r="CC272" s="218" t="str">
        <f t="shared" si="198"/>
        <v>-</v>
      </c>
      <c r="CD272" s="274"/>
      <c r="CE272" s="92" t="str">
        <f t="shared" si="215"/>
        <v>OK</v>
      </c>
      <c r="CF272" s="79"/>
      <c r="CG272" s="481"/>
      <c r="CH272" s="80" t="str">
        <f t="shared" si="229"/>
        <v xml:space="preserve">  </v>
      </c>
      <c r="CI272" s="218" t="str">
        <f t="shared" si="199"/>
        <v>-</v>
      </c>
      <c r="CJ272" s="274"/>
      <c r="CK272" s="92" t="str">
        <f t="shared" si="216"/>
        <v>OK</v>
      </c>
      <c r="CL272" s="79"/>
      <c r="CM272" s="481"/>
      <c r="CN272" s="80" t="str">
        <f t="shared" si="230"/>
        <v xml:space="preserve">  </v>
      </c>
      <c r="CO272" s="218" t="s">
        <v>593</v>
      </c>
      <c r="CP272" s="80"/>
      <c r="CQ272" s="218" t="str">
        <f t="shared" si="200"/>
        <v>-</v>
      </c>
      <c r="CR272" s="79"/>
      <c r="CS272" s="481"/>
      <c r="CT272" s="80" t="str">
        <f t="shared" si="231"/>
        <v xml:space="preserve">  </v>
      </c>
      <c r="CU272" s="218" t="str">
        <f t="shared" si="201"/>
        <v>-</v>
      </c>
      <c r="CV272" s="274"/>
      <c r="CW272" s="92" t="s">
        <v>593</v>
      </c>
      <c r="CX272" s="79"/>
      <c r="CY272" s="481"/>
      <c r="CZ272" s="80" t="str">
        <f t="shared" si="232"/>
        <v xml:space="preserve">  </v>
      </c>
      <c r="DA272" s="218" t="str">
        <f t="shared" si="202"/>
        <v>-</v>
      </c>
      <c r="DB272" s="274"/>
      <c r="DC272" s="92" t="s">
        <v>593</v>
      </c>
    </row>
    <row r="273" spans="1:107" s="81" customFormat="1" ht="51.75" customHeight="1">
      <c r="B273" s="65">
        <f t="shared" si="192"/>
        <v>266</v>
      </c>
      <c r="C273" s="69"/>
      <c r="D273" s="69"/>
      <c r="E273" s="69"/>
      <c r="F273" s="233" t="s">
        <v>183</v>
      </c>
      <c r="G273" s="234"/>
      <c r="H273" s="235"/>
      <c r="I273" s="74"/>
      <c r="J273" s="74"/>
      <c r="K273" s="75"/>
      <c r="L273" s="75"/>
      <c r="M273" s="84" t="s">
        <v>184</v>
      </c>
      <c r="N273" s="76"/>
      <c r="O273" s="77"/>
      <c r="P273" s="95">
        <f>P272+1</f>
        <v>242</v>
      </c>
      <c r="Q273" s="119">
        <v>5</v>
      </c>
      <c r="R273" s="21" t="str">
        <f t="shared" si="218"/>
        <v>X</v>
      </c>
      <c r="S273" s="98" t="s">
        <v>185</v>
      </c>
      <c r="T273" s="106"/>
      <c r="U273" s="21" t="s">
        <v>257</v>
      </c>
      <c r="V273" s="77"/>
      <c r="W273" s="78">
        <v>3</v>
      </c>
      <c r="X273" s="56" t="s">
        <v>310</v>
      </c>
      <c r="Y273" s="56">
        <v>5</v>
      </c>
      <c r="Z273" s="56">
        <v>5</v>
      </c>
      <c r="AA273" s="74" t="s">
        <v>114</v>
      </c>
      <c r="AB273" s="74" t="s">
        <v>21</v>
      </c>
      <c r="AC273" s="85"/>
      <c r="AD273" s="79"/>
      <c r="AE273" s="487"/>
      <c r="AF273" s="80" t="str">
        <f t="shared" si="220"/>
        <v xml:space="preserve">     </v>
      </c>
      <c r="AG273" s="218" t="str">
        <f t="shared" si="211"/>
        <v>-</v>
      </c>
      <c r="AH273" s="381"/>
      <c r="AI273" s="92" t="str">
        <f t="shared" si="213"/>
        <v>OK</v>
      </c>
      <c r="AJ273" s="79"/>
      <c r="AK273" s="487"/>
      <c r="AL273" s="80" t="str">
        <f t="shared" si="221"/>
        <v xml:space="preserve">     </v>
      </c>
      <c r="AM273" s="218" t="str">
        <f t="shared" si="193"/>
        <v>-</v>
      </c>
      <c r="AN273" s="381"/>
      <c r="AO273" s="92" t="str">
        <f t="shared" si="214"/>
        <v>OK</v>
      </c>
      <c r="AP273" s="79"/>
      <c r="AQ273" s="508"/>
      <c r="AR273" s="80" t="str">
        <f t="shared" si="222"/>
        <v xml:space="preserve">     </v>
      </c>
      <c r="AS273" s="218" t="s">
        <v>593</v>
      </c>
      <c r="AT273" s="80"/>
      <c r="AU273" s="218" t="str">
        <f t="shared" si="219"/>
        <v>-</v>
      </c>
      <c r="AV273" s="79"/>
      <c r="AW273" s="487" t="s">
        <v>326</v>
      </c>
      <c r="AX273" s="80" t="str">
        <f t="shared" si="223"/>
        <v>03904</v>
      </c>
      <c r="AY273" s="218" t="str">
        <f t="shared" si="194"/>
        <v>-</v>
      </c>
      <c r="AZ273" s="381" t="s">
        <v>326</v>
      </c>
      <c r="BA273" s="478" t="s">
        <v>594</v>
      </c>
      <c r="BB273" s="79"/>
      <c r="BC273" s="487" t="s">
        <v>340</v>
      </c>
      <c r="BD273" s="80" t="str">
        <f t="shared" si="224"/>
        <v>03903</v>
      </c>
      <c r="BE273" s="218" t="str">
        <f t="shared" si="195"/>
        <v>-</v>
      </c>
      <c r="BF273" s="381" t="s">
        <v>340</v>
      </c>
      <c r="BG273" s="478" t="s">
        <v>594</v>
      </c>
      <c r="BH273" s="79"/>
      <c r="BI273" s="508" t="s">
        <v>326</v>
      </c>
      <c r="BJ273" s="80" t="str">
        <f t="shared" si="225"/>
        <v>03904</v>
      </c>
      <c r="BK273" s="218" t="s">
        <v>593</v>
      </c>
      <c r="BL273" s="381" t="s">
        <v>326</v>
      </c>
      <c r="BM273" s="478" t="s">
        <v>594</v>
      </c>
      <c r="BN273" s="79"/>
      <c r="BO273" s="487" t="s">
        <v>340</v>
      </c>
      <c r="BP273" s="80" t="str">
        <f t="shared" si="226"/>
        <v>03903</v>
      </c>
      <c r="BQ273" s="218" t="str">
        <f t="shared" si="196"/>
        <v>-</v>
      </c>
      <c r="BR273" s="381" t="s">
        <v>340</v>
      </c>
      <c r="BS273" s="478" t="s">
        <v>594</v>
      </c>
      <c r="BT273" s="79"/>
      <c r="BU273" s="508"/>
      <c r="BV273" s="80" t="str">
        <f t="shared" si="227"/>
        <v xml:space="preserve">     </v>
      </c>
      <c r="BW273" s="218" t="s">
        <v>593</v>
      </c>
      <c r="BX273" s="80"/>
      <c r="BY273" s="218" t="str">
        <f t="shared" si="197"/>
        <v>-</v>
      </c>
      <c r="BZ273" s="79"/>
      <c r="CA273" s="487"/>
      <c r="CB273" s="80" t="str">
        <f t="shared" si="228"/>
        <v xml:space="preserve">     </v>
      </c>
      <c r="CC273" s="218" t="str">
        <f t="shared" si="198"/>
        <v>-</v>
      </c>
      <c r="CD273" s="381"/>
      <c r="CE273" s="92" t="str">
        <f t="shared" si="215"/>
        <v>OK</v>
      </c>
      <c r="CF273" s="79"/>
      <c r="CG273" s="487"/>
      <c r="CH273" s="80" t="str">
        <f t="shared" si="229"/>
        <v xml:space="preserve">     </v>
      </c>
      <c r="CI273" s="218" t="str">
        <f t="shared" si="199"/>
        <v>-</v>
      </c>
      <c r="CJ273" s="381"/>
      <c r="CK273" s="92" t="str">
        <f t="shared" si="216"/>
        <v>OK</v>
      </c>
      <c r="CL273" s="79"/>
      <c r="CM273" s="487"/>
      <c r="CN273" s="80" t="str">
        <f t="shared" si="230"/>
        <v xml:space="preserve">     </v>
      </c>
      <c r="CO273" s="218" t="s">
        <v>593</v>
      </c>
      <c r="CP273" s="80"/>
      <c r="CQ273" s="218" t="str">
        <f t="shared" si="200"/>
        <v>-</v>
      </c>
      <c r="CR273" s="79"/>
      <c r="CS273" s="487"/>
      <c r="CT273" s="80" t="str">
        <f t="shared" si="231"/>
        <v xml:space="preserve">     </v>
      </c>
      <c r="CU273" s="218" t="str">
        <f t="shared" si="201"/>
        <v>-</v>
      </c>
      <c r="CV273" s="381"/>
      <c r="CW273" s="92" t="s">
        <v>593</v>
      </c>
      <c r="CX273" s="79"/>
      <c r="CY273" s="487"/>
      <c r="CZ273" s="80" t="str">
        <f t="shared" si="232"/>
        <v xml:space="preserve">     </v>
      </c>
      <c r="DA273" s="218" t="str">
        <f t="shared" si="202"/>
        <v>-</v>
      </c>
      <c r="DB273" s="381"/>
      <c r="DC273" s="92" t="s">
        <v>593</v>
      </c>
    </row>
    <row r="274" spans="1:107" s="81" customFormat="1" ht="51.75" customHeight="1">
      <c r="B274" s="65">
        <f t="shared" si="192"/>
        <v>267</v>
      </c>
      <c r="C274" s="69"/>
      <c r="D274" s="69"/>
      <c r="E274" s="69"/>
      <c r="F274" s="233" t="s">
        <v>186</v>
      </c>
      <c r="G274" s="234"/>
      <c r="H274" s="235"/>
      <c r="I274" s="74"/>
      <c r="J274" s="74"/>
      <c r="K274" s="75"/>
      <c r="L274" s="75"/>
      <c r="M274" s="84" t="s">
        <v>187</v>
      </c>
      <c r="N274" s="76"/>
      <c r="O274" s="77"/>
      <c r="P274" s="95">
        <f>P273+1</f>
        <v>243</v>
      </c>
      <c r="Q274" s="119">
        <v>64</v>
      </c>
      <c r="R274" s="21" t="str">
        <f>IF(AA274="M","NX",AA274)</f>
        <v>NX</v>
      </c>
      <c r="S274" s="98" t="s">
        <v>188</v>
      </c>
      <c r="T274" s="106"/>
      <c r="U274" s="21" t="s">
        <v>257</v>
      </c>
      <c r="V274" s="77" t="s">
        <v>311</v>
      </c>
      <c r="W274" s="78">
        <v>3</v>
      </c>
      <c r="X274" s="56" t="s">
        <v>312</v>
      </c>
      <c r="Y274" s="56">
        <v>1</v>
      </c>
      <c r="Z274" s="56">
        <v>64</v>
      </c>
      <c r="AA274" s="74" t="s">
        <v>300</v>
      </c>
      <c r="AB274" s="74" t="s">
        <v>21</v>
      </c>
      <c r="AC274" s="85" t="s">
        <v>311</v>
      </c>
      <c r="AD274" s="79"/>
      <c r="AE274" s="487"/>
      <c r="AF274" s="80" t="str">
        <f t="shared" si="220"/>
        <v xml:space="preserve">                                                                </v>
      </c>
      <c r="AG274" s="218" t="str">
        <f t="shared" si="211"/>
        <v>-</v>
      </c>
      <c r="AH274" s="381"/>
      <c r="AI274" s="92" t="str">
        <f t="shared" si="213"/>
        <v>OK</v>
      </c>
      <c r="AJ274" s="79"/>
      <c r="AK274" s="487"/>
      <c r="AL274" s="80" t="str">
        <f t="shared" si="221"/>
        <v xml:space="preserve">                                                                </v>
      </c>
      <c r="AM274" s="218" t="str">
        <f t="shared" si="193"/>
        <v>-</v>
      </c>
      <c r="AN274" s="381"/>
      <c r="AO274" s="92" t="str">
        <f t="shared" si="214"/>
        <v>OK</v>
      </c>
      <c r="AP274" s="79"/>
      <c r="AQ274" s="508"/>
      <c r="AR274" s="80" t="str">
        <f t="shared" si="222"/>
        <v xml:space="preserve">                                                                </v>
      </c>
      <c r="AS274" s="218" t="s">
        <v>593</v>
      </c>
      <c r="AT274" s="80"/>
      <c r="AU274" s="218" t="str">
        <f t="shared" si="219"/>
        <v>-</v>
      </c>
      <c r="AV274" s="79"/>
      <c r="AW274" s="487" t="s">
        <v>327</v>
      </c>
      <c r="AX274" s="80" t="str">
        <f t="shared" si="223"/>
        <v xml:space="preserve">株式会社エネルギア・コミュニケーションズ                        </v>
      </c>
      <c r="AY274" s="218" t="str">
        <f t="shared" si="194"/>
        <v>-</v>
      </c>
      <c r="AZ274" s="381" t="s">
        <v>327</v>
      </c>
      <c r="BA274" s="478" t="s">
        <v>594</v>
      </c>
      <c r="BB274" s="79"/>
      <c r="BC274" s="487" t="s">
        <v>328</v>
      </c>
      <c r="BD274" s="80" t="str">
        <f t="shared" si="224"/>
        <v xml:space="preserve">株式会社ＳＴＮｅｔ                                              </v>
      </c>
      <c r="BE274" s="218" t="str">
        <f t="shared" si="195"/>
        <v>-</v>
      </c>
      <c r="BF274" s="381" t="s">
        <v>328</v>
      </c>
      <c r="BG274" s="478" t="s">
        <v>594</v>
      </c>
      <c r="BH274" s="79"/>
      <c r="BI274" s="508" t="s">
        <v>742</v>
      </c>
      <c r="BJ274" s="80" t="str">
        <f t="shared" si="225"/>
        <v xml:space="preserve">株式会社エネルギア・コミュニケーションズ                        </v>
      </c>
      <c r="BK274" s="218" t="s">
        <v>593</v>
      </c>
      <c r="BL274" s="381" t="s">
        <v>327</v>
      </c>
      <c r="BM274" s="478" t="s">
        <v>594</v>
      </c>
      <c r="BN274" s="79"/>
      <c r="BO274" s="487" t="s">
        <v>328</v>
      </c>
      <c r="BP274" s="80" t="str">
        <f t="shared" si="226"/>
        <v xml:space="preserve">株式会社ＳＴＮｅｔ                                              </v>
      </c>
      <c r="BQ274" s="218" t="str">
        <f t="shared" si="196"/>
        <v>-</v>
      </c>
      <c r="BR274" s="381" t="s">
        <v>328</v>
      </c>
      <c r="BS274" s="478" t="s">
        <v>594</v>
      </c>
      <c r="BT274" s="79"/>
      <c r="BU274" s="508"/>
      <c r="BV274" s="80" t="str">
        <f t="shared" si="227"/>
        <v xml:space="preserve">                                                                </v>
      </c>
      <c r="BW274" s="218" t="s">
        <v>593</v>
      </c>
      <c r="BX274" s="80"/>
      <c r="BY274" s="218" t="str">
        <f t="shared" si="197"/>
        <v>-</v>
      </c>
      <c r="BZ274" s="79"/>
      <c r="CA274" s="487"/>
      <c r="CB274" s="80" t="str">
        <f t="shared" si="228"/>
        <v xml:space="preserve">                                                                </v>
      </c>
      <c r="CC274" s="218" t="str">
        <f t="shared" si="198"/>
        <v>-</v>
      </c>
      <c r="CD274" s="381"/>
      <c r="CE274" s="92" t="str">
        <f t="shared" si="215"/>
        <v>OK</v>
      </c>
      <c r="CF274" s="79"/>
      <c r="CG274" s="487"/>
      <c r="CH274" s="80" t="str">
        <f t="shared" si="229"/>
        <v xml:space="preserve">                                                                </v>
      </c>
      <c r="CI274" s="218" t="str">
        <f t="shared" si="199"/>
        <v>-</v>
      </c>
      <c r="CJ274" s="381"/>
      <c r="CK274" s="92" t="str">
        <f t="shared" si="216"/>
        <v>OK</v>
      </c>
      <c r="CL274" s="79"/>
      <c r="CM274" s="487"/>
      <c r="CN274" s="80" t="str">
        <f t="shared" si="230"/>
        <v xml:space="preserve">                                                                </v>
      </c>
      <c r="CO274" s="218" t="s">
        <v>593</v>
      </c>
      <c r="CP274" s="80"/>
      <c r="CQ274" s="218" t="str">
        <f t="shared" si="200"/>
        <v>-</v>
      </c>
      <c r="CR274" s="79"/>
      <c r="CS274" s="487"/>
      <c r="CT274" s="80" t="str">
        <f t="shared" si="231"/>
        <v xml:space="preserve">                                                                </v>
      </c>
      <c r="CU274" s="218" t="str">
        <f t="shared" si="201"/>
        <v>-</v>
      </c>
      <c r="CV274" s="381"/>
      <c r="CW274" s="92" t="s">
        <v>593</v>
      </c>
      <c r="CX274" s="79"/>
      <c r="CY274" s="487"/>
      <c r="CZ274" s="80" t="str">
        <f t="shared" si="232"/>
        <v xml:space="preserve">                                                                </v>
      </c>
      <c r="DA274" s="218" t="str">
        <f t="shared" si="202"/>
        <v>-</v>
      </c>
      <c r="DB274" s="381"/>
      <c r="DC274" s="92" t="s">
        <v>593</v>
      </c>
    </row>
    <row r="275" spans="1:107" s="81" customFormat="1" ht="92.25" customHeight="1">
      <c r="B275" s="65">
        <f t="shared" si="192"/>
        <v>268</v>
      </c>
      <c r="C275" s="69"/>
      <c r="D275" s="69"/>
      <c r="E275" s="69"/>
      <c r="F275" s="82" t="s">
        <v>356</v>
      </c>
      <c r="G275" s="14"/>
      <c r="H275" s="83"/>
      <c r="I275" s="74"/>
      <c r="J275" s="74"/>
      <c r="K275" s="75"/>
      <c r="L275" s="75"/>
      <c r="M275" s="84" t="s">
        <v>222</v>
      </c>
      <c r="N275" s="76"/>
      <c r="O275" s="77"/>
      <c r="P275" s="95">
        <f>P274+1</f>
        <v>244</v>
      </c>
      <c r="Q275" s="119">
        <v>7</v>
      </c>
      <c r="R275" s="21" t="s">
        <v>261</v>
      </c>
      <c r="S275" s="98" t="s">
        <v>313</v>
      </c>
      <c r="T275" s="106"/>
      <c r="U275" s="21" t="s">
        <v>257</v>
      </c>
      <c r="V275" s="77"/>
      <c r="W275" s="78">
        <v>3</v>
      </c>
      <c r="X275" s="56" t="s">
        <v>314</v>
      </c>
      <c r="Y275" s="56">
        <v>7</v>
      </c>
      <c r="Z275" s="56">
        <v>7</v>
      </c>
      <c r="AA275" s="74" t="s">
        <v>261</v>
      </c>
      <c r="AB275" s="74" t="s">
        <v>21</v>
      </c>
      <c r="AC275" s="85"/>
      <c r="AD275" s="79"/>
      <c r="AE275" s="481"/>
      <c r="AF275" s="80" t="str">
        <f t="shared" si="220"/>
        <v xml:space="preserve">       </v>
      </c>
      <c r="AG275" s="218" t="str">
        <f t="shared" si="211"/>
        <v>-</v>
      </c>
      <c r="AH275" s="274"/>
      <c r="AI275" s="406" t="str">
        <f t="shared" si="213"/>
        <v>OK</v>
      </c>
      <c r="AJ275" s="79"/>
      <c r="AK275" s="481"/>
      <c r="AL275" s="80" t="str">
        <f t="shared" si="221"/>
        <v xml:space="preserve">       </v>
      </c>
      <c r="AM275" s="218" t="str">
        <f t="shared" si="193"/>
        <v>-</v>
      </c>
      <c r="AN275" s="274"/>
      <c r="AO275" s="406" t="str">
        <f t="shared" si="214"/>
        <v>OK</v>
      </c>
      <c r="AP275" s="79"/>
      <c r="AQ275" s="512"/>
      <c r="AR275" s="80" t="str">
        <f t="shared" si="222"/>
        <v xml:space="preserve">       </v>
      </c>
      <c r="AS275" s="218" t="s">
        <v>593</v>
      </c>
      <c r="AT275" s="80"/>
      <c r="AU275" s="218" t="str">
        <f t="shared" si="219"/>
        <v>-</v>
      </c>
      <c r="AV275" s="79"/>
      <c r="AW275" s="481"/>
      <c r="AX275" s="80" t="str">
        <f t="shared" si="223"/>
        <v xml:space="preserve">       </v>
      </c>
      <c r="AY275" s="218" t="str">
        <f t="shared" si="194"/>
        <v>-</v>
      </c>
      <c r="AZ275" s="274"/>
      <c r="BA275" s="478" t="s">
        <v>594</v>
      </c>
      <c r="BB275" s="79"/>
      <c r="BC275" s="481"/>
      <c r="BD275" s="80" t="str">
        <f t="shared" si="224"/>
        <v xml:space="preserve">       </v>
      </c>
      <c r="BE275" s="218" t="str">
        <f t="shared" si="195"/>
        <v>-</v>
      </c>
      <c r="BF275" s="274"/>
      <c r="BG275" s="478" t="s">
        <v>594</v>
      </c>
      <c r="BH275" s="79"/>
      <c r="BI275" s="508" t="s">
        <v>705</v>
      </c>
      <c r="BJ275" s="80" t="str">
        <f t="shared" si="225"/>
        <v xml:space="preserve">       </v>
      </c>
      <c r="BK275" s="218" t="s">
        <v>593</v>
      </c>
      <c r="BL275" s="274"/>
      <c r="BM275" s="478" t="s">
        <v>594</v>
      </c>
      <c r="BN275" s="79"/>
      <c r="BO275" s="481"/>
      <c r="BP275" s="80" t="str">
        <f t="shared" si="226"/>
        <v xml:space="preserve">       </v>
      </c>
      <c r="BQ275" s="218" t="str">
        <f t="shared" si="196"/>
        <v>-</v>
      </c>
      <c r="BR275" s="274"/>
      <c r="BS275" s="478" t="s">
        <v>594</v>
      </c>
      <c r="BT275" s="79"/>
      <c r="BU275" s="512"/>
      <c r="BV275" s="80" t="str">
        <f t="shared" si="227"/>
        <v xml:space="preserve">       </v>
      </c>
      <c r="BW275" s="218" t="s">
        <v>593</v>
      </c>
      <c r="BX275" s="80"/>
      <c r="BY275" s="218" t="str">
        <f t="shared" si="197"/>
        <v>-</v>
      </c>
      <c r="BZ275" s="79"/>
      <c r="CA275" s="481"/>
      <c r="CB275" s="80" t="str">
        <f t="shared" si="228"/>
        <v xml:space="preserve">       </v>
      </c>
      <c r="CC275" s="218" t="str">
        <f t="shared" si="198"/>
        <v>-</v>
      </c>
      <c r="CD275" s="274"/>
      <c r="CE275" s="406" t="str">
        <f t="shared" si="215"/>
        <v>OK</v>
      </c>
      <c r="CF275" s="79"/>
      <c r="CG275" s="481"/>
      <c r="CH275" s="80" t="str">
        <f t="shared" si="229"/>
        <v xml:space="preserve">       </v>
      </c>
      <c r="CI275" s="218" t="str">
        <f t="shared" si="199"/>
        <v>-</v>
      </c>
      <c r="CJ275" s="274"/>
      <c r="CK275" s="406" t="str">
        <f t="shared" si="216"/>
        <v>OK</v>
      </c>
      <c r="CL275" s="79"/>
      <c r="CM275" s="481"/>
      <c r="CN275" s="80" t="str">
        <f t="shared" si="230"/>
        <v xml:space="preserve">       </v>
      </c>
      <c r="CO275" s="218" t="s">
        <v>593</v>
      </c>
      <c r="CP275" s="80"/>
      <c r="CQ275" s="218" t="str">
        <f t="shared" si="200"/>
        <v>-</v>
      </c>
      <c r="CR275" s="79"/>
      <c r="CS275" s="481"/>
      <c r="CT275" s="80" t="str">
        <f t="shared" si="231"/>
        <v xml:space="preserve">       </v>
      </c>
      <c r="CU275" s="218" t="str">
        <f t="shared" si="201"/>
        <v>-</v>
      </c>
      <c r="CV275" s="274"/>
      <c r="CW275" s="92" t="s">
        <v>593</v>
      </c>
      <c r="CX275" s="79"/>
      <c r="CY275" s="481"/>
      <c r="CZ275" s="80" t="str">
        <f t="shared" si="232"/>
        <v xml:space="preserve">       </v>
      </c>
      <c r="DA275" s="218" t="str">
        <f t="shared" si="202"/>
        <v>-</v>
      </c>
      <c r="DB275" s="274"/>
      <c r="DC275" s="92" t="s">
        <v>593</v>
      </c>
    </row>
    <row r="276" spans="1:107" s="81" customFormat="1" ht="127.9" thickBot="1">
      <c r="A276" s="221"/>
      <c r="B276" s="243">
        <f t="shared" si="192"/>
        <v>269</v>
      </c>
      <c r="C276" s="244"/>
      <c r="D276" s="244"/>
      <c r="E276" s="244"/>
      <c r="F276" s="246" t="s">
        <v>315</v>
      </c>
      <c r="G276" s="247"/>
      <c r="H276" s="248"/>
      <c r="I276" s="249"/>
      <c r="J276" s="249"/>
      <c r="K276" s="249"/>
      <c r="L276" s="249"/>
      <c r="M276" s="392" t="s">
        <v>357</v>
      </c>
      <c r="N276" s="399"/>
      <c r="O276" s="400"/>
      <c r="P276" s="279">
        <f>P275+1</f>
        <v>245</v>
      </c>
      <c r="Q276" s="410">
        <v>1</v>
      </c>
      <c r="R276" s="37">
        <v>9</v>
      </c>
      <c r="S276" s="410" t="s">
        <v>316</v>
      </c>
      <c r="T276" s="142"/>
      <c r="U276" s="141" t="s">
        <v>257</v>
      </c>
      <c r="V276" s="238"/>
      <c r="W276" s="191" t="str">
        <f>IF(C276&lt;&gt;"","0",IF(D276&lt;&gt;"","1",IF(E276&lt;&gt;"","2",IF(F276&lt;&gt;"","3",IF(G276&lt;&gt;"","4",IF(H276&lt;&gt;"","5"))))))</f>
        <v>3</v>
      </c>
      <c r="X276" s="144" t="s">
        <v>317</v>
      </c>
      <c r="Y276" s="144">
        <v>1</v>
      </c>
      <c r="Z276" s="144">
        <v>1</v>
      </c>
      <c r="AA276" s="239">
        <v>9</v>
      </c>
      <c r="AB276" s="137" t="s">
        <v>257</v>
      </c>
      <c r="AC276" s="240"/>
      <c r="AD276" s="216"/>
      <c r="AE276" s="396"/>
      <c r="AF276" s="217" t="str">
        <f t="shared" si="220"/>
        <v xml:space="preserve"> </v>
      </c>
      <c r="AG276" s="231" t="str">
        <f t="shared" si="211"/>
        <v>-</v>
      </c>
      <c r="AH276" s="383"/>
      <c r="AI276" s="395" t="str">
        <f t="shared" si="213"/>
        <v>OK</v>
      </c>
      <c r="AJ276" s="216"/>
      <c r="AK276" s="396"/>
      <c r="AL276" s="217" t="str">
        <f t="shared" si="221"/>
        <v xml:space="preserve"> </v>
      </c>
      <c r="AM276" s="231" t="str">
        <f t="shared" si="193"/>
        <v>-</v>
      </c>
      <c r="AN276" s="396"/>
      <c r="AO276" s="395" t="str">
        <f t="shared" si="214"/>
        <v>OK</v>
      </c>
      <c r="AP276" s="216"/>
      <c r="AQ276" s="509"/>
      <c r="AR276" s="217" t="str">
        <f t="shared" si="222"/>
        <v xml:space="preserve"> </v>
      </c>
      <c r="AS276" s="231" t="s">
        <v>593</v>
      </c>
      <c r="AT276" s="217"/>
      <c r="AU276" s="231" t="str">
        <f t="shared" si="219"/>
        <v>-</v>
      </c>
      <c r="AV276" s="216"/>
      <c r="AW276" s="396" t="s">
        <v>33</v>
      </c>
      <c r="AX276" s="217" t="str">
        <f t="shared" si="223"/>
        <v>1</v>
      </c>
      <c r="AY276" s="231" t="str">
        <f t="shared" si="194"/>
        <v>-</v>
      </c>
      <c r="AZ276" s="396" t="s">
        <v>33</v>
      </c>
      <c r="BA276" s="479" t="s">
        <v>245</v>
      </c>
      <c r="BB276" s="216"/>
      <c r="BC276" s="396" t="s">
        <v>33</v>
      </c>
      <c r="BD276" s="217" t="str">
        <f t="shared" si="224"/>
        <v>1</v>
      </c>
      <c r="BE276" s="231" t="str">
        <f t="shared" si="195"/>
        <v>-</v>
      </c>
      <c r="BF276" s="396" t="s">
        <v>33</v>
      </c>
      <c r="BG276" s="479" t="s">
        <v>245</v>
      </c>
      <c r="BH276" s="216"/>
      <c r="BI276" s="509" t="s">
        <v>33</v>
      </c>
      <c r="BJ276" s="217" t="str">
        <f t="shared" si="225"/>
        <v>1</v>
      </c>
      <c r="BK276" s="231" t="s">
        <v>593</v>
      </c>
      <c r="BL276" s="396" t="s">
        <v>33</v>
      </c>
      <c r="BM276" s="479" t="s">
        <v>245</v>
      </c>
      <c r="BN276" s="216"/>
      <c r="BO276" s="396" t="s">
        <v>33</v>
      </c>
      <c r="BP276" s="217" t="str">
        <f t="shared" si="226"/>
        <v>1</v>
      </c>
      <c r="BQ276" s="231" t="str">
        <f t="shared" si="196"/>
        <v>-</v>
      </c>
      <c r="BR276" s="396" t="s">
        <v>33</v>
      </c>
      <c r="BS276" s="479" t="s">
        <v>245</v>
      </c>
      <c r="BT276" s="216"/>
      <c r="BU276" s="509"/>
      <c r="BV276" s="217" t="str">
        <f t="shared" si="227"/>
        <v xml:space="preserve"> </v>
      </c>
      <c r="BW276" s="231" t="s">
        <v>593</v>
      </c>
      <c r="BX276" s="217"/>
      <c r="BY276" s="231" t="str">
        <f t="shared" si="197"/>
        <v>-</v>
      </c>
      <c r="BZ276" s="216"/>
      <c r="CA276" s="396"/>
      <c r="CB276" s="217" t="str">
        <f t="shared" si="228"/>
        <v xml:space="preserve"> </v>
      </c>
      <c r="CC276" s="231" t="str">
        <f t="shared" si="198"/>
        <v>-</v>
      </c>
      <c r="CD276" s="396"/>
      <c r="CE276" s="395" t="str">
        <f t="shared" si="215"/>
        <v>OK</v>
      </c>
      <c r="CF276" s="216"/>
      <c r="CG276" s="396"/>
      <c r="CH276" s="217" t="str">
        <f t="shared" si="229"/>
        <v xml:space="preserve"> </v>
      </c>
      <c r="CI276" s="231" t="str">
        <f t="shared" si="199"/>
        <v>-</v>
      </c>
      <c r="CJ276" s="396"/>
      <c r="CK276" s="395" t="str">
        <f t="shared" si="216"/>
        <v>OK</v>
      </c>
      <c r="CL276" s="216"/>
      <c r="CM276" s="396"/>
      <c r="CN276" s="217" t="str">
        <f t="shared" si="230"/>
        <v xml:space="preserve"> </v>
      </c>
      <c r="CO276" s="231" t="s">
        <v>593</v>
      </c>
      <c r="CP276" s="217"/>
      <c r="CQ276" s="231" t="str">
        <f t="shared" si="200"/>
        <v>-</v>
      </c>
      <c r="CR276" s="216"/>
      <c r="CS276" s="396"/>
      <c r="CT276" s="217" t="str">
        <f t="shared" si="231"/>
        <v xml:space="preserve"> </v>
      </c>
      <c r="CU276" s="231" t="str">
        <f t="shared" si="201"/>
        <v>-</v>
      </c>
      <c r="CV276" s="396"/>
      <c r="CW276" s="395" t="s">
        <v>593</v>
      </c>
      <c r="CX276" s="216"/>
      <c r="CY276" s="396"/>
      <c r="CZ276" s="217" t="str">
        <f t="shared" si="232"/>
        <v xml:space="preserve"> </v>
      </c>
      <c r="DA276" s="231" t="str">
        <f t="shared" si="202"/>
        <v>-</v>
      </c>
      <c r="DB276" s="396"/>
      <c r="DC276" s="395" t="s">
        <v>593</v>
      </c>
    </row>
    <row r="277" spans="1:107" s="26" customFormat="1" ht="18.75" customHeight="1" thickTop="1">
      <c r="B277" s="2">
        <f t="shared" si="192"/>
        <v>270</v>
      </c>
      <c r="C277" s="253"/>
      <c r="D277" s="253"/>
      <c r="E277" s="254" t="s">
        <v>439</v>
      </c>
      <c r="F277" s="254"/>
      <c r="G277" s="254"/>
      <c r="H277" s="87"/>
      <c r="I277" s="88" t="s">
        <v>31</v>
      </c>
      <c r="J277" s="88" t="s">
        <v>426</v>
      </c>
      <c r="K277" s="88"/>
      <c r="L277" s="88"/>
      <c r="M277" s="89" t="s">
        <v>352</v>
      </c>
      <c r="N277" s="287"/>
      <c r="O277" s="288"/>
      <c r="P277" s="183"/>
      <c r="Q277" s="121"/>
      <c r="R277" s="107"/>
      <c r="S277" s="289"/>
      <c r="T277" s="287"/>
      <c r="U277" s="107"/>
      <c r="V277" s="290"/>
      <c r="W277" s="25" t="str">
        <f>IF(C277&lt;&gt;"","0",IF(D277&lt;&gt;"","1",IF(E277&lt;&gt;"","2",IF(F277&lt;&gt;"","3",IF(G277&lt;&gt;"","4",IF(H277&lt;&gt;"","5"))))))</f>
        <v>2</v>
      </c>
      <c r="X277" s="1" t="s">
        <v>122</v>
      </c>
      <c r="Y277" s="1"/>
      <c r="Z277" s="1"/>
      <c r="AA277" s="8"/>
      <c r="AB277" s="8" t="s">
        <v>257</v>
      </c>
      <c r="AC277" s="63"/>
      <c r="AD277" s="60"/>
      <c r="AE277" s="169"/>
      <c r="AF277" s="61" t="str">
        <f t="shared" si="220"/>
        <v/>
      </c>
      <c r="AG277" s="218" t="str">
        <f t="shared" ref="AG277:AG308" si="233">IF(OR(AE$8="判定対象外",AF$8="判定対象外",AF277="-"),"-",IF(AE277=AF277,"OK","NG"))</f>
        <v>-</v>
      </c>
      <c r="AH277" s="169"/>
      <c r="AI277" s="92" t="str">
        <f>IF(EXACT(AE277,AH277),"OK","NG")</f>
        <v>OK</v>
      </c>
      <c r="AJ277" s="60"/>
      <c r="AK277" s="169"/>
      <c r="AL277" s="61" t="str">
        <f t="shared" si="221"/>
        <v/>
      </c>
      <c r="AM277" s="218" t="str">
        <f t="shared" si="193"/>
        <v>-</v>
      </c>
      <c r="AN277" s="169"/>
      <c r="AO277" s="92" t="str">
        <f>IF(EXACT(AK277,AN277),"OK","NG")</f>
        <v>OK</v>
      </c>
      <c r="AP277" s="60"/>
      <c r="AQ277" s="172"/>
      <c r="AR277" s="61" t="str">
        <f t="shared" si="222"/>
        <v/>
      </c>
      <c r="AS277" s="218" t="s">
        <v>593</v>
      </c>
      <c r="AT277" s="61"/>
      <c r="AU277" s="218" t="str">
        <f t="shared" si="219"/>
        <v>-</v>
      </c>
      <c r="AV277" s="60"/>
      <c r="AW277" s="169"/>
      <c r="AX277" s="61" t="str">
        <f t="shared" si="223"/>
        <v/>
      </c>
      <c r="AY277" s="218" t="str">
        <f t="shared" si="194"/>
        <v>-</v>
      </c>
      <c r="AZ277" s="169"/>
      <c r="BA277" s="92" t="str">
        <f>IF(EXACT(AW277,AZ277),"OK","NG")</f>
        <v>OK</v>
      </c>
      <c r="BB277" s="60"/>
      <c r="BC277" s="169"/>
      <c r="BD277" s="61" t="str">
        <f t="shared" si="224"/>
        <v/>
      </c>
      <c r="BE277" s="218" t="str">
        <f t="shared" si="195"/>
        <v>-</v>
      </c>
      <c r="BF277" s="169"/>
      <c r="BG277" s="92" t="str">
        <f>IF(EXACT(BC277,BF277),"OK","NG")</f>
        <v>OK</v>
      </c>
      <c r="BH277" s="60"/>
      <c r="BI277" s="172"/>
      <c r="BJ277" s="61" t="str">
        <f t="shared" si="225"/>
        <v/>
      </c>
      <c r="BK277" s="218" t="s">
        <v>593</v>
      </c>
      <c r="BL277" s="169"/>
      <c r="BM277" s="92" t="str">
        <f>IF(EXACT(BI277,BL277),"OK","NG")</f>
        <v>OK</v>
      </c>
      <c r="BN277" s="60"/>
      <c r="BO277" s="169"/>
      <c r="BP277" s="61" t="str">
        <f t="shared" si="226"/>
        <v/>
      </c>
      <c r="BQ277" s="218" t="str">
        <f t="shared" si="196"/>
        <v>-</v>
      </c>
      <c r="BR277" s="169"/>
      <c r="BS277" s="92" t="str">
        <f>IF(EXACT(BO277,BR277),"OK","NG")</f>
        <v>OK</v>
      </c>
      <c r="BT277" s="60"/>
      <c r="BU277" s="172"/>
      <c r="BV277" s="61" t="str">
        <f t="shared" si="227"/>
        <v/>
      </c>
      <c r="BW277" s="218" t="s">
        <v>593</v>
      </c>
      <c r="BX277" s="61"/>
      <c r="BY277" s="218" t="str">
        <f t="shared" si="197"/>
        <v>-</v>
      </c>
      <c r="BZ277" s="60"/>
      <c r="CA277" s="169"/>
      <c r="CB277" s="61" t="str">
        <f t="shared" si="228"/>
        <v/>
      </c>
      <c r="CC277" s="218" t="str">
        <f t="shared" si="198"/>
        <v>-</v>
      </c>
      <c r="CD277" s="169"/>
      <c r="CE277" s="92" t="str">
        <f>IF(EXACT(CA277,CD277),"OK","NG")</f>
        <v>OK</v>
      </c>
      <c r="CF277" s="60"/>
      <c r="CG277" s="169"/>
      <c r="CH277" s="61" t="str">
        <f t="shared" si="229"/>
        <v/>
      </c>
      <c r="CI277" s="218" t="str">
        <f t="shared" si="199"/>
        <v>-</v>
      </c>
      <c r="CJ277" s="169"/>
      <c r="CK277" s="92" t="str">
        <f>IF(EXACT(CG277,CJ277),"OK","NG")</f>
        <v>OK</v>
      </c>
      <c r="CL277" s="60"/>
      <c r="CM277" s="169"/>
      <c r="CN277" s="61" t="str">
        <f t="shared" si="230"/>
        <v/>
      </c>
      <c r="CO277" s="218" t="s">
        <v>593</v>
      </c>
      <c r="CP277" s="61"/>
      <c r="CQ277" s="218" t="str">
        <f t="shared" si="200"/>
        <v>-</v>
      </c>
      <c r="CR277" s="60"/>
      <c r="CS277" s="169"/>
      <c r="CT277" s="61" t="str">
        <f t="shared" si="231"/>
        <v/>
      </c>
      <c r="CU277" s="218" t="str">
        <f t="shared" si="201"/>
        <v>-</v>
      </c>
      <c r="CV277" s="169"/>
      <c r="CW277" s="92" t="s">
        <v>593</v>
      </c>
      <c r="CX277" s="60"/>
      <c r="CY277" s="169"/>
      <c r="CZ277" s="61" t="str">
        <f t="shared" si="232"/>
        <v/>
      </c>
      <c r="DA277" s="218" t="str">
        <f t="shared" si="202"/>
        <v>-</v>
      </c>
      <c r="DB277" s="169"/>
      <c r="DC277" s="92" t="s">
        <v>593</v>
      </c>
    </row>
    <row r="278" spans="1:107" s="26" customFormat="1" ht="63.75">
      <c r="B278" s="2">
        <f t="shared" si="192"/>
        <v>271</v>
      </c>
      <c r="C278" s="129"/>
      <c r="D278" s="7"/>
      <c r="E278" s="7"/>
      <c r="F278" s="112" t="s">
        <v>92</v>
      </c>
      <c r="G278" s="16"/>
      <c r="H278" s="13"/>
      <c r="I278" s="6"/>
      <c r="J278" s="6"/>
      <c r="K278" s="6"/>
      <c r="L278" s="8"/>
      <c r="M278" s="23" t="s">
        <v>296</v>
      </c>
      <c r="N278" s="1"/>
      <c r="O278" s="57"/>
      <c r="P278" s="95">
        <f>P276+1</f>
        <v>246</v>
      </c>
      <c r="Q278" s="117">
        <v>2</v>
      </c>
      <c r="R278" s="21" t="str">
        <f t="shared" ref="R278:R284" si="234">IF(AA278="M","NX",AA278)</f>
        <v>X</v>
      </c>
      <c r="S278" s="98" t="s">
        <v>440</v>
      </c>
      <c r="T278" s="96"/>
      <c r="U278" s="21" t="s">
        <v>435</v>
      </c>
      <c r="V278" s="118" t="s">
        <v>199</v>
      </c>
      <c r="W278" s="25" t="str">
        <f>IF(C278&lt;&gt;"","0",IF(D278&lt;&gt;"","1",IF(E278&lt;&gt;"","2",IF(F278&lt;&gt;"","3",IF(G278&lt;&gt;"","4",IF(H278&lt;&gt;"","5"))))))</f>
        <v>3</v>
      </c>
      <c r="X278" s="5" t="s">
        <v>297</v>
      </c>
      <c r="Y278" s="58">
        <v>2</v>
      </c>
      <c r="Z278" s="58">
        <v>2</v>
      </c>
      <c r="AA278" s="59" t="s">
        <v>114</v>
      </c>
      <c r="AB278" s="59" t="s">
        <v>21</v>
      </c>
      <c r="AC278" s="12"/>
      <c r="AD278" s="60"/>
      <c r="AE278" s="174"/>
      <c r="AF278" s="273" t="str">
        <f t="shared" si="220"/>
        <v xml:space="preserve">  </v>
      </c>
      <c r="AG278" s="218" t="str">
        <f t="shared" si="233"/>
        <v>-</v>
      </c>
      <c r="AH278" s="174"/>
      <c r="AI278" s="92" t="str">
        <f>IF(EXACT(AE278,AH278),"OK","NG")</f>
        <v>OK</v>
      </c>
      <c r="AJ278" s="60"/>
      <c r="AK278" s="174"/>
      <c r="AL278" s="273" t="str">
        <f t="shared" si="221"/>
        <v xml:space="preserve">  </v>
      </c>
      <c r="AM278" s="218" t="str">
        <f t="shared" si="193"/>
        <v>-</v>
      </c>
      <c r="AN278" s="174"/>
      <c r="AO278" s="92" t="str">
        <f>IF(EXACT(AK278,AN278),"OK","NG")</f>
        <v>OK</v>
      </c>
      <c r="AP278" s="60"/>
      <c r="AQ278" s="170"/>
      <c r="AR278" s="273" t="str">
        <f t="shared" si="222"/>
        <v xml:space="preserve">  </v>
      </c>
      <c r="AS278" s="218" t="s">
        <v>593</v>
      </c>
      <c r="AT278" s="273"/>
      <c r="AU278" s="218" t="str">
        <f t="shared" si="219"/>
        <v>-</v>
      </c>
      <c r="AV278" s="60"/>
      <c r="AW278" s="174" t="s">
        <v>102</v>
      </c>
      <c r="AX278" s="273" t="str">
        <f t="shared" si="223"/>
        <v>01</v>
      </c>
      <c r="AY278" s="218" t="str">
        <f t="shared" si="194"/>
        <v>-</v>
      </c>
      <c r="AZ278" s="174" t="s">
        <v>102</v>
      </c>
      <c r="BA278" s="478" t="s">
        <v>594</v>
      </c>
      <c r="BB278" s="60"/>
      <c r="BC278" s="174" t="s">
        <v>102</v>
      </c>
      <c r="BD278" s="273" t="str">
        <f t="shared" si="224"/>
        <v>01</v>
      </c>
      <c r="BE278" s="218" t="str">
        <f t="shared" si="195"/>
        <v>-</v>
      </c>
      <c r="BF278" s="174" t="s">
        <v>102</v>
      </c>
      <c r="BG278" s="478" t="s">
        <v>594</v>
      </c>
      <c r="BH278" s="60"/>
      <c r="BI278" s="170" t="s">
        <v>102</v>
      </c>
      <c r="BJ278" s="273" t="str">
        <f t="shared" si="225"/>
        <v>01</v>
      </c>
      <c r="BK278" s="218" t="s">
        <v>593</v>
      </c>
      <c r="BL278" s="174" t="s">
        <v>102</v>
      </c>
      <c r="BM278" s="478" t="s">
        <v>594</v>
      </c>
      <c r="BN278" s="60"/>
      <c r="BO278" s="174" t="s">
        <v>102</v>
      </c>
      <c r="BP278" s="273" t="str">
        <f t="shared" si="226"/>
        <v>01</v>
      </c>
      <c r="BQ278" s="218" t="str">
        <f t="shared" si="196"/>
        <v>-</v>
      </c>
      <c r="BR278" s="174" t="s">
        <v>102</v>
      </c>
      <c r="BS278" s="478" t="s">
        <v>594</v>
      </c>
      <c r="BT278" s="60"/>
      <c r="BU278" s="170"/>
      <c r="BV278" s="273" t="str">
        <f t="shared" si="227"/>
        <v xml:space="preserve">  </v>
      </c>
      <c r="BW278" s="218" t="s">
        <v>593</v>
      </c>
      <c r="BX278" s="273"/>
      <c r="BY278" s="218" t="str">
        <f t="shared" si="197"/>
        <v>-</v>
      </c>
      <c r="BZ278" s="60"/>
      <c r="CA278" s="174"/>
      <c r="CB278" s="273" t="str">
        <f t="shared" si="228"/>
        <v xml:space="preserve">  </v>
      </c>
      <c r="CC278" s="218" t="str">
        <f t="shared" si="198"/>
        <v>-</v>
      </c>
      <c r="CD278" s="174"/>
      <c r="CE278" s="92" t="str">
        <f>IF(EXACT(CA278,CD278),"OK","NG")</f>
        <v>OK</v>
      </c>
      <c r="CF278" s="60"/>
      <c r="CG278" s="174"/>
      <c r="CH278" s="273" t="str">
        <f t="shared" si="229"/>
        <v xml:space="preserve">  </v>
      </c>
      <c r="CI278" s="218" t="str">
        <f t="shared" si="199"/>
        <v>-</v>
      </c>
      <c r="CJ278" s="174"/>
      <c r="CK278" s="92" t="str">
        <f>IF(EXACT(CG278,CJ278),"OK","NG")</f>
        <v>OK</v>
      </c>
      <c r="CL278" s="60"/>
      <c r="CM278" s="174"/>
      <c r="CN278" s="273" t="str">
        <f t="shared" si="230"/>
        <v xml:space="preserve">  </v>
      </c>
      <c r="CO278" s="218" t="s">
        <v>593</v>
      </c>
      <c r="CP278" s="273"/>
      <c r="CQ278" s="218" t="str">
        <f t="shared" si="200"/>
        <v>-</v>
      </c>
      <c r="CR278" s="60"/>
      <c r="CS278" s="174"/>
      <c r="CT278" s="273" t="str">
        <f t="shared" si="231"/>
        <v xml:space="preserve">  </v>
      </c>
      <c r="CU278" s="218" t="str">
        <f t="shared" si="201"/>
        <v>-</v>
      </c>
      <c r="CV278" s="174"/>
      <c r="CW278" s="92" t="s">
        <v>593</v>
      </c>
      <c r="CX278" s="60"/>
      <c r="CY278" s="174"/>
      <c r="CZ278" s="273" t="str">
        <f t="shared" si="232"/>
        <v xml:space="preserve">  </v>
      </c>
      <c r="DA278" s="218" t="str">
        <f t="shared" si="202"/>
        <v>-</v>
      </c>
      <c r="DB278" s="174"/>
      <c r="DC278" s="92" t="s">
        <v>593</v>
      </c>
    </row>
    <row r="279" spans="1:107" s="26" customFormat="1" ht="293.25">
      <c r="B279" s="2">
        <f t="shared" ref="B279:B342" si="235">ROW()-7</f>
        <v>272</v>
      </c>
      <c r="C279" s="7"/>
      <c r="D279" s="7"/>
      <c r="E279" s="7"/>
      <c r="F279" s="112" t="s">
        <v>424</v>
      </c>
      <c r="G279" s="16"/>
      <c r="H279" s="13"/>
      <c r="I279" s="8"/>
      <c r="J279" s="8" t="s">
        <v>426</v>
      </c>
      <c r="K279" s="8"/>
      <c r="L279" s="8"/>
      <c r="M279" s="414" t="s">
        <v>441</v>
      </c>
      <c r="N279" s="11"/>
      <c r="O279" s="57"/>
      <c r="P279" s="95">
        <f>P278+1</f>
        <v>247</v>
      </c>
      <c r="Q279" s="115">
        <v>2</v>
      </c>
      <c r="R279" s="21" t="str">
        <f t="shared" si="234"/>
        <v>X</v>
      </c>
      <c r="S279" s="98" t="s">
        <v>442</v>
      </c>
      <c r="T279" s="96"/>
      <c r="U279" s="21" t="s">
        <v>443</v>
      </c>
      <c r="V279" s="10"/>
      <c r="W279" s="25">
        <v>3</v>
      </c>
      <c r="X279" s="1" t="s">
        <v>288</v>
      </c>
      <c r="Y279" s="1">
        <v>2</v>
      </c>
      <c r="Z279" s="1">
        <v>2</v>
      </c>
      <c r="AA279" s="8" t="s">
        <v>114</v>
      </c>
      <c r="AB279" s="8" t="s">
        <v>21</v>
      </c>
      <c r="AC279" s="12"/>
      <c r="AD279" s="60"/>
      <c r="AE279" s="174"/>
      <c r="AF279" s="273" t="str">
        <f t="shared" si="220"/>
        <v xml:space="preserve">  </v>
      </c>
      <c r="AG279" s="218" t="str">
        <f t="shared" si="233"/>
        <v>-</v>
      </c>
      <c r="AH279" s="174"/>
      <c r="AI279" s="92" t="str">
        <f t="shared" ref="AI279:AI306" si="236">IF(EXACT(AE279,AH279),"OK","NG")</f>
        <v>OK</v>
      </c>
      <c r="AJ279" s="60"/>
      <c r="AK279" s="174"/>
      <c r="AL279" s="273" t="str">
        <f t="shared" si="221"/>
        <v xml:space="preserve">  </v>
      </c>
      <c r="AM279" s="218" t="str">
        <f t="shared" ref="AM279:AM342" si="237">IF(OR(AK$8="判定対象外",AL$8="判定対象外",AL279="-"),"-",IF(AK279=AL279,"OK","NG"))</f>
        <v>-</v>
      </c>
      <c r="AN279" s="174"/>
      <c r="AO279" s="92" t="str">
        <f t="shared" ref="AO279:AO306" si="238">IF(EXACT(AK279,AN279),"OK","NG")</f>
        <v>OK</v>
      </c>
      <c r="AP279" s="60"/>
      <c r="AQ279" s="170"/>
      <c r="AR279" s="273" t="str">
        <f t="shared" si="222"/>
        <v xml:space="preserve">  </v>
      </c>
      <c r="AS279" s="218" t="s">
        <v>593</v>
      </c>
      <c r="AT279" s="273"/>
      <c r="AU279" s="218" t="str">
        <f t="shared" si="219"/>
        <v>-</v>
      </c>
      <c r="AV279" s="60"/>
      <c r="AW279" s="174" t="s">
        <v>224</v>
      </c>
      <c r="AX279" s="273" t="str">
        <f t="shared" si="223"/>
        <v>B5</v>
      </c>
      <c r="AY279" s="218" t="str">
        <f t="shared" ref="AY279:AY342" si="239">IF(OR(AW$8="判定対象外",AX$8="判定対象外",AX279="-"),"-",IF(AW279=AX279,"OK","NG"))</f>
        <v>-</v>
      </c>
      <c r="AZ279" s="174" t="s">
        <v>224</v>
      </c>
      <c r="BA279" s="92" t="str">
        <f>IF(EXACT(AW279,AZ279),"OK","NG")</f>
        <v>OK</v>
      </c>
      <c r="BB279" s="60"/>
      <c r="BC279" s="174" t="s">
        <v>205</v>
      </c>
      <c r="BD279" s="273" t="str">
        <f t="shared" si="224"/>
        <v>A4</v>
      </c>
      <c r="BE279" s="218" t="str">
        <f t="shared" ref="BE279:BE342" si="240">IF(OR(BC$8="判定対象外",BD$8="判定対象外",BD279="-"),"-",IF(BC279=BD279,"OK","NG"))</f>
        <v>-</v>
      </c>
      <c r="BF279" s="174" t="s">
        <v>205</v>
      </c>
      <c r="BG279" s="92" t="str">
        <f>IF(EXACT(BC279,BF279),"OK","NG")</f>
        <v>OK</v>
      </c>
      <c r="BH279" s="60"/>
      <c r="BI279" s="170" t="s">
        <v>224</v>
      </c>
      <c r="BJ279" s="273" t="str">
        <f t="shared" si="225"/>
        <v>B5</v>
      </c>
      <c r="BK279" s="218" t="s">
        <v>593</v>
      </c>
      <c r="BL279" s="174" t="s">
        <v>224</v>
      </c>
      <c r="BM279" s="92" t="str">
        <f>IF(EXACT(BI279,BL279),"OK","NG")</f>
        <v>OK</v>
      </c>
      <c r="BN279" s="60"/>
      <c r="BO279" s="174" t="s">
        <v>205</v>
      </c>
      <c r="BP279" s="273" t="str">
        <f t="shared" si="226"/>
        <v>A4</v>
      </c>
      <c r="BQ279" s="218" t="str">
        <f t="shared" ref="BQ279:BQ342" si="241">IF(OR(BO$8="判定対象外",BP$8="判定対象外",BP279="-"),"-",IF(BO279=BP279,"OK","NG"))</f>
        <v>-</v>
      </c>
      <c r="BR279" s="174" t="s">
        <v>205</v>
      </c>
      <c r="BS279" s="92" t="str">
        <f>IF(EXACT(BO279,BR279),"OK","NG")</f>
        <v>OK</v>
      </c>
      <c r="BT279" s="60"/>
      <c r="BU279" s="170"/>
      <c r="BV279" s="273" t="str">
        <f t="shared" si="227"/>
        <v xml:space="preserve">  </v>
      </c>
      <c r="BW279" s="218" t="s">
        <v>593</v>
      </c>
      <c r="BX279" s="273"/>
      <c r="BY279" s="218" t="str">
        <f t="shared" ref="BY279:BY342" si="242">IF(OR(BW$8="判定対象外",BX$8="判定対象外",BX279="-"),"-",IF(BW279=BX279,"OK","NG"))</f>
        <v>-</v>
      </c>
      <c r="BZ279" s="60"/>
      <c r="CA279" s="174"/>
      <c r="CB279" s="273" t="str">
        <f t="shared" si="228"/>
        <v xml:space="preserve">  </v>
      </c>
      <c r="CC279" s="218" t="str">
        <f t="shared" ref="CC279:CC342" si="243">IF(OR(CA$8="判定対象外",CB$8="判定対象外",CB279="-"),"-",IF(CA279=CB279,"OK","NG"))</f>
        <v>-</v>
      </c>
      <c r="CD279" s="174"/>
      <c r="CE279" s="92" t="str">
        <f t="shared" ref="CE279:CE306" si="244">IF(EXACT(CA279,CD279),"OK","NG")</f>
        <v>OK</v>
      </c>
      <c r="CF279" s="60"/>
      <c r="CG279" s="174"/>
      <c r="CH279" s="273" t="str">
        <f t="shared" si="229"/>
        <v xml:space="preserve">  </v>
      </c>
      <c r="CI279" s="218" t="str">
        <f t="shared" ref="CI279:CI342" si="245">IF(OR(CG$8="判定対象外",CH$8="判定対象外",CH279="-"),"-",IF(CG279=CH279,"OK","NG"))</f>
        <v>-</v>
      </c>
      <c r="CJ279" s="174"/>
      <c r="CK279" s="92" t="str">
        <f t="shared" ref="CK279:CK306" si="246">IF(EXACT(CG279,CJ279),"OK","NG")</f>
        <v>OK</v>
      </c>
      <c r="CL279" s="60"/>
      <c r="CM279" s="174"/>
      <c r="CN279" s="273" t="str">
        <f t="shared" si="230"/>
        <v xml:space="preserve">  </v>
      </c>
      <c r="CO279" s="218" t="s">
        <v>593</v>
      </c>
      <c r="CP279" s="273"/>
      <c r="CQ279" s="218" t="str">
        <f t="shared" ref="CQ279:CQ342" si="247">IF(OR(CO$8="判定対象外",CP$8="判定対象外",CP279="-"),"-",IF(CO279=CP279,"OK","NG"))</f>
        <v>-</v>
      </c>
      <c r="CR279" s="60"/>
      <c r="CS279" s="174"/>
      <c r="CT279" s="273" t="str">
        <f t="shared" si="231"/>
        <v xml:space="preserve">  </v>
      </c>
      <c r="CU279" s="218" t="str">
        <f t="shared" ref="CU279:CU342" si="248">IF(OR(CS$8="判定対象外",CT$8="判定対象外",CT279="-"),"-",IF(CS279=CT279,"OK","NG"))</f>
        <v>-</v>
      </c>
      <c r="CV279" s="174"/>
      <c r="CW279" s="92" t="s">
        <v>593</v>
      </c>
      <c r="CX279" s="60"/>
      <c r="CY279" s="174"/>
      <c r="CZ279" s="273" t="str">
        <f t="shared" si="232"/>
        <v xml:space="preserve">  </v>
      </c>
      <c r="DA279" s="218" t="str">
        <f t="shared" ref="DA279:DA342" si="249">IF(OR(CY$8="判定対象外",CZ$8="判定対象外",CZ279="-"),"-",IF(CY279=CZ279,"OK","NG"))</f>
        <v>-</v>
      </c>
      <c r="DB279" s="174"/>
      <c r="DC279" s="92" t="s">
        <v>593</v>
      </c>
    </row>
    <row r="280" spans="1:107" s="26" customFormat="1">
      <c r="B280" s="2">
        <f t="shared" si="235"/>
        <v>273</v>
      </c>
      <c r="C280" s="7"/>
      <c r="D280" s="7"/>
      <c r="E280" s="7"/>
      <c r="F280" s="22" t="s">
        <v>353</v>
      </c>
      <c r="G280" s="16"/>
      <c r="H280" s="13"/>
      <c r="I280" s="8"/>
      <c r="J280" s="8"/>
      <c r="K280" s="8"/>
      <c r="L280" s="8"/>
      <c r="M280" s="417" t="s">
        <v>220</v>
      </c>
      <c r="N280" s="11"/>
      <c r="O280" s="57"/>
      <c r="P280" s="95">
        <f t="shared" ref="P280:P301" si="250">P279+1</f>
        <v>248</v>
      </c>
      <c r="Q280" s="115">
        <v>2</v>
      </c>
      <c r="R280" s="21" t="str">
        <f t="shared" si="234"/>
        <v>X</v>
      </c>
      <c r="S280" s="98" t="s">
        <v>124</v>
      </c>
      <c r="T280" s="96"/>
      <c r="U280" s="21" t="s">
        <v>257</v>
      </c>
      <c r="V280" s="10"/>
      <c r="W280" s="25">
        <v>3</v>
      </c>
      <c r="X280" s="1" t="s">
        <v>125</v>
      </c>
      <c r="Y280" s="1">
        <v>2</v>
      </c>
      <c r="Z280" s="1">
        <v>2</v>
      </c>
      <c r="AA280" s="8" t="s">
        <v>114</v>
      </c>
      <c r="AB280" s="8" t="s">
        <v>21</v>
      </c>
      <c r="AC280" s="12"/>
      <c r="AD280" s="60"/>
      <c r="AE280" s="169"/>
      <c r="AF280" s="61" t="str">
        <f t="shared" si="220"/>
        <v xml:space="preserve">  </v>
      </c>
      <c r="AG280" s="218" t="str">
        <f t="shared" si="233"/>
        <v>-</v>
      </c>
      <c r="AH280" s="169"/>
      <c r="AI280" s="92" t="str">
        <f t="shared" si="236"/>
        <v>OK</v>
      </c>
      <c r="AJ280" s="60"/>
      <c r="AK280" s="169"/>
      <c r="AL280" s="61" t="str">
        <f t="shared" si="221"/>
        <v xml:space="preserve">  </v>
      </c>
      <c r="AM280" s="218" t="str">
        <f t="shared" si="237"/>
        <v>-</v>
      </c>
      <c r="AN280" s="169"/>
      <c r="AO280" s="92" t="str">
        <f t="shared" si="238"/>
        <v>OK</v>
      </c>
      <c r="AP280" s="60"/>
      <c r="AQ280" s="172"/>
      <c r="AR280" s="61" t="str">
        <f t="shared" si="222"/>
        <v xml:space="preserve">  </v>
      </c>
      <c r="AS280" s="218" t="s">
        <v>593</v>
      </c>
      <c r="AT280" s="61"/>
      <c r="AU280" s="218" t="str">
        <f t="shared" si="219"/>
        <v>-</v>
      </c>
      <c r="AV280" s="60"/>
      <c r="AW280" s="169"/>
      <c r="AX280" s="61" t="str">
        <f t="shared" si="223"/>
        <v xml:space="preserve">  </v>
      </c>
      <c r="AY280" s="218" t="str">
        <f t="shared" si="239"/>
        <v>-</v>
      </c>
      <c r="AZ280" s="169"/>
      <c r="BA280" s="92" t="str">
        <f>IF(EXACT(AW280,AZ280),"OK","NG")</f>
        <v>OK</v>
      </c>
      <c r="BB280" s="60"/>
      <c r="BC280" s="169"/>
      <c r="BD280" s="61" t="str">
        <f t="shared" si="224"/>
        <v xml:space="preserve">  </v>
      </c>
      <c r="BE280" s="218" t="str">
        <f t="shared" si="240"/>
        <v>-</v>
      </c>
      <c r="BF280" s="169"/>
      <c r="BG280" s="92" t="str">
        <f>IF(EXACT(BC280,BF280),"OK","NG")</f>
        <v>OK</v>
      </c>
      <c r="BH280" s="60"/>
      <c r="BI280" s="170" t="s">
        <v>698</v>
      </c>
      <c r="BJ280" s="61" t="str">
        <f t="shared" si="225"/>
        <v xml:space="preserve">  </v>
      </c>
      <c r="BK280" s="218" t="s">
        <v>593</v>
      </c>
      <c r="BL280" s="169"/>
      <c r="BM280" s="92" t="str">
        <f>IF(EXACT(BI280,BL280),"OK","NG")</f>
        <v>NG</v>
      </c>
      <c r="BN280" s="60"/>
      <c r="BO280" s="169"/>
      <c r="BP280" s="61" t="str">
        <f t="shared" si="226"/>
        <v xml:space="preserve">  </v>
      </c>
      <c r="BQ280" s="218" t="str">
        <f t="shared" si="241"/>
        <v>-</v>
      </c>
      <c r="BR280" s="169"/>
      <c r="BS280" s="92" t="str">
        <f>IF(EXACT(BO280,BR280),"OK","NG")</f>
        <v>OK</v>
      </c>
      <c r="BT280" s="60"/>
      <c r="BU280" s="172"/>
      <c r="BV280" s="61" t="str">
        <f t="shared" si="227"/>
        <v xml:space="preserve">  </v>
      </c>
      <c r="BW280" s="218" t="s">
        <v>593</v>
      </c>
      <c r="BX280" s="61"/>
      <c r="BY280" s="218" t="str">
        <f t="shared" si="242"/>
        <v>-</v>
      </c>
      <c r="BZ280" s="60"/>
      <c r="CA280" s="169"/>
      <c r="CB280" s="61" t="str">
        <f t="shared" si="228"/>
        <v xml:space="preserve">  </v>
      </c>
      <c r="CC280" s="218" t="str">
        <f t="shared" si="243"/>
        <v>-</v>
      </c>
      <c r="CD280" s="169"/>
      <c r="CE280" s="92" t="str">
        <f t="shared" si="244"/>
        <v>OK</v>
      </c>
      <c r="CF280" s="60"/>
      <c r="CG280" s="169"/>
      <c r="CH280" s="61" t="str">
        <f t="shared" si="229"/>
        <v xml:space="preserve">  </v>
      </c>
      <c r="CI280" s="218" t="str">
        <f t="shared" si="245"/>
        <v>-</v>
      </c>
      <c r="CJ280" s="169"/>
      <c r="CK280" s="92" t="str">
        <f t="shared" si="246"/>
        <v>OK</v>
      </c>
      <c r="CL280" s="60"/>
      <c r="CM280" s="169"/>
      <c r="CN280" s="61" t="str">
        <f t="shared" si="230"/>
        <v xml:space="preserve">  </v>
      </c>
      <c r="CO280" s="218" t="s">
        <v>593</v>
      </c>
      <c r="CP280" s="61"/>
      <c r="CQ280" s="218" t="str">
        <f t="shared" si="247"/>
        <v>-</v>
      </c>
      <c r="CR280" s="60"/>
      <c r="CS280" s="169"/>
      <c r="CT280" s="61" t="str">
        <f t="shared" si="231"/>
        <v xml:space="preserve">  </v>
      </c>
      <c r="CU280" s="218" t="str">
        <f t="shared" si="248"/>
        <v>-</v>
      </c>
      <c r="CV280" s="169"/>
      <c r="CW280" s="92" t="s">
        <v>593</v>
      </c>
      <c r="CX280" s="60"/>
      <c r="CY280" s="169"/>
      <c r="CZ280" s="61" t="str">
        <f t="shared" si="232"/>
        <v xml:space="preserve">  </v>
      </c>
      <c r="DA280" s="218" t="str">
        <f t="shared" si="249"/>
        <v>-</v>
      </c>
      <c r="DB280" s="169"/>
      <c r="DC280" s="92" t="s">
        <v>593</v>
      </c>
    </row>
    <row r="281" spans="1:107" s="26" customFormat="1">
      <c r="B281" s="2">
        <f t="shared" si="235"/>
        <v>274</v>
      </c>
      <c r="C281" s="7"/>
      <c r="D281" s="7"/>
      <c r="E281" s="7"/>
      <c r="F281" s="22" t="s">
        <v>126</v>
      </c>
      <c r="G281" s="16"/>
      <c r="H281" s="13"/>
      <c r="I281" s="8"/>
      <c r="J281" s="8" t="s">
        <v>269</v>
      </c>
      <c r="K281" s="8"/>
      <c r="L281" s="8"/>
      <c r="M281" s="1" t="s">
        <v>127</v>
      </c>
      <c r="N281" s="1"/>
      <c r="O281" s="57"/>
      <c r="P281" s="95">
        <f t="shared" si="250"/>
        <v>249</v>
      </c>
      <c r="Q281" s="115">
        <v>255</v>
      </c>
      <c r="R281" s="21" t="str">
        <f t="shared" si="234"/>
        <v>NX</v>
      </c>
      <c r="S281" s="98" t="s">
        <v>128</v>
      </c>
      <c r="T281" s="96"/>
      <c r="U281" s="21" t="s">
        <v>257</v>
      </c>
      <c r="V281" s="10"/>
      <c r="W281" s="25">
        <v>3</v>
      </c>
      <c r="X281" s="1" t="s">
        <v>298</v>
      </c>
      <c r="Y281" s="1">
        <v>1</v>
      </c>
      <c r="Z281" s="1">
        <v>255</v>
      </c>
      <c r="AA281" s="8" t="s">
        <v>129</v>
      </c>
      <c r="AB281" s="8" t="s">
        <v>21</v>
      </c>
      <c r="AC281" s="12"/>
      <c r="AD281" s="60"/>
      <c r="AE281" s="174"/>
      <c r="AF281" s="228" t="str">
        <f t="shared" si="220"/>
        <v xml:space="preserve">                                                                                                                                                                                                                                                               </v>
      </c>
      <c r="AG281" s="218" t="str">
        <f t="shared" si="233"/>
        <v>-</v>
      </c>
      <c r="AH281" s="174"/>
      <c r="AI281" s="92" t="str">
        <f t="shared" si="236"/>
        <v>OK</v>
      </c>
      <c r="AJ281" s="60"/>
      <c r="AK281" s="174"/>
      <c r="AL281" s="228" t="str">
        <f t="shared" si="221"/>
        <v xml:space="preserve">                                                                                                                                                                                                                                                               </v>
      </c>
      <c r="AM281" s="218" t="str">
        <f t="shared" si="237"/>
        <v>-</v>
      </c>
      <c r="AN281" s="174"/>
      <c r="AO281" s="92" t="str">
        <f t="shared" si="238"/>
        <v>OK</v>
      </c>
      <c r="AP281" s="60"/>
      <c r="AQ281" s="170"/>
      <c r="AR281" s="228" t="str">
        <f t="shared" si="222"/>
        <v xml:space="preserve">                                                                                                                                                                                                                                                               </v>
      </c>
      <c r="AS281" s="218" t="s">
        <v>593</v>
      </c>
      <c r="AT281" s="228"/>
      <c r="AU281" s="218" t="str">
        <f t="shared" si="219"/>
        <v>-</v>
      </c>
      <c r="AV281" s="60"/>
      <c r="AW281" s="174" t="s">
        <v>341</v>
      </c>
      <c r="AX281" s="228" t="str">
        <f t="shared" si="223"/>
        <v xml:space="preserve">ＢＢＩＱマンションタイプ                                                                                                                                                                                                                                       </v>
      </c>
      <c r="AY281" s="218" t="str">
        <f t="shared" si="239"/>
        <v>-</v>
      </c>
      <c r="AZ281" s="174" t="s">
        <v>341</v>
      </c>
      <c r="BA281" s="92" t="str">
        <f>IF(EXACT(AW281,AZ281),"OK","NG")</f>
        <v>OK</v>
      </c>
      <c r="BB281" s="60"/>
      <c r="BC281" s="174" t="s">
        <v>0</v>
      </c>
      <c r="BD281" s="228" t="str">
        <f t="shared" si="224"/>
        <v xml:space="preserve">メガ・エッグ　ファイバー                                                                                                                                                                                                                                       </v>
      </c>
      <c r="BE281" s="218" t="str">
        <f t="shared" si="240"/>
        <v>-</v>
      </c>
      <c r="BF281" s="174" t="s">
        <v>0</v>
      </c>
      <c r="BG281" s="92" t="str">
        <f>IF(EXACT(BC281,BF281),"OK","NG")</f>
        <v>OK</v>
      </c>
      <c r="BH281" s="60"/>
      <c r="BI281" s="170" t="s">
        <v>743</v>
      </c>
      <c r="BJ281" s="228" t="str">
        <f t="shared" si="225"/>
        <v xml:space="preserve">ＢＢＩＱマンションタイプ                                                                                                                                                                                                                                       </v>
      </c>
      <c r="BK281" s="218" t="s">
        <v>593</v>
      </c>
      <c r="BL281" s="174" t="s">
        <v>341</v>
      </c>
      <c r="BM281" s="92" t="str">
        <f>IF(EXACT(BI281,BL281),"OK","NG")</f>
        <v>NG</v>
      </c>
      <c r="BN281" s="60"/>
      <c r="BO281" s="174" t="s">
        <v>0</v>
      </c>
      <c r="BP281" s="228" t="str">
        <f t="shared" si="226"/>
        <v xml:space="preserve">メガ・エッグ　ファイバー                                                                                                                                                                                                                                       </v>
      </c>
      <c r="BQ281" s="218" t="str">
        <f t="shared" si="241"/>
        <v>-</v>
      </c>
      <c r="BR281" s="174" t="s">
        <v>0</v>
      </c>
      <c r="BS281" s="92" t="str">
        <f>IF(EXACT(BO281,BR281),"OK","NG")</f>
        <v>OK</v>
      </c>
      <c r="BT281" s="60"/>
      <c r="BU281" s="170"/>
      <c r="BV281" s="228" t="str">
        <f t="shared" si="227"/>
        <v xml:space="preserve">                                                                                                                                                                                                                                                               </v>
      </c>
      <c r="BW281" s="218" t="s">
        <v>593</v>
      </c>
      <c r="BX281" s="228"/>
      <c r="BY281" s="218" t="str">
        <f t="shared" si="242"/>
        <v>-</v>
      </c>
      <c r="BZ281" s="60"/>
      <c r="CA281" s="174"/>
      <c r="CB281" s="228" t="str">
        <f t="shared" si="228"/>
        <v xml:space="preserve">                                                                                                                                                                                                                                                               </v>
      </c>
      <c r="CC281" s="218" t="str">
        <f t="shared" si="243"/>
        <v>-</v>
      </c>
      <c r="CD281" s="174"/>
      <c r="CE281" s="92" t="str">
        <f t="shared" si="244"/>
        <v>OK</v>
      </c>
      <c r="CF281" s="60"/>
      <c r="CG281" s="174"/>
      <c r="CH281" s="228" t="str">
        <f t="shared" si="229"/>
        <v xml:space="preserve">                                                                                                                                                                                                                                                               </v>
      </c>
      <c r="CI281" s="218" t="str">
        <f t="shared" si="245"/>
        <v>-</v>
      </c>
      <c r="CJ281" s="174"/>
      <c r="CK281" s="92" t="str">
        <f t="shared" si="246"/>
        <v>OK</v>
      </c>
      <c r="CL281" s="60"/>
      <c r="CM281" s="174"/>
      <c r="CN281" s="228" t="str">
        <f t="shared" si="230"/>
        <v xml:space="preserve">                                                                                                                                                                                                                                                               </v>
      </c>
      <c r="CO281" s="218" t="s">
        <v>593</v>
      </c>
      <c r="CP281" s="228"/>
      <c r="CQ281" s="218" t="str">
        <f t="shared" si="247"/>
        <v>-</v>
      </c>
      <c r="CR281" s="60"/>
      <c r="CS281" s="174"/>
      <c r="CT281" s="228" t="str">
        <f t="shared" si="231"/>
        <v xml:space="preserve">                                                                                                                                                                                                                                                               </v>
      </c>
      <c r="CU281" s="218" t="str">
        <f t="shared" si="248"/>
        <v>-</v>
      </c>
      <c r="CV281" s="174"/>
      <c r="CW281" s="92" t="s">
        <v>593</v>
      </c>
      <c r="CX281" s="60"/>
      <c r="CY281" s="174"/>
      <c r="CZ281" s="228" t="str">
        <f t="shared" si="232"/>
        <v xml:space="preserve">                                                                                                                                                                                                                                                               </v>
      </c>
      <c r="DA281" s="218" t="str">
        <f t="shared" si="249"/>
        <v>-</v>
      </c>
      <c r="DB281" s="174"/>
      <c r="DC281" s="92" t="s">
        <v>593</v>
      </c>
    </row>
    <row r="282" spans="1:107" s="26" customFormat="1">
      <c r="B282" s="19">
        <f t="shared" si="235"/>
        <v>275</v>
      </c>
      <c r="C282" s="7"/>
      <c r="D282" s="7"/>
      <c r="E282" s="7"/>
      <c r="F282" s="3" t="s">
        <v>130</v>
      </c>
      <c r="G282" s="3"/>
      <c r="H282" s="4"/>
      <c r="I282" s="6"/>
      <c r="J282" s="6"/>
      <c r="K282" s="6"/>
      <c r="L282" s="6"/>
      <c r="M282" s="23" t="s">
        <v>131</v>
      </c>
      <c r="N282" s="5"/>
      <c r="O282" s="55"/>
      <c r="P282" s="95">
        <f t="shared" si="250"/>
        <v>250</v>
      </c>
      <c r="Q282" s="116">
        <v>256</v>
      </c>
      <c r="R282" s="21" t="str">
        <f t="shared" si="234"/>
        <v>NX</v>
      </c>
      <c r="S282" s="98" t="s">
        <v>132</v>
      </c>
      <c r="T282" s="96"/>
      <c r="U282" s="21" t="s">
        <v>435</v>
      </c>
      <c r="V282" s="10"/>
      <c r="W282" s="28">
        <v>3</v>
      </c>
      <c r="X282" s="5" t="s">
        <v>299</v>
      </c>
      <c r="Y282" s="5">
        <v>1</v>
      </c>
      <c r="Z282" s="5">
        <v>256</v>
      </c>
      <c r="AA282" s="6" t="s">
        <v>300</v>
      </c>
      <c r="AB282" s="6" t="s">
        <v>257</v>
      </c>
      <c r="AC282" s="64"/>
      <c r="AD282" s="60"/>
      <c r="AE282" s="169"/>
      <c r="AF282" s="61" t="str">
        <f t="shared" si="220"/>
        <v xml:space="preserve">                                                                                                                                                                                                                                                                </v>
      </c>
      <c r="AG282" s="218" t="str">
        <f t="shared" si="233"/>
        <v>-</v>
      </c>
      <c r="AH282" s="169"/>
      <c r="AI282" s="92" t="str">
        <f t="shared" si="236"/>
        <v>OK</v>
      </c>
      <c r="AJ282" s="60"/>
      <c r="AK282" s="169"/>
      <c r="AL282" s="61" t="str">
        <f t="shared" si="221"/>
        <v xml:space="preserve">                                                                                                                                                                                                                                                                </v>
      </c>
      <c r="AM282" s="218" t="str">
        <f t="shared" si="237"/>
        <v>-</v>
      </c>
      <c r="AN282" s="169"/>
      <c r="AO282" s="92" t="str">
        <f t="shared" si="238"/>
        <v>OK</v>
      </c>
      <c r="AP282" s="60"/>
      <c r="AQ282" s="172"/>
      <c r="AR282" s="61" t="str">
        <f t="shared" si="222"/>
        <v xml:space="preserve">                                                                                                                                                                                                                                                                </v>
      </c>
      <c r="AS282" s="218" t="s">
        <v>593</v>
      </c>
      <c r="AT282" s="61"/>
      <c r="AU282" s="218" t="str">
        <f t="shared" si="219"/>
        <v>-</v>
      </c>
      <c r="AV282" s="60"/>
      <c r="AW282" s="169"/>
      <c r="AX282" s="61" t="str">
        <f t="shared" si="223"/>
        <v xml:space="preserve">                                                                                                                                                                                                                                                                </v>
      </c>
      <c r="AY282" s="218" t="str">
        <f t="shared" si="239"/>
        <v>-</v>
      </c>
      <c r="AZ282" s="169"/>
      <c r="BA282" s="92" t="str">
        <f>IF(EXACT(AW282,AZ282),"OK","NG")</f>
        <v>OK</v>
      </c>
      <c r="BB282" s="60"/>
      <c r="BC282" s="169"/>
      <c r="BD282" s="61" t="str">
        <f t="shared" si="224"/>
        <v xml:space="preserve">                                                                                                                                                                                                                                                                </v>
      </c>
      <c r="BE282" s="218" t="str">
        <f t="shared" si="240"/>
        <v>-</v>
      </c>
      <c r="BF282" s="169"/>
      <c r="BG282" s="92" t="str">
        <f>IF(EXACT(BC282,BF282),"OK","NG")</f>
        <v>OK</v>
      </c>
      <c r="BH282" s="60"/>
      <c r="BI282" s="170" t="s">
        <v>700</v>
      </c>
      <c r="BJ282" s="61" t="str">
        <f t="shared" si="225"/>
        <v xml:space="preserve">                                                                                                                                                                                                                                                                </v>
      </c>
      <c r="BK282" s="218" t="s">
        <v>593</v>
      </c>
      <c r="BL282" s="169"/>
      <c r="BM282" s="92" t="str">
        <f>IF(EXACT(BI282,BL282),"OK","NG")</f>
        <v>NG</v>
      </c>
      <c r="BN282" s="60"/>
      <c r="BO282" s="169"/>
      <c r="BP282" s="61" t="str">
        <f t="shared" si="226"/>
        <v xml:space="preserve">                                                                                                                                                                                                                                                                </v>
      </c>
      <c r="BQ282" s="218" t="str">
        <f t="shared" si="241"/>
        <v>-</v>
      </c>
      <c r="BR282" s="169"/>
      <c r="BS282" s="92" t="str">
        <f>IF(EXACT(BO282,BR282),"OK","NG")</f>
        <v>OK</v>
      </c>
      <c r="BT282" s="60"/>
      <c r="BU282" s="172"/>
      <c r="BV282" s="61" t="str">
        <f t="shared" si="227"/>
        <v xml:space="preserve">                                                                                                                                                                                                                                                                </v>
      </c>
      <c r="BW282" s="218" t="s">
        <v>593</v>
      </c>
      <c r="BX282" s="61"/>
      <c r="BY282" s="218" t="str">
        <f t="shared" si="242"/>
        <v>-</v>
      </c>
      <c r="BZ282" s="60"/>
      <c r="CA282" s="169"/>
      <c r="CB282" s="61" t="str">
        <f t="shared" si="228"/>
        <v xml:space="preserve">                                                                                                                                                                                                                                                                </v>
      </c>
      <c r="CC282" s="218" t="str">
        <f t="shared" si="243"/>
        <v>-</v>
      </c>
      <c r="CD282" s="169"/>
      <c r="CE282" s="92" t="str">
        <f t="shared" si="244"/>
        <v>OK</v>
      </c>
      <c r="CF282" s="60"/>
      <c r="CG282" s="169"/>
      <c r="CH282" s="61" t="str">
        <f t="shared" si="229"/>
        <v xml:space="preserve">                                                                                                                                                                                                                                                                </v>
      </c>
      <c r="CI282" s="218" t="str">
        <f t="shared" si="245"/>
        <v>-</v>
      </c>
      <c r="CJ282" s="169"/>
      <c r="CK282" s="92" t="str">
        <f t="shared" si="246"/>
        <v>OK</v>
      </c>
      <c r="CL282" s="60"/>
      <c r="CM282" s="169"/>
      <c r="CN282" s="61" t="str">
        <f t="shared" si="230"/>
        <v xml:space="preserve">                                                                                                                                                                                                                                                                </v>
      </c>
      <c r="CO282" s="218" t="s">
        <v>593</v>
      </c>
      <c r="CP282" s="61"/>
      <c r="CQ282" s="218" t="str">
        <f t="shared" si="247"/>
        <v>-</v>
      </c>
      <c r="CR282" s="60"/>
      <c r="CS282" s="169"/>
      <c r="CT282" s="61" t="str">
        <f t="shared" si="231"/>
        <v xml:space="preserve">                                                                                                                                                                                                                                                                </v>
      </c>
      <c r="CU282" s="218" t="str">
        <f t="shared" si="248"/>
        <v>-</v>
      </c>
      <c r="CV282" s="169"/>
      <c r="CW282" s="92" t="s">
        <v>593</v>
      </c>
      <c r="CX282" s="60"/>
      <c r="CY282" s="169"/>
      <c r="CZ282" s="61" t="str">
        <f t="shared" si="232"/>
        <v xml:space="preserve">                                                                                                                                                                                                                                                                </v>
      </c>
      <c r="DA282" s="218" t="str">
        <f t="shared" si="249"/>
        <v>-</v>
      </c>
      <c r="DB282" s="169"/>
      <c r="DC282" s="92" t="s">
        <v>593</v>
      </c>
    </row>
    <row r="283" spans="1:107" s="26" customFormat="1" ht="63.75">
      <c r="B283" s="2">
        <f t="shared" si="235"/>
        <v>276</v>
      </c>
      <c r="C283" s="7"/>
      <c r="D283" s="7"/>
      <c r="E283" s="7"/>
      <c r="F283" s="22" t="s">
        <v>133</v>
      </c>
      <c r="G283" s="16"/>
      <c r="H283" s="13"/>
      <c r="I283" s="8"/>
      <c r="J283" s="8"/>
      <c r="K283" s="8"/>
      <c r="L283" s="8"/>
      <c r="M283" s="11" t="s">
        <v>444</v>
      </c>
      <c r="N283" s="1"/>
      <c r="O283" s="57"/>
      <c r="P283" s="95">
        <f t="shared" si="250"/>
        <v>251</v>
      </c>
      <c r="Q283" s="115">
        <v>256</v>
      </c>
      <c r="R283" s="21" t="str">
        <f t="shared" si="234"/>
        <v>NX</v>
      </c>
      <c r="S283" s="98" t="s">
        <v>134</v>
      </c>
      <c r="T283" s="96"/>
      <c r="U283" s="21" t="s">
        <v>435</v>
      </c>
      <c r="V283" s="10"/>
      <c r="W283" s="25">
        <v>3</v>
      </c>
      <c r="X283" s="1" t="s">
        <v>135</v>
      </c>
      <c r="Y283" s="1">
        <v>1</v>
      </c>
      <c r="Z283" s="1">
        <v>256</v>
      </c>
      <c r="AA283" s="8" t="s">
        <v>129</v>
      </c>
      <c r="AB283" s="8" t="s">
        <v>257</v>
      </c>
      <c r="AC283" s="12"/>
      <c r="AD283" s="60"/>
      <c r="AE283" s="174"/>
      <c r="AF283" s="170" t="str">
        <f t="shared" si="220"/>
        <v xml:space="preserve">                                                                                                                                                                                                                                                                </v>
      </c>
      <c r="AG283" s="218" t="str">
        <f t="shared" si="233"/>
        <v>-</v>
      </c>
      <c r="AH283" s="174"/>
      <c r="AI283" s="92" t="str">
        <f t="shared" si="236"/>
        <v>OK</v>
      </c>
      <c r="AJ283" s="60"/>
      <c r="AK283" s="174"/>
      <c r="AL283" s="170" t="str">
        <f t="shared" si="221"/>
        <v xml:space="preserve">                                                                                                                                                                                                                                                                </v>
      </c>
      <c r="AM283" s="218" t="str">
        <f t="shared" si="237"/>
        <v>-</v>
      </c>
      <c r="AN283" s="174"/>
      <c r="AO283" s="92" t="str">
        <f t="shared" si="238"/>
        <v>OK</v>
      </c>
      <c r="AP283" s="60"/>
      <c r="AQ283" s="170"/>
      <c r="AR283" s="170" t="str">
        <f t="shared" si="222"/>
        <v xml:space="preserve">                                                                                                                                                                                                                                                                </v>
      </c>
      <c r="AS283" s="218" t="s">
        <v>593</v>
      </c>
      <c r="AT283" s="170"/>
      <c r="AU283" s="218" t="str">
        <f t="shared" si="219"/>
        <v>-</v>
      </c>
      <c r="AV283" s="60"/>
      <c r="AW283" s="174"/>
      <c r="AX283" s="170" t="str">
        <f t="shared" si="223"/>
        <v xml:space="preserve">                                                                                                                                                                                                                                                                </v>
      </c>
      <c r="AY283" s="218" t="str">
        <f t="shared" si="239"/>
        <v>-</v>
      </c>
      <c r="AZ283" s="174"/>
      <c r="BA283" s="478" t="s">
        <v>594</v>
      </c>
      <c r="BB283" s="60"/>
      <c r="BC283" s="174"/>
      <c r="BD283" s="170" t="str">
        <f t="shared" si="224"/>
        <v xml:space="preserve">                                                                                                                                                                                                                                                                </v>
      </c>
      <c r="BE283" s="218" t="str">
        <f t="shared" si="240"/>
        <v>-</v>
      </c>
      <c r="BF283" s="174"/>
      <c r="BG283" s="478" t="s">
        <v>594</v>
      </c>
      <c r="BH283" s="60"/>
      <c r="BI283" s="170" t="s">
        <v>700</v>
      </c>
      <c r="BJ283" s="170" t="str">
        <f t="shared" si="225"/>
        <v xml:space="preserve">                                                                                                                                                                                                                                                                </v>
      </c>
      <c r="BK283" s="218" t="s">
        <v>593</v>
      </c>
      <c r="BL283" s="174"/>
      <c r="BM283" s="478" t="s">
        <v>594</v>
      </c>
      <c r="BN283" s="60"/>
      <c r="BO283" s="174"/>
      <c r="BP283" s="170" t="str">
        <f t="shared" si="226"/>
        <v xml:space="preserve">                                                                                                                                                                                                                                                                </v>
      </c>
      <c r="BQ283" s="218" t="str">
        <f t="shared" si="241"/>
        <v>-</v>
      </c>
      <c r="BR283" s="174"/>
      <c r="BS283" s="478" t="s">
        <v>594</v>
      </c>
      <c r="BT283" s="60"/>
      <c r="BU283" s="170"/>
      <c r="BV283" s="170" t="str">
        <f t="shared" si="227"/>
        <v xml:space="preserve">                                                                                                                                                                                                                                                                </v>
      </c>
      <c r="BW283" s="218" t="s">
        <v>593</v>
      </c>
      <c r="BX283" s="170"/>
      <c r="BY283" s="218" t="str">
        <f t="shared" si="242"/>
        <v>-</v>
      </c>
      <c r="BZ283" s="60"/>
      <c r="CA283" s="174"/>
      <c r="CB283" s="170" t="str">
        <f t="shared" si="228"/>
        <v xml:space="preserve">                                                                                                                                                                                                                                                                </v>
      </c>
      <c r="CC283" s="218" t="str">
        <f t="shared" si="243"/>
        <v>-</v>
      </c>
      <c r="CD283" s="174"/>
      <c r="CE283" s="92" t="str">
        <f t="shared" si="244"/>
        <v>OK</v>
      </c>
      <c r="CF283" s="60"/>
      <c r="CG283" s="174"/>
      <c r="CH283" s="170" t="str">
        <f t="shared" si="229"/>
        <v xml:space="preserve">                                                                                                                                                                                                                                                                </v>
      </c>
      <c r="CI283" s="218" t="str">
        <f t="shared" si="245"/>
        <v>-</v>
      </c>
      <c r="CJ283" s="174"/>
      <c r="CK283" s="92" t="str">
        <f t="shared" si="246"/>
        <v>OK</v>
      </c>
      <c r="CL283" s="60"/>
      <c r="CM283" s="174"/>
      <c r="CN283" s="170" t="str">
        <f t="shared" si="230"/>
        <v xml:space="preserve">                                                                                                                                                                                                                                                                </v>
      </c>
      <c r="CO283" s="218" t="s">
        <v>593</v>
      </c>
      <c r="CP283" s="170"/>
      <c r="CQ283" s="218" t="str">
        <f t="shared" si="247"/>
        <v>-</v>
      </c>
      <c r="CR283" s="60"/>
      <c r="CS283" s="174"/>
      <c r="CT283" s="170" t="str">
        <f t="shared" si="231"/>
        <v xml:space="preserve">                                                                                                                                                                                                                                                                </v>
      </c>
      <c r="CU283" s="218" t="str">
        <f t="shared" si="248"/>
        <v>-</v>
      </c>
      <c r="CV283" s="174"/>
      <c r="CW283" s="92" t="s">
        <v>593</v>
      </c>
      <c r="CX283" s="60"/>
      <c r="CY283" s="174"/>
      <c r="CZ283" s="170" t="str">
        <f t="shared" si="232"/>
        <v xml:space="preserve">                                                                                                                                                                                                                                                                </v>
      </c>
      <c r="DA283" s="218" t="str">
        <f t="shared" si="249"/>
        <v>-</v>
      </c>
      <c r="DB283" s="174"/>
      <c r="DC283" s="92" t="s">
        <v>593</v>
      </c>
    </row>
    <row r="284" spans="1:107" s="26" customFormat="1" ht="63.75">
      <c r="B284" s="2">
        <f t="shared" si="235"/>
        <v>277</v>
      </c>
      <c r="C284" s="7"/>
      <c r="D284" s="7"/>
      <c r="E284" s="7"/>
      <c r="F284" s="22" t="s">
        <v>136</v>
      </c>
      <c r="G284" s="16"/>
      <c r="H284" s="13"/>
      <c r="I284" s="8"/>
      <c r="J284" s="8"/>
      <c r="K284" s="8"/>
      <c r="L284" s="8"/>
      <c r="M284" s="11" t="s">
        <v>445</v>
      </c>
      <c r="N284" s="1"/>
      <c r="O284" s="57"/>
      <c r="P284" s="95">
        <f t="shared" si="250"/>
        <v>252</v>
      </c>
      <c r="Q284" s="115">
        <v>256</v>
      </c>
      <c r="R284" s="21" t="str">
        <f t="shared" si="234"/>
        <v>NX</v>
      </c>
      <c r="S284" s="98" t="s">
        <v>137</v>
      </c>
      <c r="T284" s="96"/>
      <c r="U284" s="21" t="s">
        <v>435</v>
      </c>
      <c r="V284" s="10"/>
      <c r="W284" s="25">
        <v>3</v>
      </c>
      <c r="X284" s="1" t="s">
        <v>138</v>
      </c>
      <c r="Y284" s="1">
        <v>1</v>
      </c>
      <c r="Z284" s="1">
        <v>256</v>
      </c>
      <c r="AA284" s="8" t="s">
        <v>129</v>
      </c>
      <c r="AB284" s="8" t="s">
        <v>257</v>
      </c>
      <c r="AC284" s="12"/>
      <c r="AD284" s="60"/>
      <c r="AE284" s="174"/>
      <c r="AF284" s="170" t="str">
        <f t="shared" si="220"/>
        <v xml:space="preserve">                                                                                                                                                                                                                                                                </v>
      </c>
      <c r="AG284" s="218" t="str">
        <f t="shared" si="233"/>
        <v>-</v>
      </c>
      <c r="AH284" s="174"/>
      <c r="AI284" s="92" t="str">
        <f t="shared" si="236"/>
        <v>OK</v>
      </c>
      <c r="AJ284" s="60"/>
      <c r="AK284" s="174"/>
      <c r="AL284" s="170" t="str">
        <f t="shared" si="221"/>
        <v xml:space="preserve">                                                                                                                                                                                                                                                                </v>
      </c>
      <c r="AM284" s="218" t="str">
        <f t="shared" si="237"/>
        <v>-</v>
      </c>
      <c r="AN284" s="174"/>
      <c r="AO284" s="92" t="str">
        <f t="shared" si="238"/>
        <v>OK</v>
      </c>
      <c r="AP284" s="60"/>
      <c r="AQ284" s="170"/>
      <c r="AR284" s="170" t="str">
        <f t="shared" si="222"/>
        <v xml:space="preserve">                                                                                                                                                                                                                                                                </v>
      </c>
      <c r="AS284" s="218" t="s">
        <v>593</v>
      </c>
      <c r="AT284" s="170"/>
      <c r="AU284" s="218" t="str">
        <f t="shared" si="219"/>
        <v>-</v>
      </c>
      <c r="AV284" s="60"/>
      <c r="AW284" s="174"/>
      <c r="AX284" s="170" t="str">
        <f t="shared" si="223"/>
        <v xml:space="preserve">                                                                                                                                                                                                                                                                </v>
      </c>
      <c r="AY284" s="218" t="str">
        <f t="shared" si="239"/>
        <v>-</v>
      </c>
      <c r="AZ284" s="174"/>
      <c r="BA284" s="478" t="s">
        <v>594</v>
      </c>
      <c r="BB284" s="60"/>
      <c r="BC284" s="174"/>
      <c r="BD284" s="170" t="str">
        <f t="shared" si="224"/>
        <v xml:space="preserve">                                                                                                                                                                                                                                                                </v>
      </c>
      <c r="BE284" s="218" t="str">
        <f t="shared" si="240"/>
        <v>-</v>
      </c>
      <c r="BF284" s="174"/>
      <c r="BG284" s="478" t="s">
        <v>594</v>
      </c>
      <c r="BH284" s="60"/>
      <c r="BI284" s="170" t="s">
        <v>700</v>
      </c>
      <c r="BJ284" s="170" t="str">
        <f t="shared" si="225"/>
        <v xml:space="preserve">                                                                                                                                                                                                                                                                </v>
      </c>
      <c r="BK284" s="218" t="s">
        <v>593</v>
      </c>
      <c r="BL284" s="174"/>
      <c r="BM284" s="478" t="s">
        <v>594</v>
      </c>
      <c r="BN284" s="60"/>
      <c r="BO284" s="174"/>
      <c r="BP284" s="170" t="str">
        <f t="shared" si="226"/>
        <v xml:space="preserve">                                                                                                                                                                                                                                                                </v>
      </c>
      <c r="BQ284" s="218" t="str">
        <f t="shared" si="241"/>
        <v>-</v>
      </c>
      <c r="BR284" s="174"/>
      <c r="BS284" s="478" t="s">
        <v>594</v>
      </c>
      <c r="BT284" s="60"/>
      <c r="BU284" s="170"/>
      <c r="BV284" s="170" t="str">
        <f t="shared" si="227"/>
        <v xml:space="preserve">                                                                                                                                                                                                                                                                </v>
      </c>
      <c r="BW284" s="218" t="s">
        <v>593</v>
      </c>
      <c r="BX284" s="170"/>
      <c r="BY284" s="218" t="str">
        <f t="shared" si="242"/>
        <v>-</v>
      </c>
      <c r="BZ284" s="60"/>
      <c r="CA284" s="174"/>
      <c r="CB284" s="170" t="str">
        <f t="shared" si="228"/>
        <v xml:space="preserve">                                                                                                                                                                                                                                                                </v>
      </c>
      <c r="CC284" s="218" t="str">
        <f t="shared" si="243"/>
        <v>-</v>
      </c>
      <c r="CD284" s="174"/>
      <c r="CE284" s="92" t="str">
        <f t="shared" si="244"/>
        <v>OK</v>
      </c>
      <c r="CF284" s="60"/>
      <c r="CG284" s="174"/>
      <c r="CH284" s="170" t="str">
        <f t="shared" si="229"/>
        <v xml:space="preserve">                                                                                                                                                                                                                                                                </v>
      </c>
      <c r="CI284" s="218" t="str">
        <f t="shared" si="245"/>
        <v>-</v>
      </c>
      <c r="CJ284" s="174"/>
      <c r="CK284" s="92" t="str">
        <f t="shared" si="246"/>
        <v>OK</v>
      </c>
      <c r="CL284" s="60"/>
      <c r="CM284" s="174"/>
      <c r="CN284" s="170" t="str">
        <f t="shared" si="230"/>
        <v xml:space="preserve">                                                                                                                                                                                                                                                                </v>
      </c>
      <c r="CO284" s="218" t="s">
        <v>593</v>
      </c>
      <c r="CP284" s="170"/>
      <c r="CQ284" s="218" t="str">
        <f t="shared" si="247"/>
        <v>-</v>
      </c>
      <c r="CR284" s="60"/>
      <c r="CS284" s="174"/>
      <c r="CT284" s="170" t="str">
        <f t="shared" si="231"/>
        <v xml:space="preserve">                                                                                                                                                                                                                                                                </v>
      </c>
      <c r="CU284" s="218" t="str">
        <f t="shared" si="248"/>
        <v>-</v>
      </c>
      <c r="CV284" s="174"/>
      <c r="CW284" s="92" t="s">
        <v>593</v>
      </c>
      <c r="CX284" s="60"/>
      <c r="CY284" s="174"/>
      <c r="CZ284" s="170" t="str">
        <f t="shared" si="232"/>
        <v xml:space="preserve">                                                                                                                                                                                                                                                                </v>
      </c>
      <c r="DA284" s="218" t="str">
        <f t="shared" si="249"/>
        <v>-</v>
      </c>
      <c r="DB284" s="174"/>
      <c r="DC284" s="92" t="s">
        <v>593</v>
      </c>
    </row>
    <row r="285" spans="1:107" s="26" customFormat="1" ht="69" customHeight="1">
      <c r="B285" s="19">
        <f t="shared" si="235"/>
        <v>278</v>
      </c>
      <c r="C285" s="7"/>
      <c r="D285" s="7"/>
      <c r="E285" s="7"/>
      <c r="F285" s="112" t="s">
        <v>446</v>
      </c>
      <c r="G285" s="16"/>
      <c r="H285" s="13"/>
      <c r="I285" s="8"/>
      <c r="J285" s="8" t="s">
        <v>426</v>
      </c>
      <c r="K285" s="8"/>
      <c r="L285" s="8"/>
      <c r="M285" s="11" t="s">
        <v>301</v>
      </c>
      <c r="N285" s="1"/>
      <c r="O285" s="57"/>
      <c r="P285" s="95">
        <f t="shared" si="250"/>
        <v>253</v>
      </c>
      <c r="Q285" s="115">
        <v>1</v>
      </c>
      <c r="R285" s="21" t="s">
        <v>418</v>
      </c>
      <c r="S285" s="98" t="s">
        <v>139</v>
      </c>
      <c r="T285" s="96"/>
      <c r="U285" s="21" t="s">
        <v>435</v>
      </c>
      <c r="V285" s="10"/>
      <c r="W285" s="25">
        <v>3</v>
      </c>
      <c r="X285" s="1" t="s">
        <v>140</v>
      </c>
      <c r="Y285" s="1">
        <v>1</v>
      </c>
      <c r="Z285" s="1">
        <v>1</v>
      </c>
      <c r="AA285" s="8">
        <v>9</v>
      </c>
      <c r="AB285" s="8" t="s">
        <v>21</v>
      </c>
      <c r="AC285" s="12"/>
      <c r="AD285" s="60"/>
      <c r="AE285" s="174"/>
      <c r="AF285" s="61" t="str">
        <f t="shared" si="220"/>
        <v xml:space="preserve"> </v>
      </c>
      <c r="AG285" s="218" t="str">
        <f t="shared" si="233"/>
        <v>-</v>
      </c>
      <c r="AH285" s="174"/>
      <c r="AI285" s="92" t="str">
        <f t="shared" si="236"/>
        <v>OK</v>
      </c>
      <c r="AJ285" s="60"/>
      <c r="AK285" s="174"/>
      <c r="AL285" s="61" t="str">
        <f t="shared" si="221"/>
        <v xml:space="preserve"> </v>
      </c>
      <c r="AM285" s="218" t="str">
        <f t="shared" si="237"/>
        <v>-</v>
      </c>
      <c r="AN285" s="174"/>
      <c r="AO285" s="92" t="str">
        <f t="shared" si="238"/>
        <v>OK</v>
      </c>
      <c r="AP285" s="60"/>
      <c r="AQ285" s="170"/>
      <c r="AR285" s="61" t="str">
        <f t="shared" si="222"/>
        <v xml:space="preserve"> </v>
      </c>
      <c r="AS285" s="218" t="s">
        <v>593</v>
      </c>
      <c r="AT285" s="61"/>
      <c r="AU285" s="218" t="str">
        <f t="shared" si="219"/>
        <v>-</v>
      </c>
      <c r="AV285" s="60"/>
      <c r="AW285" s="174" t="s">
        <v>33</v>
      </c>
      <c r="AX285" s="61" t="str">
        <f t="shared" si="223"/>
        <v>1</v>
      </c>
      <c r="AY285" s="218" t="str">
        <f t="shared" si="239"/>
        <v>-</v>
      </c>
      <c r="AZ285" s="174" t="s">
        <v>33</v>
      </c>
      <c r="BA285" s="478" t="s">
        <v>594</v>
      </c>
      <c r="BB285" s="60"/>
      <c r="BC285" s="174" t="s">
        <v>33</v>
      </c>
      <c r="BD285" s="61" t="str">
        <f t="shared" si="224"/>
        <v>1</v>
      </c>
      <c r="BE285" s="218" t="str">
        <f t="shared" si="240"/>
        <v>-</v>
      </c>
      <c r="BF285" s="174" t="s">
        <v>33</v>
      </c>
      <c r="BG285" s="478" t="s">
        <v>594</v>
      </c>
      <c r="BH285" s="60"/>
      <c r="BI285" s="170" t="s">
        <v>33</v>
      </c>
      <c r="BJ285" s="61" t="str">
        <f t="shared" si="225"/>
        <v>1</v>
      </c>
      <c r="BK285" s="218" t="s">
        <v>593</v>
      </c>
      <c r="BL285" s="174" t="s">
        <v>33</v>
      </c>
      <c r="BM285" s="478" t="s">
        <v>594</v>
      </c>
      <c r="BN285" s="60"/>
      <c r="BO285" s="174" t="s">
        <v>33</v>
      </c>
      <c r="BP285" s="61" t="str">
        <f t="shared" si="226"/>
        <v>1</v>
      </c>
      <c r="BQ285" s="218" t="str">
        <f t="shared" si="241"/>
        <v>-</v>
      </c>
      <c r="BR285" s="174" t="s">
        <v>33</v>
      </c>
      <c r="BS285" s="478" t="s">
        <v>594</v>
      </c>
      <c r="BT285" s="60"/>
      <c r="BU285" s="170"/>
      <c r="BV285" s="61" t="str">
        <f t="shared" si="227"/>
        <v xml:space="preserve"> </v>
      </c>
      <c r="BW285" s="218" t="s">
        <v>593</v>
      </c>
      <c r="BX285" s="61"/>
      <c r="BY285" s="218" t="str">
        <f t="shared" si="242"/>
        <v>-</v>
      </c>
      <c r="BZ285" s="60"/>
      <c r="CA285" s="174"/>
      <c r="CB285" s="61" t="str">
        <f t="shared" si="228"/>
        <v xml:space="preserve"> </v>
      </c>
      <c r="CC285" s="218" t="str">
        <f t="shared" si="243"/>
        <v>-</v>
      </c>
      <c r="CD285" s="174"/>
      <c r="CE285" s="92" t="str">
        <f t="shared" si="244"/>
        <v>OK</v>
      </c>
      <c r="CF285" s="60"/>
      <c r="CG285" s="174"/>
      <c r="CH285" s="61" t="str">
        <f t="shared" si="229"/>
        <v xml:space="preserve"> </v>
      </c>
      <c r="CI285" s="218" t="str">
        <f t="shared" si="245"/>
        <v>-</v>
      </c>
      <c r="CJ285" s="174"/>
      <c r="CK285" s="92" t="str">
        <f t="shared" si="246"/>
        <v>OK</v>
      </c>
      <c r="CL285" s="60"/>
      <c r="CM285" s="174"/>
      <c r="CN285" s="61" t="str">
        <f t="shared" si="230"/>
        <v xml:space="preserve"> </v>
      </c>
      <c r="CO285" s="218" t="s">
        <v>593</v>
      </c>
      <c r="CP285" s="61"/>
      <c r="CQ285" s="218" t="str">
        <f t="shared" si="247"/>
        <v>-</v>
      </c>
      <c r="CR285" s="60"/>
      <c r="CS285" s="174"/>
      <c r="CT285" s="61" t="str">
        <f t="shared" si="231"/>
        <v xml:space="preserve"> </v>
      </c>
      <c r="CU285" s="218" t="str">
        <f t="shared" si="248"/>
        <v>-</v>
      </c>
      <c r="CV285" s="174"/>
      <c r="CW285" s="92" t="s">
        <v>593</v>
      </c>
      <c r="CX285" s="60"/>
      <c r="CY285" s="174"/>
      <c r="CZ285" s="61" t="str">
        <f t="shared" si="232"/>
        <v xml:space="preserve"> </v>
      </c>
      <c r="DA285" s="218" t="str">
        <f t="shared" si="249"/>
        <v>-</v>
      </c>
      <c r="DB285" s="174"/>
      <c r="DC285" s="92" t="s">
        <v>593</v>
      </c>
    </row>
    <row r="286" spans="1:107" s="26" customFormat="1" ht="114.75">
      <c r="B286" s="2">
        <f t="shared" si="235"/>
        <v>279</v>
      </c>
      <c r="C286" s="7"/>
      <c r="D286" s="7"/>
      <c r="E286" s="7"/>
      <c r="F286" s="22" t="s">
        <v>141</v>
      </c>
      <c r="G286" s="16"/>
      <c r="H286" s="13"/>
      <c r="I286" s="8"/>
      <c r="J286" s="8"/>
      <c r="K286" s="8"/>
      <c r="L286" s="8"/>
      <c r="M286" s="418" t="s">
        <v>221</v>
      </c>
      <c r="N286" s="1"/>
      <c r="O286" s="57"/>
      <c r="P286" s="95">
        <f t="shared" si="250"/>
        <v>254</v>
      </c>
      <c r="Q286" s="115">
        <v>1</v>
      </c>
      <c r="R286" s="21" t="s">
        <v>418</v>
      </c>
      <c r="S286" s="98" t="s">
        <v>142</v>
      </c>
      <c r="T286" s="96"/>
      <c r="U286" s="21" t="s">
        <v>435</v>
      </c>
      <c r="V286" s="10"/>
      <c r="W286" s="25">
        <v>3</v>
      </c>
      <c r="X286" s="1" t="s">
        <v>20</v>
      </c>
      <c r="Y286" s="1">
        <v>1</v>
      </c>
      <c r="Z286" s="1">
        <v>1</v>
      </c>
      <c r="AA286" s="8">
        <v>9</v>
      </c>
      <c r="AB286" s="8" t="s">
        <v>21</v>
      </c>
      <c r="AC286" s="103"/>
      <c r="AD286" s="60"/>
      <c r="AE286" s="174"/>
      <c r="AF286" s="61" t="str">
        <f t="shared" si="220"/>
        <v xml:space="preserve"> </v>
      </c>
      <c r="AG286" s="218" t="str">
        <f t="shared" si="233"/>
        <v>-</v>
      </c>
      <c r="AH286" s="174"/>
      <c r="AI286" s="92" t="str">
        <f t="shared" si="236"/>
        <v>OK</v>
      </c>
      <c r="AJ286" s="60"/>
      <c r="AK286" s="174"/>
      <c r="AL286" s="61" t="str">
        <f t="shared" si="221"/>
        <v xml:space="preserve"> </v>
      </c>
      <c r="AM286" s="218" t="str">
        <f t="shared" si="237"/>
        <v>-</v>
      </c>
      <c r="AN286" s="174"/>
      <c r="AO286" s="92" t="str">
        <f t="shared" si="238"/>
        <v>OK</v>
      </c>
      <c r="AP286" s="60"/>
      <c r="AQ286" s="170"/>
      <c r="AR286" s="61" t="str">
        <f t="shared" si="222"/>
        <v xml:space="preserve"> </v>
      </c>
      <c r="AS286" s="218" t="s">
        <v>593</v>
      </c>
      <c r="AT286" s="61"/>
      <c r="AU286" s="218" t="str">
        <f t="shared" si="219"/>
        <v>-</v>
      </c>
      <c r="AV286" s="60"/>
      <c r="AW286" s="174"/>
      <c r="AX286" s="61" t="str">
        <f t="shared" si="223"/>
        <v xml:space="preserve"> </v>
      </c>
      <c r="AY286" s="218" t="str">
        <f t="shared" si="239"/>
        <v>-</v>
      </c>
      <c r="AZ286" s="174"/>
      <c r="BA286" s="478" t="s">
        <v>594</v>
      </c>
      <c r="BB286" s="60"/>
      <c r="BC286" s="174"/>
      <c r="BD286" s="61" t="str">
        <f t="shared" si="224"/>
        <v xml:space="preserve"> </v>
      </c>
      <c r="BE286" s="218" t="str">
        <f t="shared" si="240"/>
        <v>-</v>
      </c>
      <c r="BF286" s="174"/>
      <c r="BG286" s="478" t="s">
        <v>594</v>
      </c>
      <c r="BH286" s="60"/>
      <c r="BI286" s="170" t="s">
        <v>38</v>
      </c>
      <c r="BJ286" s="61" t="str">
        <f t="shared" si="225"/>
        <v xml:space="preserve"> </v>
      </c>
      <c r="BK286" s="218" t="s">
        <v>593</v>
      </c>
      <c r="BL286" s="174"/>
      <c r="BM286" s="478" t="s">
        <v>594</v>
      </c>
      <c r="BN286" s="60"/>
      <c r="BO286" s="174"/>
      <c r="BP286" s="61" t="str">
        <f t="shared" si="226"/>
        <v xml:space="preserve"> </v>
      </c>
      <c r="BQ286" s="218" t="str">
        <f t="shared" si="241"/>
        <v>-</v>
      </c>
      <c r="BR286" s="174"/>
      <c r="BS286" s="478" t="s">
        <v>594</v>
      </c>
      <c r="BT286" s="60"/>
      <c r="BU286" s="170"/>
      <c r="BV286" s="61" t="str">
        <f t="shared" si="227"/>
        <v xml:space="preserve"> </v>
      </c>
      <c r="BW286" s="218" t="s">
        <v>593</v>
      </c>
      <c r="BX286" s="61"/>
      <c r="BY286" s="218" t="str">
        <f t="shared" si="242"/>
        <v>-</v>
      </c>
      <c r="BZ286" s="60"/>
      <c r="CA286" s="174"/>
      <c r="CB286" s="61" t="str">
        <f t="shared" si="228"/>
        <v xml:space="preserve"> </v>
      </c>
      <c r="CC286" s="218" t="str">
        <f t="shared" si="243"/>
        <v>-</v>
      </c>
      <c r="CD286" s="174"/>
      <c r="CE286" s="92" t="str">
        <f t="shared" si="244"/>
        <v>OK</v>
      </c>
      <c r="CF286" s="60"/>
      <c r="CG286" s="174"/>
      <c r="CH286" s="61" t="str">
        <f t="shared" si="229"/>
        <v xml:space="preserve"> </v>
      </c>
      <c r="CI286" s="218" t="str">
        <f t="shared" si="245"/>
        <v>-</v>
      </c>
      <c r="CJ286" s="174"/>
      <c r="CK286" s="92" t="str">
        <f t="shared" si="246"/>
        <v>OK</v>
      </c>
      <c r="CL286" s="60"/>
      <c r="CM286" s="174"/>
      <c r="CN286" s="61" t="str">
        <f t="shared" si="230"/>
        <v xml:space="preserve"> </v>
      </c>
      <c r="CO286" s="218" t="s">
        <v>593</v>
      </c>
      <c r="CP286" s="61"/>
      <c r="CQ286" s="218" t="str">
        <f t="shared" si="247"/>
        <v>-</v>
      </c>
      <c r="CR286" s="60"/>
      <c r="CS286" s="174"/>
      <c r="CT286" s="61" t="str">
        <f t="shared" si="231"/>
        <v xml:space="preserve"> </v>
      </c>
      <c r="CU286" s="218" t="str">
        <f t="shared" si="248"/>
        <v>-</v>
      </c>
      <c r="CV286" s="174"/>
      <c r="CW286" s="92" t="s">
        <v>593</v>
      </c>
      <c r="CX286" s="60"/>
      <c r="CY286" s="174"/>
      <c r="CZ286" s="61" t="str">
        <f t="shared" si="232"/>
        <v xml:space="preserve"> </v>
      </c>
      <c r="DA286" s="218" t="str">
        <f t="shared" si="249"/>
        <v>-</v>
      </c>
      <c r="DB286" s="174"/>
      <c r="DC286" s="92" t="s">
        <v>593</v>
      </c>
    </row>
    <row r="287" spans="1:107" s="26" customFormat="1" ht="131.25" customHeight="1">
      <c r="B287" s="65">
        <f t="shared" si="235"/>
        <v>280</v>
      </c>
      <c r="C287" s="7"/>
      <c r="D287" s="7"/>
      <c r="E287" s="7"/>
      <c r="F287" s="112" t="s">
        <v>143</v>
      </c>
      <c r="G287" s="16"/>
      <c r="H287" s="13"/>
      <c r="I287" s="8"/>
      <c r="J287" s="8"/>
      <c r="K287" s="8"/>
      <c r="L287" s="8"/>
      <c r="M287" s="11" t="s">
        <v>447</v>
      </c>
      <c r="N287" s="1"/>
      <c r="O287" s="57"/>
      <c r="P287" s="95">
        <f t="shared" si="250"/>
        <v>255</v>
      </c>
      <c r="Q287" s="115">
        <v>1</v>
      </c>
      <c r="R287" s="21" t="str">
        <f t="shared" ref="R287:R303" si="251">IF(AA287="M","NX",AA287)</f>
        <v>X</v>
      </c>
      <c r="S287" s="98" t="s">
        <v>189</v>
      </c>
      <c r="T287" s="96"/>
      <c r="U287" s="21" t="s">
        <v>435</v>
      </c>
      <c r="V287" s="10"/>
      <c r="W287" s="25">
        <v>3</v>
      </c>
      <c r="X287" s="1" t="s">
        <v>302</v>
      </c>
      <c r="Y287" s="1">
        <v>1</v>
      </c>
      <c r="Z287" s="1">
        <v>1</v>
      </c>
      <c r="AA287" s="8" t="s">
        <v>261</v>
      </c>
      <c r="AB287" s="8" t="s">
        <v>257</v>
      </c>
      <c r="AC287" s="12"/>
      <c r="AD287" s="60"/>
      <c r="AE287" s="174"/>
      <c r="AF287" s="61" t="str">
        <f t="shared" si="220"/>
        <v xml:space="preserve"> </v>
      </c>
      <c r="AG287" s="218" t="str">
        <f t="shared" si="233"/>
        <v>-</v>
      </c>
      <c r="AH287" s="174"/>
      <c r="AI287" s="92" t="str">
        <f t="shared" si="236"/>
        <v>OK</v>
      </c>
      <c r="AJ287" s="60"/>
      <c r="AK287" s="174"/>
      <c r="AL287" s="61" t="str">
        <f t="shared" si="221"/>
        <v xml:space="preserve"> </v>
      </c>
      <c r="AM287" s="218" t="str">
        <f t="shared" si="237"/>
        <v>-</v>
      </c>
      <c r="AN287" s="174"/>
      <c r="AO287" s="92" t="str">
        <f t="shared" si="238"/>
        <v>OK</v>
      </c>
      <c r="AP287" s="60"/>
      <c r="AQ287" s="170"/>
      <c r="AR287" s="61" t="str">
        <f t="shared" si="222"/>
        <v xml:space="preserve"> </v>
      </c>
      <c r="AS287" s="218" t="s">
        <v>593</v>
      </c>
      <c r="AT287" s="61"/>
      <c r="AU287" s="218" t="str">
        <f t="shared" si="219"/>
        <v>-</v>
      </c>
      <c r="AV287" s="60"/>
      <c r="AW287" s="174" t="s">
        <v>374</v>
      </c>
      <c r="AX287" s="61" t="str">
        <f t="shared" si="223"/>
        <v>5</v>
      </c>
      <c r="AY287" s="218" t="str">
        <f t="shared" si="239"/>
        <v>-</v>
      </c>
      <c r="AZ287" s="174" t="s">
        <v>374</v>
      </c>
      <c r="BA287" s="478" t="s">
        <v>594</v>
      </c>
      <c r="BB287" s="60"/>
      <c r="BC287" s="174" t="s">
        <v>374</v>
      </c>
      <c r="BD287" s="61" t="str">
        <f t="shared" si="224"/>
        <v>5</v>
      </c>
      <c r="BE287" s="218" t="str">
        <f t="shared" si="240"/>
        <v>-</v>
      </c>
      <c r="BF287" s="174" t="s">
        <v>374</v>
      </c>
      <c r="BG287" s="478" t="s">
        <v>594</v>
      </c>
      <c r="BH287" s="60"/>
      <c r="BI287" s="170" t="s">
        <v>374</v>
      </c>
      <c r="BJ287" s="61" t="str">
        <f t="shared" si="225"/>
        <v>5</v>
      </c>
      <c r="BK287" s="218" t="s">
        <v>593</v>
      </c>
      <c r="BL287" s="174" t="s">
        <v>374</v>
      </c>
      <c r="BM287" s="478" t="s">
        <v>594</v>
      </c>
      <c r="BN287" s="60"/>
      <c r="BO287" s="174" t="s">
        <v>374</v>
      </c>
      <c r="BP287" s="61" t="str">
        <f t="shared" si="226"/>
        <v>5</v>
      </c>
      <c r="BQ287" s="218" t="str">
        <f t="shared" si="241"/>
        <v>-</v>
      </c>
      <c r="BR287" s="174" t="s">
        <v>374</v>
      </c>
      <c r="BS287" s="478" t="s">
        <v>594</v>
      </c>
      <c r="BT287" s="60"/>
      <c r="BU287" s="170"/>
      <c r="BV287" s="61" t="str">
        <f t="shared" si="227"/>
        <v xml:space="preserve"> </v>
      </c>
      <c r="BW287" s="218" t="s">
        <v>593</v>
      </c>
      <c r="BX287" s="61"/>
      <c r="BY287" s="218" t="str">
        <f t="shared" si="242"/>
        <v>-</v>
      </c>
      <c r="BZ287" s="60"/>
      <c r="CA287" s="174"/>
      <c r="CB287" s="61" t="str">
        <f t="shared" si="228"/>
        <v xml:space="preserve"> </v>
      </c>
      <c r="CC287" s="218" t="str">
        <f t="shared" si="243"/>
        <v>-</v>
      </c>
      <c r="CD287" s="174"/>
      <c r="CE287" s="92" t="str">
        <f t="shared" si="244"/>
        <v>OK</v>
      </c>
      <c r="CF287" s="60"/>
      <c r="CG287" s="174"/>
      <c r="CH287" s="61" t="str">
        <f t="shared" si="229"/>
        <v xml:space="preserve"> </v>
      </c>
      <c r="CI287" s="218" t="str">
        <f t="shared" si="245"/>
        <v>-</v>
      </c>
      <c r="CJ287" s="174"/>
      <c r="CK287" s="92" t="str">
        <f t="shared" si="246"/>
        <v>OK</v>
      </c>
      <c r="CL287" s="60"/>
      <c r="CM287" s="174"/>
      <c r="CN287" s="61" t="str">
        <f t="shared" si="230"/>
        <v xml:space="preserve"> </v>
      </c>
      <c r="CO287" s="218" t="s">
        <v>593</v>
      </c>
      <c r="CP287" s="61"/>
      <c r="CQ287" s="218" t="str">
        <f t="shared" si="247"/>
        <v>-</v>
      </c>
      <c r="CR287" s="60"/>
      <c r="CS287" s="174"/>
      <c r="CT287" s="61" t="str">
        <f t="shared" si="231"/>
        <v xml:space="preserve"> </v>
      </c>
      <c r="CU287" s="218" t="str">
        <f t="shared" si="248"/>
        <v>-</v>
      </c>
      <c r="CV287" s="174"/>
      <c r="CW287" s="92" t="s">
        <v>593</v>
      </c>
      <c r="CX287" s="60"/>
      <c r="CY287" s="174"/>
      <c r="CZ287" s="61" t="str">
        <f t="shared" si="232"/>
        <v xml:space="preserve"> </v>
      </c>
      <c r="DA287" s="218" t="str">
        <f t="shared" si="249"/>
        <v>-</v>
      </c>
      <c r="DB287" s="174"/>
      <c r="DC287" s="92" t="s">
        <v>593</v>
      </c>
    </row>
    <row r="288" spans="1:107" s="26" customFormat="1">
      <c r="B288" s="65">
        <f t="shared" si="235"/>
        <v>281</v>
      </c>
      <c r="C288" s="7"/>
      <c r="D288" s="7"/>
      <c r="E288" s="7"/>
      <c r="F288" s="22" t="s">
        <v>144</v>
      </c>
      <c r="G288" s="16"/>
      <c r="H288" s="13"/>
      <c r="I288" s="8"/>
      <c r="J288" s="8"/>
      <c r="K288" s="8"/>
      <c r="L288" s="8"/>
      <c r="M288" s="418" t="s">
        <v>145</v>
      </c>
      <c r="N288" s="1"/>
      <c r="O288" s="57"/>
      <c r="P288" s="95">
        <f t="shared" si="250"/>
        <v>256</v>
      </c>
      <c r="Q288" s="115">
        <v>400</v>
      </c>
      <c r="R288" s="21" t="str">
        <f t="shared" si="251"/>
        <v>NX</v>
      </c>
      <c r="S288" s="98" t="s">
        <v>146</v>
      </c>
      <c r="T288" s="96"/>
      <c r="U288" s="21" t="s">
        <v>435</v>
      </c>
      <c r="V288" s="10"/>
      <c r="W288" s="25">
        <v>3</v>
      </c>
      <c r="X288" s="1" t="s">
        <v>147</v>
      </c>
      <c r="Y288" s="1">
        <v>1</v>
      </c>
      <c r="Z288" s="1">
        <v>400</v>
      </c>
      <c r="AA288" s="8" t="s">
        <v>129</v>
      </c>
      <c r="AB288" s="8" t="s">
        <v>257</v>
      </c>
      <c r="AC288" s="12"/>
      <c r="AD288" s="60"/>
      <c r="AE288" s="174"/>
      <c r="AF288" s="271" t="str">
        <f t="shared" si="220"/>
        <v xml:space="preserve">                                                                                                                                                                                                                                                                                                                                                                                                                </v>
      </c>
      <c r="AG288" s="218" t="str">
        <f t="shared" si="233"/>
        <v>-</v>
      </c>
      <c r="AH288" s="174"/>
      <c r="AI288" s="92" t="str">
        <f t="shared" si="236"/>
        <v>OK</v>
      </c>
      <c r="AJ288" s="60"/>
      <c r="AK288" s="174"/>
      <c r="AL288" s="271" t="str">
        <f t="shared" si="221"/>
        <v xml:space="preserve">                                                                                                                                                                                                                                                                                                                                                                                                                </v>
      </c>
      <c r="AM288" s="218" t="str">
        <f t="shared" si="237"/>
        <v>-</v>
      </c>
      <c r="AN288" s="174"/>
      <c r="AO288" s="92" t="str">
        <f t="shared" si="238"/>
        <v>OK</v>
      </c>
      <c r="AP288" s="60"/>
      <c r="AQ288" s="170"/>
      <c r="AR288" s="271" t="str">
        <f t="shared" si="222"/>
        <v xml:space="preserve">                                                                                                                                                                                                                                                                                                                                                                                                                </v>
      </c>
      <c r="AS288" s="218" t="s">
        <v>593</v>
      </c>
      <c r="AT288" s="271"/>
      <c r="AU288" s="218" t="str">
        <f t="shared" si="219"/>
        <v>-</v>
      </c>
      <c r="AV288" s="60"/>
      <c r="AW288" s="174" t="s">
        <v>190</v>
      </c>
      <c r="AX288" s="271" t="str">
        <f t="shared" si="223"/>
        <v xml:space="preserve">申込受付中。                                                                                                                                                                                                                                                                                                                                                                                                    </v>
      </c>
      <c r="AY288" s="218" t="str">
        <f t="shared" si="239"/>
        <v>-</v>
      </c>
      <c r="AZ288" s="174" t="s">
        <v>190</v>
      </c>
      <c r="BA288" s="478" t="s">
        <v>594</v>
      </c>
      <c r="BB288" s="60"/>
      <c r="BC288" s="174" t="s">
        <v>190</v>
      </c>
      <c r="BD288" s="271" t="str">
        <f t="shared" si="224"/>
        <v xml:space="preserve">申込受付中。                                                                                                                                                                                                                                                                                                                                                                                                    </v>
      </c>
      <c r="BE288" s="218" t="str">
        <f t="shared" si="240"/>
        <v>-</v>
      </c>
      <c r="BF288" s="174" t="s">
        <v>190</v>
      </c>
      <c r="BG288" s="478" t="s">
        <v>594</v>
      </c>
      <c r="BH288" s="60"/>
      <c r="BI288" s="170" t="s">
        <v>730</v>
      </c>
      <c r="BJ288" s="271" t="str">
        <f t="shared" si="225"/>
        <v xml:space="preserve">申込受付中。                                                                                                                                                                                                                                                                                                                                                                                                    </v>
      </c>
      <c r="BK288" s="218" t="s">
        <v>593</v>
      </c>
      <c r="BL288" s="174" t="s">
        <v>190</v>
      </c>
      <c r="BM288" s="478" t="s">
        <v>594</v>
      </c>
      <c r="BN288" s="60"/>
      <c r="BO288" s="174" t="s">
        <v>190</v>
      </c>
      <c r="BP288" s="271" t="str">
        <f t="shared" si="226"/>
        <v xml:space="preserve">申込受付中。                                                                                                                                                                                                                                                                                                                                                                                                    </v>
      </c>
      <c r="BQ288" s="218" t="str">
        <f t="shared" si="241"/>
        <v>-</v>
      </c>
      <c r="BR288" s="174" t="s">
        <v>190</v>
      </c>
      <c r="BS288" s="478" t="s">
        <v>594</v>
      </c>
      <c r="BT288" s="60"/>
      <c r="BU288" s="170"/>
      <c r="BV288" s="271" t="str">
        <f t="shared" si="227"/>
        <v xml:space="preserve">                                                                                                                                                                                                                                                                                                                                                                                                                </v>
      </c>
      <c r="BW288" s="218" t="s">
        <v>593</v>
      </c>
      <c r="BX288" s="271"/>
      <c r="BY288" s="218" t="str">
        <f t="shared" si="242"/>
        <v>-</v>
      </c>
      <c r="BZ288" s="60"/>
      <c r="CA288" s="174"/>
      <c r="CB288" s="271" t="str">
        <f t="shared" si="228"/>
        <v xml:space="preserve">                                                                                                                                                                                                                                                                                                                                                                                                                </v>
      </c>
      <c r="CC288" s="218" t="str">
        <f t="shared" si="243"/>
        <v>-</v>
      </c>
      <c r="CD288" s="174"/>
      <c r="CE288" s="92" t="str">
        <f t="shared" si="244"/>
        <v>OK</v>
      </c>
      <c r="CF288" s="60"/>
      <c r="CG288" s="174"/>
      <c r="CH288" s="271" t="str">
        <f t="shared" si="229"/>
        <v xml:space="preserve">                                                                                                                                                                                                                                                                                                                                                                                                                </v>
      </c>
      <c r="CI288" s="218" t="str">
        <f t="shared" si="245"/>
        <v>-</v>
      </c>
      <c r="CJ288" s="174"/>
      <c r="CK288" s="92" t="str">
        <f t="shared" si="246"/>
        <v>OK</v>
      </c>
      <c r="CL288" s="60"/>
      <c r="CM288" s="174"/>
      <c r="CN288" s="271" t="str">
        <f t="shared" si="230"/>
        <v xml:space="preserve">                                                                                                                                                                                                                                                                                                                                                                                                                </v>
      </c>
      <c r="CO288" s="218" t="s">
        <v>593</v>
      </c>
      <c r="CP288" s="271"/>
      <c r="CQ288" s="218" t="str">
        <f t="shared" si="247"/>
        <v>-</v>
      </c>
      <c r="CR288" s="60"/>
      <c r="CS288" s="174"/>
      <c r="CT288" s="271" t="str">
        <f t="shared" si="231"/>
        <v xml:space="preserve">                                                                                                                                                                                                                                                                                                                                                                                                                </v>
      </c>
      <c r="CU288" s="218" t="str">
        <f t="shared" si="248"/>
        <v>-</v>
      </c>
      <c r="CV288" s="174"/>
      <c r="CW288" s="92" t="s">
        <v>593</v>
      </c>
      <c r="CX288" s="60"/>
      <c r="CY288" s="174"/>
      <c r="CZ288" s="271" t="str">
        <f t="shared" si="232"/>
        <v xml:space="preserve">                                                                                                                                                                                                                                                                                                                                                                                                                </v>
      </c>
      <c r="DA288" s="218" t="str">
        <f t="shared" si="249"/>
        <v>-</v>
      </c>
      <c r="DB288" s="174"/>
      <c r="DC288" s="92" t="s">
        <v>593</v>
      </c>
    </row>
    <row r="289" spans="2:107" s="26" customFormat="1" ht="63.75">
      <c r="B289" s="65">
        <f t="shared" si="235"/>
        <v>282</v>
      </c>
      <c r="C289" s="7"/>
      <c r="D289" s="7"/>
      <c r="E289" s="7"/>
      <c r="F289" s="22" t="s">
        <v>148</v>
      </c>
      <c r="G289" s="16"/>
      <c r="H289" s="13"/>
      <c r="I289" s="8"/>
      <c r="J289" s="8"/>
      <c r="K289" s="8"/>
      <c r="L289" s="8"/>
      <c r="M289" s="418" t="s">
        <v>448</v>
      </c>
      <c r="N289" s="1"/>
      <c r="O289" s="57"/>
      <c r="P289" s="95">
        <f t="shared" si="250"/>
        <v>257</v>
      </c>
      <c r="Q289" s="115">
        <v>400</v>
      </c>
      <c r="R289" s="21" t="str">
        <f t="shared" si="251"/>
        <v>NX</v>
      </c>
      <c r="S289" s="98" t="s">
        <v>149</v>
      </c>
      <c r="T289" s="96"/>
      <c r="U289" s="21" t="s">
        <v>435</v>
      </c>
      <c r="V289" s="10"/>
      <c r="W289" s="25">
        <v>3</v>
      </c>
      <c r="X289" s="1" t="s">
        <v>150</v>
      </c>
      <c r="Y289" s="1">
        <v>1</v>
      </c>
      <c r="Z289" s="1">
        <v>400</v>
      </c>
      <c r="AA289" s="8" t="s">
        <v>129</v>
      </c>
      <c r="AB289" s="8" t="s">
        <v>257</v>
      </c>
      <c r="AC289" s="12"/>
      <c r="AD289" s="60"/>
      <c r="AE289" s="174"/>
      <c r="AF289" s="91" t="str">
        <f t="shared" si="220"/>
        <v xml:space="preserve">                                                                                                                                                                                                                                                                                                                                                                                                                </v>
      </c>
      <c r="AG289" s="218" t="str">
        <f t="shared" si="233"/>
        <v>-</v>
      </c>
      <c r="AH289" s="174"/>
      <c r="AI289" s="92" t="str">
        <f t="shared" si="236"/>
        <v>OK</v>
      </c>
      <c r="AJ289" s="60"/>
      <c r="AK289" s="174"/>
      <c r="AL289" s="91" t="str">
        <f t="shared" si="221"/>
        <v xml:space="preserve">                                                                                                                                                                                                                                                                                                                                                                                                                </v>
      </c>
      <c r="AM289" s="218" t="str">
        <f t="shared" si="237"/>
        <v>-</v>
      </c>
      <c r="AN289" s="174"/>
      <c r="AO289" s="92" t="str">
        <f t="shared" si="238"/>
        <v>OK</v>
      </c>
      <c r="AP289" s="60"/>
      <c r="AQ289" s="170"/>
      <c r="AR289" s="91" t="str">
        <f t="shared" si="222"/>
        <v xml:space="preserve">                                                                                                                                                                                                                                                                                                                                                                                                                </v>
      </c>
      <c r="AS289" s="218" t="s">
        <v>593</v>
      </c>
      <c r="AT289" s="91"/>
      <c r="AU289" s="218" t="str">
        <f t="shared" si="219"/>
        <v>-</v>
      </c>
      <c r="AV289" s="60"/>
      <c r="AW289" s="174"/>
      <c r="AX289" s="91" t="str">
        <f t="shared" si="223"/>
        <v xml:space="preserve">                                                                                                                                                                                                                                                                                                                                                                                                                </v>
      </c>
      <c r="AY289" s="218" t="str">
        <f t="shared" si="239"/>
        <v>-</v>
      </c>
      <c r="AZ289" s="174"/>
      <c r="BA289" s="478" t="s">
        <v>594</v>
      </c>
      <c r="BB289" s="60"/>
      <c r="BC289" s="174"/>
      <c r="BD289" s="91" t="str">
        <f t="shared" si="224"/>
        <v xml:space="preserve">                                                                                                                                                                                                                                                                                                                                                                                                                </v>
      </c>
      <c r="BE289" s="218" t="str">
        <f t="shared" si="240"/>
        <v>-</v>
      </c>
      <c r="BF289" s="174"/>
      <c r="BG289" s="478" t="s">
        <v>594</v>
      </c>
      <c r="BH289" s="60"/>
      <c r="BI289" s="170" t="s">
        <v>703</v>
      </c>
      <c r="BJ289" s="91" t="str">
        <f t="shared" si="225"/>
        <v xml:space="preserve">                                                                                                                                                                                                                                                                                                                                                                                                                </v>
      </c>
      <c r="BK289" s="218" t="s">
        <v>593</v>
      </c>
      <c r="BL289" s="174"/>
      <c r="BM289" s="478" t="s">
        <v>594</v>
      </c>
      <c r="BN289" s="60"/>
      <c r="BO289" s="174"/>
      <c r="BP289" s="91" t="str">
        <f t="shared" si="226"/>
        <v xml:space="preserve">                                                                                                                                                                                                                                                                                                                                                                                                                </v>
      </c>
      <c r="BQ289" s="218" t="str">
        <f t="shared" si="241"/>
        <v>-</v>
      </c>
      <c r="BR289" s="174"/>
      <c r="BS289" s="478" t="s">
        <v>594</v>
      </c>
      <c r="BT289" s="60"/>
      <c r="BU289" s="170"/>
      <c r="BV289" s="91" t="str">
        <f t="shared" si="227"/>
        <v xml:space="preserve">                                                                                                                                                                                                                                                                                                                                                                                                                </v>
      </c>
      <c r="BW289" s="218" t="s">
        <v>593</v>
      </c>
      <c r="BX289" s="91"/>
      <c r="BY289" s="218" t="str">
        <f t="shared" si="242"/>
        <v>-</v>
      </c>
      <c r="BZ289" s="60"/>
      <c r="CA289" s="174"/>
      <c r="CB289" s="91" t="str">
        <f t="shared" si="228"/>
        <v xml:space="preserve">                                                                                                                                                                                                                                                                                                                                                                                                                </v>
      </c>
      <c r="CC289" s="218" t="str">
        <f t="shared" si="243"/>
        <v>-</v>
      </c>
      <c r="CD289" s="174"/>
      <c r="CE289" s="92" t="str">
        <f t="shared" si="244"/>
        <v>OK</v>
      </c>
      <c r="CF289" s="60"/>
      <c r="CG289" s="174"/>
      <c r="CH289" s="91" t="str">
        <f t="shared" si="229"/>
        <v xml:space="preserve">                                                                                                                                                                                                                                                                                                                                                                                                                </v>
      </c>
      <c r="CI289" s="218" t="str">
        <f t="shared" si="245"/>
        <v>-</v>
      </c>
      <c r="CJ289" s="174"/>
      <c r="CK289" s="92" t="str">
        <f t="shared" si="246"/>
        <v>OK</v>
      </c>
      <c r="CL289" s="60"/>
      <c r="CM289" s="174"/>
      <c r="CN289" s="91" t="str">
        <f t="shared" si="230"/>
        <v xml:space="preserve">                                                                                                                                                                                                                                                                                                                                                                                                                </v>
      </c>
      <c r="CO289" s="218" t="s">
        <v>593</v>
      </c>
      <c r="CP289" s="91"/>
      <c r="CQ289" s="218" t="str">
        <f t="shared" si="247"/>
        <v>-</v>
      </c>
      <c r="CR289" s="60"/>
      <c r="CS289" s="174"/>
      <c r="CT289" s="91" t="str">
        <f t="shared" si="231"/>
        <v xml:space="preserve">                                                                                                                                                                                                                                                                                                                                                                                                                </v>
      </c>
      <c r="CU289" s="218" t="str">
        <f t="shared" si="248"/>
        <v>-</v>
      </c>
      <c r="CV289" s="174"/>
      <c r="CW289" s="92" t="s">
        <v>593</v>
      </c>
      <c r="CX289" s="60"/>
      <c r="CY289" s="174"/>
      <c r="CZ289" s="91" t="str">
        <f t="shared" si="232"/>
        <v xml:space="preserve">                                                                                                                                                                                                                                                                                                                                                                                                                </v>
      </c>
      <c r="DA289" s="218" t="str">
        <f t="shared" si="249"/>
        <v>-</v>
      </c>
      <c r="DB289" s="174"/>
      <c r="DC289" s="92" t="s">
        <v>593</v>
      </c>
    </row>
    <row r="290" spans="2:107" s="26" customFormat="1">
      <c r="B290" s="65">
        <f t="shared" si="235"/>
        <v>283</v>
      </c>
      <c r="C290" s="7"/>
      <c r="D290" s="7"/>
      <c r="E290" s="7"/>
      <c r="F290" s="22" t="s">
        <v>151</v>
      </c>
      <c r="G290" s="16"/>
      <c r="H290" s="13"/>
      <c r="I290" s="8"/>
      <c r="J290" s="8"/>
      <c r="K290" s="8"/>
      <c r="L290" s="8"/>
      <c r="M290" s="11" t="s">
        <v>152</v>
      </c>
      <c r="N290" s="1"/>
      <c r="O290" s="57"/>
      <c r="P290" s="95">
        <f t="shared" si="250"/>
        <v>258</v>
      </c>
      <c r="Q290" s="115">
        <v>400</v>
      </c>
      <c r="R290" s="21" t="str">
        <f t="shared" si="251"/>
        <v>NX</v>
      </c>
      <c r="S290" s="98" t="s">
        <v>153</v>
      </c>
      <c r="T290" s="96"/>
      <c r="U290" s="21" t="s">
        <v>435</v>
      </c>
      <c r="V290" s="10"/>
      <c r="W290" s="25">
        <v>3</v>
      </c>
      <c r="X290" s="1" t="s">
        <v>154</v>
      </c>
      <c r="Y290" s="1">
        <v>1</v>
      </c>
      <c r="Z290" s="1">
        <v>400</v>
      </c>
      <c r="AA290" s="8" t="s">
        <v>129</v>
      </c>
      <c r="AB290" s="8" t="s">
        <v>257</v>
      </c>
      <c r="AC290" s="12"/>
      <c r="AD290" s="60"/>
      <c r="AE290" s="169"/>
      <c r="AF290" s="91" t="str">
        <f t="shared" si="220"/>
        <v xml:space="preserve">                                                                                                                                                                                                                                                                                                                                                                                                                </v>
      </c>
      <c r="AG290" s="218" t="str">
        <f t="shared" si="233"/>
        <v>-</v>
      </c>
      <c r="AH290" s="169"/>
      <c r="AI290" s="92" t="str">
        <f t="shared" si="236"/>
        <v>OK</v>
      </c>
      <c r="AJ290" s="60"/>
      <c r="AK290" s="169"/>
      <c r="AL290" s="91" t="str">
        <f t="shared" si="221"/>
        <v xml:space="preserve">                                                                                                                                                                                                                                                                                                                                                                                                                </v>
      </c>
      <c r="AM290" s="218" t="str">
        <f t="shared" si="237"/>
        <v>-</v>
      </c>
      <c r="AN290" s="169"/>
      <c r="AO290" s="92" t="str">
        <f t="shared" si="238"/>
        <v>OK</v>
      </c>
      <c r="AP290" s="60"/>
      <c r="AQ290" s="172"/>
      <c r="AR290" s="91" t="str">
        <f t="shared" si="222"/>
        <v xml:space="preserve">                                                                                                                                                                                                                                                                                                                                                                                                                </v>
      </c>
      <c r="AS290" s="218" t="s">
        <v>593</v>
      </c>
      <c r="AT290" s="91"/>
      <c r="AU290" s="218" t="str">
        <f t="shared" si="219"/>
        <v>-</v>
      </c>
      <c r="AV290" s="60"/>
      <c r="AW290" s="169"/>
      <c r="AX290" s="91" t="str">
        <f t="shared" si="223"/>
        <v xml:space="preserve">                                                                                                                                                                                                                                                                                                                                                                                                                </v>
      </c>
      <c r="AY290" s="218" t="str">
        <f t="shared" si="239"/>
        <v>-</v>
      </c>
      <c r="AZ290" s="169"/>
      <c r="BA290" s="478" t="s">
        <v>594</v>
      </c>
      <c r="BB290" s="60"/>
      <c r="BC290" s="169"/>
      <c r="BD290" s="91" t="str">
        <f t="shared" si="224"/>
        <v xml:space="preserve">                                                                                                                                                                                                                                                                                                                                                                                                                </v>
      </c>
      <c r="BE290" s="218" t="str">
        <f t="shared" si="240"/>
        <v>-</v>
      </c>
      <c r="BF290" s="169"/>
      <c r="BG290" s="478" t="s">
        <v>594</v>
      </c>
      <c r="BH290" s="60"/>
      <c r="BI290" s="170" t="s">
        <v>703</v>
      </c>
      <c r="BJ290" s="91" t="str">
        <f t="shared" si="225"/>
        <v xml:space="preserve">                                                                                                                                                                                                                                                                                                                                                                                                                </v>
      </c>
      <c r="BK290" s="218" t="s">
        <v>593</v>
      </c>
      <c r="BL290" s="169"/>
      <c r="BM290" s="478" t="s">
        <v>594</v>
      </c>
      <c r="BN290" s="60"/>
      <c r="BO290" s="169"/>
      <c r="BP290" s="91" t="str">
        <f t="shared" si="226"/>
        <v xml:space="preserve">                                                                                                                                                                                                                                                                                                                                                                                                                </v>
      </c>
      <c r="BQ290" s="218" t="str">
        <f t="shared" si="241"/>
        <v>-</v>
      </c>
      <c r="BR290" s="169"/>
      <c r="BS290" s="478" t="s">
        <v>594</v>
      </c>
      <c r="BT290" s="60"/>
      <c r="BU290" s="172"/>
      <c r="BV290" s="91" t="str">
        <f t="shared" si="227"/>
        <v xml:space="preserve">                                                                                                                                                                                                                                                                                                                                                                                                                </v>
      </c>
      <c r="BW290" s="218" t="s">
        <v>593</v>
      </c>
      <c r="BX290" s="91"/>
      <c r="BY290" s="218" t="str">
        <f t="shared" si="242"/>
        <v>-</v>
      </c>
      <c r="BZ290" s="60"/>
      <c r="CA290" s="169"/>
      <c r="CB290" s="91" t="str">
        <f t="shared" si="228"/>
        <v xml:space="preserve">                                                                                                                                                                                                                                                                                                                                                                                                                </v>
      </c>
      <c r="CC290" s="218" t="str">
        <f t="shared" si="243"/>
        <v>-</v>
      </c>
      <c r="CD290" s="169"/>
      <c r="CE290" s="92" t="str">
        <f t="shared" si="244"/>
        <v>OK</v>
      </c>
      <c r="CF290" s="60"/>
      <c r="CG290" s="169"/>
      <c r="CH290" s="91" t="str">
        <f t="shared" si="229"/>
        <v xml:space="preserve">                                                                                                                                                                                                                                                                                                                                                                                                                </v>
      </c>
      <c r="CI290" s="218" t="str">
        <f t="shared" si="245"/>
        <v>-</v>
      </c>
      <c r="CJ290" s="169"/>
      <c r="CK290" s="92" t="str">
        <f t="shared" si="246"/>
        <v>OK</v>
      </c>
      <c r="CL290" s="60"/>
      <c r="CM290" s="169"/>
      <c r="CN290" s="91" t="str">
        <f t="shared" si="230"/>
        <v xml:space="preserve">                                                                                                                                                                                                                                                                                                                                                                                                                </v>
      </c>
      <c r="CO290" s="218" t="s">
        <v>593</v>
      </c>
      <c r="CP290" s="91"/>
      <c r="CQ290" s="218" t="str">
        <f t="shared" si="247"/>
        <v>-</v>
      </c>
      <c r="CR290" s="60"/>
      <c r="CS290" s="169"/>
      <c r="CT290" s="91" t="str">
        <f t="shared" si="231"/>
        <v xml:space="preserve">                                                                                                                                                                                                                                                                                                                                                                                                                </v>
      </c>
      <c r="CU290" s="218" t="str">
        <f t="shared" si="248"/>
        <v>-</v>
      </c>
      <c r="CV290" s="169"/>
      <c r="CW290" s="92" t="s">
        <v>593</v>
      </c>
      <c r="CX290" s="60"/>
      <c r="CY290" s="169"/>
      <c r="CZ290" s="91" t="str">
        <f t="shared" si="232"/>
        <v xml:space="preserve">                                                                                                                                                                                                                                                                                                                                                                                                                </v>
      </c>
      <c r="DA290" s="218" t="str">
        <f t="shared" si="249"/>
        <v>-</v>
      </c>
      <c r="DB290" s="169"/>
      <c r="DC290" s="92" t="s">
        <v>593</v>
      </c>
    </row>
    <row r="291" spans="2:107" s="26" customFormat="1" ht="76.5">
      <c r="B291" s="65">
        <f t="shared" si="235"/>
        <v>284</v>
      </c>
      <c r="C291" s="7"/>
      <c r="D291" s="7"/>
      <c r="E291" s="7"/>
      <c r="F291" s="22" t="s">
        <v>155</v>
      </c>
      <c r="G291" s="16"/>
      <c r="H291" s="13"/>
      <c r="I291" s="8"/>
      <c r="J291" s="8"/>
      <c r="K291" s="8"/>
      <c r="L291" s="8"/>
      <c r="M291" s="11" t="s">
        <v>449</v>
      </c>
      <c r="N291" s="1"/>
      <c r="O291" s="57"/>
      <c r="P291" s="95">
        <f t="shared" si="250"/>
        <v>259</v>
      </c>
      <c r="Q291" s="115">
        <v>400</v>
      </c>
      <c r="R291" s="21" t="str">
        <f t="shared" si="251"/>
        <v>NX</v>
      </c>
      <c r="S291" s="98" t="s">
        <v>156</v>
      </c>
      <c r="T291" s="96"/>
      <c r="U291" s="21" t="s">
        <v>435</v>
      </c>
      <c r="V291" s="10"/>
      <c r="W291" s="25">
        <v>3</v>
      </c>
      <c r="X291" s="1" t="s">
        <v>157</v>
      </c>
      <c r="Y291" s="1">
        <v>1</v>
      </c>
      <c r="Z291" s="1">
        <v>400</v>
      </c>
      <c r="AA291" s="8" t="s">
        <v>129</v>
      </c>
      <c r="AB291" s="8" t="s">
        <v>257</v>
      </c>
      <c r="AC291" s="12"/>
      <c r="AD291" s="60"/>
      <c r="AE291" s="169"/>
      <c r="AF291" s="91" t="str">
        <f t="shared" si="220"/>
        <v xml:space="preserve">                                                                                                                                                                                                                                                                                                                                                                                                                </v>
      </c>
      <c r="AG291" s="218" t="str">
        <f t="shared" si="233"/>
        <v>-</v>
      </c>
      <c r="AH291" s="169"/>
      <c r="AI291" s="92" t="str">
        <f t="shared" si="236"/>
        <v>OK</v>
      </c>
      <c r="AJ291" s="60"/>
      <c r="AK291" s="169"/>
      <c r="AL291" s="91" t="str">
        <f t="shared" si="221"/>
        <v xml:space="preserve">                                                                                                                                                                                                                                                                                                                                                                                                                </v>
      </c>
      <c r="AM291" s="218" t="str">
        <f t="shared" si="237"/>
        <v>-</v>
      </c>
      <c r="AN291" s="169"/>
      <c r="AO291" s="92" t="str">
        <f t="shared" si="238"/>
        <v>OK</v>
      </c>
      <c r="AP291" s="60"/>
      <c r="AQ291" s="172"/>
      <c r="AR291" s="91" t="str">
        <f t="shared" si="222"/>
        <v xml:space="preserve">                                                                                                                                                                                                                                                                                                                                                                                                                </v>
      </c>
      <c r="AS291" s="218" t="s">
        <v>593</v>
      </c>
      <c r="AT291" s="91"/>
      <c r="AU291" s="218" t="str">
        <f t="shared" si="219"/>
        <v>-</v>
      </c>
      <c r="AV291" s="60"/>
      <c r="AW291" s="169"/>
      <c r="AX291" s="91" t="str">
        <f t="shared" si="223"/>
        <v xml:space="preserve">                                                                                                                                                                                                                                                                                                                                                                                                                </v>
      </c>
      <c r="AY291" s="218" t="str">
        <f t="shared" si="239"/>
        <v>-</v>
      </c>
      <c r="AZ291" s="169"/>
      <c r="BA291" s="478" t="s">
        <v>594</v>
      </c>
      <c r="BB291" s="60"/>
      <c r="BC291" s="169"/>
      <c r="BD291" s="91" t="str">
        <f t="shared" si="224"/>
        <v xml:space="preserve">                                                                                                                                                                                                                                                                                                                                                                                                                </v>
      </c>
      <c r="BE291" s="218" t="str">
        <f t="shared" si="240"/>
        <v>-</v>
      </c>
      <c r="BF291" s="169"/>
      <c r="BG291" s="478" t="s">
        <v>594</v>
      </c>
      <c r="BH291" s="60"/>
      <c r="BI291" s="170" t="s">
        <v>703</v>
      </c>
      <c r="BJ291" s="91" t="str">
        <f t="shared" si="225"/>
        <v xml:space="preserve">                                                                                                                                                                                                                                                                                                                                                                                                                </v>
      </c>
      <c r="BK291" s="218" t="s">
        <v>593</v>
      </c>
      <c r="BL291" s="169"/>
      <c r="BM291" s="478" t="s">
        <v>594</v>
      </c>
      <c r="BN291" s="60"/>
      <c r="BO291" s="169"/>
      <c r="BP291" s="91" t="str">
        <f t="shared" si="226"/>
        <v xml:space="preserve">                                                                                                                                                                                                                                                                                                                                                                                                                </v>
      </c>
      <c r="BQ291" s="218" t="str">
        <f t="shared" si="241"/>
        <v>-</v>
      </c>
      <c r="BR291" s="169"/>
      <c r="BS291" s="478" t="s">
        <v>594</v>
      </c>
      <c r="BT291" s="60"/>
      <c r="BU291" s="172"/>
      <c r="BV291" s="91" t="str">
        <f t="shared" si="227"/>
        <v xml:space="preserve">                                                                                                                                                                                                                                                                                                                                                                                                                </v>
      </c>
      <c r="BW291" s="218" t="s">
        <v>593</v>
      </c>
      <c r="BX291" s="91"/>
      <c r="BY291" s="218" t="str">
        <f t="shared" si="242"/>
        <v>-</v>
      </c>
      <c r="BZ291" s="60"/>
      <c r="CA291" s="169"/>
      <c r="CB291" s="91" t="str">
        <f t="shared" si="228"/>
        <v xml:space="preserve">                                                                                                                                                                                                                                                                                                                                                                                                                </v>
      </c>
      <c r="CC291" s="218" t="str">
        <f t="shared" si="243"/>
        <v>-</v>
      </c>
      <c r="CD291" s="169"/>
      <c r="CE291" s="92" t="str">
        <f t="shared" si="244"/>
        <v>OK</v>
      </c>
      <c r="CF291" s="60"/>
      <c r="CG291" s="169"/>
      <c r="CH291" s="91" t="str">
        <f t="shared" si="229"/>
        <v xml:space="preserve">                                                                                                                                                                                                                                                                                                                                                                                                                </v>
      </c>
      <c r="CI291" s="218" t="str">
        <f t="shared" si="245"/>
        <v>-</v>
      </c>
      <c r="CJ291" s="169"/>
      <c r="CK291" s="92" t="str">
        <f t="shared" si="246"/>
        <v>OK</v>
      </c>
      <c r="CL291" s="60"/>
      <c r="CM291" s="169"/>
      <c r="CN291" s="91" t="str">
        <f t="shared" si="230"/>
        <v xml:space="preserve">                                                                                                                                                                                                                                                                                                                                                                                                                </v>
      </c>
      <c r="CO291" s="218" t="s">
        <v>593</v>
      </c>
      <c r="CP291" s="91"/>
      <c r="CQ291" s="218" t="str">
        <f t="shared" si="247"/>
        <v>-</v>
      </c>
      <c r="CR291" s="60"/>
      <c r="CS291" s="169"/>
      <c r="CT291" s="91" t="str">
        <f t="shared" si="231"/>
        <v xml:space="preserve">                                                                                                                                                                                                                                                                                                                                                                                                                </v>
      </c>
      <c r="CU291" s="218" t="str">
        <f t="shared" si="248"/>
        <v>-</v>
      </c>
      <c r="CV291" s="169"/>
      <c r="CW291" s="92" t="s">
        <v>593</v>
      </c>
      <c r="CX291" s="60"/>
      <c r="CY291" s="169"/>
      <c r="CZ291" s="91" t="str">
        <f t="shared" si="232"/>
        <v xml:space="preserve">                                                                                                                                                                                                                                                                                                                                                                                                                </v>
      </c>
      <c r="DA291" s="218" t="str">
        <f t="shared" si="249"/>
        <v>-</v>
      </c>
      <c r="DB291" s="169"/>
      <c r="DC291" s="92" t="s">
        <v>593</v>
      </c>
    </row>
    <row r="292" spans="2:107" s="26" customFormat="1">
      <c r="B292" s="65">
        <f t="shared" si="235"/>
        <v>285</v>
      </c>
      <c r="C292" s="7"/>
      <c r="D292" s="7"/>
      <c r="E292" s="7"/>
      <c r="F292" s="22" t="s">
        <v>158</v>
      </c>
      <c r="G292" s="16"/>
      <c r="H292" s="13"/>
      <c r="I292" s="8"/>
      <c r="J292" s="8"/>
      <c r="K292" s="8"/>
      <c r="L292" s="8"/>
      <c r="M292" s="11" t="s">
        <v>152</v>
      </c>
      <c r="N292" s="1"/>
      <c r="O292" s="57"/>
      <c r="P292" s="95">
        <f t="shared" si="250"/>
        <v>260</v>
      </c>
      <c r="Q292" s="115">
        <v>400</v>
      </c>
      <c r="R292" s="21" t="str">
        <f t="shared" si="251"/>
        <v>NX</v>
      </c>
      <c r="S292" s="98" t="s">
        <v>159</v>
      </c>
      <c r="T292" s="96"/>
      <c r="U292" s="21" t="s">
        <v>435</v>
      </c>
      <c r="V292" s="10"/>
      <c r="W292" s="25">
        <v>3</v>
      </c>
      <c r="X292" s="1" t="s">
        <v>160</v>
      </c>
      <c r="Y292" s="1">
        <v>1</v>
      </c>
      <c r="Z292" s="1">
        <v>400</v>
      </c>
      <c r="AA292" s="8" t="s">
        <v>129</v>
      </c>
      <c r="AB292" s="8" t="s">
        <v>257</v>
      </c>
      <c r="AC292" s="12"/>
      <c r="AD292" s="60"/>
      <c r="AE292" s="169"/>
      <c r="AF292" s="91" t="str">
        <f t="shared" si="220"/>
        <v xml:space="preserve">                                                                                                                                                                                                                                                                                                                                                                                                                </v>
      </c>
      <c r="AG292" s="218" t="str">
        <f t="shared" si="233"/>
        <v>-</v>
      </c>
      <c r="AH292" s="169"/>
      <c r="AI292" s="92" t="str">
        <f t="shared" si="236"/>
        <v>OK</v>
      </c>
      <c r="AJ292" s="60"/>
      <c r="AK292" s="169"/>
      <c r="AL292" s="91" t="str">
        <f t="shared" si="221"/>
        <v xml:space="preserve">                                                                                                                                                                                                                                                                                                                                                                                                                </v>
      </c>
      <c r="AM292" s="218" t="str">
        <f t="shared" si="237"/>
        <v>-</v>
      </c>
      <c r="AN292" s="169"/>
      <c r="AO292" s="92" t="str">
        <f t="shared" si="238"/>
        <v>OK</v>
      </c>
      <c r="AP292" s="60"/>
      <c r="AQ292" s="172"/>
      <c r="AR292" s="91" t="str">
        <f t="shared" si="222"/>
        <v xml:space="preserve">                                                                                                                                                                                                                                                                                                                                                                                                                </v>
      </c>
      <c r="AS292" s="218" t="s">
        <v>593</v>
      </c>
      <c r="AT292" s="91"/>
      <c r="AU292" s="218" t="str">
        <f t="shared" si="219"/>
        <v>-</v>
      </c>
      <c r="AV292" s="60"/>
      <c r="AW292" s="169"/>
      <c r="AX292" s="91" t="str">
        <f t="shared" si="223"/>
        <v xml:space="preserve">                                                                                                                                                                                                                                                                                                                                                                                                                </v>
      </c>
      <c r="AY292" s="218" t="str">
        <f t="shared" si="239"/>
        <v>-</v>
      </c>
      <c r="AZ292" s="169"/>
      <c r="BA292" s="478" t="s">
        <v>594</v>
      </c>
      <c r="BB292" s="60"/>
      <c r="BC292" s="169"/>
      <c r="BD292" s="91" t="str">
        <f t="shared" si="224"/>
        <v xml:space="preserve">                                                                                                                                                                                                                                                                                                                                                                                                                </v>
      </c>
      <c r="BE292" s="218" t="str">
        <f t="shared" si="240"/>
        <v>-</v>
      </c>
      <c r="BF292" s="169"/>
      <c r="BG292" s="478" t="s">
        <v>594</v>
      </c>
      <c r="BH292" s="60"/>
      <c r="BI292" s="170" t="s">
        <v>703</v>
      </c>
      <c r="BJ292" s="91" t="str">
        <f t="shared" si="225"/>
        <v xml:space="preserve">                                                                                                                                                                                                                                                                                                                                                                                                                </v>
      </c>
      <c r="BK292" s="218" t="s">
        <v>593</v>
      </c>
      <c r="BL292" s="169"/>
      <c r="BM292" s="478" t="s">
        <v>594</v>
      </c>
      <c r="BN292" s="60"/>
      <c r="BO292" s="169"/>
      <c r="BP292" s="91" t="str">
        <f t="shared" si="226"/>
        <v xml:space="preserve">                                                                                                                                                                                                                                                                                                                                                                                                                </v>
      </c>
      <c r="BQ292" s="218" t="str">
        <f t="shared" si="241"/>
        <v>-</v>
      </c>
      <c r="BR292" s="169"/>
      <c r="BS292" s="478" t="s">
        <v>594</v>
      </c>
      <c r="BT292" s="60"/>
      <c r="BU292" s="172"/>
      <c r="BV292" s="91" t="str">
        <f t="shared" si="227"/>
        <v xml:space="preserve">                                                                                                                                                                                                                                                                                                                                                                                                                </v>
      </c>
      <c r="BW292" s="218" t="s">
        <v>593</v>
      </c>
      <c r="BX292" s="91"/>
      <c r="BY292" s="218" t="str">
        <f t="shared" si="242"/>
        <v>-</v>
      </c>
      <c r="BZ292" s="60"/>
      <c r="CA292" s="169"/>
      <c r="CB292" s="91" t="str">
        <f t="shared" si="228"/>
        <v xml:space="preserve">                                                                                                                                                                                                                                                                                                                                                                                                                </v>
      </c>
      <c r="CC292" s="218" t="str">
        <f t="shared" si="243"/>
        <v>-</v>
      </c>
      <c r="CD292" s="169"/>
      <c r="CE292" s="92" t="str">
        <f t="shared" si="244"/>
        <v>OK</v>
      </c>
      <c r="CF292" s="60"/>
      <c r="CG292" s="169"/>
      <c r="CH292" s="91" t="str">
        <f t="shared" si="229"/>
        <v xml:space="preserve">                                                                                                                                                                                                                                                                                                                                                                                                                </v>
      </c>
      <c r="CI292" s="218" t="str">
        <f t="shared" si="245"/>
        <v>-</v>
      </c>
      <c r="CJ292" s="169"/>
      <c r="CK292" s="92" t="str">
        <f t="shared" si="246"/>
        <v>OK</v>
      </c>
      <c r="CL292" s="60"/>
      <c r="CM292" s="169"/>
      <c r="CN292" s="91" t="str">
        <f t="shared" si="230"/>
        <v xml:space="preserve">                                                                                                                                                                                                                                                                                                                                                                                                                </v>
      </c>
      <c r="CO292" s="218" t="s">
        <v>593</v>
      </c>
      <c r="CP292" s="91"/>
      <c r="CQ292" s="218" t="str">
        <f t="shared" si="247"/>
        <v>-</v>
      </c>
      <c r="CR292" s="60"/>
      <c r="CS292" s="169"/>
      <c r="CT292" s="91" t="str">
        <f t="shared" si="231"/>
        <v xml:space="preserve">                                                                                                                                                                                                                                                                                                                                                                                                                </v>
      </c>
      <c r="CU292" s="218" t="str">
        <f t="shared" si="248"/>
        <v>-</v>
      </c>
      <c r="CV292" s="169"/>
      <c r="CW292" s="92" t="s">
        <v>593</v>
      </c>
      <c r="CX292" s="60"/>
      <c r="CY292" s="169"/>
      <c r="CZ292" s="91" t="str">
        <f t="shared" si="232"/>
        <v xml:space="preserve">                                                                                                                                                                                                                                                                                                                                                                                                                </v>
      </c>
      <c r="DA292" s="218" t="str">
        <f t="shared" si="249"/>
        <v>-</v>
      </c>
      <c r="DB292" s="169"/>
      <c r="DC292" s="92" t="s">
        <v>593</v>
      </c>
    </row>
    <row r="293" spans="2:107" s="26" customFormat="1">
      <c r="B293" s="65">
        <f t="shared" si="235"/>
        <v>286</v>
      </c>
      <c r="C293" s="7"/>
      <c r="D293" s="7"/>
      <c r="E293" s="7"/>
      <c r="F293" s="22" t="s">
        <v>161</v>
      </c>
      <c r="G293" s="16"/>
      <c r="H293" s="13"/>
      <c r="I293" s="8"/>
      <c r="J293" s="8"/>
      <c r="K293" s="8"/>
      <c r="L293" s="8"/>
      <c r="M293" s="11" t="s">
        <v>152</v>
      </c>
      <c r="N293" s="1"/>
      <c r="O293" s="57"/>
      <c r="P293" s="95">
        <f t="shared" si="250"/>
        <v>261</v>
      </c>
      <c r="Q293" s="115">
        <v>400</v>
      </c>
      <c r="R293" s="21" t="str">
        <f t="shared" si="251"/>
        <v>NX</v>
      </c>
      <c r="S293" s="98" t="s">
        <v>162</v>
      </c>
      <c r="T293" s="96"/>
      <c r="U293" s="21" t="s">
        <v>435</v>
      </c>
      <c r="V293" s="10"/>
      <c r="W293" s="25">
        <v>3</v>
      </c>
      <c r="X293" s="1" t="s">
        <v>163</v>
      </c>
      <c r="Y293" s="1">
        <v>1</v>
      </c>
      <c r="Z293" s="1">
        <v>400</v>
      </c>
      <c r="AA293" s="8" t="s">
        <v>129</v>
      </c>
      <c r="AB293" s="8" t="s">
        <v>257</v>
      </c>
      <c r="AC293" s="12"/>
      <c r="AD293" s="60"/>
      <c r="AE293" s="169"/>
      <c r="AF293" s="91" t="str">
        <f t="shared" si="220"/>
        <v xml:space="preserve">                                                                                                                                                                                                                                                                                                                                                                                                                </v>
      </c>
      <c r="AG293" s="218" t="str">
        <f t="shared" si="233"/>
        <v>-</v>
      </c>
      <c r="AH293" s="169"/>
      <c r="AI293" s="92" t="str">
        <f t="shared" si="236"/>
        <v>OK</v>
      </c>
      <c r="AJ293" s="60"/>
      <c r="AK293" s="169"/>
      <c r="AL293" s="91" t="str">
        <f t="shared" si="221"/>
        <v xml:space="preserve">                                                                                                                                                                                                                                                                                                                                                                                                                </v>
      </c>
      <c r="AM293" s="218" t="str">
        <f t="shared" si="237"/>
        <v>-</v>
      </c>
      <c r="AN293" s="169"/>
      <c r="AO293" s="92" t="str">
        <f t="shared" si="238"/>
        <v>OK</v>
      </c>
      <c r="AP293" s="60"/>
      <c r="AQ293" s="172"/>
      <c r="AR293" s="91" t="str">
        <f t="shared" si="222"/>
        <v xml:space="preserve">                                                                                                                                                                                                                                                                                                                                                                                                                </v>
      </c>
      <c r="AS293" s="218" t="s">
        <v>593</v>
      </c>
      <c r="AT293" s="91"/>
      <c r="AU293" s="218" t="str">
        <f t="shared" si="219"/>
        <v>-</v>
      </c>
      <c r="AV293" s="60"/>
      <c r="AW293" s="169"/>
      <c r="AX293" s="91" t="str">
        <f t="shared" si="223"/>
        <v xml:space="preserve">                                                                                                                                                                                                                                                                                                                                                                                                                </v>
      </c>
      <c r="AY293" s="218" t="str">
        <f t="shared" si="239"/>
        <v>-</v>
      </c>
      <c r="AZ293" s="169"/>
      <c r="BA293" s="478" t="s">
        <v>594</v>
      </c>
      <c r="BB293" s="60"/>
      <c r="BC293" s="169"/>
      <c r="BD293" s="91" t="str">
        <f t="shared" si="224"/>
        <v xml:space="preserve">                                                                                                                                                                                                                                                                                                                                                                                                                </v>
      </c>
      <c r="BE293" s="218" t="str">
        <f t="shared" si="240"/>
        <v>-</v>
      </c>
      <c r="BF293" s="169"/>
      <c r="BG293" s="478" t="s">
        <v>594</v>
      </c>
      <c r="BH293" s="60"/>
      <c r="BI293" s="170" t="s">
        <v>703</v>
      </c>
      <c r="BJ293" s="91" t="str">
        <f t="shared" si="225"/>
        <v xml:space="preserve">                                                                                                                                                                                                                                                                                                                                                                                                                </v>
      </c>
      <c r="BK293" s="218" t="s">
        <v>593</v>
      </c>
      <c r="BL293" s="169"/>
      <c r="BM293" s="478" t="s">
        <v>594</v>
      </c>
      <c r="BN293" s="60"/>
      <c r="BO293" s="169"/>
      <c r="BP293" s="91" t="str">
        <f t="shared" si="226"/>
        <v xml:space="preserve">                                                                                                                                                                                                                                                                                                                                                                                                                </v>
      </c>
      <c r="BQ293" s="218" t="str">
        <f t="shared" si="241"/>
        <v>-</v>
      </c>
      <c r="BR293" s="169"/>
      <c r="BS293" s="478" t="s">
        <v>594</v>
      </c>
      <c r="BT293" s="60"/>
      <c r="BU293" s="172"/>
      <c r="BV293" s="91" t="str">
        <f t="shared" si="227"/>
        <v xml:space="preserve">                                                                                                                                                                                                                                                                                                                                                                                                                </v>
      </c>
      <c r="BW293" s="218" t="s">
        <v>593</v>
      </c>
      <c r="BX293" s="91"/>
      <c r="BY293" s="218" t="str">
        <f t="shared" si="242"/>
        <v>-</v>
      </c>
      <c r="BZ293" s="60"/>
      <c r="CA293" s="169"/>
      <c r="CB293" s="91" t="str">
        <f t="shared" si="228"/>
        <v xml:space="preserve">                                                                                                                                                                                                                                                                                                                                                                                                                </v>
      </c>
      <c r="CC293" s="218" t="str">
        <f t="shared" si="243"/>
        <v>-</v>
      </c>
      <c r="CD293" s="169"/>
      <c r="CE293" s="92" t="str">
        <f t="shared" si="244"/>
        <v>OK</v>
      </c>
      <c r="CF293" s="60"/>
      <c r="CG293" s="169"/>
      <c r="CH293" s="91" t="str">
        <f t="shared" si="229"/>
        <v xml:space="preserve">                                                                                                                                                                                                                                                                                                                                                                                                                </v>
      </c>
      <c r="CI293" s="218" t="str">
        <f t="shared" si="245"/>
        <v>-</v>
      </c>
      <c r="CJ293" s="169"/>
      <c r="CK293" s="92" t="str">
        <f t="shared" si="246"/>
        <v>OK</v>
      </c>
      <c r="CL293" s="60"/>
      <c r="CM293" s="169"/>
      <c r="CN293" s="91" t="str">
        <f t="shared" si="230"/>
        <v xml:space="preserve">                                                                                                                                                                                                                                                                                                                                                                                                                </v>
      </c>
      <c r="CO293" s="218" t="s">
        <v>593</v>
      </c>
      <c r="CP293" s="91"/>
      <c r="CQ293" s="218" t="str">
        <f t="shared" si="247"/>
        <v>-</v>
      </c>
      <c r="CR293" s="60"/>
      <c r="CS293" s="169"/>
      <c r="CT293" s="91" t="str">
        <f t="shared" si="231"/>
        <v xml:space="preserve">                                                                                                                                                                                                                                                                                                                                                                                                                </v>
      </c>
      <c r="CU293" s="218" t="str">
        <f t="shared" si="248"/>
        <v>-</v>
      </c>
      <c r="CV293" s="169"/>
      <c r="CW293" s="92" t="s">
        <v>593</v>
      </c>
      <c r="CX293" s="60"/>
      <c r="CY293" s="169"/>
      <c r="CZ293" s="91" t="str">
        <f t="shared" si="232"/>
        <v xml:space="preserve">                                                                                                                                                                                                                                                                                                                                                                                                                </v>
      </c>
      <c r="DA293" s="218" t="str">
        <f t="shared" si="249"/>
        <v>-</v>
      </c>
      <c r="DB293" s="169"/>
      <c r="DC293" s="92" t="s">
        <v>593</v>
      </c>
    </row>
    <row r="294" spans="2:107" s="26" customFormat="1" ht="89.25">
      <c r="B294" s="65">
        <f t="shared" si="235"/>
        <v>287</v>
      </c>
      <c r="C294" s="7"/>
      <c r="D294" s="7"/>
      <c r="E294" s="7"/>
      <c r="F294" s="22" t="s">
        <v>164</v>
      </c>
      <c r="G294" s="16"/>
      <c r="H294" s="13"/>
      <c r="I294" s="8"/>
      <c r="J294" s="8"/>
      <c r="K294" s="8"/>
      <c r="L294" s="8"/>
      <c r="M294" s="11" t="s">
        <v>450</v>
      </c>
      <c r="N294" s="1"/>
      <c r="O294" s="57"/>
      <c r="P294" s="95">
        <f t="shared" si="250"/>
        <v>262</v>
      </c>
      <c r="Q294" s="115">
        <v>1</v>
      </c>
      <c r="R294" s="21" t="str">
        <f t="shared" si="251"/>
        <v>X</v>
      </c>
      <c r="S294" s="98" t="s">
        <v>165</v>
      </c>
      <c r="T294" s="96"/>
      <c r="U294" s="21" t="s">
        <v>435</v>
      </c>
      <c r="V294" s="10"/>
      <c r="W294" s="25">
        <v>3</v>
      </c>
      <c r="X294" s="1" t="s">
        <v>303</v>
      </c>
      <c r="Y294" s="1">
        <v>1</v>
      </c>
      <c r="Z294" s="1">
        <v>1</v>
      </c>
      <c r="AA294" s="8" t="s">
        <v>114</v>
      </c>
      <c r="AB294" s="8" t="s">
        <v>21</v>
      </c>
      <c r="AC294" s="104"/>
      <c r="AD294" s="60"/>
      <c r="AE294" s="174"/>
      <c r="AF294" s="61" t="str">
        <f t="shared" si="220"/>
        <v xml:space="preserve"> </v>
      </c>
      <c r="AG294" s="218" t="str">
        <f t="shared" si="233"/>
        <v>-</v>
      </c>
      <c r="AH294" s="174"/>
      <c r="AI294" s="92" t="str">
        <f t="shared" si="236"/>
        <v>OK</v>
      </c>
      <c r="AJ294" s="60"/>
      <c r="AK294" s="174"/>
      <c r="AL294" s="61" t="str">
        <f t="shared" si="221"/>
        <v xml:space="preserve"> </v>
      </c>
      <c r="AM294" s="218" t="str">
        <f t="shared" si="237"/>
        <v>-</v>
      </c>
      <c r="AN294" s="174"/>
      <c r="AO294" s="92" t="str">
        <f t="shared" si="238"/>
        <v>OK</v>
      </c>
      <c r="AP294" s="60"/>
      <c r="AQ294" s="170"/>
      <c r="AR294" s="61" t="str">
        <f t="shared" si="222"/>
        <v xml:space="preserve"> </v>
      </c>
      <c r="AS294" s="218" t="s">
        <v>593</v>
      </c>
      <c r="AT294" s="61"/>
      <c r="AU294" s="218" t="str">
        <f t="shared" si="219"/>
        <v>-</v>
      </c>
      <c r="AV294" s="60"/>
      <c r="AW294" s="174"/>
      <c r="AX294" s="61" t="str">
        <f t="shared" si="223"/>
        <v xml:space="preserve"> </v>
      </c>
      <c r="AY294" s="218" t="str">
        <f t="shared" si="239"/>
        <v>-</v>
      </c>
      <c r="AZ294" s="174"/>
      <c r="BA294" s="478" t="s">
        <v>594</v>
      </c>
      <c r="BB294" s="60"/>
      <c r="BC294" s="174"/>
      <c r="BD294" s="61" t="str">
        <f t="shared" si="224"/>
        <v xml:space="preserve"> </v>
      </c>
      <c r="BE294" s="218" t="str">
        <f t="shared" si="240"/>
        <v>-</v>
      </c>
      <c r="BF294" s="174"/>
      <c r="BG294" s="478" t="s">
        <v>594</v>
      </c>
      <c r="BH294" s="60"/>
      <c r="BI294" s="170" t="s">
        <v>38</v>
      </c>
      <c r="BJ294" s="61" t="str">
        <f t="shared" si="225"/>
        <v xml:space="preserve"> </v>
      </c>
      <c r="BK294" s="218" t="s">
        <v>593</v>
      </c>
      <c r="BL294" s="174"/>
      <c r="BM294" s="478" t="s">
        <v>594</v>
      </c>
      <c r="BN294" s="60"/>
      <c r="BO294" s="174"/>
      <c r="BP294" s="61" t="str">
        <f t="shared" si="226"/>
        <v xml:space="preserve"> </v>
      </c>
      <c r="BQ294" s="218" t="str">
        <f t="shared" si="241"/>
        <v>-</v>
      </c>
      <c r="BR294" s="174"/>
      <c r="BS294" s="478" t="s">
        <v>594</v>
      </c>
      <c r="BT294" s="60"/>
      <c r="BU294" s="170"/>
      <c r="BV294" s="61" t="str">
        <f t="shared" si="227"/>
        <v xml:space="preserve"> </v>
      </c>
      <c r="BW294" s="218" t="s">
        <v>593</v>
      </c>
      <c r="BX294" s="61"/>
      <c r="BY294" s="218" t="str">
        <f t="shared" si="242"/>
        <v>-</v>
      </c>
      <c r="BZ294" s="60"/>
      <c r="CA294" s="174"/>
      <c r="CB294" s="61" t="str">
        <f t="shared" si="228"/>
        <v xml:space="preserve"> </v>
      </c>
      <c r="CC294" s="218" t="str">
        <f t="shared" si="243"/>
        <v>-</v>
      </c>
      <c r="CD294" s="174"/>
      <c r="CE294" s="92" t="str">
        <f t="shared" si="244"/>
        <v>OK</v>
      </c>
      <c r="CF294" s="60"/>
      <c r="CG294" s="174"/>
      <c r="CH294" s="61" t="str">
        <f t="shared" si="229"/>
        <v xml:space="preserve"> </v>
      </c>
      <c r="CI294" s="218" t="str">
        <f t="shared" si="245"/>
        <v>-</v>
      </c>
      <c r="CJ294" s="174"/>
      <c r="CK294" s="92" t="str">
        <f t="shared" si="246"/>
        <v>OK</v>
      </c>
      <c r="CL294" s="60"/>
      <c r="CM294" s="174"/>
      <c r="CN294" s="61" t="str">
        <f t="shared" si="230"/>
        <v xml:space="preserve"> </v>
      </c>
      <c r="CO294" s="218" t="s">
        <v>593</v>
      </c>
      <c r="CP294" s="61"/>
      <c r="CQ294" s="218" t="str">
        <f t="shared" si="247"/>
        <v>-</v>
      </c>
      <c r="CR294" s="60"/>
      <c r="CS294" s="174"/>
      <c r="CT294" s="61" t="str">
        <f t="shared" si="231"/>
        <v xml:space="preserve"> </v>
      </c>
      <c r="CU294" s="218" t="str">
        <f t="shared" si="248"/>
        <v>-</v>
      </c>
      <c r="CV294" s="174"/>
      <c r="CW294" s="92" t="s">
        <v>593</v>
      </c>
      <c r="CX294" s="60"/>
      <c r="CY294" s="174"/>
      <c r="CZ294" s="61" t="str">
        <f t="shared" si="232"/>
        <v xml:space="preserve"> </v>
      </c>
      <c r="DA294" s="218" t="str">
        <f t="shared" si="249"/>
        <v>-</v>
      </c>
      <c r="DB294" s="174"/>
      <c r="DC294" s="92" t="s">
        <v>593</v>
      </c>
    </row>
    <row r="295" spans="2:107" s="26" customFormat="1">
      <c r="B295" s="65">
        <f t="shared" si="235"/>
        <v>288</v>
      </c>
      <c r="C295" s="7"/>
      <c r="D295" s="7"/>
      <c r="E295" s="7"/>
      <c r="F295" s="22" t="s">
        <v>166</v>
      </c>
      <c r="G295" s="16"/>
      <c r="H295" s="13"/>
      <c r="I295" s="8"/>
      <c r="J295" s="8"/>
      <c r="K295" s="8"/>
      <c r="L295" s="8"/>
      <c r="M295" s="11"/>
      <c r="N295" s="1"/>
      <c r="O295" s="57"/>
      <c r="P295" s="95">
        <f t="shared" si="250"/>
        <v>263</v>
      </c>
      <c r="Q295" s="115">
        <v>128</v>
      </c>
      <c r="R295" s="21" t="str">
        <f t="shared" si="251"/>
        <v>X</v>
      </c>
      <c r="S295" s="98" t="s">
        <v>167</v>
      </c>
      <c r="T295" s="96"/>
      <c r="U295" s="21" t="s">
        <v>435</v>
      </c>
      <c r="V295" s="10"/>
      <c r="W295" s="25">
        <v>3</v>
      </c>
      <c r="X295" s="1" t="s">
        <v>304</v>
      </c>
      <c r="Y295" s="1">
        <v>1</v>
      </c>
      <c r="Z295" s="1">
        <v>128</v>
      </c>
      <c r="AA295" s="8" t="s">
        <v>114</v>
      </c>
      <c r="AB295" s="8" t="s">
        <v>21</v>
      </c>
      <c r="AC295" s="12"/>
      <c r="AD295" s="60"/>
      <c r="AE295" s="169"/>
      <c r="AF295" s="61" t="str">
        <f t="shared" si="220"/>
        <v xml:space="preserve">                                                                                                                                </v>
      </c>
      <c r="AG295" s="218" t="str">
        <f t="shared" si="233"/>
        <v>-</v>
      </c>
      <c r="AH295" s="169"/>
      <c r="AI295" s="92" t="str">
        <f t="shared" si="236"/>
        <v>OK</v>
      </c>
      <c r="AJ295" s="60"/>
      <c r="AK295" s="169"/>
      <c r="AL295" s="61" t="str">
        <f t="shared" si="221"/>
        <v xml:space="preserve">                                                                                                                                </v>
      </c>
      <c r="AM295" s="218" t="str">
        <f t="shared" si="237"/>
        <v>-</v>
      </c>
      <c r="AN295" s="169"/>
      <c r="AO295" s="92" t="str">
        <f t="shared" si="238"/>
        <v>OK</v>
      </c>
      <c r="AP295" s="60"/>
      <c r="AQ295" s="172"/>
      <c r="AR295" s="61" t="str">
        <f t="shared" si="222"/>
        <v xml:space="preserve">                                                                                                                                </v>
      </c>
      <c r="AS295" s="218" t="s">
        <v>593</v>
      </c>
      <c r="AT295" s="61"/>
      <c r="AU295" s="218" t="str">
        <f t="shared" si="219"/>
        <v>-</v>
      </c>
      <c r="AV295" s="60"/>
      <c r="AW295" s="169"/>
      <c r="AX295" s="61" t="str">
        <f t="shared" si="223"/>
        <v xml:space="preserve">                                                                                                                                </v>
      </c>
      <c r="AY295" s="218" t="str">
        <f t="shared" si="239"/>
        <v>-</v>
      </c>
      <c r="AZ295" s="169"/>
      <c r="BA295" s="478" t="s">
        <v>594</v>
      </c>
      <c r="BB295" s="60"/>
      <c r="BC295" s="169"/>
      <c r="BD295" s="61" t="str">
        <f t="shared" si="224"/>
        <v xml:space="preserve">                                                                                                                                </v>
      </c>
      <c r="BE295" s="218" t="str">
        <f t="shared" si="240"/>
        <v>-</v>
      </c>
      <c r="BF295" s="169"/>
      <c r="BG295" s="478" t="s">
        <v>594</v>
      </c>
      <c r="BH295" s="60"/>
      <c r="BI295" s="170" t="s">
        <v>704</v>
      </c>
      <c r="BJ295" s="61" t="str">
        <f t="shared" si="225"/>
        <v xml:space="preserve">                                                                                                                                </v>
      </c>
      <c r="BK295" s="218" t="s">
        <v>593</v>
      </c>
      <c r="BL295" s="169"/>
      <c r="BM295" s="478" t="s">
        <v>594</v>
      </c>
      <c r="BN295" s="60"/>
      <c r="BO295" s="169"/>
      <c r="BP295" s="61" t="str">
        <f t="shared" si="226"/>
        <v xml:space="preserve">                                                                                                                                </v>
      </c>
      <c r="BQ295" s="218" t="str">
        <f t="shared" si="241"/>
        <v>-</v>
      </c>
      <c r="BR295" s="169"/>
      <c r="BS295" s="478" t="s">
        <v>594</v>
      </c>
      <c r="BT295" s="60"/>
      <c r="BU295" s="172"/>
      <c r="BV295" s="61" t="str">
        <f t="shared" si="227"/>
        <v xml:space="preserve">                                                                                                                                </v>
      </c>
      <c r="BW295" s="218" t="s">
        <v>593</v>
      </c>
      <c r="BX295" s="61"/>
      <c r="BY295" s="218" t="str">
        <f t="shared" si="242"/>
        <v>-</v>
      </c>
      <c r="BZ295" s="60"/>
      <c r="CA295" s="169"/>
      <c r="CB295" s="61" t="str">
        <f t="shared" si="228"/>
        <v xml:space="preserve">                                                                                                                                </v>
      </c>
      <c r="CC295" s="218" t="str">
        <f t="shared" si="243"/>
        <v>-</v>
      </c>
      <c r="CD295" s="169"/>
      <c r="CE295" s="92" t="str">
        <f t="shared" si="244"/>
        <v>OK</v>
      </c>
      <c r="CF295" s="60"/>
      <c r="CG295" s="169"/>
      <c r="CH295" s="61" t="str">
        <f t="shared" si="229"/>
        <v xml:space="preserve">                                                                                                                                </v>
      </c>
      <c r="CI295" s="218" t="str">
        <f t="shared" si="245"/>
        <v>-</v>
      </c>
      <c r="CJ295" s="169"/>
      <c r="CK295" s="92" t="str">
        <f t="shared" si="246"/>
        <v>OK</v>
      </c>
      <c r="CL295" s="60"/>
      <c r="CM295" s="169"/>
      <c r="CN295" s="61" t="str">
        <f t="shared" si="230"/>
        <v xml:space="preserve">                                                                                                                                </v>
      </c>
      <c r="CO295" s="218" t="s">
        <v>593</v>
      </c>
      <c r="CP295" s="61"/>
      <c r="CQ295" s="218" t="str">
        <f t="shared" si="247"/>
        <v>-</v>
      </c>
      <c r="CR295" s="60"/>
      <c r="CS295" s="169"/>
      <c r="CT295" s="61" t="str">
        <f t="shared" si="231"/>
        <v xml:space="preserve">                                                                                                                                </v>
      </c>
      <c r="CU295" s="218" t="str">
        <f t="shared" si="248"/>
        <v>-</v>
      </c>
      <c r="CV295" s="169"/>
      <c r="CW295" s="92" t="s">
        <v>593</v>
      </c>
      <c r="CX295" s="60"/>
      <c r="CY295" s="169"/>
      <c r="CZ295" s="61" t="str">
        <f t="shared" si="232"/>
        <v xml:space="preserve">                                                                                                                                </v>
      </c>
      <c r="DA295" s="218" t="str">
        <f t="shared" si="249"/>
        <v>-</v>
      </c>
      <c r="DB295" s="169"/>
      <c r="DC295" s="92" t="s">
        <v>593</v>
      </c>
    </row>
    <row r="296" spans="2:107" s="26" customFormat="1" ht="114.75">
      <c r="B296" s="65">
        <f t="shared" si="235"/>
        <v>289</v>
      </c>
      <c r="C296" s="7"/>
      <c r="D296" s="7"/>
      <c r="E296" s="7"/>
      <c r="F296" s="22" t="s">
        <v>168</v>
      </c>
      <c r="G296" s="16"/>
      <c r="H296" s="13"/>
      <c r="I296" s="8"/>
      <c r="J296" s="8"/>
      <c r="K296" s="8"/>
      <c r="L296" s="8"/>
      <c r="M296" s="11" t="s">
        <v>399</v>
      </c>
      <c r="N296" s="1"/>
      <c r="O296" s="57"/>
      <c r="P296" s="95">
        <f t="shared" si="250"/>
        <v>264</v>
      </c>
      <c r="Q296" s="115">
        <v>1</v>
      </c>
      <c r="R296" s="21" t="str">
        <f t="shared" si="251"/>
        <v>X</v>
      </c>
      <c r="S296" s="98" t="s">
        <v>169</v>
      </c>
      <c r="T296" s="96"/>
      <c r="U296" s="21" t="s">
        <v>435</v>
      </c>
      <c r="V296" s="10"/>
      <c r="W296" s="25">
        <v>3</v>
      </c>
      <c r="X296" s="1" t="s">
        <v>305</v>
      </c>
      <c r="Y296" s="1">
        <v>1</v>
      </c>
      <c r="Z296" s="1">
        <v>1</v>
      </c>
      <c r="AA296" s="8" t="s">
        <v>114</v>
      </c>
      <c r="AB296" s="8" t="s">
        <v>21</v>
      </c>
      <c r="AC296" s="104"/>
      <c r="AD296" s="60"/>
      <c r="AE296" s="174"/>
      <c r="AF296" s="61" t="str">
        <f t="shared" si="220"/>
        <v xml:space="preserve"> </v>
      </c>
      <c r="AG296" s="218" t="str">
        <f t="shared" si="233"/>
        <v>-</v>
      </c>
      <c r="AH296" s="174"/>
      <c r="AI296" s="92" t="str">
        <f t="shared" si="236"/>
        <v>OK</v>
      </c>
      <c r="AJ296" s="60"/>
      <c r="AK296" s="174"/>
      <c r="AL296" s="61" t="str">
        <f t="shared" si="221"/>
        <v xml:space="preserve"> </v>
      </c>
      <c r="AM296" s="218" t="str">
        <f t="shared" si="237"/>
        <v>-</v>
      </c>
      <c r="AN296" s="174"/>
      <c r="AO296" s="92" t="str">
        <f t="shared" si="238"/>
        <v>OK</v>
      </c>
      <c r="AP296" s="60"/>
      <c r="AQ296" s="170"/>
      <c r="AR296" s="61" t="str">
        <f t="shared" si="222"/>
        <v xml:space="preserve"> </v>
      </c>
      <c r="AS296" s="218" t="s">
        <v>593</v>
      </c>
      <c r="AT296" s="61"/>
      <c r="AU296" s="218" t="str">
        <f t="shared" si="219"/>
        <v>-</v>
      </c>
      <c r="AV296" s="60"/>
      <c r="AW296" s="174"/>
      <c r="AX296" s="61" t="str">
        <f t="shared" si="223"/>
        <v xml:space="preserve"> </v>
      </c>
      <c r="AY296" s="218" t="str">
        <f t="shared" si="239"/>
        <v>-</v>
      </c>
      <c r="AZ296" s="174"/>
      <c r="BA296" s="478" t="s">
        <v>594</v>
      </c>
      <c r="BB296" s="60"/>
      <c r="BC296" s="174"/>
      <c r="BD296" s="61" t="str">
        <f t="shared" si="224"/>
        <v xml:space="preserve"> </v>
      </c>
      <c r="BE296" s="218" t="str">
        <f t="shared" si="240"/>
        <v>-</v>
      </c>
      <c r="BF296" s="174"/>
      <c r="BG296" s="478" t="s">
        <v>594</v>
      </c>
      <c r="BH296" s="60"/>
      <c r="BI296" s="170" t="s">
        <v>38</v>
      </c>
      <c r="BJ296" s="61" t="str">
        <f t="shared" si="225"/>
        <v xml:space="preserve"> </v>
      </c>
      <c r="BK296" s="218" t="s">
        <v>593</v>
      </c>
      <c r="BL296" s="174"/>
      <c r="BM296" s="478" t="s">
        <v>594</v>
      </c>
      <c r="BN296" s="60"/>
      <c r="BO296" s="174"/>
      <c r="BP296" s="61" t="str">
        <f t="shared" si="226"/>
        <v xml:space="preserve"> </v>
      </c>
      <c r="BQ296" s="218" t="str">
        <f t="shared" si="241"/>
        <v>-</v>
      </c>
      <c r="BR296" s="174"/>
      <c r="BS296" s="478" t="s">
        <v>594</v>
      </c>
      <c r="BT296" s="60"/>
      <c r="BU296" s="170"/>
      <c r="BV296" s="61" t="str">
        <f t="shared" si="227"/>
        <v xml:space="preserve"> </v>
      </c>
      <c r="BW296" s="218" t="s">
        <v>593</v>
      </c>
      <c r="BX296" s="61"/>
      <c r="BY296" s="218" t="str">
        <f t="shared" si="242"/>
        <v>-</v>
      </c>
      <c r="BZ296" s="60"/>
      <c r="CA296" s="174"/>
      <c r="CB296" s="61" t="str">
        <f t="shared" si="228"/>
        <v xml:space="preserve"> </v>
      </c>
      <c r="CC296" s="218" t="str">
        <f t="shared" si="243"/>
        <v>-</v>
      </c>
      <c r="CD296" s="174"/>
      <c r="CE296" s="92" t="str">
        <f t="shared" si="244"/>
        <v>OK</v>
      </c>
      <c r="CF296" s="60"/>
      <c r="CG296" s="174"/>
      <c r="CH296" s="61" t="str">
        <f t="shared" si="229"/>
        <v xml:space="preserve"> </v>
      </c>
      <c r="CI296" s="218" t="str">
        <f t="shared" si="245"/>
        <v>-</v>
      </c>
      <c r="CJ296" s="174"/>
      <c r="CK296" s="92" t="str">
        <f t="shared" si="246"/>
        <v>OK</v>
      </c>
      <c r="CL296" s="60"/>
      <c r="CM296" s="174"/>
      <c r="CN296" s="61" t="str">
        <f t="shared" si="230"/>
        <v xml:space="preserve"> </v>
      </c>
      <c r="CO296" s="218" t="s">
        <v>593</v>
      </c>
      <c r="CP296" s="61"/>
      <c r="CQ296" s="218" t="str">
        <f t="shared" si="247"/>
        <v>-</v>
      </c>
      <c r="CR296" s="60"/>
      <c r="CS296" s="174"/>
      <c r="CT296" s="61" t="str">
        <f t="shared" si="231"/>
        <v xml:space="preserve"> </v>
      </c>
      <c r="CU296" s="218" t="str">
        <f t="shared" si="248"/>
        <v>-</v>
      </c>
      <c r="CV296" s="174"/>
      <c r="CW296" s="92" t="s">
        <v>593</v>
      </c>
      <c r="CX296" s="60"/>
      <c r="CY296" s="174"/>
      <c r="CZ296" s="61" t="str">
        <f t="shared" si="232"/>
        <v xml:space="preserve"> </v>
      </c>
      <c r="DA296" s="218" t="str">
        <f t="shared" si="249"/>
        <v>-</v>
      </c>
      <c r="DB296" s="174"/>
      <c r="DC296" s="92" t="s">
        <v>593</v>
      </c>
    </row>
    <row r="297" spans="2:107" s="26" customFormat="1" ht="127.5">
      <c r="B297" s="65">
        <f t="shared" si="235"/>
        <v>290</v>
      </c>
      <c r="C297" s="7"/>
      <c r="D297" s="7"/>
      <c r="E297" s="7"/>
      <c r="F297" s="22" t="s">
        <v>170</v>
      </c>
      <c r="G297" s="16"/>
      <c r="H297" s="13"/>
      <c r="I297" s="8"/>
      <c r="J297" s="8" t="s">
        <v>426</v>
      </c>
      <c r="K297" s="8"/>
      <c r="L297" s="8"/>
      <c r="M297" s="418" t="s">
        <v>451</v>
      </c>
      <c r="N297" s="1"/>
      <c r="O297" s="57"/>
      <c r="P297" s="95">
        <f t="shared" si="250"/>
        <v>265</v>
      </c>
      <c r="Q297" s="115">
        <v>1</v>
      </c>
      <c r="R297" s="21" t="str">
        <f t="shared" si="251"/>
        <v>X</v>
      </c>
      <c r="S297" s="98" t="s">
        <v>171</v>
      </c>
      <c r="T297" s="96"/>
      <c r="U297" s="21" t="s">
        <v>435</v>
      </c>
      <c r="V297" s="10"/>
      <c r="W297" s="25">
        <v>3</v>
      </c>
      <c r="X297" s="1" t="s">
        <v>306</v>
      </c>
      <c r="Y297" s="1">
        <v>1</v>
      </c>
      <c r="Z297" s="1">
        <v>1</v>
      </c>
      <c r="AA297" s="8" t="s">
        <v>114</v>
      </c>
      <c r="AB297" s="8" t="s">
        <v>21</v>
      </c>
      <c r="AC297" s="104"/>
      <c r="AD297" s="60"/>
      <c r="AE297" s="174"/>
      <c r="AF297" s="61" t="str">
        <f t="shared" si="220"/>
        <v xml:space="preserve"> </v>
      </c>
      <c r="AG297" s="218" t="str">
        <f t="shared" si="233"/>
        <v>-</v>
      </c>
      <c r="AH297" s="174"/>
      <c r="AI297" s="92" t="str">
        <f t="shared" si="236"/>
        <v>OK</v>
      </c>
      <c r="AJ297" s="60"/>
      <c r="AK297" s="174"/>
      <c r="AL297" s="61" t="str">
        <f t="shared" si="221"/>
        <v xml:space="preserve"> </v>
      </c>
      <c r="AM297" s="218" t="str">
        <f t="shared" si="237"/>
        <v>-</v>
      </c>
      <c r="AN297" s="174"/>
      <c r="AO297" s="92" t="str">
        <f t="shared" si="238"/>
        <v>OK</v>
      </c>
      <c r="AP297" s="60"/>
      <c r="AQ297" s="170"/>
      <c r="AR297" s="61" t="str">
        <f t="shared" si="222"/>
        <v xml:space="preserve"> </v>
      </c>
      <c r="AS297" s="218" t="s">
        <v>593</v>
      </c>
      <c r="AT297" s="61"/>
      <c r="AU297" s="218" t="str">
        <f t="shared" si="219"/>
        <v>-</v>
      </c>
      <c r="AV297" s="60"/>
      <c r="AW297" s="174" t="s">
        <v>33</v>
      </c>
      <c r="AX297" s="61" t="str">
        <f t="shared" si="223"/>
        <v>1</v>
      </c>
      <c r="AY297" s="218" t="str">
        <f t="shared" si="239"/>
        <v>-</v>
      </c>
      <c r="AZ297" s="174" t="s">
        <v>33</v>
      </c>
      <c r="BA297" s="478" t="s">
        <v>594</v>
      </c>
      <c r="BB297" s="60"/>
      <c r="BC297" s="174" t="s">
        <v>33</v>
      </c>
      <c r="BD297" s="61" t="str">
        <f t="shared" si="224"/>
        <v>1</v>
      </c>
      <c r="BE297" s="218" t="str">
        <f t="shared" si="240"/>
        <v>-</v>
      </c>
      <c r="BF297" s="174" t="s">
        <v>33</v>
      </c>
      <c r="BG297" s="478" t="s">
        <v>594</v>
      </c>
      <c r="BH297" s="60"/>
      <c r="BI297" s="170" t="s">
        <v>33</v>
      </c>
      <c r="BJ297" s="61" t="str">
        <f t="shared" si="225"/>
        <v>1</v>
      </c>
      <c r="BK297" s="218" t="s">
        <v>593</v>
      </c>
      <c r="BL297" s="174" t="s">
        <v>33</v>
      </c>
      <c r="BM297" s="478" t="s">
        <v>594</v>
      </c>
      <c r="BN297" s="60"/>
      <c r="BO297" s="174" t="s">
        <v>33</v>
      </c>
      <c r="BP297" s="61" t="str">
        <f t="shared" si="226"/>
        <v>1</v>
      </c>
      <c r="BQ297" s="218" t="str">
        <f t="shared" si="241"/>
        <v>-</v>
      </c>
      <c r="BR297" s="174" t="s">
        <v>33</v>
      </c>
      <c r="BS297" s="478" t="s">
        <v>594</v>
      </c>
      <c r="BT297" s="60"/>
      <c r="BU297" s="170"/>
      <c r="BV297" s="61" t="str">
        <f t="shared" si="227"/>
        <v xml:space="preserve"> </v>
      </c>
      <c r="BW297" s="218" t="s">
        <v>593</v>
      </c>
      <c r="BX297" s="61"/>
      <c r="BY297" s="218" t="str">
        <f t="shared" si="242"/>
        <v>-</v>
      </c>
      <c r="BZ297" s="60"/>
      <c r="CA297" s="174"/>
      <c r="CB297" s="61" t="str">
        <f t="shared" si="228"/>
        <v xml:space="preserve"> </v>
      </c>
      <c r="CC297" s="218" t="str">
        <f t="shared" si="243"/>
        <v>-</v>
      </c>
      <c r="CD297" s="174"/>
      <c r="CE297" s="92" t="str">
        <f t="shared" si="244"/>
        <v>OK</v>
      </c>
      <c r="CF297" s="60"/>
      <c r="CG297" s="174"/>
      <c r="CH297" s="61" t="str">
        <f t="shared" si="229"/>
        <v xml:space="preserve"> </v>
      </c>
      <c r="CI297" s="218" t="str">
        <f t="shared" si="245"/>
        <v>-</v>
      </c>
      <c r="CJ297" s="174"/>
      <c r="CK297" s="92" t="str">
        <f t="shared" si="246"/>
        <v>OK</v>
      </c>
      <c r="CL297" s="60"/>
      <c r="CM297" s="174"/>
      <c r="CN297" s="61" t="str">
        <f t="shared" si="230"/>
        <v xml:space="preserve"> </v>
      </c>
      <c r="CO297" s="218" t="s">
        <v>593</v>
      </c>
      <c r="CP297" s="61"/>
      <c r="CQ297" s="218" t="str">
        <f t="shared" si="247"/>
        <v>-</v>
      </c>
      <c r="CR297" s="60"/>
      <c r="CS297" s="174"/>
      <c r="CT297" s="61" t="str">
        <f t="shared" si="231"/>
        <v xml:space="preserve"> </v>
      </c>
      <c r="CU297" s="218" t="str">
        <f t="shared" si="248"/>
        <v>-</v>
      </c>
      <c r="CV297" s="174"/>
      <c r="CW297" s="92" t="s">
        <v>593</v>
      </c>
      <c r="CX297" s="60"/>
      <c r="CY297" s="174"/>
      <c r="CZ297" s="61" t="str">
        <f t="shared" si="232"/>
        <v xml:space="preserve"> </v>
      </c>
      <c r="DA297" s="218" t="str">
        <f t="shared" si="249"/>
        <v>-</v>
      </c>
      <c r="DB297" s="174"/>
      <c r="DC297" s="92" t="s">
        <v>593</v>
      </c>
    </row>
    <row r="298" spans="2:107" s="26" customFormat="1" ht="319.5" customHeight="1">
      <c r="B298" s="65">
        <f t="shared" si="235"/>
        <v>291</v>
      </c>
      <c r="C298" s="7"/>
      <c r="D298" s="7"/>
      <c r="E298" s="54"/>
      <c r="F298" s="113" t="s">
        <v>452</v>
      </c>
      <c r="G298" s="67"/>
      <c r="H298" s="62"/>
      <c r="I298" s="8"/>
      <c r="J298" s="8" t="s">
        <v>426</v>
      </c>
      <c r="K298" s="8"/>
      <c r="L298" s="8"/>
      <c r="M298" s="415" t="s">
        <v>453</v>
      </c>
      <c r="N298" s="16"/>
      <c r="O298" s="57"/>
      <c r="P298" s="95">
        <f t="shared" si="250"/>
        <v>266</v>
      </c>
      <c r="Q298" s="115">
        <v>2</v>
      </c>
      <c r="R298" s="21" t="str">
        <f t="shared" si="251"/>
        <v>X</v>
      </c>
      <c r="S298" s="98" t="s">
        <v>172</v>
      </c>
      <c r="T298" s="96"/>
      <c r="U298" s="21" t="s">
        <v>435</v>
      </c>
      <c r="V298" s="10"/>
      <c r="W298" s="25">
        <v>3</v>
      </c>
      <c r="X298" s="1" t="s">
        <v>308</v>
      </c>
      <c r="Y298" s="1">
        <v>2</v>
      </c>
      <c r="Z298" s="1">
        <v>2</v>
      </c>
      <c r="AA298" s="8" t="s">
        <v>261</v>
      </c>
      <c r="AB298" s="8" t="s">
        <v>257</v>
      </c>
      <c r="AC298" s="68"/>
      <c r="AD298" s="60"/>
      <c r="AE298" s="174"/>
      <c r="AF298" s="273" t="str">
        <f t="shared" si="220"/>
        <v xml:space="preserve">  </v>
      </c>
      <c r="AG298" s="218" t="str">
        <f t="shared" si="233"/>
        <v>-</v>
      </c>
      <c r="AH298" s="174"/>
      <c r="AI298" s="92" t="str">
        <f t="shared" si="236"/>
        <v>OK</v>
      </c>
      <c r="AJ298" s="60"/>
      <c r="AK298" s="174"/>
      <c r="AL298" s="273" t="str">
        <f t="shared" si="221"/>
        <v xml:space="preserve">  </v>
      </c>
      <c r="AM298" s="218" t="str">
        <f t="shared" si="237"/>
        <v>-</v>
      </c>
      <c r="AN298" s="174"/>
      <c r="AO298" s="92" t="str">
        <f t="shared" si="238"/>
        <v>OK</v>
      </c>
      <c r="AP298" s="60"/>
      <c r="AQ298" s="170"/>
      <c r="AR298" s="273" t="str">
        <f t="shared" si="222"/>
        <v xml:space="preserve">  </v>
      </c>
      <c r="AS298" s="218" t="s">
        <v>593</v>
      </c>
      <c r="AT298" s="273"/>
      <c r="AU298" s="218" t="str">
        <f t="shared" si="219"/>
        <v>-</v>
      </c>
      <c r="AV298" s="60"/>
      <c r="AW298" s="174" t="s">
        <v>225</v>
      </c>
      <c r="AX298" s="273" t="str">
        <f t="shared" si="223"/>
        <v>H2</v>
      </c>
      <c r="AY298" s="218" t="str">
        <f t="shared" si="239"/>
        <v>-</v>
      </c>
      <c r="AZ298" s="174" t="s">
        <v>225</v>
      </c>
      <c r="BA298" s="92" t="str">
        <f>IF(EXACT(AW298,AZ298),"OK","NG")</f>
        <v>OK</v>
      </c>
      <c r="BB298" s="60"/>
      <c r="BC298" s="174" t="s">
        <v>204</v>
      </c>
      <c r="BD298" s="273" t="str">
        <f t="shared" si="224"/>
        <v>G1</v>
      </c>
      <c r="BE298" s="218" t="str">
        <f t="shared" si="240"/>
        <v>-</v>
      </c>
      <c r="BF298" s="174" t="s">
        <v>204</v>
      </c>
      <c r="BG298" s="92" t="str">
        <f>IF(EXACT(BC298,BF298),"OK","NG")</f>
        <v>OK</v>
      </c>
      <c r="BH298" s="60"/>
      <c r="BI298" s="170" t="s">
        <v>225</v>
      </c>
      <c r="BJ298" s="273" t="str">
        <f t="shared" si="225"/>
        <v>H2</v>
      </c>
      <c r="BK298" s="218" t="s">
        <v>593</v>
      </c>
      <c r="BL298" s="174" t="s">
        <v>225</v>
      </c>
      <c r="BM298" s="92" t="str">
        <f>IF(EXACT(BI298,BL298),"OK","NG")</f>
        <v>OK</v>
      </c>
      <c r="BN298" s="60"/>
      <c r="BO298" s="174" t="s">
        <v>204</v>
      </c>
      <c r="BP298" s="273" t="str">
        <f t="shared" si="226"/>
        <v>G1</v>
      </c>
      <c r="BQ298" s="218" t="str">
        <f t="shared" si="241"/>
        <v>-</v>
      </c>
      <c r="BR298" s="174" t="s">
        <v>204</v>
      </c>
      <c r="BS298" s="92" t="str">
        <f>IF(EXACT(BO298,BR298),"OK","NG")</f>
        <v>OK</v>
      </c>
      <c r="BT298" s="60"/>
      <c r="BU298" s="170"/>
      <c r="BV298" s="273" t="str">
        <f t="shared" si="227"/>
        <v xml:space="preserve">  </v>
      </c>
      <c r="BW298" s="218" t="s">
        <v>593</v>
      </c>
      <c r="BX298" s="273"/>
      <c r="BY298" s="218" t="str">
        <f t="shared" si="242"/>
        <v>-</v>
      </c>
      <c r="BZ298" s="60"/>
      <c r="CA298" s="174"/>
      <c r="CB298" s="273" t="str">
        <f t="shared" si="228"/>
        <v xml:space="preserve">  </v>
      </c>
      <c r="CC298" s="218" t="str">
        <f t="shared" si="243"/>
        <v>-</v>
      </c>
      <c r="CD298" s="174"/>
      <c r="CE298" s="92" t="str">
        <f t="shared" si="244"/>
        <v>OK</v>
      </c>
      <c r="CF298" s="60"/>
      <c r="CG298" s="174"/>
      <c r="CH298" s="273" t="str">
        <f t="shared" si="229"/>
        <v xml:space="preserve">  </v>
      </c>
      <c r="CI298" s="218" t="str">
        <f t="shared" si="245"/>
        <v>-</v>
      </c>
      <c r="CJ298" s="174"/>
      <c r="CK298" s="92" t="str">
        <f t="shared" si="246"/>
        <v>OK</v>
      </c>
      <c r="CL298" s="60"/>
      <c r="CM298" s="174"/>
      <c r="CN298" s="273" t="str">
        <f t="shared" si="230"/>
        <v xml:space="preserve">  </v>
      </c>
      <c r="CO298" s="218" t="s">
        <v>593</v>
      </c>
      <c r="CP298" s="273"/>
      <c r="CQ298" s="218" t="str">
        <f t="shared" si="247"/>
        <v>-</v>
      </c>
      <c r="CR298" s="60"/>
      <c r="CS298" s="174"/>
      <c r="CT298" s="273" t="str">
        <f t="shared" si="231"/>
        <v xml:space="preserve">  </v>
      </c>
      <c r="CU298" s="218" t="str">
        <f t="shared" si="248"/>
        <v>-</v>
      </c>
      <c r="CV298" s="174"/>
      <c r="CW298" s="92" t="s">
        <v>593</v>
      </c>
      <c r="CX298" s="60"/>
      <c r="CY298" s="174"/>
      <c r="CZ298" s="273" t="str">
        <f t="shared" si="232"/>
        <v xml:space="preserve">  </v>
      </c>
      <c r="DA298" s="218" t="str">
        <f t="shared" si="249"/>
        <v>-</v>
      </c>
      <c r="DB298" s="174"/>
      <c r="DC298" s="92" t="s">
        <v>593</v>
      </c>
    </row>
    <row r="299" spans="2:107" s="26" customFormat="1" ht="25.5">
      <c r="B299" s="65">
        <f t="shared" si="235"/>
        <v>292</v>
      </c>
      <c r="C299" s="7"/>
      <c r="D299" s="7"/>
      <c r="E299" s="54"/>
      <c r="F299" s="66" t="s">
        <v>173</v>
      </c>
      <c r="G299" s="67"/>
      <c r="H299" s="62"/>
      <c r="I299" s="8"/>
      <c r="J299" s="8"/>
      <c r="K299" s="8"/>
      <c r="L299" s="8"/>
      <c r="M299" s="11" t="s">
        <v>354</v>
      </c>
      <c r="N299" s="16"/>
      <c r="O299" s="57"/>
      <c r="P299" s="95">
        <f t="shared" si="250"/>
        <v>267</v>
      </c>
      <c r="Q299" s="115">
        <v>7</v>
      </c>
      <c r="R299" s="21" t="str">
        <f t="shared" si="251"/>
        <v>X</v>
      </c>
      <c r="S299" s="98" t="s">
        <v>174</v>
      </c>
      <c r="T299" s="96"/>
      <c r="U299" s="21" t="s">
        <v>257</v>
      </c>
      <c r="V299" s="10"/>
      <c r="W299" s="25">
        <v>3</v>
      </c>
      <c r="X299" s="1" t="s">
        <v>309</v>
      </c>
      <c r="Y299" s="1">
        <v>7</v>
      </c>
      <c r="Z299" s="1">
        <v>7</v>
      </c>
      <c r="AA299" s="8" t="s">
        <v>261</v>
      </c>
      <c r="AB299" s="8" t="s">
        <v>257</v>
      </c>
      <c r="AC299" s="105"/>
      <c r="AD299" s="60"/>
      <c r="AE299" s="169"/>
      <c r="AF299" s="61" t="str">
        <f t="shared" si="220"/>
        <v xml:space="preserve">       </v>
      </c>
      <c r="AG299" s="218" t="str">
        <f t="shared" si="233"/>
        <v>-</v>
      </c>
      <c r="AH299" s="169"/>
      <c r="AI299" s="92" t="str">
        <f t="shared" si="236"/>
        <v>OK</v>
      </c>
      <c r="AJ299" s="60"/>
      <c r="AK299" s="169"/>
      <c r="AL299" s="61" t="str">
        <f t="shared" si="221"/>
        <v xml:space="preserve">       </v>
      </c>
      <c r="AM299" s="218" t="str">
        <f t="shared" si="237"/>
        <v>-</v>
      </c>
      <c r="AN299" s="169"/>
      <c r="AO299" s="92" t="str">
        <f t="shared" si="238"/>
        <v>OK</v>
      </c>
      <c r="AP299" s="60"/>
      <c r="AQ299" s="172"/>
      <c r="AR299" s="61" t="str">
        <f t="shared" si="222"/>
        <v xml:space="preserve">       </v>
      </c>
      <c r="AS299" s="218" t="s">
        <v>593</v>
      </c>
      <c r="AT299" s="61"/>
      <c r="AU299" s="218" t="str">
        <f t="shared" si="219"/>
        <v>-</v>
      </c>
      <c r="AV299" s="60"/>
      <c r="AW299" s="169"/>
      <c r="AX299" s="61" t="str">
        <f t="shared" si="223"/>
        <v xml:space="preserve">       </v>
      </c>
      <c r="AY299" s="218" t="str">
        <f t="shared" si="239"/>
        <v>-</v>
      </c>
      <c r="AZ299" s="169"/>
      <c r="BA299" s="478" t="s">
        <v>594</v>
      </c>
      <c r="BB299" s="60"/>
      <c r="BC299" s="169"/>
      <c r="BD299" s="61" t="str">
        <f t="shared" si="224"/>
        <v xml:space="preserve">       </v>
      </c>
      <c r="BE299" s="218" t="str">
        <f t="shared" si="240"/>
        <v>-</v>
      </c>
      <c r="BF299" s="169"/>
      <c r="BG299" s="478" t="s">
        <v>594</v>
      </c>
      <c r="BH299" s="60"/>
      <c r="BI299" s="170" t="s">
        <v>705</v>
      </c>
      <c r="BJ299" s="61" t="str">
        <f t="shared" si="225"/>
        <v xml:space="preserve">       </v>
      </c>
      <c r="BK299" s="218" t="s">
        <v>593</v>
      </c>
      <c r="BL299" s="169"/>
      <c r="BM299" s="478" t="s">
        <v>594</v>
      </c>
      <c r="BN299" s="60"/>
      <c r="BO299" s="169"/>
      <c r="BP299" s="61" t="str">
        <f t="shared" si="226"/>
        <v xml:space="preserve">       </v>
      </c>
      <c r="BQ299" s="218" t="str">
        <f t="shared" si="241"/>
        <v>-</v>
      </c>
      <c r="BR299" s="169"/>
      <c r="BS299" s="478" t="s">
        <v>594</v>
      </c>
      <c r="BT299" s="60"/>
      <c r="BU299" s="172"/>
      <c r="BV299" s="61" t="str">
        <f t="shared" si="227"/>
        <v xml:space="preserve">       </v>
      </c>
      <c r="BW299" s="218" t="s">
        <v>593</v>
      </c>
      <c r="BX299" s="61"/>
      <c r="BY299" s="218" t="str">
        <f t="shared" si="242"/>
        <v>-</v>
      </c>
      <c r="BZ299" s="60"/>
      <c r="CA299" s="169"/>
      <c r="CB299" s="61" t="str">
        <f t="shared" si="228"/>
        <v xml:space="preserve">       </v>
      </c>
      <c r="CC299" s="218" t="str">
        <f t="shared" si="243"/>
        <v>-</v>
      </c>
      <c r="CD299" s="169"/>
      <c r="CE299" s="92" t="str">
        <f t="shared" si="244"/>
        <v>OK</v>
      </c>
      <c r="CF299" s="60"/>
      <c r="CG299" s="169"/>
      <c r="CH299" s="61" t="str">
        <f t="shared" si="229"/>
        <v xml:space="preserve">       </v>
      </c>
      <c r="CI299" s="218" t="str">
        <f t="shared" si="245"/>
        <v>-</v>
      </c>
      <c r="CJ299" s="169"/>
      <c r="CK299" s="92" t="str">
        <f t="shared" si="246"/>
        <v>OK</v>
      </c>
      <c r="CL299" s="60"/>
      <c r="CM299" s="169"/>
      <c r="CN299" s="61" t="str">
        <f t="shared" si="230"/>
        <v xml:space="preserve">       </v>
      </c>
      <c r="CO299" s="218" t="s">
        <v>593</v>
      </c>
      <c r="CP299" s="61"/>
      <c r="CQ299" s="218" t="str">
        <f t="shared" si="247"/>
        <v>-</v>
      </c>
      <c r="CR299" s="60"/>
      <c r="CS299" s="169"/>
      <c r="CT299" s="61" t="str">
        <f t="shared" si="231"/>
        <v xml:space="preserve">       </v>
      </c>
      <c r="CU299" s="218" t="str">
        <f t="shared" si="248"/>
        <v>-</v>
      </c>
      <c r="CV299" s="169"/>
      <c r="CW299" s="92" t="s">
        <v>593</v>
      </c>
      <c r="CX299" s="60"/>
      <c r="CY299" s="169"/>
      <c r="CZ299" s="61" t="str">
        <f t="shared" si="232"/>
        <v xml:space="preserve">       </v>
      </c>
      <c r="DA299" s="218" t="str">
        <f t="shared" si="249"/>
        <v>-</v>
      </c>
      <c r="DB299" s="169"/>
      <c r="DC299" s="92" t="s">
        <v>593</v>
      </c>
    </row>
    <row r="300" spans="2:107" s="81" customFormat="1" ht="25.5">
      <c r="B300" s="65">
        <f t="shared" si="235"/>
        <v>293</v>
      </c>
      <c r="C300" s="69"/>
      <c r="D300" s="69"/>
      <c r="E300" s="70"/>
      <c r="F300" s="71" t="s">
        <v>355</v>
      </c>
      <c r="G300" s="72"/>
      <c r="H300" s="73"/>
      <c r="I300" s="74"/>
      <c r="J300" s="74"/>
      <c r="K300" s="75"/>
      <c r="L300" s="75"/>
      <c r="M300" s="84" t="s">
        <v>354</v>
      </c>
      <c r="N300" s="76"/>
      <c r="O300" s="77"/>
      <c r="P300" s="95">
        <f t="shared" si="250"/>
        <v>268</v>
      </c>
      <c r="Q300" s="119">
        <v>10</v>
      </c>
      <c r="R300" s="21" t="str">
        <f t="shared" si="251"/>
        <v>X</v>
      </c>
      <c r="S300" s="98" t="s">
        <v>175</v>
      </c>
      <c r="T300" s="106"/>
      <c r="U300" s="21" t="s">
        <v>257</v>
      </c>
      <c r="V300" s="77"/>
      <c r="W300" s="78">
        <v>3</v>
      </c>
      <c r="X300" s="56" t="s">
        <v>176</v>
      </c>
      <c r="Y300" s="56">
        <v>10</v>
      </c>
      <c r="Z300" s="56">
        <v>10</v>
      </c>
      <c r="AA300" s="74" t="s">
        <v>114</v>
      </c>
      <c r="AB300" s="74" t="s">
        <v>21</v>
      </c>
      <c r="AC300" s="105"/>
      <c r="AD300" s="79"/>
      <c r="AE300" s="481"/>
      <c r="AF300" s="80" t="str">
        <f t="shared" si="220"/>
        <v xml:space="preserve">          </v>
      </c>
      <c r="AG300" s="218" t="str">
        <f t="shared" si="233"/>
        <v>-</v>
      </c>
      <c r="AH300" s="274"/>
      <c r="AI300" s="92" t="str">
        <f t="shared" si="236"/>
        <v>OK</v>
      </c>
      <c r="AJ300" s="79"/>
      <c r="AK300" s="481"/>
      <c r="AL300" s="80" t="str">
        <f t="shared" si="221"/>
        <v xml:space="preserve">          </v>
      </c>
      <c r="AM300" s="218" t="str">
        <f t="shared" si="237"/>
        <v>-</v>
      </c>
      <c r="AN300" s="274"/>
      <c r="AO300" s="92" t="str">
        <f t="shared" si="238"/>
        <v>OK</v>
      </c>
      <c r="AP300" s="79"/>
      <c r="AQ300" s="512"/>
      <c r="AR300" s="80" t="str">
        <f t="shared" si="222"/>
        <v xml:space="preserve">          </v>
      </c>
      <c r="AS300" s="218" t="s">
        <v>593</v>
      </c>
      <c r="AT300" s="80"/>
      <c r="AU300" s="218" t="str">
        <f t="shared" si="219"/>
        <v>-</v>
      </c>
      <c r="AV300" s="79"/>
      <c r="AW300" s="481"/>
      <c r="AX300" s="80" t="str">
        <f t="shared" si="223"/>
        <v xml:space="preserve">          </v>
      </c>
      <c r="AY300" s="218" t="str">
        <f t="shared" si="239"/>
        <v>-</v>
      </c>
      <c r="AZ300" s="274"/>
      <c r="BA300" s="478" t="s">
        <v>594</v>
      </c>
      <c r="BB300" s="79"/>
      <c r="BC300" s="481"/>
      <c r="BD300" s="80" t="str">
        <f t="shared" si="224"/>
        <v xml:space="preserve">          </v>
      </c>
      <c r="BE300" s="218" t="str">
        <f t="shared" si="240"/>
        <v>-</v>
      </c>
      <c r="BF300" s="274"/>
      <c r="BG300" s="478" t="s">
        <v>594</v>
      </c>
      <c r="BH300" s="79"/>
      <c r="BI300" s="508" t="s">
        <v>706</v>
      </c>
      <c r="BJ300" s="80" t="str">
        <f t="shared" si="225"/>
        <v xml:space="preserve">          </v>
      </c>
      <c r="BK300" s="218" t="s">
        <v>593</v>
      </c>
      <c r="BL300" s="274"/>
      <c r="BM300" s="478" t="s">
        <v>594</v>
      </c>
      <c r="BN300" s="79"/>
      <c r="BO300" s="481"/>
      <c r="BP300" s="80" t="str">
        <f t="shared" si="226"/>
        <v xml:space="preserve">          </v>
      </c>
      <c r="BQ300" s="218" t="str">
        <f t="shared" si="241"/>
        <v>-</v>
      </c>
      <c r="BR300" s="274"/>
      <c r="BS300" s="478" t="s">
        <v>594</v>
      </c>
      <c r="BT300" s="79"/>
      <c r="BU300" s="512"/>
      <c r="BV300" s="80" t="str">
        <f t="shared" si="227"/>
        <v xml:space="preserve">          </v>
      </c>
      <c r="BW300" s="218" t="s">
        <v>593</v>
      </c>
      <c r="BX300" s="80"/>
      <c r="BY300" s="218" t="str">
        <f t="shared" si="242"/>
        <v>-</v>
      </c>
      <c r="BZ300" s="79"/>
      <c r="CA300" s="481"/>
      <c r="CB300" s="80" t="str">
        <f t="shared" si="228"/>
        <v xml:space="preserve">          </v>
      </c>
      <c r="CC300" s="218" t="str">
        <f t="shared" si="243"/>
        <v>-</v>
      </c>
      <c r="CD300" s="274"/>
      <c r="CE300" s="92" t="str">
        <f t="shared" si="244"/>
        <v>OK</v>
      </c>
      <c r="CF300" s="79"/>
      <c r="CG300" s="481"/>
      <c r="CH300" s="80" t="str">
        <f t="shared" si="229"/>
        <v xml:space="preserve">          </v>
      </c>
      <c r="CI300" s="218" t="str">
        <f t="shared" si="245"/>
        <v>-</v>
      </c>
      <c r="CJ300" s="274"/>
      <c r="CK300" s="92" t="str">
        <f t="shared" si="246"/>
        <v>OK</v>
      </c>
      <c r="CL300" s="79"/>
      <c r="CM300" s="481"/>
      <c r="CN300" s="80" t="str">
        <f t="shared" si="230"/>
        <v xml:space="preserve">          </v>
      </c>
      <c r="CO300" s="218" t="s">
        <v>593</v>
      </c>
      <c r="CP300" s="80"/>
      <c r="CQ300" s="218" t="str">
        <f t="shared" si="247"/>
        <v>-</v>
      </c>
      <c r="CR300" s="79"/>
      <c r="CS300" s="481"/>
      <c r="CT300" s="80" t="str">
        <f t="shared" si="231"/>
        <v xml:space="preserve">          </v>
      </c>
      <c r="CU300" s="218" t="str">
        <f t="shared" si="248"/>
        <v>-</v>
      </c>
      <c r="CV300" s="274"/>
      <c r="CW300" s="92" t="s">
        <v>593</v>
      </c>
      <c r="CX300" s="79"/>
      <c r="CY300" s="481"/>
      <c r="CZ300" s="80" t="str">
        <f t="shared" si="232"/>
        <v xml:space="preserve">          </v>
      </c>
      <c r="DA300" s="218" t="str">
        <f t="shared" si="249"/>
        <v>-</v>
      </c>
      <c r="DB300" s="274"/>
      <c r="DC300" s="92" t="s">
        <v>593</v>
      </c>
    </row>
    <row r="301" spans="2:107" s="81" customFormat="1" ht="25.5">
      <c r="B301" s="65">
        <f t="shared" si="235"/>
        <v>294</v>
      </c>
      <c r="C301" s="69"/>
      <c r="D301" s="69"/>
      <c r="E301" s="69"/>
      <c r="F301" s="82" t="s">
        <v>177</v>
      </c>
      <c r="G301" s="14"/>
      <c r="H301" s="83"/>
      <c r="I301" s="74"/>
      <c r="J301" s="74"/>
      <c r="K301" s="75"/>
      <c r="L301" s="75"/>
      <c r="M301" s="84" t="s">
        <v>354</v>
      </c>
      <c r="N301" s="76"/>
      <c r="O301" s="77"/>
      <c r="P301" s="95">
        <f t="shared" si="250"/>
        <v>269</v>
      </c>
      <c r="Q301" s="119">
        <v>3</v>
      </c>
      <c r="R301" s="21" t="str">
        <f t="shared" si="251"/>
        <v>X</v>
      </c>
      <c r="S301" s="98" t="s">
        <v>178</v>
      </c>
      <c r="T301" s="106"/>
      <c r="U301" s="21" t="s">
        <v>257</v>
      </c>
      <c r="V301" s="77"/>
      <c r="W301" s="78">
        <v>3</v>
      </c>
      <c r="X301" s="56" t="s">
        <v>179</v>
      </c>
      <c r="Y301" s="56">
        <v>3</v>
      </c>
      <c r="Z301" s="56">
        <v>3</v>
      </c>
      <c r="AA301" s="74" t="s">
        <v>114</v>
      </c>
      <c r="AB301" s="74" t="s">
        <v>21</v>
      </c>
      <c r="AC301" s="105"/>
      <c r="AD301" s="79"/>
      <c r="AE301" s="481"/>
      <c r="AF301" s="80" t="str">
        <f t="shared" si="220"/>
        <v xml:space="preserve">   </v>
      </c>
      <c r="AG301" s="218" t="str">
        <f t="shared" si="233"/>
        <v>-</v>
      </c>
      <c r="AH301" s="274"/>
      <c r="AI301" s="92" t="str">
        <f t="shared" si="236"/>
        <v>OK</v>
      </c>
      <c r="AJ301" s="79"/>
      <c r="AK301" s="481"/>
      <c r="AL301" s="80" t="str">
        <f t="shared" si="221"/>
        <v xml:space="preserve">   </v>
      </c>
      <c r="AM301" s="218" t="str">
        <f t="shared" si="237"/>
        <v>-</v>
      </c>
      <c r="AN301" s="274"/>
      <c r="AO301" s="92" t="str">
        <f t="shared" si="238"/>
        <v>OK</v>
      </c>
      <c r="AP301" s="79"/>
      <c r="AQ301" s="512"/>
      <c r="AR301" s="80" t="str">
        <f t="shared" si="222"/>
        <v xml:space="preserve">   </v>
      </c>
      <c r="AS301" s="218" t="s">
        <v>593</v>
      </c>
      <c r="AT301" s="80"/>
      <c r="AU301" s="218" t="str">
        <f t="shared" si="219"/>
        <v>-</v>
      </c>
      <c r="AV301" s="79"/>
      <c r="AW301" s="481"/>
      <c r="AX301" s="80" t="str">
        <f t="shared" si="223"/>
        <v xml:space="preserve">   </v>
      </c>
      <c r="AY301" s="218" t="str">
        <f t="shared" si="239"/>
        <v>-</v>
      </c>
      <c r="AZ301" s="274"/>
      <c r="BA301" s="478" t="s">
        <v>594</v>
      </c>
      <c r="BB301" s="79"/>
      <c r="BC301" s="481"/>
      <c r="BD301" s="80" t="str">
        <f t="shared" si="224"/>
        <v xml:space="preserve">   </v>
      </c>
      <c r="BE301" s="218" t="str">
        <f t="shared" si="240"/>
        <v>-</v>
      </c>
      <c r="BF301" s="274"/>
      <c r="BG301" s="478" t="s">
        <v>594</v>
      </c>
      <c r="BH301" s="79"/>
      <c r="BI301" s="508" t="s">
        <v>707</v>
      </c>
      <c r="BJ301" s="80" t="str">
        <f t="shared" si="225"/>
        <v xml:space="preserve">   </v>
      </c>
      <c r="BK301" s="218" t="s">
        <v>593</v>
      </c>
      <c r="BL301" s="274"/>
      <c r="BM301" s="478" t="s">
        <v>594</v>
      </c>
      <c r="BN301" s="79"/>
      <c r="BO301" s="481"/>
      <c r="BP301" s="80" t="str">
        <f t="shared" si="226"/>
        <v xml:space="preserve">   </v>
      </c>
      <c r="BQ301" s="218" t="str">
        <f t="shared" si="241"/>
        <v>-</v>
      </c>
      <c r="BR301" s="274"/>
      <c r="BS301" s="478" t="s">
        <v>594</v>
      </c>
      <c r="BT301" s="79"/>
      <c r="BU301" s="512"/>
      <c r="BV301" s="80" t="str">
        <f t="shared" si="227"/>
        <v xml:space="preserve">   </v>
      </c>
      <c r="BW301" s="218" t="s">
        <v>593</v>
      </c>
      <c r="BX301" s="80"/>
      <c r="BY301" s="218" t="str">
        <f t="shared" si="242"/>
        <v>-</v>
      </c>
      <c r="BZ301" s="79"/>
      <c r="CA301" s="481"/>
      <c r="CB301" s="80" t="str">
        <f t="shared" si="228"/>
        <v xml:space="preserve">   </v>
      </c>
      <c r="CC301" s="218" t="str">
        <f t="shared" si="243"/>
        <v>-</v>
      </c>
      <c r="CD301" s="274"/>
      <c r="CE301" s="92" t="str">
        <f t="shared" si="244"/>
        <v>OK</v>
      </c>
      <c r="CF301" s="79"/>
      <c r="CG301" s="481"/>
      <c r="CH301" s="80" t="str">
        <f t="shared" si="229"/>
        <v xml:space="preserve">   </v>
      </c>
      <c r="CI301" s="218" t="str">
        <f t="shared" si="245"/>
        <v>-</v>
      </c>
      <c r="CJ301" s="274"/>
      <c r="CK301" s="92" t="str">
        <f t="shared" si="246"/>
        <v>OK</v>
      </c>
      <c r="CL301" s="79"/>
      <c r="CM301" s="481"/>
      <c r="CN301" s="80" t="str">
        <f t="shared" si="230"/>
        <v xml:space="preserve">   </v>
      </c>
      <c r="CO301" s="218" t="s">
        <v>593</v>
      </c>
      <c r="CP301" s="80"/>
      <c r="CQ301" s="218" t="str">
        <f t="shared" si="247"/>
        <v>-</v>
      </c>
      <c r="CR301" s="79"/>
      <c r="CS301" s="481"/>
      <c r="CT301" s="80" t="str">
        <f t="shared" si="231"/>
        <v xml:space="preserve">   </v>
      </c>
      <c r="CU301" s="218" t="str">
        <f t="shared" si="248"/>
        <v>-</v>
      </c>
      <c r="CV301" s="274"/>
      <c r="CW301" s="92" t="s">
        <v>593</v>
      </c>
      <c r="CX301" s="79"/>
      <c r="CY301" s="481"/>
      <c r="CZ301" s="80" t="str">
        <f t="shared" si="232"/>
        <v xml:space="preserve">   </v>
      </c>
      <c r="DA301" s="218" t="str">
        <f t="shared" si="249"/>
        <v>-</v>
      </c>
      <c r="DB301" s="274"/>
      <c r="DC301" s="92" t="s">
        <v>593</v>
      </c>
    </row>
    <row r="302" spans="2:107" s="81" customFormat="1" ht="25.5">
      <c r="B302" s="65">
        <f t="shared" si="235"/>
        <v>295</v>
      </c>
      <c r="C302" s="69"/>
      <c r="D302" s="69"/>
      <c r="E302" s="69"/>
      <c r="F302" s="82" t="s">
        <v>180</v>
      </c>
      <c r="G302" s="14"/>
      <c r="H302" s="83"/>
      <c r="I302" s="74"/>
      <c r="J302" s="74"/>
      <c r="K302" s="75"/>
      <c r="L302" s="75"/>
      <c r="M302" s="84" t="s">
        <v>354</v>
      </c>
      <c r="N302" s="76"/>
      <c r="O302" s="77"/>
      <c r="P302" s="95">
        <f>P301+1</f>
        <v>270</v>
      </c>
      <c r="Q302" s="119">
        <v>2</v>
      </c>
      <c r="R302" s="21" t="str">
        <f t="shared" si="251"/>
        <v>X</v>
      </c>
      <c r="S302" s="98" t="s">
        <v>181</v>
      </c>
      <c r="T302" s="106"/>
      <c r="U302" s="21" t="s">
        <v>257</v>
      </c>
      <c r="V302" s="77"/>
      <c r="W302" s="78">
        <v>3</v>
      </c>
      <c r="X302" s="56" t="s">
        <v>182</v>
      </c>
      <c r="Y302" s="56">
        <v>2</v>
      </c>
      <c r="Z302" s="56">
        <v>2</v>
      </c>
      <c r="AA302" s="74" t="s">
        <v>114</v>
      </c>
      <c r="AB302" s="74" t="s">
        <v>21</v>
      </c>
      <c r="AC302" s="105"/>
      <c r="AD302" s="79"/>
      <c r="AE302" s="481"/>
      <c r="AF302" s="80" t="str">
        <f t="shared" si="220"/>
        <v xml:space="preserve">  </v>
      </c>
      <c r="AG302" s="218" t="str">
        <f t="shared" si="233"/>
        <v>-</v>
      </c>
      <c r="AH302" s="274"/>
      <c r="AI302" s="92" t="str">
        <f t="shared" si="236"/>
        <v>OK</v>
      </c>
      <c r="AJ302" s="79"/>
      <c r="AK302" s="481"/>
      <c r="AL302" s="80" t="str">
        <f t="shared" si="221"/>
        <v xml:space="preserve">  </v>
      </c>
      <c r="AM302" s="218" t="str">
        <f t="shared" si="237"/>
        <v>-</v>
      </c>
      <c r="AN302" s="274"/>
      <c r="AO302" s="92" t="str">
        <f t="shared" si="238"/>
        <v>OK</v>
      </c>
      <c r="AP302" s="79"/>
      <c r="AQ302" s="512"/>
      <c r="AR302" s="80" t="str">
        <f t="shared" si="222"/>
        <v xml:space="preserve">  </v>
      </c>
      <c r="AS302" s="218" t="s">
        <v>593</v>
      </c>
      <c r="AT302" s="80"/>
      <c r="AU302" s="218" t="str">
        <f t="shared" si="219"/>
        <v>-</v>
      </c>
      <c r="AV302" s="79"/>
      <c r="AW302" s="481"/>
      <c r="AX302" s="80" t="str">
        <f t="shared" si="223"/>
        <v xml:space="preserve">  </v>
      </c>
      <c r="AY302" s="218" t="str">
        <f t="shared" si="239"/>
        <v>-</v>
      </c>
      <c r="AZ302" s="274"/>
      <c r="BA302" s="478" t="s">
        <v>594</v>
      </c>
      <c r="BB302" s="79"/>
      <c r="BC302" s="481"/>
      <c r="BD302" s="80" t="str">
        <f t="shared" si="224"/>
        <v xml:space="preserve">  </v>
      </c>
      <c r="BE302" s="218" t="str">
        <f t="shared" si="240"/>
        <v>-</v>
      </c>
      <c r="BF302" s="274"/>
      <c r="BG302" s="478" t="s">
        <v>594</v>
      </c>
      <c r="BH302" s="79"/>
      <c r="BI302" s="508" t="s">
        <v>698</v>
      </c>
      <c r="BJ302" s="80" t="str">
        <f t="shared" si="225"/>
        <v xml:space="preserve">  </v>
      </c>
      <c r="BK302" s="218" t="s">
        <v>593</v>
      </c>
      <c r="BL302" s="274"/>
      <c r="BM302" s="478" t="s">
        <v>594</v>
      </c>
      <c r="BN302" s="79"/>
      <c r="BO302" s="481"/>
      <c r="BP302" s="80" t="str">
        <f t="shared" si="226"/>
        <v xml:space="preserve">  </v>
      </c>
      <c r="BQ302" s="218" t="str">
        <f t="shared" si="241"/>
        <v>-</v>
      </c>
      <c r="BR302" s="274"/>
      <c r="BS302" s="478" t="s">
        <v>594</v>
      </c>
      <c r="BT302" s="79"/>
      <c r="BU302" s="512"/>
      <c r="BV302" s="80" t="str">
        <f t="shared" si="227"/>
        <v xml:space="preserve">  </v>
      </c>
      <c r="BW302" s="218" t="s">
        <v>593</v>
      </c>
      <c r="BX302" s="80"/>
      <c r="BY302" s="218" t="str">
        <f t="shared" si="242"/>
        <v>-</v>
      </c>
      <c r="BZ302" s="79"/>
      <c r="CA302" s="481"/>
      <c r="CB302" s="80" t="str">
        <f t="shared" si="228"/>
        <v xml:space="preserve">  </v>
      </c>
      <c r="CC302" s="218" t="str">
        <f t="shared" si="243"/>
        <v>-</v>
      </c>
      <c r="CD302" s="274"/>
      <c r="CE302" s="92" t="str">
        <f t="shared" si="244"/>
        <v>OK</v>
      </c>
      <c r="CF302" s="79"/>
      <c r="CG302" s="481"/>
      <c r="CH302" s="80" t="str">
        <f t="shared" si="229"/>
        <v xml:space="preserve">  </v>
      </c>
      <c r="CI302" s="218" t="str">
        <f t="shared" si="245"/>
        <v>-</v>
      </c>
      <c r="CJ302" s="274"/>
      <c r="CK302" s="92" t="str">
        <f t="shared" si="246"/>
        <v>OK</v>
      </c>
      <c r="CL302" s="79"/>
      <c r="CM302" s="481"/>
      <c r="CN302" s="80" t="str">
        <f t="shared" si="230"/>
        <v xml:space="preserve">  </v>
      </c>
      <c r="CO302" s="218" t="s">
        <v>593</v>
      </c>
      <c r="CP302" s="80"/>
      <c r="CQ302" s="218" t="str">
        <f t="shared" si="247"/>
        <v>-</v>
      </c>
      <c r="CR302" s="79"/>
      <c r="CS302" s="481"/>
      <c r="CT302" s="80" t="str">
        <f t="shared" si="231"/>
        <v xml:space="preserve">  </v>
      </c>
      <c r="CU302" s="218" t="str">
        <f t="shared" si="248"/>
        <v>-</v>
      </c>
      <c r="CV302" s="274"/>
      <c r="CW302" s="92" t="s">
        <v>593</v>
      </c>
      <c r="CX302" s="79"/>
      <c r="CY302" s="481"/>
      <c r="CZ302" s="80" t="str">
        <f t="shared" si="232"/>
        <v xml:space="preserve">  </v>
      </c>
      <c r="DA302" s="218" t="str">
        <f t="shared" si="249"/>
        <v>-</v>
      </c>
      <c r="DB302" s="274"/>
      <c r="DC302" s="92" t="s">
        <v>593</v>
      </c>
    </row>
    <row r="303" spans="2:107" s="81" customFormat="1" ht="51.75" customHeight="1">
      <c r="B303" s="65">
        <f t="shared" si="235"/>
        <v>296</v>
      </c>
      <c r="C303" s="69"/>
      <c r="D303" s="69"/>
      <c r="E303" s="69"/>
      <c r="F303" s="233" t="s">
        <v>183</v>
      </c>
      <c r="G303" s="234"/>
      <c r="H303" s="235"/>
      <c r="I303" s="74"/>
      <c r="J303" s="74"/>
      <c r="K303" s="75"/>
      <c r="L303" s="75"/>
      <c r="M303" s="84" t="s">
        <v>184</v>
      </c>
      <c r="N303" s="76"/>
      <c r="O303" s="77"/>
      <c r="P303" s="95">
        <f>P302+1</f>
        <v>271</v>
      </c>
      <c r="Q303" s="119">
        <v>5</v>
      </c>
      <c r="R303" s="21" t="str">
        <f t="shared" si="251"/>
        <v>X</v>
      </c>
      <c r="S303" s="98" t="s">
        <v>185</v>
      </c>
      <c r="T303" s="106"/>
      <c r="U303" s="21" t="s">
        <v>257</v>
      </c>
      <c r="V303" s="77"/>
      <c r="W303" s="78">
        <v>3</v>
      </c>
      <c r="X303" s="56" t="s">
        <v>310</v>
      </c>
      <c r="Y303" s="56">
        <v>5</v>
      </c>
      <c r="Z303" s="56">
        <v>5</v>
      </c>
      <c r="AA303" s="74" t="s">
        <v>114</v>
      </c>
      <c r="AB303" s="74" t="s">
        <v>21</v>
      </c>
      <c r="AC303" s="85"/>
      <c r="AD303" s="79"/>
      <c r="AE303" s="487"/>
      <c r="AF303" s="80" t="str">
        <f t="shared" si="220"/>
        <v xml:space="preserve">     </v>
      </c>
      <c r="AG303" s="218" t="str">
        <f t="shared" si="233"/>
        <v>-</v>
      </c>
      <c r="AH303" s="381"/>
      <c r="AI303" s="92" t="str">
        <f t="shared" si="236"/>
        <v>OK</v>
      </c>
      <c r="AJ303" s="79"/>
      <c r="AK303" s="487"/>
      <c r="AL303" s="80" t="str">
        <f t="shared" si="221"/>
        <v xml:space="preserve">     </v>
      </c>
      <c r="AM303" s="218" t="str">
        <f t="shared" si="237"/>
        <v>-</v>
      </c>
      <c r="AN303" s="381"/>
      <c r="AO303" s="92" t="str">
        <f t="shared" si="238"/>
        <v>OK</v>
      </c>
      <c r="AP303" s="79"/>
      <c r="AQ303" s="508"/>
      <c r="AR303" s="80" t="str">
        <f t="shared" si="222"/>
        <v xml:space="preserve">     </v>
      </c>
      <c r="AS303" s="218" t="s">
        <v>593</v>
      </c>
      <c r="AT303" s="80"/>
      <c r="AU303" s="218" t="str">
        <f t="shared" si="219"/>
        <v>-</v>
      </c>
      <c r="AV303" s="79"/>
      <c r="AW303" s="487" t="s">
        <v>342</v>
      </c>
      <c r="AX303" s="80" t="str">
        <f t="shared" si="223"/>
        <v>03900</v>
      </c>
      <c r="AY303" s="218" t="str">
        <f t="shared" si="239"/>
        <v>-</v>
      </c>
      <c r="AZ303" s="381" t="s">
        <v>342</v>
      </c>
      <c r="BA303" s="478" t="s">
        <v>594</v>
      </c>
      <c r="BB303" s="79"/>
      <c r="BC303" s="487" t="s">
        <v>326</v>
      </c>
      <c r="BD303" s="80" t="str">
        <f t="shared" si="224"/>
        <v>03904</v>
      </c>
      <c r="BE303" s="218" t="str">
        <f t="shared" si="240"/>
        <v>-</v>
      </c>
      <c r="BF303" s="381" t="s">
        <v>326</v>
      </c>
      <c r="BG303" s="478" t="s">
        <v>594</v>
      </c>
      <c r="BH303" s="79"/>
      <c r="BI303" s="508" t="s">
        <v>342</v>
      </c>
      <c r="BJ303" s="80" t="str">
        <f t="shared" si="225"/>
        <v>03900</v>
      </c>
      <c r="BK303" s="218" t="s">
        <v>593</v>
      </c>
      <c r="BL303" s="381" t="s">
        <v>342</v>
      </c>
      <c r="BM303" s="478" t="s">
        <v>594</v>
      </c>
      <c r="BN303" s="79"/>
      <c r="BO303" s="487" t="s">
        <v>326</v>
      </c>
      <c r="BP303" s="80" t="str">
        <f t="shared" si="226"/>
        <v>03904</v>
      </c>
      <c r="BQ303" s="218" t="str">
        <f t="shared" si="241"/>
        <v>-</v>
      </c>
      <c r="BR303" s="381" t="s">
        <v>326</v>
      </c>
      <c r="BS303" s="478" t="s">
        <v>594</v>
      </c>
      <c r="BT303" s="79"/>
      <c r="BU303" s="508"/>
      <c r="BV303" s="80" t="str">
        <f t="shared" si="227"/>
        <v xml:space="preserve">     </v>
      </c>
      <c r="BW303" s="218" t="s">
        <v>593</v>
      </c>
      <c r="BX303" s="80"/>
      <c r="BY303" s="218" t="str">
        <f t="shared" si="242"/>
        <v>-</v>
      </c>
      <c r="BZ303" s="79"/>
      <c r="CA303" s="487"/>
      <c r="CB303" s="80" t="str">
        <f t="shared" si="228"/>
        <v xml:space="preserve">     </v>
      </c>
      <c r="CC303" s="218" t="str">
        <f t="shared" si="243"/>
        <v>-</v>
      </c>
      <c r="CD303" s="381"/>
      <c r="CE303" s="92" t="str">
        <f t="shared" si="244"/>
        <v>OK</v>
      </c>
      <c r="CF303" s="79"/>
      <c r="CG303" s="487"/>
      <c r="CH303" s="80" t="str">
        <f t="shared" si="229"/>
        <v xml:space="preserve">     </v>
      </c>
      <c r="CI303" s="218" t="str">
        <f t="shared" si="245"/>
        <v>-</v>
      </c>
      <c r="CJ303" s="381"/>
      <c r="CK303" s="92" t="str">
        <f t="shared" si="246"/>
        <v>OK</v>
      </c>
      <c r="CL303" s="79"/>
      <c r="CM303" s="487"/>
      <c r="CN303" s="80" t="str">
        <f t="shared" si="230"/>
        <v xml:space="preserve">     </v>
      </c>
      <c r="CO303" s="218" t="s">
        <v>593</v>
      </c>
      <c r="CP303" s="80"/>
      <c r="CQ303" s="218" t="str">
        <f t="shared" si="247"/>
        <v>-</v>
      </c>
      <c r="CR303" s="79"/>
      <c r="CS303" s="487"/>
      <c r="CT303" s="80" t="str">
        <f t="shared" si="231"/>
        <v xml:space="preserve">     </v>
      </c>
      <c r="CU303" s="218" t="str">
        <f t="shared" si="248"/>
        <v>-</v>
      </c>
      <c r="CV303" s="381"/>
      <c r="CW303" s="92" t="s">
        <v>593</v>
      </c>
      <c r="CX303" s="79"/>
      <c r="CY303" s="487"/>
      <c r="CZ303" s="80" t="str">
        <f t="shared" si="232"/>
        <v xml:space="preserve">     </v>
      </c>
      <c r="DA303" s="218" t="str">
        <f t="shared" si="249"/>
        <v>-</v>
      </c>
      <c r="DB303" s="381"/>
      <c r="DC303" s="92" t="s">
        <v>593</v>
      </c>
    </row>
    <row r="304" spans="2:107" s="81" customFormat="1" ht="51.75" customHeight="1">
      <c r="B304" s="65">
        <f t="shared" si="235"/>
        <v>297</v>
      </c>
      <c r="C304" s="69"/>
      <c r="D304" s="69"/>
      <c r="E304" s="69"/>
      <c r="F304" s="233" t="s">
        <v>186</v>
      </c>
      <c r="G304" s="234"/>
      <c r="H304" s="235"/>
      <c r="I304" s="74"/>
      <c r="J304" s="74"/>
      <c r="K304" s="75"/>
      <c r="L304" s="75"/>
      <c r="M304" s="84" t="s">
        <v>187</v>
      </c>
      <c r="N304" s="76"/>
      <c r="O304" s="77"/>
      <c r="P304" s="95">
        <f>P303+1</f>
        <v>272</v>
      </c>
      <c r="Q304" s="119">
        <v>64</v>
      </c>
      <c r="R304" s="21" t="str">
        <f>IF(AA304="M","NX",AA304)</f>
        <v>NX</v>
      </c>
      <c r="S304" s="98" t="s">
        <v>188</v>
      </c>
      <c r="T304" s="106"/>
      <c r="U304" s="21" t="s">
        <v>257</v>
      </c>
      <c r="V304" s="77" t="s">
        <v>311</v>
      </c>
      <c r="W304" s="78">
        <v>3</v>
      </c>
      <c r="X304" s="56" t="s">
        <v>312</v>
      </c>
      <c r="Y304" s="56">
        <v>1</v>
      </c>
      <c r="Z304" s="56">
        <v>64</v>
      </c>
      <c r="AA304" s="74" t="s">
        <v>300</v>
      </c>
      <c r="AB304" s="74" t="s">
        <v>21</v>
      </c>
      <c r="AC304" s="85" t="s">
        <v>311</v>
      </c>
      <c r="AD304" s="79"/>
      <c r="AE304" s="487"/>
      <c r="AF304" s="80" t="str">
        <f t="shared" si="220"/>
        <v xml:space="preserve">                                                                </v>
      </c>
      <c r="AG304" s="218" t="str">
        <f t="shared" si="233"/>
        <v>-</v>
      </c>
      <c r="AH304" s="381"/>
      <c r="AI304" s="92" t="str">
        <f t="shared" si="236"/>
        <v>OK</v>
      </c>
      <c r="AJ304" s="79"/>
      <c r="AK304" s="487"/>
      <c r="AL304" s="80" t="str">
        <f t="shared" si="221"/>
        <v xml:space="preserve">                                                                </v>
      </c>
      <c r="AM304" s="218" t="str">
        <f t="shared" si="237"/>
        <v>-</v>
      </c>
      <c r="AN304" s="381"/>
      <c r="AO304" s="92" t="str">
        <f t="shared" si="238"/>
        <v>OK</v>
      </c>
      <c r="AP304" s="79"/>
      <c r="AQ304" s="508"/>
      <c r="AR304" s="80" t="str">
        <f t="shared" si="222"/>
        <v xml:space="preserve">                                                                </v>
      </c>
      <c r="AS304" s="218" t="s">
        <v>593</v>
      </c>
      <c r="AT304" s="80"/>
      <c r="AU304" s="218" t="str">
        <f t="shared" si="219"/>
        <v>-</v>
      </c>
      <c r="AV304" s="79"/>
      <c r="AW304" s="487" t="s">
        <v>343</v>
      </c>
      <c r="AX304" s="80" t="str">
        <f t="shared" si="223"/>
        <v xml:space="preserve">ＱＴＮｅｔ（ＢＢＩＱ）                                          </v>
      </c>
      <c r="AY304" s="218" t="str">
        <f t="shared" si="239"/>
        <v>-</v>
      </c>
      <c r="AZ304" s="381" t="s">
        <v>343</v>
      </c>
      <c r="BA304" s="478" t="s">
        <v>594</v>
      </c>
      <c r="BB304" s="79"/>
      <c r="BC304" s="487" t="s">
        <v>327</v>
      </c>
      <c r="BD304" s="80" t="str">
        <f t="shared" si="224"/>
        <v xml:space="preserve">株式会社エネルギア・コミュニケーションズ                        </v>
      </c>
      <c r="BE304" s="218" t="str">
        <f t="shared" si="240"/>
        <v>-</v>
      </c>
      <c r="BF304" s="381" t="s">
        <v>327</v>
      </c>
      <c r="BG304" s="478" t="s">
        <v>594</v>
      </c>
      <c r="BH304" s="79"/>
      <c r="BI304" s="508" t="s">
        <v>744</v>
      </c>
      <c r="BJ304" s="80" t="str">
        <f t="shared" si="225"/>
        <v xml:space="preserve">ＱＴＮｅｔ（ＢＢＩＱ）                                          </v>
      </c>
      <c r="BK304" s="218" t="s">
        <v>593</v>
      </c>
      <c r="BL304" s="381" t="s">
        <v>343</v>
      </c>
      <c r="BM304" s="478" t="s">
        <v>594</v>
      </c>
      <c r="BN304" s="79"/>
      <c r="BO304" s="487" t="s">
        <v>327</v>
      </c>
      <c r="BP304" s="80" t="str">
        <f t="shared" si="226"/>
        <v xml:space="preserve">株式会社エネルギア・コミュニケーションズ                        </v>
      </c>
      <c r="BQ304" s="218" t="str">
        <f t="shared" si="241"/>
        <v>-</v>
      </c>
      <c r="BR304" s="381" t="s">
        <v>327</v>
      </c>
      <c r="BS304" s="478" t="s">
        <v>594</v>
      </c>
      <c r="BT304" s="79"/>
      <c r="BU304" s="508"/>
      <c r="BV304" s="80" t="str">
        <f t="shared" si="227"/>
        <v xml:space="preserve">                                                                </v>
      </c>
      <c r="BW304" s="218" t="s">
        <v>593</v>
      </c>
      <c r="BX304" s="80"/>
      <c r="BY304" s="218" t="str">
        <f t="shared" si="242"/>
        <v>-</v>
      </c>
      <c r="BZ304" s="79"/>
      <c r="CA304" s="487"/>
      <c r="CB304" s="80" t="str">
        <f t="shared" si="228"/>
        <v xml:space="preserve">                                                                </v>
      </c>
      <c r="CC304" s="218" t="str">
        <f t="shared" si="243"/>
        <v>-</v>
      </c>
      <c r="CD304" s="381"/>
      <c r="CE304" s="92" t="str">
        <f t="shared" si="244"/>
        <v>OK</v>
      </c>
      <c r="CF304" s="79"/>
      <c r="CG304" s="487"/>
      <c r="CH304" s="80" t="str">
        <f t="shared" si="229"/>
        <v xml:space="preserve">                                                                </v>
      </c>
      <c r="CI304" s="218" t="str">
        <f t="shared" si="245"/>
        <v>-</v>
      </c>
      <c r="CJ304" s="381"/>
      <c r="CK304" s="92" t="str">
        <f t="shared" si="246"/>
        <v>OK</v>
      </c>
      <c r="CL304" s="79"/>
      <c r="CM304" s="487"/>
      <c r="CN304" s="80" t="str">
        <f t="shared" si="230"/>
        <v xml:space="preserve">                                                                </v>
      </c>
      <c r="CO304" s="218" t="s">
        <v>593</v>
      </c>
      <c r="CP304" s="80"/>
      <c r="CQ304" s="218" t="str">
        <f t="shared" si="247"/>
        <v>-</v>
      </c>
      <c r="CR304" s="79"/>
      <c r="CS304" s="487"/>
      <c r="CT304" s="80" t="str">
        <f t="shared" si="231"/>
        <v xml:space="preserve">                                                                </v>
      </c>
      <c r="CU304" s="218" t="str">
        <f t="shared" si="248"/>
        <v>-</v>
      </c>
      <c r="CV304" s="381"/>
      <c r="CW304" s="92" t="s">
        <v>593</v>
      </c>
      <c r="CX304" s="79"/>
      <c r="CY304" s="487"/>
      <c r="CZ304" s="80" t="str">
        <f t="shared" si="232"/>
        <v xml:space="preserve">                                                                </v>
      </c>
      <c r="DA304" s="218" t="str">
        <f t="shared" si="249"/>
        <v>-</v>
      </c>
      <c r="DB304" s="381"/>
      <c r="DC304" s="92" t="s">
        <v>593</v>
      </c>
    </row>
    <row r="305" spans="1:107" s="81" customFormat="1" ht="92.25" customHeight="1">
      <c r="B305" s="65">
        <f t="shared" si="235"/>
        <v>298</v>
      </c>
      <c r="C305" s="69"/>
      <c r="D305" s="69"/>
      <c r="E305" s="69"/>
      <c r="F305" s="82" t="s">
        <v>356</v>
      </c>
      <c r="G305" s="14"/>
      <c r="H305" s="83"/>
      <c r="I305" s="74"/>
      <c r="J305" s="74"/>
      <c r="K305" s="75"/>
      <c r="L305" s="75"/>
      <c r="M305" s="84" t="s">
        <v>222</v>
      </c>
      <c r="N305" s="76"/>
      <c r="O305" s="77"/>
      <c r="P305" s="95">
        <f>P304+1</f>
        <v>273</v>
      </c>
      <c r="Q305" s="119">
        <v>7</v>
      </c>
      <c r="R305" s="21" t="s">
        <v>261</v>
      </c>
      <c r="S305" s="98" t="s">
        <v>313</v>
      </c>
      <c r="T305" s="106"/>
      <c r="U305" s="21" t="s">
        <v>257</v>
      </c>
      <c r="V305" s="77"/>
      <c r="W305" s="78">
        <v>3</v>
      </c>
      <c r="X305" s="56" t="s">
        <v>314</v>
      </c>
      <c r="Y305" s="56">
        <v>7</v>
      </c>
      <c r="Z305" s="56">
        <v>7</v>
      </c>
      <c r="AA305" s="74" t="s">
        <v>261</v>
      </c>
      <c r="AB305" s="74" t="s">
        <v>21</v>
      </c>
      <c r="AC305" s="85"/>
      <c r="AD305" s="79"/>
      <c r="AE305" s="481"/>
      <c r="AF305" s="80" t="str">
        <f t="shared" si="220"/>
        <v xml:space="preserve">       </v>
      </c>
      <c r="AG305" s="218" t="str">
        <f t="shared" si="233"/>
        <v>-</v>
      </c>
      <c r="AH305" s="274"/>
      <c r="AI305" s="406" t="str">
        <f t="shared" si="236"/>
        <v>OK</v>
      </c>
      <c r="AJ305" s="79"/>
      <c r="AK305" s="481"/>
      <c r="AL305" s="80" t="str">
        <f t="shared" si="221"/>
        <v xml:space="preserve">       </v>
      </c>
      <c r="AM305" s="218" t="str">
        <f t="shared" si="237"/>
        <v>-</v>
      </c>
      <c r="AN305" s="274"/>
      <c r="AO305" s="406" t="str">
        <f t="shared" si="238"/>
        <v>OK</v>
      </c>
      <c r="AP305" s="79"/>
      <c r="AQ305" s="512"/>
      <c r="AR305" s="80" t="str">
        <f t="shared" si="222"/>
        <v xml:space="preserve">       </v>
      </c>
      <c r="AS305" s="218" t="s">
        <v>593</v>
      </c>
      <c r="AT305" s="80"/>
      <c r="AU305" s="218" t="str">
        <f t="shared" si="219"/>
        <v>-</v>
      </c>
      <c r="AV305" s="79"/>
      <c r="AW305" s="481"/>
      <c r="AX305" s="80" t="str">
        <f t="shared" si="223"/>
        <v xml:space="preserve">       </v>
      </c>
      <c r="AY305" s="218" t="str">
        <f t="shared" si="239"/>
        <v>-</v>
      </c>
      <c r="AZ305" s="274"/>
      <c r="BA305" s="478" t="s">
        <v>594</v>
      </c>
      <c r="BB305" s="79"/>
      <c r="BC305" s="481"/>
      <c r="BD305" s="80" t="str">
        <f t="shared" si="224"/>
        <v xml:space="preserve">       </v>
      </c>
      <c r="BE305" s="218" t="str">
        <f t="shared" si="240"/>
        <v>-</v>
      </c>
      <c r="BF305" s="274"/>
      <c r="BG305" s="478" t="s">
        <v>594</v>
      </c>
      <c r="BH305" s="79"/>
      <c r="BI305" s="508" t="s">
        <v>705</v>
      </c>
      <c r="BJ305" s="80" t="str">
        <f t="shared" si="225"/>
        <v xml:space="preserve">       </v>
      </c>
      <c r="BK305" s="218" t="s">
        <v>593</v>
      </c>
      <c r="BL305" s="274"/>
      <c r="BM305" s="478" t="s">
        <v>594</v>
      </c>
      <c r="BN305" s="79"/>
      <c r="BO305" s="481"/>
      <c r="BP305" s="80" t="str">
        <f t="shared" si="226"/>
        <v xml:space="preserve">       </v>
      </c>
      <c r="BQ305" s="218" t="str">
        <f t="shared" si="241"/>
        <v>-</v>
      </c>
      <c r="BR305" s="274"/>
      <c r="BS305" s="478" t="s">
        <v>594</v>
      </c>
      <c r="BT305" s="79"/>
      <c r="BU305" s="512"/>
      <c r="BV305" s="80" t="str">
        <f t="shared" si="227"/>
        <v xml:space="preserve">       </v>
      </c>
      <c r="BW305" s="218" t="s">
        <v>593</v>
      </c>
      <c r="BX305" s="80"/>
      <c r="BY305" s="218" t="str">
        <f t="shared" si="242"/>
        <v>-</v>
      </c>
      <c r="BZ305" s="79"/>
      <c r="CA305" s="481"/>
      <c r="CB305" s="80" t="str">
        <f t="shared" si="228"/>
        <v xml:space="preserve">       </v>
      </c>
      <c r="CC305" s="218" t="str">
        <f t="shared" si="243"/>
        <v>-</v>
      </c>
      <c r="CD305" s="274"/>
      <c r="CE305" s="406" t="str">
        <f t="shared" si="244"/>
        <v>OK</v>
      </c>
      <c r="CF305" s="79"/>
      <c r="CG305" s="481"/>
      <c r="CH305" s="80" t="str">
        <f t="shared" si="229"/>
        <v xml:space="preserve">       </v>
      </c>
      <c r="CI305" s="218" t="str">
        <f t="shared" si="245"/>
        <v>-</v>
      </c>
      <c r="CJ305" s="274"/>
      <c r="CK305" s="406" t="str">
        <f t="shared" si="246"/>
        <v>OK</v>
      </c>
      <c r="CL305" s="79"/>
      <c r="CM305" s="481"/>
      <c r="CN305" s="80" t="str">
        <f t="shared" si="230"/>
        <v xml:space="preserve">       </v>
      </c>
      <c r="CO305" s="218" t="s">
        <v>593</v>
      </c>
      <c r="CP305" s="80"/>
      <c r="CQ305" s="218" t="str">
        <f t="shared" si="247"/>
        <v>-</v>
      </c>
      <c r="CR305" s="79"/>
      <c r="CS305" s="481"/>
      <c r="CT305" s="80" t="str">
        <f t="shared" si="231"/>
        <v xml:space="preserve">       </v>
      </c>
      <c r="CU305" s="218" t="str">
        <f t="shared" si="248"/>
        <v>-</v>
      </c>
      <c r="CV305" s="274"/>
      <c r="CW305" s="92" t="s">
        <v>593</v>
      </c>
      <c r="CX305" s="79"/>
      <c r="CY305" s="481"/>
      <c r="CZ305" s="80" t="str">
        <f t="shared" si="232"/>
        <v xml:space="preserve">       </v>
      </c>
      <c r="DA305" s="218" t="str">
        <f t="shared" si="249"/>
        <v>-</v>
      </c>
      <c r="DB305" s="274"/>
      <c r="DC305" s="92" t="s">
        <v>593</v>
      </c>
    </row>
    <row r="306" spans="1:107" s="81" customFormat="1" ht="127.9" thickBot="1">
      <c r="A306" s="221"/>
      <c r="B306" s="243">
        <f t="shared" si="235"/>
        <v>299</v>
      </c>
      <c r="C306" s="244"/>
      <c r="D306" s="244"/>
      <c r="E306" s="244"/>
      <c r="F306" s="246" t="s">
        <v>315</v>
      </c>
      <c r="G306" s="247"/>
      <c r="H306" s="248"/>
      <c r="I306" s="249"/>
      <c r="J306" s="249"/>
      <c r="K306" s="249"/>
      <c r="L306" s="249"/>
      <c r="M306" s="392" t="s">
        <v>357</v>
      </c>
      <c r="N306" s="399"/>
      <c r="O306" s="400"/>
      <c r="P306" s="279">
        <f>P305+1</f>
        <v>274</v>
      </c>
      <c r="Q306" s="410">
        <v>1</v>
      </c>
      <c r="R306" s="37">
        <v>9</v>
      </c>
      <c r="S306" s="410" t="s">
        <v>316</v>
      </c>
      <c r="T306" s="142"/>
      <c r="U306" s="141" t="s">
        <v>257</v>
      </c>
      <c r="V306" s="238"/>
      <c r="W306" s="191" t="str">
        <f>IF(C306&lt;&gt;"","0",IF(D306&lt;&gt;"","1",IF(E306&lt;&gt;"","2",IF(F306&lt;&gt;"","3",IF(G306&lt;&gt;"","4",IF(H306&lt;&gt;"","5"))))))</f>
        <v>3</v>
      </c>
      <c r="X306" s="144" t="s">
        <v>317</v>
      </c>
      <c r="Y306" s="144">
        <v>1</v>
      </c>
      <c r="Z306" s="144">
        <v>1</v>
      </c>
      <c r="AA306" s="239">
        <v>9</v>
      </c>
      <c r="AB306" s="137" t="s">
        <v>257</v>
      </c>
      <c r="AC306" s="240"/>
      <c r="AD306" s="216"/>
      <c r="AE306" s="396"/>
      <c r="AF306" s="217" t="str">
        <f t="shared" si="220"/>
        <v xml:space="preserve"> </v>
      </c>
      <c r="AG306" s="231" t="str">
        <f t="shared" si="233"/>
        <v>-</v>
      </c>
      <c r="AH306" s="383"/>
      <c r="AI306" s="395" t="str">
        <f t="shared" si="236"/>
        <v>OK</v>
      </c>
      <c r="AJ306" s="216"/>
      <c r="AK306" s="396"/>
      <c r="AL306" s="217" t="str">
        <f t="shared" si="221"/>
        <v xml:space="preserve"> </v>
      </c>
      <c r="AM306" s="231" t="str">
        <f t="shared" si="237"/>
        <v>-</v>
      </c>
      <c r="AN306" s="396"/>
      <c r="AO306" s="395" t="str">
        <f t="shared" si="238"/>
        <v>OK</v>
      </c>
      <c r="AP306" s="216"/>
      <c r="AQ306" s="509"/>
      <c r="AR306" s="217" t="str">
        <f t="shared" si="222"/>
        <v xml:space="preserve"> </v>
      </c>
      <c r="AS306" s="231" t="s">
        <v>593</v>
      </c>
      <c r="AT306" s="217"/>
      <c r="AU306" s="231" t="str">
        <f t="shared" si="219"/>
        <v>-</v>
      </c>
      <c r="AV306" s="216"/>
      <c r="AW306" s="396" t="s">
        <v>33</v>
      </c>
      <c r="AX306" s="217" t="str">
        <f t="shared" si="223"/>
        <v>1</v>
      </c>
      <c r="AY306" s="231" t="str">
        <f t="shared" si="239"/>
        <v>-</v>
      </c>
      <c r="AZ306" s="396" t="s">
        <v>33</v>
      </c>
      <c r="BA306" s="479" t="s">
        <v>245</v>
      </c>
      <c r="BB306" s="216"/>
      <c r="BC306" s="396" t="s">
        <v>33</v>
      </c>
      <c r="BD306" s="217" t="str">
        <f t="shared" si="224"/>
        <v>1</v>
      </c>
      <c r="BE306" s="231" t="str">
        <f t="shared" si="240"/>
        <v>-</v>
      </c>
      <c r="BF306" s="396" t="s">
        <v>33</v>
      </c>
      <c r="BG306" s="479" t="s">
        <v>245</v>
      </c>
      <c r="BH306" s="216"/>
      <c r="BI306" s="509" t="s">
        <v>33</v>
      </c>
      <c r="BJ306" s="217" t="str">
        <f t="shared" si="225"/>
        <v>1</v>
      </c>
      <c r="BK306" s="231" t="s">
        <v>593</v>
      </c>
      <c r="BL306" s="396" t="s">
        <v>33</v>
      </c>
      <c r="BM306" s="479" t="s">
        <v>245</v>
      </c>
      <c r="BN306" s="216"/>
      <c r="BO306" s="396" t="s">
        <v>33</v>
      </c>
      <c r="BP306" s="217" t="str">
        <f t="shared" si="226"/>
        <v>1</v>
      </c>
      <c r="BQ306" s="231" t="str">
        <f t="shared" si="241"/>
        <v>-</v>
      </c>
      <c r="BR306" s="396" t="s">
        <v>33</v>
      </c>
      <c r="BS306" s="479" t="s">
        <v>245</v>
      </c>
      <c r="BT306" s="216"/>
      <c r="BU306" s="509"/>
      <c r="BV306" s="217" t="str">
        <f t="shared" si="227"/>
        <v xml:space="preserve"> </v>
      </c>
      <c r="BW306" s="231" t="s">
        <v>593</v>
      </c>
      <c r="BX306" s="217"/>
      <c r="BY306" s="231" t="str">
        <f t="shared" si="242"/>
        <v>-</v>
      </c>
      <c r="BZ306" s="216"/>
      <c r="CA306" s="396"/>
      <c r="CB306" s="217" t="str">
        <f t="shared" si="228"/>
        <v xml:space="preserve"> </v>
      </c>
      <c r="CC306" s="231" t="str">
        <f t="shared" si="243"/>
        <v>-</v>
      </c>
      <c r="CD306" s="396"/>
      <c r="CE306" s="395" t="str">
        <f t="shared" si="244"/>
        <v>OK</v>
      </c>
      <c r="CF306" s="216"/>
      <c r="CG306" s="396"/>
      <c r="CH306" s="217" t="str">
        <f t="shared" si="229"/>
        <v xml:space="preserve"> </v>
      </c>
      <c r="CI306" s="231" t="str">
        <f t="shared" si="245"/>
        <v>-</v>
      </c>
      <c r="CJ306" s="396"/>
      <c r="CK306" s="395" t="str">
        <f t="shared" si="246"/>
        <v>OK</v>
      </c>
      <c r="CL306" s="216"/>
      <c r="CM306" s="396"/>
      <c r="CN306" s="217" t="str">
        <f t="shared" si="230"/>
        <v xml:space="preserve"> </v>
      </c>
      <c r="CO306" s="231" t="s">
        <v>593</v>
      </c>
      <c r="CP306" s="217"/>
      <c r="CQ306" s="231" t="str">
        <f t="shared" si="247"/>
        <v>-</v>
      </c>
      <c r="CR306" s="216"/>
      <c r="CS306" s="396"/>
      <c r="CT306" s="217" t="str">
        <f t="shared" si="231"/>
        <v xml:space="preserve"> </v>
      </c>
      <c r="CU306" s="231" t="str">
        <f t="shared" si="248"/>
        <v>-</v>
      </c>
      <c r="CV306" s="396"/>
      <c r="CW306" s="395" t="s">
        <v>593</v>
      </c>
      <c r="CX306" s="216"/>
      <c r="CY306" s="396"/>
      <c r="CZ306" s="217" t="str">
        <f t="shared" si="232"/>
        <v xml:space="preserve"> </v>
      </c>
      <c r="DA306" s="231" t="str">
        <f t="shared" si="249"/>
        <v>-</v>
      </c>
      <c r="DB306" s="396"/>
      <c r="DC306" s="395" t="s">
        <v>593</v>
      </c>
    </row>
    <row r="307" spans="1:107" s="26" customFormat="1" ht="18.75" customHeight="1" thickTop="1">
      <c r="B307" s="245">
        <f t="shared" si="235"/>
        <v>300</v>
      </c>
      <c r="C307" s="253"/>
      <c r="D307" s="253"/>
      <c r="E307" s="254" t="s">
        <v>439</v>
      </c>
      <c r="F307" s="254"/>
      <c r="G307" s="254"/>
      <c r="H307" s="87"/>
      <c r="I307" s="88" t="s">
        <v>31</v>
      </c>
      <c r="J307" s="88" t="s">
        <v>426</v>
      </c>
      <c r="K307" s="88"/>
      <c r="L307" s="88"/>
      <c r="M307" s="89" t="s">
        <v>352</v>
      </c>
      <c r="N307" s="287"/>
      <c r="O307" s="288"/>
      <c r="P307" s="183"/>
      <c r="Q307" s="121"/>
      <c r="R307" s="107"/>
      <c r="S307" s="289"/>
      <c r="T307" s="287"/>
      <c r="U307" s="107"/>
      <c r="V307" s="290"/>
      <c r="W307" s="25" t="str">
        <f>IF(C307&lt;&gt;"","0",IF(D307&lt;&gt;"","1",IF(E307&lt;&gt;"","2",IF(F307&lt;&gt;"","3",IF(G307&lt;&gt;"","4",IF(H307&lt;&gt;"","5"))))))</f>
        <v>2</v>
      </c>
      <c r="X307" s="1" t="s">
        <v>122</v>
      </c>
      <c r="Y307" s="1"/>
      <c r="Z307" s="1"/>
      <c r="AA307" s="8"/>
      <c r="AB307" s="8" t="s">
        <v>257</v>
      </c>
      <c r="AC307" s="63"/>
      <c r="AD307" s="60"/>
      <c r="AE307" s="169"/>
      <c r="AF307" s="61" t="str">
        <f t="shared" si="220"/>
        <v/>
      </c>
      <c r="AG307" s="218" t="str">
        <f t="shared" si="233"/>
        <v>-</v>
      </c>
      <c r="AH307" s="169"/>
      <c r="AI307" s="92" t="str">
        <f>IF(EXACT(AE307,AH307),"OK","NG")</f>
        <v>OK</v>
      </c>
      <c r="AJ307" s="60"/>
      <c r="AK307" s="169"/>
      <c r="AL307" s="61" t="str">
        <f t="shared" si="221"/>
        <v/>
      </c>
      <c r="AM307" s="218" t="str">
        <f t="shared" si="237"/>
        <v>-</v>
      </c>
      <c r="AN307" s="169"/>
      <c r="AO307" s="92" t="str">
        <f>IF(EXACT(AK307,AN307),"OK","NG")</f>
        <v>OK</v>
      </c>
      <c r="AP307" s="60"/>
      <c r="AQ307" s="172"/>
      <c r="AR307" s="61" t="str">
        <f>IF(AT307="-","-",AT307&amp;REPT(IF($R307="N","　",IF($R307="9","0"," ")),$Z307-LENB(AT307)))</f>
        <v/>
      </c>
      <c r="AS307" s="218" t="s">
        <v>593</v>
      </c>
      <c r="AT307" s="61"/>
      <c r="AU307" s="218" t="str">
        <f t="shared" si="219"/>
        <v>-</v>
      </c>
      <c r="AV307" s="60"/>
      <c r="AW307" s="169"/>
      <c r="AX307" s="61" t="str">
        <f t="shared" si="223"/>
        <v/>
      </c>
      <c r="AY307" s="218" t="str">
        <f t="shared" si="239"/>
        <v>-</v>
      </c>
      <c r="AZ307" s="169"/>
      <c r="BA307" s="92" t="str">
        <f>IF(EXACT(AW307,AZ307),"OK","NG")</f>
        <v>OK</v>
      </c>
      <c r="BB307" s="60"/>
      <c r="BC307" s="169"/>
      <c r="BD307" s="61" t="str">
        <f t="shared" si="224"/>
        <v/>
      </c>
      <c r="BE307" s="218" t="str">
        <f t="shared" si="240"/>
        <v>-</v>
      </c>
      <c r="BF307" s="169"/>
      <c r="BG307" s="92" t="str">
        <f>IF(EXACT(BC307,BF307),"OK","NG")</f>
        <v>OK</v>
      </c>
      <c r="BH307" s="60"/>
      <c r="BI307" s="172"/>
      <c r="BJ307" s="61" t="str">
        <f>IF(BL307="-","-",BL307&amp;REPT(IF($R307="N","　",IF($R307="9","0"," ")),$Z307-LENB(BL307)))</f>
        <v/>
      </c>
      <c r="BK307" s="218" t="s">
        <v>593</v>
      </c>
      <c r="BL307" s="169"/>
      <c r="BM307" s="92" t="str">
        <f>IF(EXACT(BI307,BL307),"OK","NG")</f>
        <v>OK</v>
      </c>
      <c r="BN307" s="60"/>
      <c r="BO307" s="169"/>
      <c r="BP307" s="61" t="str">
        <f t="shared" si="226"/>
        <v/>
      </c>
      <c r="BQ307" s="218" t="str">
        <f t="shared" si="241"/>
        <v>-</v>
      </c>
      <c r="BR307" s="169"/>
      <c r="BS307" s="92" t="str">
        <f>IF(EXACT(BO307,BR307),"OK","NG")</f>
        <v>OK</v>
      </c>
      <c r="BT307" s="60"/>
      <c r="BU307" s="172"/>
      <c r="BV307" s="61" t="str">
        <f t="shared" si="227"/>
        <v/>
      </c>
      <c r="BW307" s="218" t="s">
        <v>593</v>
      </c>
      <c r="BX307" s="61"/>
      <c r="BY307" s="218" t="str">
        <f t="shared" si="242"/>
        <v>-</v>
      </c>
      <c r="BZ307" s="60"/>
      <c r="CA307" s="169"/>
      <c r="CB307" s="61" t="str">
        <f t="shared" si="228"/>
        <v/>
      </c>
      <c r="CC307" s="218" t="str">
        <f t="shared" si="243"/>
        <v>-</v>
      </c>
      <c r="CD307" s="169"/>
      <c r="CE307" s="92" t="str">
        <f>IF(EXACT(CA307,CD307),"OK","NG")</f>
        <v>OK</v>
      </c>
      <c r="CF307" s="60"/>
      <c r="CG307" s="169"/>
      <c r="CH307" s="61" t="str">
        <f t="shared" si="229"/>
        <v/>
      </c>
      <c r="CI307" s="218" t="str">
        <f t="shared" si="245"/>
        <v>-</v>
      </c>
      <c r="CJ307" s="169"/>
      <c r="CK307" s="92" t="str">
        <f>IF(EXACT(CG307,CJ307),"OK","NG")</f>
        <v>OK</v>
      </c>
      <c r="CL307" s="60"/>
      <c r="CM307" s="169"/>
      <c r="CN307" s="61" t="str">
        <f t="shared" si="230"/>
        <v/>
      </c>
      <c r="CO307" s="218" t="s">
        <v>593</v>
      </c>
      <c r="CP307" s="61"/>
      <c r="CQ307" s="218" t="str">
        <f t="shared" si="247"/>
        <v>-</v>
      </c>
      <c r="CR307" s="60"/>
      <c r="CS307" s="169"/>
      <c r="CT307" s="61" t="str">
        <f t="shared" si="231"/>
        <v/>
      </c>
      <c r="CU307" s="218" t="str">
        <f t="shared" si="248"/>
        <v>-</v>
      </c>
      <c r="CV307" s="169"/>
      <c r="CW307" s="92" t="s">
        <v>593</v>
      </c>
      <c r="CX307" s="60"/>
      <c r="CY307" s="169"/>
      <c r="CZ307" s="61" t="str">
        <f t="shared" si="232"/>
        <v/>
      </c>
      <c r="DA307" s="218" t="str">
        <f t="shared" si="249"/>
        <v>-</v>
      </c>
      <c r="DB307" s="169"/>
      <c r="DC307" s="92" t="s">
        <v>593</v>
      </c>
    </row>
    <row r="308" spans="1:107" s="26" customFormat="1" ht="63.75">
      <c r="B308" s="2">
        <f t="shared" si="235"/>
        <v>301</v>
      </c>
      <c r="C308" s="129"/>
      <c r="D308" s="7"/>
      <c r="E308" s="7"/>
      <c r="F308" s="112" t="s">
        <v>92</v>
      </c>
      <c r="G308" s="16"/>
      <c r="H308" s="13"/>
      <c r="I308" s="6"/>
      <c r="J308" s="6"/>
      <c r="K308" s="6"/>
      <c r="L308" s="8"/>
      <c r="M308" s="23" t="s">
        <v>296</v>
      </c>
      <c r="N308" s="1"/>
      <c r="O308" s="57"/>
      <c r="P308" s="95">
        <f>P306+1</f>
        <v>275</v>
      </c>
      <c r="Q308" s="117">
        <v>2</v>
      </c>
      <c r="R308" s="21" t="str">
        <f t="shared" ref="R308:R314" si="252">IF(AA308="M","NX",AA308)</f>
        <v>X</v>
      </c>
      <c r="S308" s="98" t="s">
        <v>440</v>
      </c>
      <c r="T308" s="96"/>
      <c r="U308" s="21" t="s">
        <v>435</v>
      </c>
      <c r="V308" s="118" t="s">
        <v>199</v>
      </c>
      <c r="W308" s="25" t="str">
        <f>IF(C308&lt;&gt;"","0",IF(D308&lt;&gt;"","1",IF(E308&lt;&gt;"","2",IF(F308&lt;&gt;"","3",IF(G308&lt;&gt;"","4",IF(H308&lt;&gt;"","5"))))))</f>
        <v>3</v>
      </c>
      <c r="X308" s="5" t="s">
        <v>297</v>
      </c>
      <c r="Y308" s="58">
        <v>2</v>
      </c>
      <c r="Z308" s="58">
        <v>2</v>
      </c>
      <c r="AA308" s="59" t="s">
        <v>114</v>
      </c>
      <c r="AB308" s="59" t="s">
        <v>21</v>
      </c>
      <c r="AC308" s="12"/>
      <c r="AD308" s="60"/>
      <c r="AE308" s="174"/>
      <c r="AF308" s="273" t="str">
        <f t="shared" si="220"/>
        <v xml:space="preserve">  </v>
      </c>
      <c r="AG308" s="218" t="str">
        <f t="shared" si="233"/>
        <v>-</v>
      </c>
      <c r="AH308" s="174"/>
      <c r="AI308" s="92" t="str">
        <f>IF(EXACT(AE308,AH308),"OK","NG")</f>
        <v>OK</v>
      </c>
      <c r="AJ308" s="60"/>
      <c r="AK308" s="174"/>
      <c r="AL308" s="273" t="str">
        <f t="shared" si="221"/>
        <v xml:space="preserve">  </v>
      </c>
      <c r="AM308" s="218" t="str">
        <f t="shared" si="237"/>
        <v>-</v>
      </c>
      <c r="AN308" s="174"/>
      <c r="AO308" s="92" t="str">
        <f>IF(EXACT(AK308,AN308),"OK","NG")</f>
        <v>OK</v>
      </c>
      <c r="AP308" s="60"/>
      <c r="AQ308" s="170"/>
      <c r="AR308" s="273" t="str">
        <f t="shared" si="222"/>
        <v xml:space="preserve">  </v>
      </c>
      <c r="AS308" s="218" t="s">
        <v>593</v>
      </c>
      <c r="AT308" s="273"/>
      <c r="AU308" s="218" t="str">
        <f t="shared" si="219"/>
        <v>-</v>
      </c>
      <c r="AV308" s="60"/>
      <c r="AW308" s="174" t="s">
        <v>102</v>
      </c>
      <c r="AX308" s="273" t="str">
        <f t="shared" si="223"/>
        <v>01</v>
      </c>
      <c r="AY308" s="218" t="str">
        <f t="shared" si="239"/>
        <v>-</v>
      </c>
      <c r="AZ308" s="174" t="s">
        <v>102</v>
      </c>
      <c r="BA308" s="478" t="s">
        <v>594</v>
      </c>
      <c r="BB308" s="60"/>
      <c r="BC308" s="174" t="s">
        <v>102</v>
      </c>
      <c r="BD308" s="273" t="str">
        <f t="shared" si="224"/>
        <v>01</v>
      </c>
      <c r="BE308" s="218" t="str">
        <f t="shared" si="240"/>
        <v>-</v>
      </c>
      <c r="BF308" s="174" t="s">
        <v>102</v>
      </c>
      <c r="BG308" s="478" t="s">
        <v>594</v>
      </c>
      <c r="BH308" s="60"/>
      <c r="BI308" s="170" t="s">
        <v>102</v>
      </c>
      <c r="BJ308" s="273" t="str">
        <f t="shared" ref="BJ308:BJ371" si="253">IF(BL308="-","-",BL308&amp;REPT(IF($R308="N","　",IF($R308="9","0"," ")),$Z308-LENB(BL308)))</f>
        <v>01</v>
      </c>
      <c r="BK308" s="218" t="s">
        <v>593</v>
      </c>
      <c r="BL308" s="174" t="s">
        <v>102</v>
      </c>
      <c r="BM308" s="478" t="s">
        <v>594</v>
      </c>
      <c r="BN308" s="60"/>
      <c r="BO308" s="174" t="s">
        <v>102</v>
      </c>
      <c r="BP308" s="273" t="str">
        <f t="shared" si="226"/>
        <v>01</v>
      </c>
      <c r="BQ308" s="218" t="str">
        <f t="shared" si="241"/>
        <v>-</v>
      </c>
      <c r="BR308" s="174" t="s">
        <v>102</v>
      </c>
      <c r="BS308" s="478" t="s">
        <v>594</v>
      </c>
      <c r="BT308" s="60"/>
      <c r="BU308" s="170"/>
      <c r="BV308" s="273" t="str">
        <f t="shared" si="227"/>
        <v xml:space="preserve">  </v>
      </c>
      <c r="BW308" s="218" t="s">
        <v>593</v>
      </c>
      <c r="BX308" s="273"/>
      <c r="BY308" s="218" t="str">
        <f t="shared" si="242"/>
        <v>-</v>
      </c>
      <c r="BZ308" s="60"/>
      <c r="CA308" s="174"/>
      <c r="CB308" s="273" t="str">
        <f t="shared" si="228"/>
        <v xml:space="preserve">  </v>
      </c>
      <c r="CC308" s="218" t="str">
        <f t="shared" si="243"/>
        <v>-</v>
      </c>
      <c r="CD308" s="174"/>
      <c r="CE308" s="92" t="str">
        <f>IF(EXACT(CA308,CD308),"OK","NG")</f>
        <v>OK</v>
      </c>
      <c r="CF308" s="60"/>
      <c r="CG308" s="174"/>
      <c r="CH308" s="273" t="str">
        <f t="shared" si="229"/>
        <v xml:space="preserve">  </v>
      </c>
      <c r="CI308" s="218" t="str">
        <f t="shared" si="245"/>
        <v>-</v>
      </c>
      <c r="CJ308" s="174"/>
      <c r="CK308" s="92" t="str">
        <f>IF(EXACT(CG308,CJ308),"OK","NG")</f>
        <v>OK</v>
      </c>
      <c r="CL308" s="60"/>
      <c r="CM308" s="174"/>
      <c r="CN308" s="273" t="str">
        <f t="shared" si="230"/>
        <v xml:space="preserve">  </v>
      </c>
      <c r="CO308" s="218" t="s">
        <v>593</v>
      </c>
      <c r="CP308" s="273"/>
      <c r="CQ308" s="218" t="str">
        <f t="shared" si="247"/>
        <v>-</v>
      </c>
      <c r="CR308" s="60"/>
      <c r="CS308" s="174"/>
      <c r="CT308" s="273" t="str">
        <f t="shared" si="231"/>
        <v xml:space="preserve">  </v>
      </c>
      <c r="CU308" s="218" t="str">
        <f t="shared" si="248"/>
        <v>-</v>
      </c>
      <c r="CV308" s="174"/>
      <c r="CW308" s="92" t="s">
        <v>593</v>
      </c>
      <c r="CX308" s="60"/>
      <c r="CY308" s="174"/>
      <c r="CZ308" s="273" t="str">
        <f t="shared" si="232"/>
        <v xml:space="preserve">  </v>
      </c>
      <c r="DA308" s="218" t="str">
        <f t="shared" si="249"/>
        <v>-</v>
      </c>
      <c r="DB308" s="174"/>
      <c r="DC308" s="92" t="s">
        <v>593</v>
      </c>
    </row>
    <row r="309" spans="1:107" s="26" customFormat="1" ht="293.25">
      <c r="B309" s="2">
        <f t="shared" si="235"/>
        <v>302</v>
      </c>
      <c r="C309" s="7"/>
      <c r="D309" s="7"/>
      <c r="E309" s="7"/>
      <c r="F309" s="112" t="s">
        <v>424</v>
      </c>
      <c r="G309" s="16"/>
      <c r="H309" s="13"/>
      <c r="I309" s="8"/>
      <c r="J309" s="8" t="s">
        <v>426</v>
      </c>
      <c r="K309" s="8"/>
      <c r="L309" s="8"/>
      <c r="M309" s="414" t="s">
        <v>441</v>
      </c>
      <c r="N309" s="11"/>
      <c r="O309" s="57"/>
      <c r="P309" s="95">
        <f>P308+1</f>
        <v>276</v>
      </c>
      <c r="Q309" s="115">
        <v>2</v>
      </c>
      <c r="R309" s="21" t="str">
        <f t="shared" si="252"/>
        <v>X</v>
      </c>
      <c r="S309" s="98" t="s">
        <v>442</v>
      </c>
      <c r="T309" s="96"/>
      <c r="U309" s="21" t="s">
        <v>443</v>
      </c>
      <c r="V309" s="10"/>
      <c r="W309" s="25">
        <v>3</v>
      </c>
      <c r="X309" s="1" t="s">
        <v>288</v>
      </c>
      <c r="Y309" s="1">
        <v>2</v>
      </c>
      <c r="Z309" s="1">
        <v>2</v>
      </c>
      <c r="AA309" s="8" t="s">
        <v>114</v>
      </c>
      <c r="AB309" s="8" t="s">
        <v>21</v>
      </c>
      <c r="AC309" s="12"/>
      <c r="AD309" s="60"/>
      <c r="AE309" s="174"/>
      <c r="AF309" s="273" t="str">
        <f t="shared" si="220"/>
        <v xml:space="preserve">  </v>
      </c>
      <c r="AG309" s="218" t="str">
        <f t="shared" ref="AG309:AG338" si="254">IF(OR(AE$8="判定対象外",AF$8="判定対象外",AF309="-"),"-",IF(AE309=AF309,"OK","NG"))</f>
        <v>-</v>
      </c>
      <c r="AH309" s="174"/>
      <c r="AI309" s="92" t="str">
        <f t="shared" ref="AI309:AI336" si="255">IF(EXACT(AE309,AH309),"OK","NG")</f>
        <v>OK</v>
      </c>
      <c r="AJ309" s="60"/>
      <c r="AK309" s="174"/>
      <c r="AL309" s="273" t="str">
        <f t="shared" si="221"/>
        <v xml:space="preserve">  </v>
      </c>
      <c r="AM309" s="218" t="str">
        <f t="shared" si="237"/>
        <v>-</v>
      </c>
      <c r="AN309" s="174"/>
      <c r="AO309" s="92" t="str">
        <f t="shared" ref="AO309:AO336" si="256">IF(EXACT(AK309,AN309),"OK","NG")</f>
        <v>OK</v>
      </c>
      <c r="AP309" s="60"/>
      <c r="AQ309" s="170"/>
      <c r="AR309" s="273" t="str">
        <f t="shared" si="222"/>
        <v xml:space="preserve">  </v>
      </c>
      <c r="AS309" s="218" t="s">
        <v>593</v>
      </c>
      <c r="AT309" s="273"/>
      <c r="AU309" s="218" t="str">
        <f t="shared" si="219"/>
        <v>-</v>
      </c>
      <c r="AV309" s="60"/>
      <c r="AW309" s="174" t="s">
        <v>248</v>
      </c>
      <c r="AX309" s="273" t="str">
        <f t="shared" si="223"/>
        <v>C1</v>
      </c>
      <c r="AY309" s="218" t="str">
        <f t="shared" si="239"/>
        <v>-</v>
      </c>
      <c r="AZ309" s="174" t="s">
        <v>248</v>
      </c>
      <c r="BA309" s="92" t="str">
        <f>IF(EXACT(AW309,AZ309),"OK","NG")</f>
        <v>OK</v>
      </c>
      <c r="BB309" s="60"/>
      <c r="BC309" s="174" t="s">
        <v>223</v>
      </c>
      <c r="BD309" s="273" t="str">
        <f t="shared" si="224"/>
        <v>A5</v>
      </c>
      <c r="BE309" s="218" t="str">
        <f t="shared" si="240"/>
        <v>-</v>
      </c>
      <c r="BF309" s="174" t="s">
        <v>223</v>
      </c>
      <c r="BG309" s="92" t="str">
        <f>IF(EXACT(BC309,BF309),"OK","NG")</f>
        <v>OK</v>
      </c>
      <c r="BH309" s="60"/>
      <c r="BI309" s="170" t="s">
        <v>248</v>
      </c>
      <c r="BJ309" s="273" t="str">
        <f t="shared" si="253"/>
        <v>C1</v>
      </c>
      <c r="BK309" s="218" t="s">
        <v>593</v>
      </c>
      <c r="BL309" s="174" t="s">
        <v>248</v>
      </c>
      <c r="BM309" s="92" t="str">
        <f>IF(EXACT(BI309,BL309),"OK","NG")</f>
        <v>OK</v>
      </c>
      <c r="BN309" s="60"/>
      <c r="BO309" s="174" t="s">
        <v>223</v>
      </c>
      <c r="BP309" s="273" t="str">
        <f t="shared" si="226"/>
        <v>A5</v>
      </c>
      <c r="BQ309" s="218" t="str">
        <f t="shared" si="241"/>
        <v>-</v>
      </c>
      <c r="BR309" s="174" t="s">
        <v>223</v>
      </c>
      <c r="BS309" s="92" t="str">
        <f>IF(EXACT(BO309,BR309),"OK","NG")</f>
        <v>OK</v>
      </c>
      <c r="BT309" s="60"/>
      <c r="BU309" s="170"/>
      <c r="BV309" s="273" t="str">
        <f t="shared" si="227"/>
        <v xml:space="preserve">  </v>
      </c>
      <c r="BW309" s="218" t="s">
        <v>593</v>
      </c>
      <c r="BX309" s="273"/>
      <c r="BY309" s="218" t="str">
        <f t="shared" si="242"/>
        <v>-</v>
      </c>
      <c r="BZ309" s="60"/>
      <c r="CA309" s="174"/>
      <c r="CB309" s="273" t="str">
        <f t="shared" si="228"/>
        <v xml:space="preserve">  </v>
      </c>
      <c r="CC309" s="218" t="str">
        <f t="shared" si="243"/>
        <v>-</v>
      </c>
      <c r="CD309" s="174"/>
      <c r="CE309" s="92" t="str">
        <f t="shared" ref="CE309:CE336" si="257">IF(EXACT(CA309,CD309),"OK","NG")</f>
        <v>OK</v>
      </c>
      <c r="CF309" s="60"/>
      <c r="CG309" s="174"/>
      <c r="CH309" s="273" t="str">
        <f t="shared" si="229"/>
        <v xml:space="preserve">  </v>
      </c>
      <c r="CI309" s="218" t="str">
        <f t="shared" si="245"/>
        <v>-</v>
      </c>
      <c r="CJ309" s="174"/>
      <c r="CK309" s="92" t="str">
        <f t="shared" ref="CK309:CK336" si="258">IF(EXACT(CG309,CJ309),"OK","NG")</f>
        <v>OK</v>
      </c>
      <c r="CL309" s="60"/>
      <c r="CM309" s="174"/>
      <c r="CN309" s="273" t="str">
        <f t="shared" si="230"/>
        <v xml:space="preserve">  </v>
      </c>
      <c r="CO309" s="218" t="s">
        <v>593</v>
      </c>
      <c r="CP309" s="273"/>
      <c r="CQ309" s="218" t="str">
        <f t="shared" si="247"/>
        <v>-</v>
      </c>
      <c r="CR309" s="60"/>
      <c r="CS309" s="174"/>
      <c r="CT309" s="273" t="str">
        <f t="shared" si="231"/>
        <v xml:space="preserve">  </v>
      </c>
      <c r="CU309" s="218" t="str">
        <f t="shared" si="248"/>
        <v>-</v>
      </c>
      <c r="CV309" s="174"/>
      <c r="CW309" s="92" t="s">
        <v>593</v>
      </c>
      <c r="CX309" s="60"/>
      <c r="CY309" s="174"/>
      <c r="CZ309" s="273" t="str">
        <f t="shared" si="232"/>
        <v xml:space="preserve">  </v>
      </c>
      <c r="DA309" s="218" t="str">
        <f t="shared" si="249"/>
        <v>-</v>
      </c>
      <c r="DB309" s="174"/>
      <c r="DC309" s="92" t="s">
        <v>593</v>
      </c>
    </row>
    <row r="310" spans="1:107" s="26" customFormat="1">
      <c r="B310" s="2">
        <f t="shared" si="235"/>
        <v>303</v>
      </c>
      <c r="C310" s="7"/>
      <c r="D310" s="7"/>
      <c r="E310" s="7"/>
      <c r="F310" s="22" t="s">
        <v>353</v>
      </c>
      <c r="G310" s="16"/>
      <c r="H310" s="13"/>
      <c r="I310" s="8"/>
      <c r="J310" s="8"/>
      <c r="K310" s="8"/>
      <c r="L310" s="8"/>
      <c r="M310" s="417" t="s">
        <v>220</v>
      </c>
      <c r="N310" s="11"/>
      <c r="O310" s="57"/>
      <c r="P310" s="95">
        <f t="shared" ref="P310:P331" si="259">P309+1</f>
        <v>277</v>
      </c>
      <c r="Q310" s="115">
        <v>2</v>
      </c>
      <c r="R310" s="21" t="str">
        <f t="shared" si="252"/>
        <v>X</v>
      </c>
      <c r="S310" s="98" t="s">
        <v>124</v>
      </c>
      <c r="T310" s="96"/>
      <c r="U310" s="21" t="s">
        <v>257</v>
      </c>
      <c r="V310" s="10"/>
      <c r="W310" s="25">
        <v>3</v>
      </c>
      <c r="X310" s="1" t="s">
        <v>125</v>
      </c>
      <c r="Y310" s="1">
        <v>2</v>
      </c>
      <c r="Z310" s="1">
        <v>2</v>
      </c>
      <c r="AA310" s="8" t="s">
        <v>114</v>
      </c>
      <c r="AB310" s="8" t="s">
        <v>21</v>
      </c>
      <c r="AC310" s="12"/>
      <c r="AD310" s="60"/>
      <c r="AE310" s="169"/>
      <c r="AF310" s="61" t="str">
        <f t="shared" si="220"/>
        <v xml:space="preserve">  </v>
      </c>
      <c r="AG310" s="218" t="str">
        <f t="shared" si="254"/>
        <v>-</v>
      </c>
      <c r="AH310" s="169"/>
      <c r="AI310" s="92" t="str">
        <f t="shared" si="255"/>
        <v>OK</v>
      </c>
      <c r="AJ310" s="60"/>
      <c r="AK310" s="169"/>
      <c r="AL310" s="61" t="str">
        <f t="shared" si="221"/>
        <v xml:space="preserve">  </v>
      </c>
      <c r="AM310" s="218" t="str">
        <f t="shared" si="237"/>
        <v>-</v>
      </c>
      <c r="AN310" s="169"/>
      <c r="AO310" s="92" t="str">
        <f t="shared" si="256"/>
        <v>OK</v>
      </c>
      <c r="AP310" s="60"/>
      <c r="AQ310" s="172"/>
      <c r="AR310" s="61" t="str">
        <f t="shared" si="222"/>
        <v xml:space="preserve">  </v>
      </c>
      <c r="AS310" s="218" t="s">
        <v>593</v>
      </c>
      <c r="AT310" s="61"/>
      <c r="AU310" s="218" t="str">
        <f t="shared" si="219"/>
        <v>-</v>
      </c>
      <c r="AV310" s="60"/>
      <c r="AW310" s="169"/>
      <c r="AX310" s="61" t="str">
        <f t="shared" si="223"/>
        <v xml:space="preserve">  </v>
      </c>
      <c r="AY310" s="218" t="str">
        <f t="shared" si="239"/>
        <v>-</v>
      </c>
      <c r="AZ310" s="169"/>
      <c r="BA310" s="92" t="str">
        <f>IF(EXACT(AW310,AZ310),"OK","NG")</f>
        <v>OK</v>
      </c>
      <c r="BB310" s="60"/>
      <c r="BC310" s="169"/>
      <c r="BD310" s="61" t="str">
        <f t="shared" si="224"/>
        <v xml:space="preserve">  </v>
      </c>
      <c r="BE310" s="218" t="str">
        <f t="shared" si="240"/>
        <v>-</v>
      </c>
      <c r="BF310" s="169"/>
      <c r="BG310" s="92" t="str">
        <f>IF(EXACT(BC310,BF310),"OK","NG")</f>
        <v>OK</v>
      </c>
      <c r="BH310" s="60"/>
      <c r="BI310" s="170" t="s">
        <v>698</v>
      </c>
      <c r="BJ310" s="61" t="str">
        <f t="shared" si="253"/>
        <v xml:space="preserve">  </v>
      </c>
      <c r="BK310" s="218" t="s">
        <v>593</v>
      </c>
      <c r="BL310" s="169"/>
      <c r="BM310" s="92" t="str">
        <f>IF(EXACT(BI310,BL310),"OK","NG")</f>
        <v>NG</v>
      </c>
      <c r="BN310" s="60"/>
      <c r="BO310" s="169"/>
      <c r="BP310" s="61" t="str">
        <f t="shared" si="226"/>
        <v xml:space="preserve">  </v>
      </c>
      <c r="BQ310" s="218" t="str">
        <f t="shared" si="241"/>
        <v>-</v>
      </c>
      <c r="BR310" s="169"/>
      <c r="BS310" s="92" t="str">
        <f>IF(EXACT(BO310,BR310),"OK","NG")</f>
        <v>OK</v>
      </c>
      <c r="BT310" s="60"/>
      <c r="BU310" s="172"/>
      <c r="BV310" s="61" t="str">
        <f t="shared" si="227"/>
        <v xml:space="preserve">  </v>
      </c>
      <c r="BW310" s="218" t="s">
        <v>593</v>
      </c>
      <c r="BX310" s="61"/>
      <c r="BY310" s="218" t="str">
        <f t="shared" si="242"/>
        <v>-</v>
      </c>
      <c r="BZ310" s="60"/>
      <c r="CA310" s="169"/>
      <c r="CB310" s="61" t="str">
        <f t="shared" si="228"/>
        <v xml:space="preserve">  </v>
      </c>
      <c r="CC310" s="218" t="str">
        <f t="shared" si="243"/>
        <v>-</v>
      </c>
      <c r="CD310" s="169"/>
      <c r="CE310" s="92" t="str">
        <f t="shared" si="257"/>
        <v>OK</v>
      </c>
      <c r="CF310" s="60"/>
      <c r="CG310" s="169"/>
      <c r="CH310" s="61" t="str">
        <f t="shared" si="229"/>
        <v xml:space="preserve">  </v>
      </c>
      <c r="CI310" s="218" t="str">
        <f t="shared" si="245"/>
        <v>-</v>
      </c>
      <c r="CJ310" s="169"/>
      <c r="CK310" s="92" t="str">
        <f t="shared" si="258"/>
        <v>OK</v>
      </c>
      <c r="CL310" s="60"/>
      <c r="CM310" s="169"/>
      <c r="CN310" s="61" t="str">
        <f t="shared" si="230"/>
        <v xml:space="preserve">  </v>
      </c>
      <c r="CO310" s="218" t="s">
        <v>593</v>
      </c>
      <c r="CP310" s="61"/>
      <c r="CQ310" s="218" t="str">
        <f t="shared" si="247"/>
        <v>-</v>
      </c>
      <c r="CR310" s="60"/>
      <c r="CS310" s="169"/>
      <c r="CT310" s="61" t="str">
        <f t="shared" si="231"/>
        <v xml:space="preserve">  </v>
      </c>
      <c r="CU310" s="218" t="str">
        <f t="shared" si="248"/>
        <v>-</v>
      </c>
      <c r="CV310" s="169"/>
      <c r="CW310" s="92" t="s">
        <v>593</v>
      </c>
      <c r="CX310" s="60"/>
      <c r="CY310" s="169"/>
      <c r="CZ310" s="61" t="str">
        <f t="shared" si="232"/>
        <v xml:space="preserve">  </v>
      </c>
      <c r="DA310" s="218" t="str">
        <f t="shared" si="249"/>
        <v>-</v>
      </c>
      <c r="DB310" s="169"/>
      <c r="DC310" s="92" t="s">
        <v>593</v>
      </c>
    </row>
    <row r="311" spans="1:107" s="26" customFormat="1">
      <c r="B311" s="2">
        <f t="shared" si="235"/>
        <v>304</v>
      </c>
      <c r="C311" s="7"/>
      <c r="D311" s="7"/>
      <c r="E311" s="7"/>
      <c r="F311" s="22" t="s">
        <v>126</v>
      </c>
      <c r="G311" s="16"/>
      <c r="H311" s="13"/>
      <c r="I311" s="8"/>
      <c r="J311" s="8" t="s">
        <v>269</v>
      </c>
      <c r="K311" s="8"/>
      <c r="L311" s="8"/>
      <c r="M311" s="1" t="s">
        <v>127</v>
      </c>
      <c r="N311" s="1"/>
      <c r="O311" s="57"/>
      <c r="P311" s="95">
        <f t="shared" si="259"/>
        <v>278</v>
      </c>
      <c r="Q311" s="115">
        <v>255</v>
      </c>
      <c r="R311" s="21" t="str">
        <f t="shared" si="252"/>
        <v>NX</v>
      </c>
      <c r="S311" s="98" t="s">
        <v>128</v>
      </c>
      <c r="T311" s="96"/>
      <c r="U311" s="21" t="s">
        <v>257</v>
      </c>
      <c r="V311" s="10"/>
      <c r="W311" s="25">
        <v>3</v>
      </c>
      <c r="X311" s="1" t="s">
        <v>298</v>
      </c>
      <c r="Y311" s="1">
        <v>1</v>
      </c>
      <c r="Z311" s="1">
        <v>255</v>
      </c>
      <c r="AA311" s="8" t="s">
        <v>129</v>
      </c>
      <c r="AB311" s="8" t="s">
        <v>21</v>
      </c>
      <c r="AC311" s="12"/>
      <c r="AD311" s="60"/>
      <c r="AE311" s="174"/>
      <c r="AF311" s="228" t="str">
        <f t="shared" si="220"/>
        <v xml:space="preserve">                                                                                                                                                                                                                                                               </v>
      </c>
      <c r="AG311" s="218" t="str">
        <f t="shared" si="254"/>
        <v>-</v>
      </c>
      <c r="AH311" s="174"/>
      <c r="AI311" s="92" t="str">
        <f t="shared" si="255"/>
        <v>OK</v>
      </c>
      <c r="AJ311" s="60"/>
      <c r="AK311" s="174"/>
      <c r="AL311" s="228" t="str">
        <f t="shared" si="221"/>
        <v xml:space="preserve">                                                                                                                                                                                                                                                               </v>
      </c>
      <c r="AM311" s="218" t="str">
        <f t="shared" si="237"/>
        <v>-</v>
      </c>
      <c r="AN311" s="174"/>
      <c r="AO311" s="92" t="str">
        <f t="shared" si="256"/>
        <v>OK</v>
      </c>
      <c r="AP311" s="60"/>
      <c r="AQ311" s="170"/>
      <c r="AR311" s="228" t="str">
        <f t="shared" si="222"/>
        <v xml:space="preserve">                                                                                                                                                                                                                                                               </v>
      </c>
      <c r="AS311" s="218" t="s">
        <v>593</v>
      </c>
      <c r="AT311" s="228"/>
      <c r="AU311" s="218" t="str">
        <f t="shared" si="219"/>
        <v>-</v>
      </c>
      <c r="AV311" s="60"/>
      <c r="AW311" s="174" t="s">
        <v>716</v>
      </c>
      <c r="AX311" s="228" t="str">
        <f t="shared" si="223"/>
        <v xml:space="preserve">ホームプラス電話                                                                                                                                                                                                                                               </v>
      </c>
      <c r="AY311" s="218" t="str">
        <f t="shared" si="239"/>
        <v>-</v>
      </c>
      <c r="AZ311" s="174" t="s">
        <v>402</v>
      </c>
      <c r="BA311" s="92" t="str">
        <f>IF(EXACT(AW311,AZ311),"OK","NG")</f>
        <v>OK</v>
      </c>
      <c r="BB311" s="60"/>
      <c r="BC311" s="174" t="s">
        <v>348</v>
      </c>
      <c r="BD311" s="228" t="str">
        <f t="shared" si="224"/>
        <v xml:space="preserve">ＢＢＩＱホームタイプ                                                                                                                                                                                                                                           </v>
      </c>
      <c r="BE311" s="218" t="str">
        <f t="shared" si="240"/>
        <v>-</v>
      </c>
      <c r="BF311" s="174" t="s">
        <v>348</v>
      </c>
      <c r="BG311" s="92" t="str">
        <f>IF(EXACT(BC311,BF311),"OK","NG")</f>
        <v>OK</v>
      </c>
      <c r="BH311" s="60"/>
      <c r="BI311" s="170" t="s">
        <v>745</v>
      </c>
      <c r="BJ311" s="228" t="str">
        <f t="shared" si="253"/>
        <v xml:space="preserve">ホームプラス電話                                                                                                                                                                                                                                               </v>
      </c>
      <c r="BK311" s="218" t="s">
        <v>593</v>
      </c>
      <c r="BL311" s="174" t="s">
        <v>402</v>
      </c>
      <c r="BM311" s="92" t="str">
        <f>IF(EXACT(BI311,BL311),"OK","NG")</f>
        <v>NG</v>
      </c>
      <c r="BN311" s="60"/>
      <c r="BO311" s="174" t="s">
        <v>348</v>
      </c>
      <c r="BP311" s="228" t="str">
        <f t="shared" si="226"/>
        <v xml:space="preserve">ＢＢＩＱホームタイプ                                                                                                                                                                                                                                           </v>
      </c>
      <c r="BQ311" s="218" t="str">
        <f t="shared" si="241"/>
        <v>-</v>
      </c>
      <c r="BR311" s="174" t="s">
        <v>348</v>
      </c>
      <c r="BS311" s="92" t="str">
        <f>IF(EXACT(BO311,BR311),"OK","NG")</f>
        <v>OK</v>
      </c>
      <c r="BT311" s="60"/>
      <c r="BU311" s="170"/>
      <c r="BV311" s="228" t="str">
        <f t="shared" si="227"/>
        <v xml:space="preserve">                                                                                                                                                                                                                                                               </v>
      </c>
      <c r="BW311" s="218" t="s">
        <v>593</v>
      </c>
      <c r="BX311" s="228"/>
      <c r="BY311" s="218" t="str">
        <f t="shared" si="242"/>
        <v>-</v>
      </c>
      <c r="BZ311" s="60"/>
      <c r="CA311" s="174"/>
      <c r="CB311" s="228" t="str">
        <f t="shared" si="228"/>
        <v xml:space="preserve">                                                                                                                                                                                                                                                               </v>
      </c>
      <c r="CC311" s="218" t="str">
        <f t="shared" si="243"/>
        <v>-</v>
      </c>
      <c r="CD311" s="174"/>
      <c r="CE311" s="92" t="str">
        <f t="shared" si="257"/>
        <v>OK</v>
      </c>
      <c r="CF311" s="60"/>
      <c r="CG311" s="174"/>
      <c r="CH311" s="228" t="str">
        <f t="shared" si="229"/>
        <v xml:space="preserve">                                                                                                                                                                                                                                                               </v>
      </c>
      <c r="CI311" s="218" t="str">
        <f t="shared" si="245"/>
        <v>-</v>
      </c>
      <c r="CJ311" s="174"/>
      <c r="CK311" s="92" t="str">
        <f t="shared" si="258"/>
        <v>OK</v>
      </c>
      <c r="CL311" s="60"/>
      <c r="CM311" s="174"/>
      <c r="CN311" s="228" t="str">
        <f t="shared" si="230"/>
        <v xml:space="preserve">                                                                                                                                                                                                                                                               </v>
      </c>
      <c r="CO311" s="218" t="s">
        <v>593</v>
      </c>
      <c r="CP311" s="228"/>
      <c r="CQ311" s="218" t="str">
        <f t="shared" si="247"/>
        <v>-</v>
      </c>
      <c r="CR311" s="60"/>
      <c r="CS311" s="174"/>
      <c r="CT311" s="228" t="str">
        <f t="shared" si="231"/>
        <v xml:space="preserve">                                                                                                                                                                                                                                                               </v>
      </c>
      <c r="CU311" s="218" t="str">
        <f t="shared" si="248"/>
        <v>-</v>
      </c>
      <c r="CV311" s="174"/>
      <c r="CW311" s="92" t="s">
        <v>593</v>
      </c>
      <c r="CX311" s="60"/>
      <c r="CY311" s="174"/>
      <c r="CZ311" s="228" t="str">
        <f t="shared" si="232"/>
        <v xml:space="preserve">                                                                                                                                                                                                                                                               </v>
      </c>
      <c r="DA311" s="218" t="str">
        <f t="shared" si="249"/>
        <v>-</v>
      </c>
      <c r="DB311" s="174"/>
      <c r="DC311" s="92" t="s">
        <v>593</v>
      </c>
    </row>
    <row r="312" spans="1:107" s="26" customFormat="1">
      <c r="B312" s="19">
        <f t="shared" si="235"/>
        <v>305</v>
      </c>
      <c r="C312" s="7"/>
      <c r="D312" s="7"/>
      <c r="E312" s="7"/>
      <c r="F312" s="3" t="s">
        <v>130</v>
      </c>
      <c r="G312" s="3"/>
      <c r="H312" s="4"/>
      <c r="I312" s="6"/>
      <c r="J312" s="6"/>
      <c r="K312" s="6"/>
      <c r="L312" s="6"/>
      <c r="M312" s="23" t="s">
        <v>131</v>
      </c>
      <c r="N312" s="5"/>
      <c r="O312" s="55"/>
      <c r="P312" s="95">
        <f t="shared" si="259"/>
        <v>279</v>
      </c>
      <c r="Q312" s="116">
        <v>256</v>
      </c>
      <c r="R312" s="21" t="str">
        <f t="shared" si="252"/>
        <v>NX</v>
      </c>
      <c r="S312" s="98" t="s">
        <v>132</v>
      </c>
      <c r="T312" s="96"/>
      <c r="U312" s="21" t="s">
        <v>435</v>
      </c>
      <c r="V312" s="10"/>
      <c r="W312" s="28">
        <v>3</v>
      </c>
      <c r="X312" s="5" t="s">
        <v>299</v>
      </c>
      <c r="Y312" s="5">
        <v>1</v>
      </c>
      <c r="Z312" s="5">
        <v>256</v>
      </c>
      <c r="AA312" s="6" t="s">
        <v>300</v>
      </c>
      <c r="AB312" s="6" t="s">
        <v>257</v>
      </c>
      <c r="AC312" s="64"/>
      <c r="AD312" s="60"/>
      <c r="AE312" s="169"/>
      <c r="AF312" s="61" t="str">
        <f t="shared" si="220"/>
        <v xml:space="preserve">                                                                                                                                                                                                                                                                </v>
      </c>
      <c r="AG312" s="218" t="str">
        <f t="shared" si="254"/>
        <v>-</v>
      </c>
      <c r="AH312" s="169"/>
      <c r="AI312" s="92" t="str">
        <f t="shared" si="255"/>
        <v>OK</v>
      </c>
      <c r="AJ312" s="60"/>
      <c r="AK312" s="169"/>
      <c r="AL312" s="61" t="str">
        <f t="shared" si="221"/>
        <v xml:space="preserve">                                                                                                                                                                                                                                                                </v>
      </c>
      <c r="AM312" s="218" t="str">
        <f t="shared" si="237"/>
        <v>-</v>
      </c>
      <c r="AN312" s="169"/>
      <c r="AO312" s="92" t="str">
        <f t="shared" si="256"/>
        <v>OK</v>
      </c>
      <c r="AP312" s="60"/>
      <c r="AQ312" s="172"/>
      <c r="AR312" s="61" t="str">
        <f t="shared" si="222"/>
        <v xml:space="preserve">                                                                                                                                                                                                                                                                </v>
      </c>
      <c r="AS312" s="218" t="s">
        <v>593</v>
      </c>
      <c r="AT312" s="61"/>
      <c r="AU312" s="218" t="str">
        <f t="shared" si="219"/>
        <v>-</v>
      </c>
      <c r="AV312" s="60"/>
      <c r="AW312" s="169"/>
      <c r="AX312" s="61" t="str">
        <f t="shared" si="223"/>
        <v xml:space="preserve">                                                                                                                                                                                                                                                                </v>
      </c>
      <c r="AY312" s="218" t="str">
        <f t="shared" si="239"/>
        <v>-</v>
      </c>
      <c r="AZ312" s="169"/>
      <c r="BA312" s="92" t="str">
        <f>IF(EXACT(AW312,AZ312),"OK","NG")</f>
        <v>OK</v>
      </c>
      <c r="BB312" s="60"/>
      <c r="BC312" s="169"/>
      <c r="BD312" s="61" t="str">
        <f t="shared" si="224"/>
        <v xml:space="preserve">                                                                                                                                                                                                                                                                </v>
      </c>
      <c r="BE312" s="218" t="str">
        <f t="shared" si="240"/>
        <v>-</v>
      </c>
      <c r="BF312" s="169"/>
      <c r="BG312" s="92" t="str">
        <f>IF(EXACT(BC312,BF312),"OK","NG")</f>
        <v>OK</v>
      </c>
      <c r="BH312" s="60"/>
      <c r="BI312" s="170" t="s">
        <v>700</v>
      </c>
      <c r="BJ312" s="61" t="str">
        <f t="shared" si="253"/>
        <v xml:space="preserve">                                                                                                                                                                                                                                                                </v>
      </c>
      <c r="BK312" s="218" t="s">
        <v>593</v>
      </c>
      <c r="BL312" s="169"/>
      <c r="BM312" s="92" t="str">
        <f>IF(EXACT(BI312,BL312),"OK","NG")</f>
        <v>NG</v>
      </c>
      <c r="BN312" s="60"/>
      <c r="BO312" s="169"/>
      <c r="BP312" s="61" t="str">
        <f t="shared" si="226"/>
        <v xml:space="preserve">                                                                                                                                                                                                                                                                </v>
      </c>
      <c r="BQ312" s="218" t="str">
        <f t="shared" si="241"/>
        <v>-</v>
      </c>
      <c r="BR312" s="169"/>
      <c r="BS312" s="92" t="str">
        <f>IF(EXACT(BO312,BR312),"OK","NG")</f>
        <v>OK</v>
      </c>
      <c r="BT312" s="60"/>
      <c r="BU312" s="172"/>
      <c r="BV312" s="61" t="str">
        <f t="shared" si="227"/>
        <v xml:space="preserve">                                                                                                                                                                                                                                                                </v>
      </c>
      <c r="BW312" s="218" t="s">
        <v>593</v>
      </c>
      <c r="BX312" s="61"/>
      <c r="BY312" s="218" t="str">
        <f t="shared" si="242"/>
        <v>-</v>
      </c>
      <c r="BZ312" s="60"/>
      <c r="CA312" s="169"/>
      <c r="CB312" s="61" t="str">
        <f t="shared" si="228"/>
        <v xml:space="preserve">                                                                                                                                                                                                                                                                </v>
      </c>
      <c r="CC312" s="218" t="str">
        <f t="shared" si="243"/>
        <v>-</v>
      </c>
      <c r="CD312" s="169"/>
      <c r="CE312" s="92" t="str">
        <f t="shared" si="257"/>
        <v>OK</v>
      </c>
      <c r="CF312" s="60"/>
      <c r="CG312" s="169"/>
      <c r="CH312" s="61" t="str">
        <f t="shared" si="229"/>
        <v xml:space="preserve">                                                                                                                                                                                                                                                                </v>
      </c>
      <c r="CI312" s="218" t="str">
        <f t="shared" si="245"/>
        <v>-</v>
      </c>
      <c r="CJ312" s="169"/>
      <c r="CK312" s="92" t="str">
        <f t="shared" si="258"/>
        <v>OK</v>
      </c>
      <c r="CL312" s="60"/>
      <c r="CM312" s="169"/>
      <c r="CN312" s="61" t="str">
        <f t="shared" si="230"/>
        <v xml:space="preserve">                                                                                                                                                                                                                                                                </v>
      </c>
      <c r="CO312" s="218" t="s">
        <v>593</v>
      </c>
      <c r="CP312" s="61"/>
      <c r="CQ312" s="218" t="str">
        <f t="shared" si="247"/>
        <v>-</v>
      </c>
      <c r="CR312" s="60"/>
      <c r="CS312" s="169"/>
      <c r="CT312" s="61" t="str">
        <f t="shared" si="231"/>
        <v xml:space="preserve">                                                                                                                                                                                                                                                                </v>
      </c>
      <c r="CU312" s="218" t="str">
        <f t="shared" si="248"/>
        <v>-</v>
      </c>
      <c r="CV312" s="169"/>
      <c r="CW312" s="92" t="s">
        <v>593</v>
      </c>
      <c r="CX312" s="60"/>
      <c r="CY312" s="169"/>
      <c r="CZ312" s="61" t="str">
        <f t="shared" si="232"/>
        <v xml:space="preserve">                                                                                                                                                                                                                                                                </v>
      </c>
      <c r="DA312" s="218" t="str">
        <f t="shared" si="249"/>
        <v>-</v>
      </c>
      <c r="DB312" s="169"/>
      <c r="DC312" s="92" t="s">
        <v>593</v>
      </c>
    </row>
    <row r="313" spans="1:107" s="26" customFormat="1" ht="63.75">
      <c r="B313" s="2">
        <f t="shared" si="235"/>
        <v>306</v>
      </c>
      <c r="C313" s="7"/>
      <c r="D313" s="7"/>
      <c r="E313" s="7"/>
      <c r="F313" s="22" t="s">
        <v>133</v>
      </c>
      <c r="G313" s="16"/>
      <c r="H313" s="13"/>
      <c r="I313" s="8"/>
      <c r="J313" s="8"/>
      <c r="K313" s="8"/>
      <c r="L313" s="8"/>
      <c r="M313" s="11" t="s">
        <v>444</v>
      </c>
      <c r="N313" s="1"/>
      <c r="O313" s="57"/>
      <c r="P313" s="95">
        <f t="shared" si="259"/>
        <v>280</v>
      </c>
      <c r="Q313" s="115">
        <v>256</v>
      </c>
      <c r="R313" s="21" t="str">
        <f t="shared" si="252"/>
        <v>NX</v>
      </c>
      <c r="S313" s="98" t="s">
        <v>134</v>
      </c>
      <c r="T313" s="96"/>
      <c r="U313" s="21" t="s">
        <v>435</v>
      </c>
      <c r="V313" s="10"/>
      <c r="W313" s="25">
        <v>3</v>
      </c>
      <c r="X313" s="1" t="s">
        <v>135</v>
      </c>
      <c r="Y313" s="1">
        <v>1</v>
      </c>
      <c r="Z313" s="1">
        <v>256</v>
      </c>
      <c r="AA313" s="8" t="s">
        <v>129</v>
      </c>
      <c r="AB313" s="8" t="s">
        <v>257</v>
      </c>
      <c r="AC313" s="12"/>
      <c r="AD313" s="60"/>
      <c r="AE313" s="174"/>
      <c r="AF313" s="170" t="str">
        <f t="shared" si="220"/>
        <v xml:space="preserve">                                                                                                                                                                                                                                                                </v>
      </c>
      <c r="AG313" s="218" t="str">
        <f t="shared" si="254"/>
        <v>-</v>
      </c>
      <c r="AH313" s="174"/>
      <c r="AI313" s="92" t="str">
        <f t="shared" si="255"/>
        <v>OK</v>
      </c>
      <c r="AJ313" s="60"/>
      <c r="AK313" s="174"/>
      <c r="AL313" s="170" t="str">
        <f t="shared" si="221"/>
        <v xml:space="preserve">                                                                                                                                                                                                                                                                </v>
      </c>
      <c r="AM313" s="218" t="str">
        <f t="shared" si="237"/>
        <v>-</v>
      </c>
      <c r="AN313" s="174"/>
      <c r="AO313" s="92" t="str">
        <f t="shared" si="256"/>
        <v>OK</v>
      </c>
      <c r="AP313" s="60"/>
      <c r="AQ313" s="170"/>
      <c r="AR313" s="170" t="str">
        <f t="shared" si="222"/>
        <v xml:space="preserve">                                                                                                                                                                                                                                                                </v>
      </c>
      <c r="AS313" s="218" t="s">
        <v>593</v>
      </c>
      <c r="AT313" s="170"/>
      <c r="AU313" s="218" t="str">
        <f t="shared" si="219"/>
        <v>-</v>
      </c>
      <c r="AV313" s="60"/>
      <c r="AW313" s="174"/>
      <c r="AX313" s="170" t="str">
        <f t="shared" si="223"/>
        <v xml:space="preserve">                                                                                                                                                                                                                                                                </v>
      </c>
      <c r="AY313" s="218" t="str">
        <f t="shared" si="239"/>
        <v>-</v>
      </c>
      <c r="AZ313" s="174"/>
      <c r="BA313" s="478" t="s">
        <v>594</v>
      </c>
      <c r="BB313" s="60"/>
      <c r="BC313" s="174"/>
      <c r="BD313" s="170" t="str">
        <f t="shared" si="224"/>
        <v xml:space="preserve">                                                                                                                                                                                                                                                                </v>
      </c>
      <c r="BE313" s="218" t="str">
        <f t="shared" si="240"/>
        <v>-</v>
      </c>
      <c r="BF313" s="174"/>
      <c r="BG313" s="478" t="s">
        <v>594</v>
      </c>
      <c r="BH313" s="60"/>
      <c r="BI313" s="170" t="s">
        <v>700</v>
      </c>
      <c r="BJ313" s="170" t="str">
        <f t="shared" si="253"/>
        <v xml:space="preserve">                                                                                                                                                                                                                                                                </v>
      </c>
      <c r="BK313" s="218" t="s">
        <v>593</v>
      </c>
      <c r="BL313" s="174"/>
      <c r="BM313" s="478" t="s">
        <v>594</v>
      </c>
      <c r="BN313" s="60"/>
      <c r="BO313" s="174"/>
      <c r="BP313" s="170" t="str">
        <f t="shared" si="226"/>
        <v xml:space="preserve">                                                                                                                                                                                                                                                                </v>
      </c>
      <c r="BQ313" s="218" t="str">
        <f t="shared" si="241"/>
        <v>-</v>
      </c>
      <c r="BR313" s="174"/>
      <c r="BS313" s="478" t="s">
        <v>594</v>
      </c>
      <c r="BT313" s="60"/>
      <c r="BU313" s="170"/>
      <c r="BV313" s="170" t="str">
        <f t="shared" si="227"/>
        <v xml:space="preserve">                                                                                                                                                                                                                                                                </v>
      </c>
      <c r="BW313" s="218" t="s">
        <v>593</v>
      </c>
      <c r="BX313" s="170"/>
      <c r="BY313" s="218" t="str">
        <f t="shared" si="242"/>
        <v>-</v>
      </c>
      <c r="BZ313" s="60"/>
      <c r="CA313" s="174"/>
      <c r="CB313" s="170" t="str">
        <f t="shared" si="228"/>
        <v xml:space="preserve">                                                                                                                                                                                                                                                                </v>
      </c>
      <c r="CC313" s="218" t="str">
        <f t="shared" si="243"/>
        <v>-</v>
      </c>
      <c r="CD313" s="174"/>
      <c r="CE313" s="92" t="str">
        <f t="shared" si="257"/>
        <v>OK</v>
      </c>
      <c r="CF313" s="60"/>
      <c r="CG313" s="174"/>
      <c r="CH313" s="170" t="str">
        <f t="shared" si="229"/>
        <v xml:space="preserve">                                                                                                                                                                                                                                                                </v>
      </c>
      <c r="CI313" s="218" t="str">
        <f t="shared" si="245"/>
        <v>-</v>
      </c>
      <c r="CJ313" s="174"/>
      <c r="CK313" s="92" t="str">
        <f t="shared" si="258"/>
        <v>OK</v>
      </c>
      <c r="CL313" s="60"/>
      <c r="CM313" s="174"/>
      <c r="CN313" s="170" t="str">
        <f t="shared" si="230"/>
        <v xml:space="preserve">                                                                                                                                                                                                                                                                </v>
      </c>
      <c r="CO313" s="218" t="s">
        <v>593</v>
      </c>
      <c r="CP313" s="170"/>
      <c r="CQ313" s="218" t="str">
        <f t="shared" si="247"/>
        <v>-</v>
      </c>
      <c r="CR313" s="60"/>
      <c r="CS313" s="174"/>
      <c r="CT313" s="170" t="str">
        <f t="shared" si="231"/>
        <v xml:space="preserve">                                                                                                                                                                                                                                                                </v>
      </c>
      <c r="CU313" s="218" t="str">
        <f t="shared" si="248"/>
        <v>-</v>
      </c>
      <c r="CV313" s="174"/>
      <c r="CW313" s="92" t="s">
        <v>593</v>
      </c>
      <c r="CX313" s="60"/>
      <c r="CY313" s="174"/>
      <c r="CZ313" s="170" t="str">
        <f t="shared" si="232"/>
        <v xml:space="preserve">                                                                                                                                                                                                                                                                </v>
      </c>
      <c r="DA313" s="218" t="str">
        <f t="shared" si="249"/>
        <v>-</v>
      </c>
      <c r="DB313" s="174"/>
      <c r="DC313" s="92" t="s">
        <v>593</v>
      </c>
    </row>
    <row r="314" spans="1:107" s="26" customFormat="1" ht="63.75">
      <c r="B314" s="2">
        <f t="shared" si="235"/>
        <v>307</v>
      </c>
      <c r="C314" s="7"/>
      <c r="D314" s="7"/>
      <c r="E314" s="7"/>
      <c r="F314" s="22" t="s">
        <v>136</v>
      </c>
      <c r="G314" s="16"/>
      <c r="H314" s="13"/>
      <c r="I314" s="8"/>
      <c r="J314" s="8"/>
      <c r="K314" s="8"/>
      <c r="L314" s="8"/>
      <c r="M314" s="11" t="s">
        <v>445</v>
      </c>
      <c r="N314" s="1"/>
      <c r="O314" s="57"/>
      <c r="P314" s="95">
        <f t="shared" si="259"/>
        <v>281</v>
      </c>
      <c r="Q314" s="115">
        <v>256</v>
      </c>
      <c r="R314" s="21" t="str">
        <f t="shared" si="252"/>
        <v>NX</v>
      </c>
      <c r="S314" s="98" t="s">
        <v>137</v>
      </c>
      <c r="T314" s="96"/>
      <c r="U314" s="21" t="s">
        <v>435</v>
      </c>
      <c r="V314" s="10"/>
      <c r="W314" s="25">
        <v>3</v>
      </c>
      <c r="X314" s="1" t="s">
        <v>138</v>
      </c>
      <c r="Y314" s="1">
        <v>1</v>
      </c>
      <c r="Z314" s="1">
        <v>256</v>
      </c>
      <c r="AA314" s="8" t="s">
        <v>129</v>
      </c>
      <c r="AB314" s="8" t="s">
        <v>257</v>
      </c>
      <c r="AC314" s="12"/>
      <c r="AD314" s="60"/>
      <c r="AE314" s="174"/>
      <c r="AF314" s="170" t="str">
        <f t="shared" si="220"/>
        <v xml:space="preserve">                                                                                                                                                                                                                                                                </v>
      </c>
      <c r="AG314" s="218" t="str">
        <f t="shared" si="254"/>
        <v>-</v>
      </c>
      <c r="AH314" s="174"/>
      <c r="AI314" s="92" t="str">
        <f t="shared" si="255"/>
        <v>OK</v>
      </c>
      <c r="AJ314" s="60"/>
      <c r="AK314" s="174"/>
      <c r="AL314" s="170" t="str">
        <f t="shared" si="221"/>
        <v xml:space="preserve">                                                                                                                                                                                                                                                                </v>
      </c>
      <c r="AM314" s="218" t="str">
        <f t="shared" si="237"/>
        <v>-</v>
      </c>
      <c r="AN314" s="174"/>
      <c r="AO314" s="92" t="str">
        <f t="shared" si="256"/>
        <v>OK</v>
      </c>
      <c r="AP314" s="60"/>
      <c r="AQ314" s="170"/>
      <c r="AR314" s="170" t="str">
        <f t="shared" si="222"/>
        <v xml:space="preserve">                                                                                                                                                                                                                                                                </v>
      </c>
      <c r="AS314" s="218" t="s">
        <v>593</v>
      </c>
      <c r="AT314" s="170"/>
      <c r="AU314" s="218" t="str">
        <f t="shared" si="219"/>
        <v>-</v>
      </c>
      <c r="AV314" s="60"/>
      <c r="AW314" s="174"/>
      <c r="AX314" s="170" t="str">
        <f t="shared" si="223"/>
        <v xml:space="preserve">                                                                                                                                                                                                                                                                </v>
      </c>
      <c r="AY314" s="218" t="str">
        <f t="shared" si="239"/>
        <v>-</v>
      </c>
      <c r="AZ314" s="174"/>
      <c r="BA314" s="478" t="s">
        <v>594</v>
      </c>
      <c r="BB314" s="60"/>
      <c r="BC314" s="174"/>
      <c r="BD314" s="170" t="str">
        <f t="shared" si="224"/>
        <v xml:space="preserve">                                                                                                                                                                                                                                                                </v>
      </c>
      <c r="BE314" s="218" t="str">
        <f t="shared" si="240"/>
        <v>-</v>
      </c>
      <c r="BF314" s="174"/>
      <c r="BG314" s="478" t="s">
        <v>594</v>
      </c>
      <c r="BH314" s="60"/>
      <c r="BI314" s="170" t="s">
        <v>700</v>
      </c>
      <c r="BJ314" s="170" t="str">
        <f t="shared" si="253"/>
        <v xml:space="preserve">                                                                                                                                                                                                                                                                </v>
      </c>
      <c r="BK314" s="218" t="s">
        <v>593</v>
      </c>
      <c r="BL314" s="174"/>
      <c r="BM314" s="478" t="s">
        <v>594</v>
      </c>
      <c r="BN314" s="60"/>
      <c r="BO314" s="174"/>
      <c r="BP314" s="170" t="str">
        <f t="shared" si="226"/>
        <v xml:space="preserve">                                                                                                                                                                                                                                                                </v>
      </c>
      <c r="BQ314" s="218" t="str">
        <f t="shared" si="241"/>
        <v>-</v>
      </c>
      <c r="BR314" s="174"/>
      <c r="BS314" s="478" t="s">
        <v>594</v>
      </c>
      <c r="BT314" s="60"/>
      <c r="BU314" s="170"/>
      <c r="BV314" s="170" t="str">
        <f t="shared" si="227"/>
        <v xml:space="preserve">                                                                                                                                                                                                                                                                </v>
      </c>
      <c r="BW314" s="218" t="s">
        <v>593</v>
      </c>
      <c r="BX314" s="170"/>
      <c r="BY314" s="218" t="str">
        <f t="shared" si="242"/>
        <v>-</v>
      </c>
      <c r="BZ314" s="60"/>
      <c r="CA314" s="174"/>
      <c r="CB314" s="170" t="str">
        <f t="shared" si="228"/>
        <v xml:space="preserve">                                                                                                                                                                                                                                                                </v>
      </c>
      <c r="CC314" s="218" t="str">
        <f t="shared" si="243"/>
        <v>-</v>
      </c>
      <c r="CD314" s="174"/>
      <c r="CE314" s="92" t="str">
        <f t="shared" si="257"/>
        <v>OK</v>
      </c>
      <c r="CF314" s="60"/>
      <c r="CG314" s="174"/>
      <c r="CH314" s="170" t="str">
        <f t="shared" si="229"/>
        <v xml:space="preserve">                                                                                                                                                                                                                                                                </v>
      </c>
      <c r="CI314" s="218" t="str">
        <f t="shared" si="245"/>
        <v>-</v>
      </c>
      <c r="CJ314" s="174"/>
      <c r="CK314" s="92" t="str">
        <f t="shared" si="258"/>
        <v>OK</v>
      </c>
      <c r="CL314" s="60"/>
      <c r="CM314" s="174"/>
      <c r="CN314" s="170" t="str">
        <f t="shared" si="230"/>
        <v xml:space="preserve">                                                                                                                                                                                                                                                                </v>
      </c>
      <c r="CO314" s="218" t="s">
        <v>593</v>
      </c>
      <c r="CP314" s="170"/>
      <c r="CQ314" s="218" t="str">
        <f t="shared" si="247"/>
        <v>-</v>
      </c>
      <c r="CR314" s="60"/>
      <c r="CS314" s="174"/>
      <c r="CT314" s="170" t="str">
        <f t="shared" si="231"/>
        <v xml:space="preserve">                                                                                                                                                                                                                                                                </v>
      </c>
      <c r="CU314" s="218" t="str">
        <f t="shared" si="248"/>
        <v>-</v>
      </c>
      <c r="CV314" s="174"/>
      <c r="CW314" s="92" t="s">
        <v>593</v>
      </c>
      <c r="CX314" s="60"/>
      <c r="CY314" s="174"/>
      <c r="CZ314" s="170" t="str">
        <f t="shared" si="232"/>
        <v xml:space="preserve">                                                                                                                                                                                                                                                                </v>
      </c>
      <c r="DA314" s="218" t="str">
        <f t="shared" si="249"/>
        <v>-</v>
      </c>
      <c r="DB314" s="174"/>
      <c r="DC314" s="92" t="s">
        <v>593</v>
      </c>
    </row>
    <row r="315" spans="1:107" s="26" customFormat="1" ht="69" customHeight="1">
      <c r="B315" s="19">
        <f t="shared" si="235"/>
        <v>308</v>
      </c>
      <c r="C315" s="7"/>
      <c r="D315" s="7"/>
      <c r="E315" s="7"/>
      <c r="F315" s="112" t="s">
        <v>446</v>
      </c>
      <c r="G315" s="16"/>
      <c r="H315" s="13"/>
      <c r="I315" s="8"/>
      <c r="J315" s="8" t="s">
        <v>426</v>
      </c>
      <c r="K315" s="8"/>
      <c r="L315" s="8"/>
      <c r="M315" s="11" t="s">
        <v>301</v>
      </c>
      <c r="N315" s="1"/>
      <c r="O315" s="57"/>
      <c r="P315" s="95">
        <f t="shared" si="259"/>
        <v>282</v>
      </c>
      <c r="Q315" s="115">
        <v>1</v>
      </c>
      <c r="R315" s="21" t="s">
        <v>418</v>
      </c>
      <c r="S315" s="98" t="s">
        <v>139</v>
      </c>
      <c r="T315" s="96"/>
      <c r="U315" s="21" t="s">
        <v>435</v>
      </c>
      <c r="V315" s="10"/>
      <c r="W315" s="25">
        <v>3</v>
      </c>
      <c r="X315" s="1" t="s">
        <v>140</v>
      </c>
      <c r="Y315" s="1">
        <v>1</v>
      </c>
      <c r="Z315" s="1">
        <v>1</v>
      </c>
      <c r="AA315" s="8">
        <v>9</v>
      </c>
      <c r="AB315" s="8" t="s">
        <v>21</v>
      </c>
      <c r="AC315" s="12"/>
      <c r="AD315" s="60"/>
      <c r="AE315" s="174"/>
      <c r="AF315" s="61" t="str">
        <f t="shared" si="220"/>
        <v xml:space="preserve"> </v>
      </c>
      <c r="AG315" s="218" t="str">
        <f t="shared" si="254"/>
        <v>-</v>
      </c>
      <c r="AH315" s="174"/>
      <c r="AI315" s="92" t="str">
        <f t="shared" si="255"/>
        <v>OK</v>
      </c>
      <c r="AJ315" s="60"/>
      <c r="AK315" s="174"/>
      <c r="AL315" s="61" t="str">
        <f t="shared" si="221"/>
        <v xml:space="preserve"> </v>
      </c>
      <c r="AM315" s="218" t="str">
        <f t="shared" si="237"/>
        <v>-</v>
      </c>
      <c r="AN315" s="174"/>
      <c r="AO315" s="92" t="str">
        <f t="shared" si="256"/>
        <v>OK</v>
      </c>
      <c r="AP315" s="60"/>
      <c r="AQ315" s="170"/>
      <c r="AR315" s="61" t="str">
        <f t="shared" si="222"/>
        <v xml:space="preserve"> </v>
      </c>
      <c r="AS315" s="218" t="s">
        <v>593</v>
      </c>
      <c r="AT315" s="61"/>
      <c r="AU315" s="218" t="str">
        <f t="shared" si="219"/>
        <v>-</v>
      </c>
      <c r="AV315" s="60"/>
      <c r="AW315" s="174" t="s">
        <v>33</v>
      </c>
      <c r="AX315" s="61" t="str">
        <f t="shared" si="223"/>
        <v>1</v>
      </c>
      <c r="AY315" s="218" t="str">
        <f t="shared" si="239"/>
        <v>-</v>
      </c>
      <c r="AZ315" s="174" t="s">
        <v>33</v>
      </c>
      <c r="BA315" s="478" t="s">
        <v>594</v>
      </c>
      <c r="BB315" s="60"/>
      <c r="BC315" s="174" t="s">
        <v>33</v>
      </c>
      <c r="BD315" s="61" t="str">
        <f t="shared" si="224"/>
        <v>1</v>
      </c>
      <c r="BE315" s="218" t="str">
        <f t="shared" si="240"/>
        <v>-</v>
      </c>
      <c r="BF315" s="174" t="s">
        <v>33</v>
      </c>
      <c r="BG315" s="478" t="s">
        <v>594</v>
      </c>
      <c r="BH315" s="60"/>
      <c r="BI315" s="170" t="s">
        <v>33</v>
      </c>
      <c r="BJ315" s="61" t="str">
        <f t="shared" si="253"/>
        <v>1</v>
      </c>
      <c r="BK315" s="218" t="s">
        <v>593</v>
      </c>
      <c r="BL315" s="174" t="s">
        <v>33</v>
      </c>
      <c r="BM315" s="478" t="s">
        <v>594</v>
      </c>
      <c r="BN315" s="60"/>
      <c r="BO315" s="174" t="s">
        <v>33</v>
      </c>
      <c r="BP315" s="61" t="str">
        <f t="shared" si="226"/>
        <v>1</v>
      </c>
      <c r="BQ315" s="218" t="str">
        <f t="shared" si="241"/>
        <v>-</v>
      </c>
      <c r="BR315" s="174" t="s">
        <v>33</v>
      </c>
      <c r="BS315" s="478" t="s">
        <v>594</v>
      </c>
      <c r="BT315" s="60"/>
      <c r="BU315" s="170"/>
      <c r="BV315" s="61" t="str">
        <f t="shared" si="227"/>
        <v xml:space="preserve"> </v>
      </c>
      <c r="BW315" s="218" t="s">
        <v>593</v>
      </c>
      <c r="BX315" s="61"/>
      <c r="BY315" s="218" t="str">
        <f t="shared" si="242"/>
        <v>-</v>
      </c>
      <c r="BZ315" s="60"/>
      <c r="CA315" s="174"/>
      <c r="CB315" s="61" t="str">
        <f t="shared" si="228"/>
        <v xml:space="preserve"> </v>
      </c>
      <c r="CC315" s="218" t="str">
        <f t="shared" si="243"/>
        <v>-</v>
      </c>
      <c r="CD315" s="174"/>
      <c r="CE315" s="92" t="str">
        <f t="shared" si="257"/>
        <v>OK</v>
      </c>
      <c r="CF315" s="60"/>
      <c r="CG315" s="174"/>
      <c r="CH315" s="61" t="str">
        <f t="shared" si="229"/>
        <v xml:space="preserve"> </v>
      </c>
      <c r="CI315" s="218" t="str">
        <f t="shared" si="245"/>
        <v>-</v>
      </c>
      <c r="CJ315" s="174"/>
      <c r="CK315" s="92" t="str">
        <f t="shared" si="258"/>
        <v>OK</v>
      </c>
      <c r="CL315" s="60"/>
      <c r="CM315" s="174"/>
      <c r="CN315" s="61" t="str">
        <f t="shared" si="230"/>
        <v xml:space="preserve"> </v>
      </c>
      <c r="CO315" s="218" t="s">
        <v>593</v>
      </c>
      <c r="CP315" s="61"/>
      <c r="CQ315" s="218" t="str">
        <f t="shared" si="247"/>
        <v>-</v>
      </c>
      <c r="CR315" s="60"/>
      <c r="CS315" s="174"/>
      <c r="CT315" s="61" t="str">
        <f t="shared" si="231"/>
        <v xml:space="preserve"> </v>
      </c>
      <c r="CU315" s="218" t="str">
        <f t="shared" si="248"/>
        <v>-</v>
      </c>
      <c r="CV315" s="174"/>
      <c r="CW315" s="92" t="s">
        <v>593</v>
      </c>
      <c r="CX315" s="60"/>
      <c r="CY315" s="174"/>
      <c r="CZ315" s="61" t="str">
        <f t="shared" si="232"/>
        <v xml:space="preserve"> </v>
      </c>
      <c r="DA315" s="218" t="str">
        <f t="shared" si="249"/>
        <v>-</v>
      </c>
      <c r="DB315" s="174"/>
      <c r="DC315" s="92" t="s">
        <v>593</v>
      </c>
    </row>
    <row r="316" spans="1:107" s="26" customFormat="1" ht="114.75">
      <c r="B316" s="2">
        <f t="shared" si="235"/>
        <v>309</v>
      </c>
      <c r="C316" s="7"/>
      <c r="D316" s="7"/>
      <c r="E316" s="7"/>
      <c r="F316" s="22" t="s">
        <v>141</v>
      </c>
      <c r="G316" s="16"/>
      <c r="H316" s="13"/>
      <c r="I316" s="8"/>
      <c r="J316" s="8"/>
      <c r="K316" s="8"/>
      <c r="L316" s="8"/>
      <c r="M316" s="418" t="s">
        <v>221</v>
      </c>
      <c r="N316" s="1"/>
      <c r="O316" s="57"/>
      <c r="P316" s="95">
        <f t="shared" si="259"/>
        <v>283</v>
      </c>
      <c r="Q316" s="115">
        <v>1</v>
      </c>
      <c r="R316" s="21" t="s">
        <v>418</v>
      </c>
      <c r="S316" s="98" t="s">
        <v>142</v>
      </c>
      <c r="T316" s="96"/>
      <c r="U316" s="21" t="s">
        <v>435</v>
      </c>
      <c r="V316" s="10"/>
      <c r="W316" s="25">
        <v>3</v>
      </c>
      <c r="X316" s="1" t="s">
        <v>20</v>
      </c>
      <c r="Y316" s="1">
        <v>1</v>
      </c>
      <c r="Z316" s="1">
        <v>1</v>
      </c>
      <c r="AA316" s="8">
        <v>9</v>
      </c>
      <c r="AB316" s="8" t="s">
        <v>21</v>
      </c>
      <c r="AC316" s="103"/>
      <c r="AD316" s="60"/>
      <c r="AE316" s="174"/>
      <c r="AF316" s="61" t="str">
        <f t="shared" si="220"/>
        <v xml:space="preserve"> </v>
      </c>
      <c r="AG316" s="218" t="str">
        <f t="shared" si="254"/>
        <v>-</v>
      </c>
      <c r="AH316" s="174"/>
      <c r="AI316" s="92" t="str">
        <f t="shared" si="255"/>
        <v>OK</v>
      </c>
      <c r="AJ316" s="60"/>
      <c r="AK316" s="174"/>
      <c r="AL316" s="61" t="str">
        <f t="shared" si="221"/>
        <v xml:space="preserve"> </v>
      </c>
      <c r="AM316" s="218" t="str">
        <f t="shared" si="237"/>
        <v>-</v>
      </c>
      <c r="AN316" s="174"/>
      <c r="AO316" s="92" t="str">
        <f t="shared" si="256"/>
        <v>OK</v>
      </c>
      <c r="AP316" s="60"/>
      <c r="AQ316" s="170"/>
      <c r="AR316" s="61" t="str">
        <f t="shared" si="222"/>
        <v xml:space="preserve"> </v>
      </c>
      <c r="AS316" s="218" t="s">
        <v>593</v>
      </c>
      <c r="AT316" s="61"/>
      <c r="AU316" s="218" t="str">
        <f t="shared" si="219"/>
        <v>-</v>
      </c>
      <c r="AV316" s="60"/>
      <c r="AW316" s="174"/>
      <c r="AX316" s="61" t="str">
        <f t="shared" si="223"/>
        <v xml:space="preserve"> </v>
      </c>
      <c r="AY316" s="218" t="str">
        <f t="shared" si="239"/>
        <v>-</v>
      </c>
      <c r="AZ316" s="174"/>
      <c r="BA316" s="478" t="s">
        <v>594</v>
      </c>
      <c r="BB316" s="60"/>
      <c r="BC316" s="174"/>
      <c r="BD316" s="61" t="str">
        <f t="shared" si="224"/>
        <v xml:space="preserve"> </v>
      </c>
      <c r="BE316" s="218" t="str">
        <f t="shared" si="240"/>
        <v>-</v>
      </c>
      <c r="BF316" s="174"/>
      <c r="BG316" s="478" t="s">
        <v>594</v>
      </c>
      <c r="BH316" s="60"/>
      <c r="BI316" s="170" t="s">
        <v>38</v>
      </c>
      <c r="BJ316" s="61" t="str">
        <f t="shared" si="253"/>
        <v xml:space="preserve"> </v>
      </c>
      <c r="BK316" s="218" t="s">
        <v>593</v>
      </c>
      <c r="BL316" s="174"/>
      <c r="BM316" s="478" t="s">
        <v>594</v>
      </c>
      <c r="BN316" s="60"/>
      <c r="BO316" s="174"/>
      <c r="BP316" s="61" t="str">
        <f t="shared" si="226"/>
        <v xml:space="preserve"> </v>
      </c>
      <c r="BQ316" s="218" t="str">
        <f t="shared" si="241"/>
        <v>-</v>
      </c>
      <c r="BR316" s="174"/>
      <c r="BS316" s="478" t="s">
        <v>594</v>
      </c>
      <c r="BT316" s="60"/>
      <c r="BU316" s="170"/>
      <c r="BV316" s="61" t="str">
        <f t="shared" si="227"/>
        <v xml:space="preserve"> </v>
      </c>
      <c r="BW316" s="218" t="s">
        <v>593</v>
      </c>
      <c r="BX316" s="61"/>
      <c r="BY316" s="218" t="str">
        <f t="shared" si="242"/>
        <v>-</v>
      </c>
      <c r="BZ316" s="60"/>
      <c r="CA316" s="174"/>
      <c r="CB316" s="61" t="str">
        <f t="shared" si="228"/>
        <v xml:space="preserve"> </v>
      </c>
      <c r="CC316" s="218" t="str">
        <f t="shared" si="243"/>
        <v>-</v>
      </c>
      <c r="CD316" s="174"/>
      <c r="CE316" s="92" t="str">
        <f t="shared" si="257"/>
        <v>OK</v>
      </c>
      <c r="CF316" s="60"/>
      <c r="CG316" s="174"/>
      <c r="CH316" s="61" t="str">
        <f t="shared" si="229"/>
        <v xml:space="preserve"> </v>
      </c>
      <c r="CI316" s="218" t="str">
        <f t="shared" si="245"/>
        <v>-</v>
      </c>
      <c r="CJ316" s="174"/>
      <c r="CK316" s="92" t="str">
        <f t="shared" si="258"/>
        <v>OK</v>
      </c>
      <c r="CL316" s="60"/>
      <c r="CM316" s="174"/>
      <c r="CN316" s="61" t="str">
        <f t="shared" si="230"/>
        <v xml:space="preserve"> </v>
      </c>
      <c r="CO316" s="218" t="s">
        <v>593</v>
      </c>
      <c r="CP316" s="61"/>
      <c r="CQ316" s="218" t="str">
        <f t="shared" si="247"/>
        <v>-</v>
      </c>
      <c r="CR316" s="60"/>
      <c r="CS316" s="174"/>
      <c r="CT316" s="61" t="str">
        <f t="shared" si="231"/>
        <v xml:space="preserve"> </v>
      </c>
      <c r="CU316" s="218" t="str">
        <f t="shared" si="248"/>
        <v>-</v>
      </c>
      <c r="CV316" s="174"/>
      <c r="CW316" s="92" t="s">
        <v>593</v>
      </c>
      <c r="CX316" s="60"/>
      <c r="CY316" s="174"/>
      <c r="CZ316" s="61" t="str">
        <f t="shared" si="232"/>
        <v xml:space="preserve"> </v>
      </c>
      <c r="DA316" s="218" t="str">
        <f t="shared" si="249"/>
        <v>-</v>
      </c>
      <c r="DB316" s="174"/>
      <c r="DC316" s="92" t="s">
        <v>593</v>
      </c>
    </row>
    <row r="317" spans="1:107" s="26" customFormat="1" ht="123.75" customHeight="1">
      <c r="B317" s="65">
        <f t="shared" si="235"/>
        <v>310</v>
      </c>
      <c r="C317" s="7"/>
      <c r="D317" s="7"/>
      <c r="E317" s="7"/>
      <c r="F317" s="112" t="s">
        <v>143</v>
      </c>
      <c r="G317" s="16"/>
      <c r="H317" s="13"/>
      <c r="I317" s="8"/>
      <c r="J317" s="8"/>
      <c r="K317" s="8"/>
      <c r="L317" s="8"/>
      <c r="M317" s="11" t="s">
        <v>447</v>
      </c>
      <c r="N317" s="1"/>
      <c r="O317" s="57"/>
      <c r="P317" s="95">
        <f t="shared" si="259"/>
        <v>284</v>
      </c>
      <c r="Q317" s="115">
        <v>1</v>
      </c>
      <c r="R317" s="21" t="str">
        <f t="shared" ref="R317:R333" si="260">IF(AA317="M","NX",AA317)</f>
        <v>X</v>
      </c>
      <c r="S317" s="98" t="s">
        <v>189</v>
      </c>
      <c r="T317" s="96"/>
      <c r="U317" s="21" t="s">
        <v>435</v>
      </c>
      <c r="V317" s="10"/>
      <c r="W317" s="25">
        <v>3</v>
      </c>
      <c r="X317" s="1" t="s">
        <v>302</v>
      </c>
      <c r="Y317" s="1">
        <v>1</v>
      </c>
      <c r="Z317" s="1">
        <v>1</v>
      </c>
      <c r="AA317" s="8" t="s">
        <v>261</v>
      </c>
      <c r="AB317" s="8" t="s">
        <v>257</v>
      </c>
      <c r="AC317" s="12"/>
      <c r="AD317" s="60"/>
      <c r="AE317" s="174"/>
      <c r="AF317" s="61" t="str">
        <f t="shared" si="220"/>
        <v xml:space="preserve"> </v>
      </c>
      <c r="AG317" s="218" t="str">
        <f t="shared" si="254"/>
        <v>-</v>
      </c>
      <c r="AH317" s="174"/>
      <c r="AI317" s="92" t="str">
        <f t="shared" si="255"/>
        <v>OK</v>
      </c>
      <c r="AJ317" s="60"/>
      <c r="AK317" s="174"/>
      <c r="AL317" s="61" t="str">
        <f t="shared" si="221"/>
        <v xml:space="preserve"> </v>
      </c>
      <c r="AM317" s="218" t="str">
        <f t="shared" si="237"/>
        <v>-</v>
      </c>
      <c r="AN317" s="174"/>
      <c r="AO317" s="92" t="str">
        <f t="shared" si="256"/>
        <v>OK</v>
      </c>
      <c r="AP317" s="60"/>
      <c r="AQ317" s="170"/>
      <c r="AR317" s="61" t="str">
        <f t="shared" si="222"/>
        <v xml:space="preserve"> </v>
      </c>
      <c r="AS317" s="218" t="s">
        <v>593</v>
      </c>
      <c r="AT317" s="61"/>
      <c r="AU317" s="218" t="str">
        <f t="shared" si="219"/>
        <v>-</v>
      </c>
      <c r="AV317" s="60"/>
      <c r="AW317" s="174" t="s">
        <v>368</v>
      </c>
      <c r="AX317" s="61" t="str">
        <f t="shared" si="223"/>
        <v>6</v>
      </c>
      <c r="AY317" s="218" t="str">
        <f t="shared" si="239"/>
        <v>-</v>
      </c>
      <c r="AZ317" s="174" t="s">
        <v>385</v>
      </c>
      <c r="BA317" s="478" t="s">
        <v>594</v>
      </c>
      <c r="BB317" s="60"/>
      <c r="BC317" s="174" t="s">
        <v>374</v>
      </c>
      <c r="BD317" s="61" t="str">
        <f t="shared" si="224"/>
        <v>5</v>
      </c>
      <c r="BE317" s="218" t="str">
        <f t="shared" si="240"/>
        <v>-</v>
      </c>
      <c r="BF317" s="174" t="s">
        <v>374</v>
      </c>
      <c r="BG317" s="478" t="s">
        <v>594</v>
      </c>
      <c r="BH317" s="60"/>
      <c r="BI317" s="170" t="s">
        <v>368</v>
      </c>
      <c r="BJ317" s="61" t="str">
        <f t="shared" si="253"/>
        <v>6</v>
      </c>
      <c r="BK317" s="218" t="s">
        <v>593</v>
      </c>
      <c r="BL317" s="174" t="s">
        <v>385</v>
      </c>
      <c r="BM317" s="478" t="s">
        <v>594</v>
      </c>
      <c r="BN317" s="60"/>
      <c r="BO317" s="174" t="s">
        <v>374</v>
      </c>
      <c r="BP317" s="61" t="str">
        <f t="shared" si="226"/>
        <v>5</v>
      </c>
      <c r="BQ317" s="218" t="str">
        <f t="shared" si="241"/>
        <v>-</v>
      </c>
      <c r="BR317" s="174" t="s">
        <v>374</v>
      </c>
      <c r="BS317" s="478" t="s">
        <v>594</v>
      </c>
      <c r="BT317" s="60"/>
      <c r="BU317" s="170"/>
      <c r="BV317" s="61" t="str">
        <f t="shared" si="227"/>
        <v xml:space="preserve"> </v>
      </c>
      <c r="BW317" s="218" t="s">
        <v>593</v>
      </c>
      <c r="BX317" s="61"/>
      <c r="BY317" s="218" t="str">
        <f t="shared" si="242"/>
        <v>-</v>
      </c>
      <c r="BZ317" s="60"/>
      <c r="CA317" s="174"/>
      <c r="CB317" s="61" t="str">
        <f t="shared" si="228"/>
        <v xml:space="preserve"> </v>
      </c>
      <c r="CC317" s="218" t="str">
        <f t="shared" si="243"/>
        <v>-</v>
      </c>
      <c r="CD317" s="174"/>
      <c r="CE317" s="92" t="str">
        <f t="shared" si="257"/>
        <v>OK</v>
      </c>
      <c r="CF317" s="60"/>
      <c r="CG317" s="174"/>
      <c r="CH317" s="61" t="str">
        <f t="shared" si="229"/>
        <v xml:space="preserve"> </v>
      </c>
      <c r="CI317" s="218" t="str">
        <f t="shared" si="245"/>
        <v>-</v>
      </c>
      <c r="CJ317" s="174"/>
      <c r="CK317" s="92" t="str">
        <f t="shared" si="258"/>
        <v>OK</v>
      </c>
      <c r="CL317" s="60"/>
      <c r="CM317" s="174"/>
      <c r="CN317" s="61" t="str">
        <f t="shared" si="230"/>
        <v xml:space="preserve"> </v>
      </c>
      <c r="CO317" s="218" t="s">
        <v>593</v>
      </c>
      <c r="CP317" s="61"/>
      <c r="CQ317" s="218" t="str">
        <f t="shared" si="247"/>
        <v>-</v>
      </c>
      <c r="CR317" s="60"/>
      <c r="CS317" s="174"/>
      <c r="CT317" s="61" t="str">
        <f t="shared" si="231"/>
        <v xml:space="preserve"> </v>
      </c>
      <c r="CU317" s="218" t="str">
        <f t="shared" si="248"/>
        <v>-</v>
      </c>
      <c r="CV317" s="174"/>
      <c r="CW317" s="92" t="s">
        <v>593</v>
      </c>
      <c r="CX317" s="60"/>
      <c r="CY317" s="174"/>
      <c r="CZ317" s="61" t="str">
        <f t="shared" si="232"/>
        <v xml:space="preserve"> </v>
      </c>
      <c r="DA317" s="218" t="str">
        <f t="shared" si="249"/>
        <v>-</v>
      </c>
      <c r="DB317" s="174"/>
      <c r="DC317" s="92" t="s">
        <v>593</v>
      </c>
    </row>
    <row r="318" spans="1:107" s="26" customFormat="1">
      <c r="B318" s="65">
        <f t="shared" si="235"/>
        <v>311</v>
      </c>
      <c r="C318" s="7"/>
      <c r="D318" s="7"/>
      <c r="E318" s="7"/>
      <c r="F318" s="22" t="s">
        <v>144</v>
      </c>
      <c r="G318" s="16"/>
      <c r="H318" s="13"/>
      <c r="I318" s="8"/>
      <c r="J318" s="8"/>
      <c r="K318" s="8"/>
      <c r="L318" s="8"/>
      <c r="M318" s="418" t="s">
        <v>145</v>
      </c>
      <c r="N318" s="1"/>
      <c r="O318" s="57"/>
      <c r="P318" s="95">
        <f t="shared" si="259"/>
        <v>285</v>
      </c>
      <c r="Q318" s="115">
        <v>400</v>
      </c>
      <c r="R318" s="21" t="str">
        <f t="shared" si="260"/>
        <v>NX</v>
      </c>
      <c r="S318" s="98" t="s">
        <v>146</v>
      </c>
      <c r="T318" s="96"/>
      <c r="U318" s="21" t="s">
        <v>435</v>
      </c>
      <c r="V318" s="10"/>
      <c r="W318" s="25">
        <v>3</v>
      </c>
      <c r="X318" s="1" t="s">
        <v>147</v>
      </c>
      <c r="Y318" s="1">
        <v>1</v>
      </c>
      <c r="Z318" s="1">
        <v>400</v>
      </c>
      <c r="AA318" s="8" t="s">
        <v>129</v>
      </c>
      <c r="AB318" s="8" t="s">
        <v>257</v>
      </c>
      <c r="AC318" s="12"/>
      <c r="AD318" s="60"/>
      <c r="AE318" s="174"/>
      <c r="AF318" s="271" t="str">
        <f t="shared" si="220"/>
        <v xml:space="preserve">                                                                                                                                                                                                                                                                                                                                                                                                                </v>
      </c>
      <c r="AG318" s="218" t="str">
        <f t="shared" si="254"/>
        <v>-</v>
      </c>
      <c r="AH318" s="174"/>
      <c r="AI318" s="92" t="str">
        <f t="shared" si="255"/>
        <v>OK</v>
      </c>
      <c r="AJ318" s="60"/>
      <c r="AK318" s="174"/>
      <c r="AL318" s="271" t="str">
        <f t="shared" si="221"/>
        <v xml:space="preserve">                                                                                                                                                                                                                                                                                                                                                                                                                </v>
      </c>
      <c r="AM318" s="218" t="str">
        <f t="shared" si="237"/>
        <v>-</v>
      </c>
      <c r="AN318" s="174"/>
      <c r="AO318" s="92" t="str">
        <f t="shared" si="256"/>
        <v>OK</v>
      </c>
      <c r="AP318" s="60"/>
      <c r="AQ318" s="170"/>
      <c r="AR318" s="271" t="str">
        <f t="shared" si="222"/>
        <v xml:space="preserve">                                                                                                                                                                                                                                                                                                                                                                                                                </v>
      </c>
      <c r="AS318" s="218" t="s">
        <v>593</v>
      </c>
      <c r="AT318" s="271"/>
      <c r="AU318" s="218" t="str">
        <f t="shared" si="219"/>
        <v>-</v>
      </c>
      <c r="AV318" s="60"/>
      <c r="AW318" s="174" t="s">
        <v>717</v>
      </c>
      <c r="AX318" s="271" t="str">
        <f t="shared" si="223"/>
        <v xml:space="preserve">サービスエリア内でも電波が伝わりにくい場所（屋内、車中、地下、トンネル内、ビルの陰、山間部など）では、通信できなかったり通信速度が低下する場合があります。また、高層ビル・マンションなどの高層階で見晴らしのよい場所であってもご使用になれない場合があります。電波状態が一定以上悪くなった場合には、突然通信が途切れることとなりますが、電波状態が良いところでも通信が途切れることがあります。                  </v>
      </c>
      <c r="AY318" s="218" t="str">
        <f t="shared" si="239"/>
        <v>-</v>
      </c>
      <c r="AZ318" s="174" t="s">
        <v>404</v>
      </c>
      <c r="BA318" s="478" t="s">
        <v>594</v>
      </c>
      <c r="BB318" s="60"/>
      <c r="BC318" s="174" t="s">
        <v>190</v>
      </c>
      <c r="BD318" s="271" t="str">
        <f t="shared" si="224"/>
        <v xml:space="preserve">申込受付中。                                                                                                                                                                                                                                                                                                                                                                                                    </v>
      </c>
      <c r="BE318" s="218" t="str">
        <f t="shared" si="240"/>
        <v>-</v>
      </c>
      <c r="BF318" s="174" t="s">
        <v>190</v>
      </c>
      <c r="BG318" s="478" t="s">
        <v>594</v>
      </c>
      <c r="BH318" s="60"/>
      <c r="BI318" s="170" t="s">
        <v>746</v>
      </c>
      <c r="BJ318" s="271" t="str">
        <f t="shared" si="253"/>
        <v xml:space="preserve">サービスエリア内でも電波が伝わりにくい場所（屋内、車中、地下、トンネル内、ビルの陰、山間部など）では、通信できなかったり通信速度が低下する場合があります。また、高層ビル・マンションなどの高層階で見晴らしのよい場所であってもご使用になれない場合があります。電波状態が一定以上悪くなった場合には、突然通信が途切れることとなりますが、電波状態が良いところでも通信が途切れることがあります。                  </v>
      </c>
      <c r="BK318" s="218" t="s">
        <v>593</v>
      </c>
      <c r="BL318" s="174" t="s">
        <v>404</v>
      </c>
      <c r="BM318" s="478" t="s">
        <v>594</v>
      </c>
      <c r="BN318" s="60"/>
      <c r="BO318" s="174" t="s">
        <v>190</v>
      </c>
      <c r="BP318" s="271" t="str">
        <f t="shared" si="226"/>
        <v xml:space="preserve">申込受付中。                                                                                                                                                                                                                                                                                                                                                                                                    </v>
      </c>
      <c r="BQ318" s="218" t="str">
        <f t="shared" si="241"/>
        <v>-</v>
      </c>
      <c r="BR318" s="174" t="s">
        <v>190</v>
      </c>
      <c r="BS318" s="478" t="s">
        <v>594</v>
      </c>
      <c r="BT318" s="60"/>
      <c r="BU318" s="170"/>
      <c r="BV318" s="271" t="str">
        <f t="shared" si="227"/>
        <v xml:space="preserve">                                                                                                                                                                                                                                                                                                                                                                                                                </v>
      </c>
      <c r="BW318" s="218" t="s">
        <v>593</v>
      </c>
      <c r="BX318" s="271"/>
      <c r="BY318" s="218" t="str">
        <f t="shared" si="242"/>
        <v>-</v>
      </c>
      <c r="BZ318" s="60"/>
      <c r="CA318" s="174"/>
      <c r="CB318" s="271" t="str">
        <f t="shared" si="228"/>
        <v xml:space="preserve">                                                                                                                                                                                                                                                                                                                                                                                                                </v>
      </c>
      <c r="CC318" s="218" t="str">
        <f t="shared" si="243"/>
        <v>-</v>
      </c>
      <c r="CD318" s="174"/>
      <c r="CE318" s="92" t="str">
        <f t="shared" si="257"/>
        <v>OK</v>
      </c>
      <c r="CF318" s="60"/>
      <c r="CG318" s="174"/>
      <c r="CH318" s="271" t="str">
        <f t="shared" si="229"/>
        <v xml:space="preserve">                                                                                                                                                                                                                                                                                                                                                                                                                </v>
      </c>
      <c r="CI318" s="218" t="str">
        <f t="shared" si="245"/>
        <v>-</v>
      </c>
      <c r="CJ318" s="174"/>
      <c r="CK318" s="92" t="str">
        <f t="shared" si="258"/>
        <v>OK</v>
      </c>
      <c r="CL318" s="60"/>
      <c r="CM318" s="174"/>
      <c r="CN318" s="271" t="str">
        <f t="shared" si="230"/>
        <v xml:space="preserve">                                                                                                                                                                                                                                                                                                                                                                                                                </v>
      </c>
      <c r="CO318" s="218" t="s">
        <v>593</v>
      </c>
      <c r="CP318" s="271"/>
      <c r="CQ318" s="218" t="str">
        <f t="shared" si="247"/>
        <v>-</v>
      </c>
      <c r="CR318" s="60"/>
      <c r="CS318" s="174"/>
      <c r="CT318" s="271" t="str">
        <f t="shared" si="231"/>
        <v xml:space="preserve">                                                                                                                                                                                                                                                                                                                                                                                                                </v>
      </c>
      <c r="CU318" s="218" t="str">
        <f t="shared" si="248"/>
        <v>-</v>
      </c>
      <c r="CV318" s="174"/>
      <c r="CW318" s="92" t="s">
        <v>593</v>
      </c>
      <c r="CX318" s="60"/>
      <c r="CY318" s="174"/>
      <c r="CZ318" s="271" t="str">
        <f t="shared" si="232"/>
        <v xml:space="preserve">                                                                                                                                                                                                                                                                                                                                                                                                                </v>
      </c>
      <c r="DA318" s="218" t="str">
        <f t="shared" si="249"/>
        <v>-</v>
      </c>
      <c r="DB318" s="174"/>
      <c r="DC318" s="92" t="s">
        <v>593</v>
      </c>
    </row>
    <row r="319" spans="1:107" s="26" customFormat="1" ht="63.75">
      <c r="B319" s="65">
        <f t="shared" si="235"/>
        <v>312</v>
      </c>
      <c r="C319" s="7"/>
      <c r="D319" s="7"/>
      <c r="E319" s="7"/>
      <c r="F319" s="22" t="s">
        <v>148</v>
      </c>
      <c r="G319" s="16"/>
      <c r="H319" s="13"/>
      <c r="I319" s="8"/>
      <c r="J319" s="8"/>
      <c r="K319" s="8"/>
      <c r="L319" s="8"/>
      <c r="M319" s="418" t="s">
        <v>448</v>
      </c>
      <c r="N319" s="1"/>
      <c r="O319" s="57"/>
      <c r="P319" s="95">
        <f t="shared" si="259"/>
        <v>286</v>
      </c>
      <c r="Q319" s="115">
        <v>400</v>
      </c>
      <c r="R319" s="21" t="str">
        <f t="shared" si="260"/>
        <v>NX</v>
      </c>
      <c r="S319" s="98" t="s">
        <v>149</v>
      </c>
      <c r="T319" s="96"/>
      <c r="U319" s="21" t="s">
        <v>435</v>
      </c>
      <c r="V319" s="10"/>
      <c r="W319" s="25">
        <v>3</v>
      </c>
      <c r="X319" s="1" t="s">
        <v>150</v>
      </c>
      <c r="Y319" s="1">
        <v>1</v>
      </c>
      <c r="Z319" s="1">
        <v>400</v>
      </c>
      <c r="AA319" s="8" t="s">
        <v>129</v>
      </c>
      <c r="AB319" s="8" t="s">
        <v>257</v>
      </c>
      <c r="AC319" s="12"/>
      <c r="AD319" s="60"/>
      <c r="AE319" s="174"/>
      <c r="AF319" s="91" t="str">
        <f t="shared" si="220"/>
        <v xml:space="preserve">                                                                                                                                                                                                                                                                                                                                                                                                                </v>
      </c>
      <c r="AG319" s="218" t="str">
        <f t="shared" si="254"/>
        <v>-</v>
      </c>
      <c r="AH319" s="174"/>
      <c r="AI319" s="92" t="str">
        <f t="shared" si="255"/>
        <v>OK</v>
      </c>
      <c r="AJ319" s="60"/>
      <c r="AK319" s="174"/>
      <c r="AL319" s="91" t="str">
        <f t="shared" si="221"/>
        <v xml:space="preserve">                                                                                                                                                                                                                                                                                                                                                                                                                </v>
      </c>
      <c r="AM319" s="218" t="str">
        <f t="shared" si="237"/>
        <v>-</v>
      </c>
      <c r="AN319" s="174"/>
      <c r="AO319" s="92" t="str">
        <f t="shared" si="256"/>
        <v>OK</v>
      </c>
      <c r="AP319" s="60"/>
      <c r="AQ319" s="170"/>
      <c r="AR319" s="91" t="str">
        <f t="shared" si="222"/>
        <v xml:space="preserve">                                                                                                                                                                                                                                                                                                                                                                                                                </v>
      </c>
      <c r="AS319" s="218" t="s">
        <v>593</v>
      </c>
      <c r="AT319" s="91"/>
      <c r="AU319" s="218" t="str">
        <f t="shared" si="219"/>
        <v>-</v>
      </c>
      <c r="AV319" s="60"/>
      <c r="AW319" s="174"/>
      <c r="AX319" s="91" t="str">
        <f t="shared" si="223"/>
        <v xml:space="preserve">                                                                                                                                                                                                                                                                                                                                                                                                                </v>
      </c>
      <c r="AY319" s="218" t="str">
        <f t="shared" si="239"/>
        <v>-</v>
      </c>
      <c r="AZ319" s="174"/>
      <c r="BA319" s="478" t="s">
        <v>594</v>
      </c>
      <c r="BB319" s="60"/>
      <c r="BC319" s="174"/>
      <c r="BD319" s="91" t="str">
        <f t="shared" si="224"/>
        <v xml:space="preserve">                                                                                                                                                                                                                                                                                                                                                                                                                </v>
      </c>
      <c r="BE319" s="218" t="str">
        <f t="shared" si="240"/>
        <v>-</v>
      </c>
      <c r="BF319" s="174"/>
      <c r="BG319" s="478" t="s">
        <v>594</v>
      </c>
      <c r="BH319" s="60"/>
      <c r="BI319" s="170" t="s">
        <v>703</v>
      </c>
      <c r="BJ319" s="91" t="str">
        <f t="shared" si="253"/>
        <v xml:space="preserve">                                                                                                                                                                                                                                                                                                                                                                                                                </v>
      </c>
      <c r="BK319" s="218" t="s">
        <v>593</v>
      </c>
      <c r="BL319" s="174"/>
      <c r="BM319" s="478" t="s">
        <v>594</v>
      </c>
      <c r="BN319" s="60"/>
      <c r="BO319" s="174"/>
      <c r="BP319" s="91" t="str">
        <f t="shared" si="226"/>
        <v xml:space="preserve">                                                                                                                                                                                                                                                                                                                                                                                                                </v>
      </c>
      <c r="BQ319" s="218" t="str">
        <f t="shared" si="241"/>
        <v>-</v>
      </c>
      <c r="BR319" s="174"/>
      <c r="BS319" s="478" t="s">
        <v>594</v>
      </c>
      <c r="BT319" s="60"/>
      <c r="BU319" s="170"/>
      <c r="BV319" s="91" t="str">
        <f t="shared" si="227"/>
        <v xml:space="preserve">                                                                                                                                                                                                                                                                                                                                                                                                                </v>
      </c>
      <c r="BW319" s="218" t="s">
        <v>593</v>
      </c>
      <c r="BX319" s="91"/>
      <c r="BY319" s="218" t="str">
        <f t="shared" si="242"/>
        <v>-</v>
      </c>
      <c r="BZ319" s="60"/>
      <c r="CA319" s="174"/>
      <c r="CB319" s="91" t="str">
        <f t="shared" si="228"/>
        <v xml:space="preserve">                                                                                                                                                                                                                                                                                                                                                                                                                </v>
      </c>
      <c r="CC319" s="218" t="str">
        <f t="shared" si="243"/>
        <v>-</v>
      </c>
      <c r="CD319" s="174"/>
      <c r="CE319" s="92" t="str">
        <f t="shared" si="257"/>
        <v>OK</v>
      </c>
      <c r="CF319" s="60"/>
      <c r="CG319" s="174"/>
      <c r="CH319" s="91" t="str">
        <f t="shared" si="229"/>
        <v xml:space="preserve">                                                                                                                                                                                                                                                                                                                                                                                                                </v>
      </c>
      <c r="CI319" s="218" t="str">
        <f t="shared" si="245"/>
        <v>-</v>
      </c>
      <c r="CJ319" s="174"/>
      <c r="CK319" s="92" t="str">
        <f t="shared" si="258"/>
        <v>OK</v>
      </c>
      <c r="CL319" s="60"/>
      <c r="CM319" s="174"/>
      <c r="CN319" s="91" t="str">
        <f t="shared" si="230"/>
        <v xml:space="preserve">                                                                                                                                                                                                                                                                                                                                                                                                                </v>
      </c>
      <c r="CO319" s="218" t="s">
        <v>593</v>
      </c>
      <c r="CP319" s="91"/>
      <c r="CQ319" s="218" t="str">
        <f t="shared" si="247"/>
        <v>-</v>
      </c>
      <c r="CR319" s="60"/>
      <c r="CS319" s="174"/>
      <c r="CT319" s="91" t="str">
        <f t="shared" si="231"/>
        <v xml:space="preserve">                                                                                                                                                                                                                                                                                                                                                                                                                </v>
      </c>
      <c r="CU319" s="218" t="str">
        <f t="shared" si="248"/>
        <v>-</v>
      </c>
      <c r="CV319" s="174"/>
      <c r="CW319" s="92" t="s">
        <v>593</v>
      </c>
      <c r="CX319" s="60"/>
      <c r="CY319" s="174"/>
      <c r="CZ319" s="91" t="str">
        <f t="shared" si="232"/>
        <v xml:space="preserve">                                                                                                                                                                                                                                                                                                                                                                                                                </v>
      </c>
      <c r="DA319" s="218" t="str">
        <f t="shared" si="249"/>
        <v>-</v>
      </c>
      <c r="DB319" s="174"/>
      <c r="DC319" s="92" t="s">
        <v>593</v>
      </c>
    </row>
    <row r="320" spans="1:107" s="26" customFormat="1">
      <c r="B320" s="65">
        <f t="shared" si="235"/>
        <v>313</v>
      </c>
      <c r="C320" s="7"/>
      <c r="D320" s="7"/>
      <c r="E320" s="7"/>
      <c r="F320" s="22" t="s">
        <v>151</v>
      </c>
      <c r="G320" s="16"/>
      <c r="H320" s="13"/>
      <c r="I320" s="8"/>
      <c r="J320" s="8"/>
      <c r="K320" s="8"/>
      <c r="L320" s="8"/>
      <c r="M320" s="11" t="s">
        <v>152</v>
      </c>
      <c r="N320" s="1"/>
      <c r="O320" s="57"/>
      <c r="P320" s="95">
        <f t="shared" si="259"/>
        <v>287</v>
      </c>
      <c r="Q320" s="115">
        <v>400</v>
      </c>
      <c r="R320" s="21" t="str">
        <f t="shared" si="260"/>
        <v>NX</v>
      </c>
      <c r="S320" s="98" t="s">
        <v>153</v>
      </c>
      <c r="T320" s="96"/>
      <c r="U320" s="21" t="s">
        <v>435</v>
      </c>
      <c r="V320" s="10"/>
      <c r="W320" s="25">
        <v>3</v>
      </c>
      <c r="X320" s="1" t="s">
        <v>154</v>
      </c>
      <c r="Y320" s="1">
        <v>1</v>
      </c>
      <c r="Z320" s="1">
        <v>400</v>
      </c>
      <c r="AA320" s="8" t="s">
        <v>129</v>
      </c>
      <c r="AB320" s="8" t="s">
        <v>257</v>
      </c>
      <c r="AC320" s="12"/>
      <c r="AD320" s="60"/>
      <c r="AE320" s="169"/>
      <c r="AF320" s="91" t="str">
        <f t="shared" si="220"/>
        <v xml:space="preserve">                                                                                                                                                                                                                                                                                                                                                                                                                </v>
      </c>
      <c r="AG320" s="218" t="str">
        <f t="shared" si="254"/>
        <v>-</v>
      </c>
      <c r="AH320" s="169"/>
      <c r="AI320" s="92" t="str">
        <f t="shared" si="255"/>
        <v>OK</v>
      </c>
      <c r="AJ320" s="60"/>
      <c r="AK320" s="169"/>
      <c r="AL320" s="91" t="str">
        <f t="shared" si="221"/>
        <v xml:space="preserve">                                                                                                                                                                                                                                                                                                                                                                                                                </v>
      </c>
      <c r="AM320" s="218" t="str">
        <f t="shared" si="237"/>
        <v>-</v>
      </c>
      <c r="AN320" s="169"/>
      <c r="AO320" s="92" t="str">
        <f t="shared" si="256"/>
        <v>OK</v>
      </c>
      <c r="AP320" s="60"/>
      <c r="AQ320" s="172"/>
      <c r="AR320" s="91" t="str">
        <f t="shared" si="222"/>
        <v xml:space="preserve">                                                                                                                                                                                                                                                                                                                                                                                                                </v>
      </c>
      <c r="AS320" s="218" t="s">
        <v>593</v>
      </c>
      <c r="AT320" s="91"/>
      <c r="AU320" s="218" t="str">
        <f t="shared" si="219"/>
        <v>-</v>
      </c>
      <c r="AV320" s="60"/>
      <c r="AW320" s="169"/>
      <c r="AX320" s="91" t="str">
        <f t="shared" si="223"/>
        <v xml:space="preserve">                                                                                                                                                                                                                                                                                                                                                                                                                </v>
      </c>
      <c r="AY320" s="218" t="str">
        <f t="shared" si="239"/>
        <v>-</v>
      </c>
      <c r="AZ320" s="169"/>
      <c r="BA320" s="478" t="s">
        <v>594</v>
      </c>
      <c r="BB320" s="60"/>
      <c r="BC320" s="169"/>
      <c r="BD320" s="91" t="str">
        <f t="shared" si="224"/>
        <v xml:space="preserve">                                                                                                                                                                                                                                                                                                                                                                                                                </v>
      </c>
      <c r="BE320" s="218" t="str">
        <f t="shared" si="240"/>
        <v>-</v>
      </c>
      <c r="BF320" s="169"/>
      <c r="BG320" s="478" t="s">
        <v>594</v>
      </c>
      <c r="BH320" s="60"/>
      <c r="BI320" s="170" t="s">
        <v>703</v>
      </c>
      <c r="BJ320" s="91" t="str">
        <f t="shared" si="253"/>
        <v xml:space="preserve">                                                                                                                                                                                                                                                                                                                                                                                                                </v>
      </c>
      <c r="BK320" s="218" t="s">
        <v>593</v>
      </c>
      <c r="BL320" s="169"/>
      <c r="BM320" s="478" t="s">
        <v>594</v>
      </c>
      <c r="BN320" s="60"/>
      <c r="BO320" s="169"/>
      <c r="BP320" s="91" t="str">
        <f t="shared" si="226"/>
        <v xml:space="preserve">                                                                                                                                                                                                                                                                                                                                                                                                                </v>
      </c>
      <c r="BQ320" s="218" t="str">
        <f t="shared" si="241"/>
        <v>-</v>
      </c>
      <c r="BR320" s="169"/>
      <c r="BS320" s="478" t="s">
        <v>594</v>
      </c>
      <c r="BT320" s="60"/>
      <c r="BU320" s="172"/>
      <c r="BV320" s="91" t="str">
        <f t="shared" si="227"/>
        <v xml:space="preserve">                                                                                                                                                                                                                                                                                                                                                                                                                </v>
      </c>
      <c r="BW320" s="218" t="s">
        <v>593</v>
      </c>
      <c r="BX320" s="91"/>
      <c r="BY320" s="218" t="str">
        <f t="shared" si="242"/>
        <v>-</v>
      </c>
      <c r="BZ320" s="60"/>
      <c r="CA320" s="169"/>
      <c r="CB320" s="91" t="str">
        <f t="shared" si="228"/>
        <v xml:space="preserve">                                                                                                                                                                                                                                                                                                                                                                                                                </v>
      </c>
      <c r="CC320" s="218" t="str">
        <f t="shared" si="243"/>
        <v>-</v>
      </c>
      <c r="CD320" s="169"/>
      <c r="CE320" s="92" t="str">
        <f t="shared" si="257"/>
        <v>OK</v>
      </c>
      <c r="CF320" s="60"/>
      <c r="CG320" s="169"/>
      <c r="CH320" s="91" t="str">
        <f t="shared" si="229"/>
        <v xml:space="preserve">                                                                                                                                                                                                                                                                                                                                                                                                                </v>
      </c>
      <c r="CI320" s="218" t="str">
        <f t="shared" si="245"/>
        <v>-</v>
      </c>
      <c r="CJ320" s="169"/>
      <c r="CK320" s="92" t="str">
        <f t="shared" si="258"/>
        <v>OK</v>
      </c>
      <c r="CL320" s="60"/>
      <c r="CM320" s="169"/>
      <c r="CN320" s="91" t="str">
        <f t="shared" si="230"/>
        <v xml:space="preserve">                                                                                                                                                                                                                                                                                                                                                                                                                </v>
      </c>
      <c r="CO320" s="218" t="s">
        <v>593</v>
      </c>
      <c r="CP320" s="91"/>
      <c r="CQ320" s="218" t="str">
        <f t="shared" si="247"/>
        <v>-</v>
      </c>
      <c r="CR320" s="60"/>
      <c r="CS320" s="169"/>
      <c r="CT320" s="91" t="str">
        <f t="shared" si="231"/>
        <v xml:space="preserve">                                                                                                                                                                                                                                                                                                                                                                                                                </v>
      </c>
      <c r="CU320" s="218" t="str">
        <f t="shared" si="248"/>
        <v>-</v>
      </c>
      <c r="CV320" s="169"/>
      <c r="CW320" s="92" t="s">
        <v>593</v>
      </c>
      <c r="CX320" s="60"/>
      <c r="CY320" s="169"/>
      <c r="CZ320" s="91" t="str">
        <f t="shared" si="232"/>
        <v xml:space="preserve">                                                                                                                                                                                                                                                                                                                                                                                                                </v>
      </c>
      <c r="DA320" s="218" t="str">
        <f t="shared" si="249"/>
        <v>-</v>
      </c>
      <c r="DB320" s="169"/>
      <c r="DC320" s="92" t="s">
        <v>593</v>
      </c>
    </row>
    <row r="321" spans="1:107" s="26" customFormat="1" ht="76.5">
      <c r="B321" s="65">
        <f t="shared" si="235"/>
        <v>314</v>
      </c>
      <c r="C321" s="7"/>
      <c r="D321" s="7"/>
      <c r="E321" s="7"/>
      <c r="F321" s="22" t="s">
        <v>155</v>
      </c>
      <c r="G321" s="16"/>
      <c r="H321" s="13"/>
      <c r="I321" s="8"/>
      <c r="J321" s="8"/>
      <c r="K321" s="8"/>
      <c r="L321" s="8"/>
      <c r="M321" s="11" t="s">
        <v>449</v>
      </c>
      <c r="N321" s="1"/>
      <c r="O321" s="57"/>
      <c r="P321" s="95">
        <f t="shared" si="259"/>
        <v>288</v>
      </c>
      <c r="Q321" s="115">
        <v>400</v>
      </c>
      <c r="R321" s="21" t="str">
        <f t="shared" si="260"/>
        <v>NX</v>
      </c>
      <c r="S321" s="98" t="s">
        <v>156</v>
      </c>
      <c r="T321" s="96"/>
      <c r="U321" s="21" t="s">
        <v>435</v>
      </c>
      <c r="V321" s="10"/>
      <c r="W321" s="25">
        <v>3</v>
      </c>
      <c r="X321" s="1" t="s">
        <v>157</v>
      </c>
      <c r="Y321" s="1">
        <v>1</v>
      </c>
      <c r="Z321" s="1">
        <v>400</v>
      </c>
      <c r="AA321" s="8" t="s">
        <v>129</v>
      </c>
      <c r="AB321" s="8" t="s">
        <v>257</v>
      </c>
      <c r="AC321" s="12"/>
      <c r="AD321" s="60"/>
      <c r="AE321" s="169"/>
      <c r="AF321" s="91" t="str">
        <f t="shared" si="220"/>
        <v xml:space="preserve">                                                                                                                                                                                                                                                                                                                                                                                                                </v>
      </c>
      <c r="AG321" s="218" t="str">
        <f t="shared" si="254"/>
        <v>-</v>
      </c>
      <c r="AH321" s="169"/>
      <c r="AI321" s="92" t="str">
        <f t="shared" si="255"/>
        <v>OK</v>
      </c>
      <c r="AJ321" s="60"/>
      <c r="AK321" s="169"/>
      <c r="AL321" s="91" t="str">
        <f t="shared" si="221"/>
        <v xml:space="preserve">                                                                                                                                                                                                                                                                                                                                                                                                                </v>
      </c>
      <c r="AM321" s="218" t="str">
        <f t="shared" si="237"/>
        <v>-</v>
      </c>
      <c r="AN321" s="169"/>
      <c r="AO321" s="92" t="str">
        <f t="shared" si="256"/>
        <v>OK</v>
      </c>
      <c r="AP321" s="60"/>
      <c r="AQ321" s="172"/>
      <c r="AR321" s="91" t="str">
        <f t="shared" si="222"/>
        <v xml:space="preserve">                                                                                                                                                                                                                                                                                                                                                                                                                </v>
      </c>
      <c r="AS321" s="218" t="s">
        <v>593</v>
      </c>
      <c r="AT321" s="91"/>
      <c r="AU321" s="218" t="str">
        <f t="shared" si="219"/>
        <v>-</v>
      </c>
      <c r="AV321" s="60"/>
      <c r="AW321" s="169"/>
      <c r="AX321" s="91" t="str">
        <f t="shared" si="223"/>
        <v xml:space="preserve">                                                                                                                                                                                                                                                                                                                                                                                                                </v>
      </c>
      <c r="AY321" s="218" t="str">
        <f t="shared" si="239"/>
        <v>-</v>
      </c>
      <c r="AZ321" s="169"/>
      <c r="BA321" s="478" t="s">
        <v>594</v>
      </c>
      <c r="BB321" s="60"/>
      <c r="BC321" s="169"/>
      <c r="BD321" s="91" t="str">
        <f t="shared" si="224"/>
        <v xml:space="preserve">                                                                                                                                                                                                                                                                                                                                                                                                                </v>
      </c>
      <c r="BE321" s="218" t="str">
        <f t="shared" si="240"/>
        <v>-</v>
      </c>
      <c r="BF321" s="169"/>
      <c r="BG321" s="478" t="s">
        <v>594</v>
      </c>
      <c r="BH321" s="60"/>
      <c r="BI321" s="170" t="s">
        <v>703</v>
      </c>
      <c r="BJ321" s="91" t="str">
        <f t="shared" si="253"/>
        <v xml:space="preserve">                                                                                                                                                                                                                                                                                                                                                                                                                </v>
      </c>
      <c r="BK321" s="218" t="s">
        <v>593</v>
      </c>
      <c r="BL321" s="169"/>
      <c r="BM321" s="478" t="s">
        <v>594</v>
      </c>
      <c r="BN321" s="60"/>
      <c r="BO321" s="169"/>
      <c r="BP321" s="91" t="str">
        <f t="shared" si="226"/>
        <v xml:space="preserve">                                                                                                                                                                                                                                                                                                                                                                                                                </v>
      </c>
      <c r="BQ321" s="218" t="str">
        <f t="shared" si="241"/>
        <v>-</v>
      </c>
      <c r="BR321" s="169"/>
      <c r="BS321" s="478" t="s">
        <v>594</v>
      </c>
      <c r="BT321" s="60"/>
      <c r="BU321" s="172"/>
      <c r="BV321" s="91" t="str">
        <f t="shared" si="227"/>
        <v xml:space="preserve">                                                                                                                                                                                                                                                                                                                                                                                                                </v>
      </c>
      <c r="BW321" s="218" t="s">
        <v>593</v>
      </c>
      <c r="BX321" s="91"/>
      <c r="BY321" s="218" t="str">
        <f t="shared" si="242"/>
        <v>-</v>
      </c>
      <c r="BZ321" s="60"/>
      <c r="CA321" s="169"/>
      <c r="CB321" s="91" t="str">
        <f t="shared" si="228"/>
        <v xml:space="preserve">                                                                                                                                                                                                                                                                                                                                                                                                                </v>
      </c>
      <c r="CC321" s="218" t="str">
        <f t="shared" si="243"/>
        <v>-</v>
      </c>
      <c r="CD321" s="169"/>
      <c r="CE321" s="92" t="str">
        <f t="shared" si="257"/>
        <v>OK</v>
      </c>
      <c r="CF321" s="60"/>
      <c r="CG321" s="169"/>
      <c r="CH321" s="91" t="str">
        <f t="shared" si="229"/>
        <v xml:space="preserve">                                                                                                                                                                                                                                                                                                                                                                                                                </v>
      </c>
      <c r="CI321" s="218" t="str">
        <f t="shared" si="245"/>
        <v>-</v>
      </c>
      <c r="CJ321" s="169"/>
      <c r="CK321" s="92" t="str">
        <f t="shared" si="258"/>
        <v>OK</v>
      </c>
      <c r="CL321" s="60"/>
      <c r="CM321" s="169"/>
      <c r="CN321" s="91" t="str">
        <f t="shared" si="230"/>
        <v xml:space="preserve">                                                                                                                                                                                                                                                                                                                                                                                                                </v>
      </c>
      <c r="CO321" s="218" t="s">
        <v>593</v>
      </c>
      <c r="CP321" s="91"/>
      <c r="CQ321" s="218" t="str">
        <f t="shared" si="247"/>
        <v>-</v>
      </c>
      <c r="CR321" s="60"/>
      <c r="CS321" s="169"/>
      <c r="CT321" s="91" t="str">
        <f t="shared" si="231"/>
        <v xml:space="preserve">                                                                                                                                                                                                                                                                                                                                                                                                                </v>
      </c>
      <c r="CU321" s="218" t="str">
        <f t="shared" si="248"/>
        <v>-</v>
      </c>
      <c r="CV321" s="169"/>
      <c r="CW321" s="92" t="s">
        <v>593</v>
      </c>
      <c r="CX321" s="60"/>
      <c r="CY321" s="169"/>
      <c r="CZ321" s="91" t="str">
        <f t="shared" si="232"/>
        <v xml:space="preserve">                                                                                                                                                                                                                                                                                                                                                                                                                </v>
      </c>
      <c r="DA321" s="218" t="str">
        <f t="shared" si="249"/>
        <v>-</v>
      </c>
      <c r="DB321" s="169"/>
      <c r="DC321" s="92" t="s">
        <v>593</v>
      </c>
    </row>
    <row r="322" spans="1:107" s="26" customFormat="1">
      <c r="B322" s="65">
        <f t="shared" si="235"/>
        <v>315</v>
      </c>
      <c r="C322" s="7"/>
      <c r="D322" s="7"/>
      <c r="E322" s="7"/>
      <c r="F322" s="22" t="s">
        <v>158</v>
      </c>
      <c r="G322" s="16"/>
      <c r="H322" s="13"/>
      <c r="I322" s="8"/>
      <c r="J322" s="8"/>
      <c r="K322" s="8"/>
      <c r="L322" s="8"/>
      <c r="M322" s="11" t="s">
        <v>152</v>
      </c>
      <c r="N322" s="1"/>
      <c r="O322" s="57"/>
      <c r="P322" s="95">
        <f t="shared" si="259"/>
        <v>289</v>
      </c>
      <c r="Q322" s="115">
        <v>400</v>
      </c>
      <c r="R322" s="21" t="str">
        <f t="shared" si="260"/>
        <v>NX</v>
      </c>
      <c r="S322" s="98" t="s">
        <v>159</v>
      </c>
      <c r="T322" s="96"/>
      <c r="U322" s="21" t="s">
        <v>435</v>
      </c>
      <c r="V322" s="10"/>
      <c r="W322" s="25">
        <v>3</v>
      </c>
      <c r="X322" s="1" t="s">
        <v>160</v>
      </c>
      <c r="Y322" s="1">
        <v>1</v>
      </c>
      <c r="Z322" s="1">
        <v>400</v>
      </c>
      <c r="AA322" s="8" t="s">
        <v>129</v>
      </c>
      <c r="AB322" s="8" t="s">
        <v>257</v>
      </c>
      <c r="AC322" s="12"/>
      <c r="AD322" s="60"/>
      <c r="AE322" s="169"/>
      <c r="AF322" s="91" t="str">
        <f t="shared" si="220"/>
        <v xml:space="preserve">                                                                                                                                                                                                                                                                                                                                                                                                                </v>
      </c>
      <c r="AG322" s="218" t="str">
        <f t="shared" si="254"/>
        <v>-</v>
      </c>
      <c r="AH322" s="169"/>
      <c r="AI322" s="92" t="str">
        <f t="shared" si="255"/>
        <v>OK</v>
      </c>
      <c r="AJ322" s="60"/>
      <c r="AK322" s="169"/>
      <c r="AL322" s="91" t="str">
        <f t="shared" si="221"/>
        <v xml:space="preserve">                                                                                                                                                                                                                                                                                                                                                                                                                </v>
      </c>
      <c r="AM322" s="218" t="str">
        <f t="shared" si="237"/>
        <v>-</v>
      </c>
      <c r="AN322" s="169"/>
      <c r="AO322" s="92" t="str">
        <f t="shared" si="256"/>
        <v>OK</v>
      </c>
      <c r="AP322" s="60"/>
      <c r="AQ322" s="172"/>
      <c r="AR322" s="91" t="str">
        <f t="shared" si="222"/>
        <v xml:space="preserve">                                                                                                                                                                                                                                                                                                                                                                                                                </v>
      </c>
      <c r="AS322" s="218" t="s">
        <v>593</v>
      </c>
      <c r="AT322" s="91"/>
      <c r="AU322" s="218" t="str">
        <f t="shared" si="219"/>
        <v>-</v>
      </c>
      <c r="AV322" s="60"/>
      <c r="AW322" s="169"/>
      <c r="AX322" s="91" t="str">
        <f t="shared" si="223"/>
        <v xml:space="preserve">                                                                                                                                                                                                                                                                                                                                                                                                                </v>
      </c>
      <c r="AY322" s="218" t="str">
        <f t="shared" si="239"/>
        <v>-</v>
      </c>
      <c r="AZ322" s="169"/>
      <c r="BA322" s="478" t="s">
        <v>594</v>
      </c>
      <c r="BB322" s="60"/>
      <c r="BC322" s="169"/>
      <c r="BD322" s="91" t="str">
        <f t="shared" si="224"/>
        <v xml:space="preserve">                                                                                                                                                                                                                                                                                                                                                                                                                </v>
      </c>
      <c r="BE322" s="218" t="str">
        <f t="shared" si="240"/>
        <v>-</v>
      </c>
      <c r="BF322" s="169"/>
      <c r="BG322" s="478" t="s">
        <v>594</v>
      </c>
      <c r="BH322" s="60"/>
      <c r="BI322" s="170" t="s">
        <v>703</v>
      </c>
      <c r="BJ322" s="91" t="str">
        <f t="shared" si="253"/>
        <v xml:space="preserve">                                                                                                                                                                                                                                                                                                                                                                                                                </v>
      </c>
      <c r="BK322" s="218" t="s">
        <v>593</v>
      </c>
      <c r="BL322" s="169"/>
      <c r="BM322" s="478" t="s">
        <v>594</v>
      </c>
      <c r="BN322" s="60"/>
      <c r="BO322" s="169"/>
      <c r="BP322" s="91" t="str">
        <f t="shared" si="226"/>
        <v xml:space="preserve">                                                                                                                                                                                                                                                                                                                                                                                                                </v>
      </c>
      <c r="BQ322" s="218" t="str">
        <f t="shared" si="241"/>
        <v>-</v>
      </c>
      <c r="BR322" s="169"/>
      <c r="BS322" s="478" t="s">
        <v>594</v>
      </c>
      <c r="BT322" s="60"/>
      <c r="BU322" s="172"/>
      <c r="BV322" s="91" t="str">
        <f t="shared" si="227"/>
        <v xml:space="preserve">                                                                                                                                                                                                                                                                                                                                                                                                                </v>
      </c>
      <c r="BW322" s="218" t="s">
        <v>593</v>
      </c>
      <c r="BX322" s="91"/>
      <c r="BY322" s="218" t="str">
        <f t="shared" si="242"/>
        <v>-</v>
      </c>
      <c r="BZ322" s="60"/>
      <c r="CA322" s="169"/>
      <c r="CB322" s="91" t="str">
        <f t="shared" si="228"/>
        <v xml:space="preserve">                                                                                                                                                                                                                                                                                                                                                                                                                </v>
      </c>
      <c r="CC322" s="218" t="str">
        <f t="shared" si="243"/>
        <v>-</v>
      </c>
      <c r="CD322" s="169"/>
      <c r="CE322" s="92" t="str">
        <f t="shared" si="257"/>
        <v>OK</v>
      </c>
      <c r="CF322" s="60"/>
      <c r="CG322" s="169"/>
      <c r="CH322" s="91" t="str">
        <f t="shared" si="229"/>
        <v xml:space="preserve">                                                                                                                                                                                                                                                                                                                                                                                                                </v>
      </c>
      <c r="CI322" s="218" t="str">
        <f t="shared" si="245"/>
        <v>-</v>
      </c>
      <c r="CJ322" s="169"/>
      <c r="CK322" s="92" t="str">
        <f t="shared" si="258"/>
        <v>OK</v>
      </c>
      <c r="CL322" s="60"/>
      <c r="CM322" s="169"/>
      <c r="CN322" s="91" t="str">
        <f t="shared" si="230"/>
        <v xml:space="preserve">                                                                                                                                                                                                                                                                                                                                                                                                                </v>
      </c>
      <c r="CO322" s="218" t="s">
        <v>593</v>
      </c>
      <c r="CP322" s="91"/>
      <c r="CQ322" s="218" t="str">
        <f t="shared" si="247"/>
        <v>-</v>
      </c>
      <c r="CR322" s="60"/>
      <c r="CS322" s="169"/>
      <c r="CT322" s="91" t="str">
        <f t="shared" si="231"/>
        <v xml:space="preserve">                                                                                                                                                                                                                                                                                                                                                                                                                </v>
      </c>
      <c r="CU322" s="218" t="str">
        <f t="shared" si="248"/>
        <v>-</v>
      </c>
      <c r="CV322" s="169"/>
      <c r="CW322" s="92" t="s">
        <v>593</v>
      </c>
      <c r="CX322" s="60"/>
      <c r="CY322" s="169"/>
      <c r="CZ322" s="91" t="str">
        <f t="shared" si="232"/>
        <v xml:space="preserve">                                                                                                                                                                                                                                                                                                                                                                                                                </v>
      </c>
      <c r="DA322" s="218" t="str">
        <f t="shared" si="249"/>
        <v>-</v>
      </c>
      <c r="DB322" s="169"/>
      <c r="DC322" s="92" t="s">
        <v>593</v>
      </c>
    </row>
    <row r="323" spans="1:107" s="26" customFormat="1">
      <c r="B323" s="65">
        <f t="shared" si="235"/>
        <v>316</v>
      </c>
      <c r="C323" s="7"/>
      <c r="D323" s="7"/>
      <c r="E323" s="7"/>
      <c r="F323" s="22" t="s">
        <v>161</v>
      </c>
      <c r="G323" s="16"/>
      <c r="H323" s="13"/>
      <c r="I323" s="8"/>
      <c r="J323" s="8"/>
      <c r="K323" s="8"/>
      <c r="L323" s="8"/>
      <c r="M323" s="11" t="s">
        <v>152</v>
      </c>
      <c r="N323" s="1"/>
      <c r="O323" s="57"/>
      <c r="P323" s="95">
        <f t="shared" si="259"/>
        <v>290</v>
      </c>
      <c r="Q323" s="115">
        <v>400</v>
      </c>
      <c r="R323" s="21" t="str">
        <f t="shared" si="260"/>
        <v>NX</v>
      </c>
      <c r="S323" s="98" t="s">
        <v>162</v>
      </c>
      <c r="T323" s="96"/>
      <c r="U323" s="21" t="s">
        <v>435</v>
      </c>
      <c r="V323" s="10"/>
      <c r="W323" s="25">
        <v>3</v>
      </c>
      <c r="X323" s="1" t="s">
        <v>163</v>
      </c>
      <c r="Y323" s="1">
        <v>1</v>
      </c>
      <c r="Z323" s="1">
        <v>400</v>
      </c>
      <c r="AA323" s="8" t="s">
        <v>129</v>
      </c>
      <c r="AB323" s="8" t="s">
        <v>257</v>
      </c>
      <c r="AC323" s="12"/>
      <c r="AD323" s="60"/>
      <c r="AE323" s="169"/>
      <c r="AF323" s="91" t="str">
        <f t="shared" si="220"/>
        <v xml:space="preserve">                                                                                                                                                                                                                                                                                                                                                                                                                </v>
      </c>
      <c r="AG323" s="218" t="str">
        <f t="shared" si="254"/>
        <v>-</v>
      </c>
      <c r="AH323" s="169"/>
      <c r="AI323" s="92" t="str">
        <f t="shared" si="255"/>
        <v>OK</v>
      </c>
      <c r="AJ323" s="60"/>
      <c r="AK323" s="169"/>
      <c r="AL323" s="91" t="str">
        <f t="shared" si="221"/>
        <v xml:space="preserve">                                                                                                                                                                                                                                                                                                                                                                                                                </v>
      </c>
      <c r="AM323" s="218" t="str">
        <f t="shared" si="237"/>
        <v>-</v>
      </c>
      <c r="AN323" s="169"/>
      <c r="AO323" s="92" t="str">
        <f t="shared" si="256"/>
        <v>OK</v>
      </c>
      <c r="AP323" s="60"/>
      <c r="AQ323" s="172"/>
      <c r="AR323" s="91" t="str">
        <f t="shared" si="222"/>
        <v xml:space="preserve">                                                                                                                                                                                                                                                                                                                                                                                                                </v>
      </c>
      <c r="AS323" s="218" t="s">
        <v>593</v>
      </c>
      <c r="AT323" s="91"/>
      <c r="AU323" s="218" t="str">
        <f t="shared" si="219"/>
        <v>-</v>
      </c>
      <c r="AV323" s="60"/>
      <c r="AW323" s="169"/>
      <c r="AX323" s="91" t="str">
        <f t="shared" si="223"/>
        <v xml:space="preserve">                                                                                                                                                                                                                                                                                                                                                                                                                </v>
      </c>
      <c r="AY323" s="218" t="str">
        <f t="shared" si="239"/>
        <v>-</v>
      </c>
      <c r="AZ323" s="169"/>
      <c r="BA323" s="478" t="s">
        <v>594</v>
      </c>
      <c r="BB323" s="60"/>
      <c r="BC323" s="169"/>
      <c r="BD323" s="91" t="str">
        <f t="shared" si="224"/>
        <v xml:space="preserve">                                                                                                                                                                                                                                                                                                                                                                                                                </v>
      </c>
      <c r="BE323" s="218" t="str">
        <f t="shared" si="240"/>
        <v>-</v>
      </c>
      <c r="BF323" s="169"/>
      <c r="BG323" s="478" t="s">
        <v>594</v>
      </c>
      <c r="BH323" s="60"/>
      <c r="BI323" s="170" t="s">
        <v>703</v>
      </c>
      <c r="BJ323" s="91" t="str">
        <f t="shared" si="253"/>
        <v xml:space="preserve">                                                                                                                                                                                                                                                                                                                                                                                                                </v>
      </c>
      <c r="BK323" s="218" t="s">
        <v>593</v>
      </c>
      <c r="BL323" s="169"/>
      <c r="BM323" s="478" t="s">
        <v>594</v>
      </c>
      <c r="BN323" s="60"/>
      <c r="BO323" s="169"/>
      <c r="BP323" s="91" t="str">
        <f t="shared" si="226"/>
        <v xml:space="preserve">                                                                                                                                                                                                                                                                                                                                                                                                                </v>
      </c>
      <c r="BQ323" s="218" t="str">
        <f t="shared" si="241"/>
        <v>-</v>
      </c>
      <c r="BR323" s="169"/>
      <c r="BS323" s="478" t="s">
        <v>594</v>
      </c>
      <c r="BT323" s="60"/>
      <c r="BU323" s="172"/>
      <c r="BV323" s="91" t="str">
        <f t="shared" si="227"/>
        <v xml:space="preserve">                                                                                                                                                                                                                                                                                                                                                                                                                </v>
      </c>
      <c r="BW323" s="218" t="s">
        <v>593</v>
      </c>
      <c r="BX323" s="91"/>
      <c r="BY323" s="218" t="str">
        <f t="shared" si="242"/>
        <v>-</v>
      </c>
      <c r="BZ323" s="60"/>
      <c r="CA323" s="169"/>
      <c r="CB323" s="91" t="str">
        <f t="shared" si="228"/>
        <v xml:space="preserve">                                                                                                                                                                                                                                                                                                                                                                                                                </v>
      </c>
      <c r="CC323" s="218" t="str">
        <f t="shared" si="243"/>
        <v>-</v>
      </c>
      <c r="CD323" s="169"/>
      <c r="CE323" s="92" t="str">
        <f t="shared" si="257"/>
        <v>OK</v>
      </c>
      <c r="CF323" s="60"/>
      <c r="CG323" s="169"/>
      <c r="CH323" s="91" t="str">
        <f t="shared" si="229"/>
        <v xml:space="preserve">                                                                                                                                                                                                                                                                                                                                                                                                                </v>
      </c>
      <c r="CI323" s="218" t="str">
        <f t="shared" si="245"/>
        <v>-</v>
      </c>
      <c r="CJ323" s="169"/>
      <c r="CK323" s="92" t="str">
        <f t="shared" si="258"/>
        <v>OK</v>
      </c>
      <c r="CL323" s="60"/>
      <c r="CM323" s="169"/>
      <c r="CN323" s="91" t="str">
        <f t="shared" si="230"/>
        <v xml:space="preserve">                                                                                                                                                                                                                                                                                                                                                                                                                </v>
      </c>
      <c r="CO323" s="218" t="s">
        <v>593</v>
      </c>
      <c r="CP323" s="91"/>
      <c r="CQ323" s="218" t="str">
        <f t="shared" si="247"/>
        <v>-</v>
      </c>
      <c r="CR323" s="60"/>
      <c r="CS323" s="169"/>
      <c r="CT323" s="91" t="str">
        <f t="shared" si="231"/>
        <v xml:space="preserve">                                                                                                                                                                                                                                                                                                                                                                                                                </v>
      </c>
      <c r="CU323" s="218" t="str">
        <f t="shared" si="248"/>
        <v>-</v>
      </c>
      <c r="CV323" s="169"/>
      <c r="CW323" s="92" t="s">
        <v>593</v>
      </c>
      <c r="CX323" s="60"/>
      <c r="CY323" s="169"/>
      <c r="CZ323" s="91" t="str">
        <f t="shared" si="232"/>
        <v xml:space="preserve">                                                                                                                                                                                                                                                                                                                                                                                                                </v>
      </c>
      <c r="DA323" s="218" t="str">
        <f t="shared" si="249"/>
        <v>-</v>
      </c>
      <c r="DB323" s="169"/>
      <c r="DC323" s="92" t="s">
        <v>593</v>
      </c>
    </row>
    <row r="324" spans="1:107" s="26" customFormat="1" ht="89.25">
      <c r="B324" s="65">
        <f t="shared" si="235"/>
        <v>317</v>
      </c>
      <c r="C324" s="7"/>
      <c r="D324" s="7"/>
      <c r="E324" s="7"/>
      <c r="F324" s="22" t="s">
        <v>164</v>
      </c>
      <c r="G324" s="16"/>
      <c r="H324" s="13"/>
      <c r="I324" s="8"/>
      <c r="J324" s="8"/>
      <c r="K324" s="8"/>
      <c r="L324" s="8"/>
      <c r="M324" s="11" t="s">
        <v>450</v>
      </c>
      <c r="N324" s="1"/>
      <c r="O324" s="57"/>
      <c r="P324" s="95">
        <f t="shared" si="259"/>
        <v>291</v>
      </c>
      <c r="Q324" s="115">
        <v>1</v>
      </c>
      <c r="R324" s="21" t="str">
        <f t="shared" si="260"/>
        <v>X</v>
      </c>
      <c r="S324" s="98" t="s">
        <v>165</v>
      </c>
      <c r="T324" s="96"/>
      <c r="U324" s="21" t="s">
        <v>435</v>
      </c>
      <c r="V324" s="10"/>
      <c r="W324" s="25">
        <v>3</v>
      </c>
      <c r="X324" s="1" t="s">
        <v>303</v>
      </c>
      <c r="Y324" s="1">
        <v>1</v>
      </c>
      <c r="Z324" s="1">
        <v>1</v>
      </c>
      <c r="AA324" s="8" t="s">
        <v>114</v>
      </c>
      <c r="AB324" s="8" t="s">
        <v>21</v>
      </c>
      <c r="AC324" s="104"/>
      <c r="AD324" s="60"/>
      <c r="AE324" s="174"/>
      <c r="AF324" s="61" t="str">
        <f t="shared" si="220"/>
        <v xml:space="preserve"> </v>
      </c>
      <c r="AG324" s="218" t="str">
        <f t="shared" si="254"/>
        <v>-</v>
      </c>
      <c r="AH324" s="174"/>
      <c r="AI324" s="92" t="str">
        <f t="shared" si="255"/>
        <v>OK</v>
      </c>
      <c r="AJ324" s="60"/>
      <c r="AK324" s="174"/>
      <c r="AL324" s="61" t="str">
        <f t="shared" si="221"/>
        <v xml:space="preserve"> </v>
      </c>
      <c r="AM324" s="218" t="str">
        <f t="shared" si="237"/>
        <v>-</v>
      </c>
      <c r="AN324" s="174"/>
      <c r="AO324" s="92" t="str">
        <f t="shared" si="256"/>
        <v>OK</v>
      </c>
      <c r="AP324" s="60"/>
      <c r="AQ324" s="170"/>
      <c r="AR324" s="61" t="str">
        <f t="shared" si="222"/>
        <v xml:space="preserve"> </v>
      </c>
      <c r="AS324" s="218" t="s">
        <v>593</v>
      </c>
      <c r="AT324" s="61"/>
      <c r="AU324" s="218" t="str">
        <f t="shared" si="219"/>
        <v>-</v>
      </c>
      <c r="AV324" s="60"/>
      <c r="AW324" s="174"/>
      <c r="AX324" s="61" t="str">
        <f t="shared" si="223"/>
        <v xml:space="preserve"> </v>
      </c>
      <c r="AY324" s="218" t="str">
        <f t="shared" si="239"/>
        <v>-</v>
      </c>
      <c r="AZ324" s="174"/>
      <c r="BA324" s="478" t="s">
        <v>594</v>
      </c>
      <c r="BB324" s="60"/>
      <c r="BC324" s="174"/>
      <c r="BD324" s="61" t="str">
        <f t="shared" si="224"/>
        <v xml:space="preserve"> </v>
      </c>
      <c r="BE324" s="218" t="str">
        <f t="shared" si="240"/>
        <v>-</v>
      </c>
      <c r="BF324" s="174"/>
      <c r="BG324" s="478" t="s">
        <v>594</v>
      </c>
      <c r="BH324" s="60"/>
      <c r="BI324" s="170" t="s">
        <v>38</v>
      </c>
      <c r="BJ324" s="61" t="str">
        <f t="shared" si="253"/>
        <v xml:space="preserve"> </v>
      </c>
      <c r="BK324" s="218" t="s">
        <v>593</v>
      </c>
      <c r="BL324" s="174"/>
      <c r="BM324" s="478" t="s">
        <v>594</v>
      </c>
      <c r="BN324" s="60"/>
      <c r="BO324" s="174"/>
      <c r="BP324" s="61" t="str">
        <f t="shared" si="226"/>
        <v xml:space="preserve"> </v>
      </c>
      <c r="BQ324" s="218" t="str">
        <f t="shared" si="241"/>
        <v>-</v>
      </c>
      <c r="BR324" s="174"/>
      <c r="BS324" s="478" t="s">
        <v>594</v>
      </c>
      <c r="BT324" s="60"/>
      <c r="BU324" s="170"/>
      <c r="BV324" s="61" t="str">
        <f t="shared" si="227"/>
        <v xml:space="preserve"> </v>
      </c>
      <c r="BW324" s="218" t="s">
        <v>593</v>
      </c>
      <c r="BX324" s="61"/>
      <c r="BY324" s="218" t="str">
        <f t="shared" si="242"/>
        <v>-</v>
      </c>
      <c r="BZ324" s="60"/>
      <c r="CA324" s="174"/>
      <c r="CB324" s="61" t="str">
        <f t="shared" si="228"/>
        <v xml:space="preserve"> </v>
      </c>
      <c r="CC324" s="218" t="str">
        <f t="shared" si="243"/>
        <v>-</v>
      </c>
      <c r="CD324" s="174"/>
      <c r="CE324" s="92" t="str">
        <f t="shared" si="257"/>
        <v>OK</v>
      </c>
      <c r="CF324" s="60"/>
      <c r="CG324" s="174"/>
      <c r="CH324" s="61" t="str">
        <f t="shared" si="229"/>
        <v xml:space="preserve"> </v>
      </c>
      <c r="CI324" s="218" t="str">
        <f t="shared" si="245"/>
        <v>-</v>
      </c>
      <c r="CJ324" s="174"/>
      <c r="CK324" s="92" t="str">
        <f t="shared" si="258"/>
        <v>OK</v>
      </c>
      <c r="CL324" s="60"/>
      <c r="CM324" s="174"/>
      <c r="CN324" s="61" t="str">
        <f t="shared" si="230"/>
        <v xml:space="preserve"> </v>
      </c>
      <c r="CO324" s="218" t="s">
        <v>593</v>
      </c>
      <c r="CP324" s="61"/>
      <c r="CQ324" s="218" t="str">
        <f t="shared" si="247"/>
        <v>-</v>
      </c>
      <c r="CR324" s="60"/>
      <c r="CS324" s="174"/>
      <c r="CT324" s="61" t="str">
        <f t="shared" si="231"/>
        <v xml:space="preserve"> </v>
      </c>
      <c r="CU324" s="218" t="str">
        <f t="shared" si="248"/>
        <v>-</v>
      </c>
      <c r="CV324" s="174"/>
      <c r="CW324" s="92" t="s">
        <v>593</v>
      </c>
      <c r="CX324" s="60"/>
      <c r="CY324" s="174"/>
      <c r="CZ324" s="61" t="str">
        <f t="shared" si="232"/>
        <v xml:space="preserve"> </v>
      </c>
      <c r="DA324" s="218" t="str">
        <f t="shared" si="249"/>
        <v>-</v>
      </c>
      <c r="DB324" s="174"/>
      <c r="DC324" s="92" t="s">
        <v>593</v>
      </c>
    </row>
    <row r="325" spans="1:107" s="26" customFormat="1">
      <c r="B325" s="65">
        <f t="shared" si="235"/>
        <v>318</v>
      </c>
      <c r="C325" s="7"/>
      <c r="D325" s="7"/>
      <c r="E325" s="7"/>
      <c r="F325" s="22" t="s">
        <v>166</v>
      </c>
      <c r="G325" s="16"/>
      <c r="H325" s="13"/>
      <c r="I325" s="8"/>
      <c r="J325" s="8"/>
      <c r="K325" s="8"/>
      <c r="L325" s="8"/>
      <c r="M325" s="11"/>
      <c r="N325" s="1"/>
      <c r="O325" s="57"/>
      <c r="P325" s="95">
        <f t="shared" si="259"/>
        <v>292</v>
      </c>
      <c r="Q325" s="115">
        <v>128</v>
      </c>
      <c r="R325" s="21" t="str">
        <f t="shared" si="260"/>
        <v>X</v>
      </c>
      <c r="S325" s="98" t="s">
        <v>167</v>
      </c>
      <c r="T325" s="96"/>
      <c r="U325" s="21" t="s">
        <v>435</v>
      </c>
      <c r="V325" s="10"/>
      <c r="W325" s="25">
        <v>3</v>
      </c>
      <c r="X325" s="1" t="s">
        <v>304</v>
      </c>
      <c r="Y325" s="1">
        <v>1</v>
      </c>
      <c r="Z325" s="1">
        <v>128</v>
      </c>
      <c r="AA325" s="8" t="s">
        <v>114</v>
      </c>
      <c r="AB325" s="8" t="s">
        <v>21</v>
      </c>
      <c r="AC325" s="12"/>
      <c r="AD325" s="60"/>
      <c r="AE325" s="169"/>
      <c r="AF325" s="61" t="str">
        <f t="shared" si="220"/>
        <v xml:space="preserve">                                                                                                                                </v>
      </c>
      <c r="AG325" s="218" t="str">
        <f t="shared" si="254"/>
        <v>-</v>
      </c>
      <c r="AH325" s="169"/>
      <c r="AI325" s="92" t="str">
        <f t="shared" si="255"/>
        <v>OK</v>
      </c>
      <c r="AJ325" s="60"/>
      <c r="AK325" s="169"/>
      <c r="AL325" s="61" t="str">
        <f t="shared" si="221"/>
        <v xml:space="preserve">                                                                                                                                </v>
      </c>
      <c r="AM325" s="218" t="str">
        <f t="shared" si="237"/>
        <v>-</v>
      </c>
      <c r="AN325" s="169"/>
      <c r="AO325" s="92" t="str">
        <f t="shared" si="256"/>
        <v>OK</v>
      </c>
      <c r="AP325" s="60"/>
      <c r="AQ325" s="172"/>
      <c r="AR325" s="61" t="str">
        <f t="shared" si="222"/>
        <v xml:space="preserve">                                                                                                                                </v>
      </c>
      <c r="AS325" s="218" t="s">
        <v>593</v>
      </c>
      <c r="AT325" s="61"/>
      <c r="AU325" s="218" t="str">
        <f t="shared" si="219"/>
        <v>-</v>
      </c>
      <c r="AV325" s="60"/>
      <c r="AW325" s="169"/>
      <c r="AX325" s="61" t="str">
        <f t="shared" si="223"/>
        <v xml:space="preserve">                                                                                                                                </v>
      </c>
      <c r="AY325" s="218" t="str">
        <f t="shared" si="239"/>
        <v>-</v>
      </c>
      <c r="AZ325" s="169"/>
      <c r="BA325" s="478" t="s">
        <v>594</v>
      </c>
      <c r="BB325" s="60"/>
      <c r="BC325" s="169"/>
      <c r="BD325" s="61" t="str">
        <f t="shared" si="224"/>
        <v xml:space="preserve">                                                                                                                                </v>
      </c>
      <c r="BE325" s="218" t="str">
        <f t="shared" si="240"/>
        <v>-</v>
      </c>
      <c r="BF325" s="169"/>
      <c r="BG325" s="478" t="s">
        <v>594</v>
      </c>
      <c r="BH325" s="60"/>
      <c r="BI325" s="170" t="s">
        <v>704</v>
      </c>
      <c r="BJ325" s="61" t="str">
        <f t="shared" si="253"/>
        <v xml:space="preserve">                                                                                                                                </v>
      </c>
      <c r="BK325" s="218" t="s">
        <v>593</v>
      </c>
      <c r="BL325" s="169"/>
      <c r="BM325" s="478" t="s">
        <v>594</v>
      </c>
      <c r="BN325" s="60"/>
      <c r="BO325" s="169"/>
      <c r="BP325" s="61" t="str">
        <f t="shared" si="226"/>
        <v xml:space="preserve">                                                                                                                                </v>
      </c>
      <c r="BQ325" s="218" t="str">
        <f t="shared" si="241"/>
        <v>-</v>
      </c>
      <c r="BR325" s="169"/>
      <c r="BS325" s="478" t="s">
        <v>594</v>
      </c>
      <c r="BT325" s="60"/>
      <c r="BU325" s="172"/>
      <c r="BV325" s="61" t="str">
        <f t="shared" si="227"/>
        <v xml:space="preserve">                                                                                                                                </v>
      </c>
      <c r="BW325" s="218" t="s">
        <v>593</v>
      </c>
      <c r="BX325" s="61"/>
      <c r="BY325" s="218" t="str">
        <f t="shared" si="242"/>
        <v>-</v>
      </c>
      <c r="BZ325" s="60"/>
      <c r="CA325" s="169"/>
      <c r="CB325" s="61" t="str">
        <f t="shared" si="228"/>
        <v xml:space="preserve">                                                                                                                                </v>
      </c>
      <c r="CC325" s="218" t="str">
        <f t="shared" si="243"/>
        <v>-</v>
      </c>
      <c r="CD325" s="169"/>
      <c r="CE325" s="92" t="str">
        <f t="shared" si="257"/>
        <v>OK</v>
      </c>
      <c r="CF325" s="60"/>
      <c r="CG325" s="169"/>
      <c r="CH325" s="61" t="str">
        <f t="shared" si="229"/>
        <v xml:space="preserve">                                                                                                                                </v>
      </c>
      <c r="CI325" s="218" t="str">
        <f t="shared" si="245"/>
        <v>-</v>
      </c>
      <c r="CJ325" s="169"/>
      <c r="CK325" s="92" t="str">
        <f t="shared" si="258"/>
        <v>OK</v>
      </c>
      <c r="CL325" s="60"/>
      <c r="CM325" s="169"/>
      <c r="CN325" s="61" t="str">
        <f t="shared" si="230"/>
        <v xml:space="preserve">                                                                                                                                </v>
      </c>
      <c r="CO325" s="218" t="s">
        <v>593</v>
      </c>
      <c r="CP325" s="61"/>
      <c r="CQ325" s="218" t="str">
        <f t="shared" si="247"/>
        <v>-</v>
      </c>
      <c r="CR325" s="60"/>
      <c r="CS325" s="169"/>
      <c r="CT325" s="61" t="str">
        <f t="shared" si="231"/>
        <v xml:space="preserve">                                                                                                                                </v>
      </c>
      <c r="CU325" s="218" t="str">
        <f t="shared" si="248"/>
        <v>-</v>
      </c>
      <c r="CV325" s="169"/>
      <c r="CW325" s="92" t="s">
        <v>593</v>
      </c>
      <c r="CX325" s="60"/>
      <c r="CY325" s="169"/>
      <c r="CZ325" s="61" t="str">
        <f t="shared" si="232"/>
        <v xml:space="preserve">                                                                                                                                </v>
      </c>
      <c r="DA325" s="218" t="str">
        <f t="shared" si="249"/>
        <v>-</v>
      </c>
      <c r="DB325" s="169"/>
      <c r="DC325" s="92" t="s">
        <v>593</v>
      </c>
    </row>
    <row r="326" spans="1:107" s="26" customFormat="1" ht="114.75">
      <c r="B326" s="65">
        <f t="shared" si="235"/>
        <v>319</v>
      </c>
      <c r="C326" s="7"/>
      <c r="D326" s="7"/>
      <c r="E326" s="7"/>
      <c r="F326" s="22" t="s">
        <v>168</v>
      </c>
      <c r="G326" s="16"/>
      <c r="H326" s="13"/>
      <c r="I326" s="8"/>
      <c r="J326" s="8"/>
      <c r="K326" s="8"/>
      <c r="L326" s="8"/>
      <c r="M326" s="11" t="s">
        <v>399</v>
      </c>
      <c r="N326" s="1"/>
      <c r="O326" s="57"/>
      <c r="P326" s="95">
        <f t="shared" si="259"/>
        <v>293</v>
      </c>
      <c r="Q326" s="115">
        <v>1</v>
      </c>
      <c r="R326" s="21" t="str">
        <f t="shared" si="260"/>
        <v>X</v>
      </c>
      <c r="S326" s="98" t="s">
        <v>169</v>
      </c>
      <c r="T326" s="96"/>
      <c r="U326" s="21" t="s">
        <v>435</v>
      </c>
      <c r="V326" s="10"/>
      <c r="W326" s="25">
        <v>3</v>
      </c>
      <c r="X326" s="1" t="s">
        <v>305</v>
      </c>
      <c r="Y326" s="1">
        <v>1</v>
      </c>
      <c r="Z326" s="1">
        <v>1</v>
      </c>
      <c r="AA326" s="8" t="s">
        <v>114</v>
      </c>
      <c r="AB326" s="8" t="s">
        <v>21</v>
      </c>
      <c r="AC326" s="104"/>
      <c r="AD326" s="60"/>
      <c r="AE326" s="174"/>
      <c r="AF326" s="61" t="str">
        <f t="shared" si="220"/>
        <v xml:space="preserve"> </v>
      </c>
      <c r="AG326" s="218" t="str">
        <f t="shared" si="254"/>
        <v>-</v>
      </c>
      <c r="AH326" s="174"/>
      <c r="AI326" s="92" t="str">
        <f t="shared" si="255"/>
        <v>OK</v>
      </c>
      <c r="AJ326" s="60"/>
      <c r="AK326" s="174"/>
      <c r="AL326" s="61" t="str">
        <f t="shared" si="221"/>
        <v xml:space="preserve"> </v>
      </c>
      <c r="AM326" s="218" t="str">
        <f t="shared" si="237"/>
        <v>-</v>
      </c>
      <c r="AN326" s="174"/>
      <c r="AO326" s="92" t="str">
        <f t="shared" si="256"/>
        <v>OK</v>
      </c>
      <c r="AP326" s="60"/>
      <c r="AQ326" s="170"/>
      <c r="AR326" s="61" t="str">
        <f t="shared" si="222"/>
        <v xml:space="preserve"> </v>
      </c>
      <c r="AS326" s="218" t="s">
        <v>593</v>
      </c>
      <c r="AT326" s="61"/>
      <c r="AU326" s="218" t="str">
        <f t="shared" si="219"/>
        <v>-</v>
      </c>
      <c r="AV326" s="60"/>
      <c r="AW326" s="174" t="s">
        <v>33</v>
      </c>
      <c r="AX326" s="61" t="str">
        <f t="shared" si="223"/>
        <v>1</v>
      </c>
      <c r="AY326" s="218" t="str">
        <f t="shared" si="239"/>
        <v>-</v>
      </c>
      <c r="AZ326" s="174" t="s">
        <v>33</v>
      </c>
      <c r="BA326" s="478" t="s">
        <v>594</v>
      </c>
      <c r="BB326" s="60"/>
      <c r="BC326" s="174"/>
      <c r="BD326" s="61" t="str">
        <f t="shared" si="224"/>
        <v xml:space="preserve"> </v>
      </c>
      <c r="BE326" s="218" t="str">
        <f t="shared" si="240"/>
        <v>-</v>
      </c>
      <c r="BF326" s="174"/>
      <c r="BG326" s="478" t="s">
        <v>594</v>
      </c>
      <c r="BH326" s="60"/>
      <c r="BI326" s="170" t="s">
        <v>33</v>
      </c>
      <c r="BJ326" s="61" t="str">
        <f t="shared" si="253"/>
        <v>1</v>
      </c>
      <c r="BK326" s="218" t="s">
        <v>593</v>
      </c>
      <c r="BL326" s="174" t="s">
        <v>33</v>
      </c>
      <c r="BM326" s="478" t="s">
        <v>594</v>
      </c>
      <c r="BN326" s="60"/>
      <c r="BO326" s="174"/>
      <c r="BP326" s="61" t="str">
        <f t="shared" si="226"/>
        <v xml:space="preserve"> </v>
      </c>
      <c r="BQ326" s="218" t="str">
        <f t="shared" si="241"/>
        <v>-</v>
      </c>
      <c r="BR326" s="174"/>
      <c r="BS326" s="478" t="s">
        <v>594</v>
      </c>
      <c r="BT326" s="60"/>
      <c r="BU326" s="170"/>
      <c r="BV326" s="61" t="str">
        <f t="shared" si="227"/>
        <v xml:space="preserve"> </v>
      </c>
      <c r="BW326" s="218" t="s">
        <v>593</v>
      </c>
      <c r="BX326" s="61"/>
      <c r="BY326" s="218" t="str">
        <f t="shared" si="242"/>
        <v>-</v>
      </c>
      <c r="BZ326" s="60"/>
      <c r="CA326" s="174"/>
      <c r="CB326" s="61" t="str">
        <f t="shared" si="228"/>
        <v xml:space="preserve"> </v>
      </c>
      <c r="CC326" s="218" t="str">
        <f t="shared" si="243"/>
        <v>-</v>
      </c>
      <c r="CD326" s="174"/>
      <c r="CE326" s="92" t="str">
        <f t="shared" si="257"/>
        <v>OK</v>
      </c>
      <c r="CF326" s="60"/>
      <c r="CG326" s="174"/>
      <c r="CH326" s="61" t="str">
        <f t="shared" si="229"/>
        <v xml:space="preserve"> </v>
      </c>
      <c r="CI326" s="218" t="str">
        <f t="shared" si="245"/>
        <v>-</v>
      </c>
      <c r="CJ326" s="174"/>
      <c r="CK326" s="92" t="str">
        <f t="shared" si="258"/>
        <v>OK</v>
      </c>
      <c r="CL326" s="60"/>
      <c r="CM326" s="174"/>
      <c r="CN326" s="61" t="str">
        <f t="shared" si="230"/>
        <v xml:space="preserve"> </v>
      </c>
      <c r="CO326" s="218" t="s">
        <v>593</v>
      </c>
      <c r="CP326" s="61"/>
      <c r="CQ326" s="218" t="str">
        <f t="shared" si="247"/>
        <v>-</v>
      </c>
      <c r="CR326" s="60"/>
      <c r="CS326" s="174"/>
      <c r="CT326" s="61" t="str">
        <f t="shared" si="231"/>
        <v xml:space="preserve"> </v>
      </c>
      <c r="CU326" s="218" t="str">
        <f t="shared" si="248"/>
        <v>-</v>
      </c>
      <c r="CV326" s="174"/>
      <c r="CW326" s="92" t="s">
        <v>593</v>
      </c>
      <c r="CX326" s="60"/>
      <c r="CY326" s="174"/>
      <c r="CZ326" s="61" t="str">
        <f t="shared" si="232"/>
        <v xml:space="preserve"> </v>
      </c>
      <c r="DA326" s="218" t="str">
        <f t="shared" si="249"/>
        <v>-</v>
      </c>
      <c r="DB326" s="174"/>
      <c r="DC326" s="92" t="s">
        <v>593</v>
      </c>
    </row>
    <row r="327" spans="1:107" s="26" customFormat="1" ht="127.5">
      <c r="B327" s="65">
        <f t="shared" si="235"/>
        <v>320</v>
      </c>
      <c r="C327" s="7"/>
      <c r="D327" s="7"/>
      <c r="E327" s="7"/>
      <c r="F327" s="22" t="s">
        <v>170</v>
      </c>
      <c r="G327" s="16"/>
      <c r="H327" s="13"/>
      <c r="I327" s="8"/>
      <c r="J327" s="8" t="s">
        <v>426</v>
      </c>
      <c r="K327" s="8"/>
      <c r="L327" s="8"/>
      <c r="M327" s="418" t="s">
        <v>451</v>
      </c>
      <c r="N327" s="1"/>
      <c r="O327" s="57"/>
      <c r="P327" s="95">
        <f t="shared" si="259"/>
        <v>294</v>
      </c>
      <c r="Q327" s="115">
        <v>1</v>
      </c>
      <c r="R327" s="21" t="str">
        <f t="shared" si="260"/>
        <v>X</v>
      </c>
      <c r="S327" s="98" t="s">
        <v>171</v>
      </c>
      <c r="T327" s="96"/>
      <c r="U327" s="21" t="s">
        <v>435</v>
      </c>
      <c r="V327" s="10"/>
      <c r="W327" s="25">
        <v>3</v>
      </c>
      <c r="X327" s="1" t="s">
        <v>306</v>
      </c>
      <c r="Y327" s="1">
        <v>1</v>
      </c>
      <c r="Z327" s="1">
        <v>1</v>
      </c>
      <c r="AA327" s="8" t="s">
        <v>114</v>
      </c>
      <c r="AB327" s="8" t="s">
        <v>21</v>
      </c>
      <c r="AC327" s="104"/>
      <c r="AD327" s="60"/>
      <c r="AE327" s="174"/>
      <c r="AF327" s="61" t="str">
        <f t="shared" si="220"/>
        <v xml:space="preserve"> </v>
      </c>
      <c r="AG327" s="218" t="str">
        <f t="shared" si="254"/>
        <v>-</v>
      </c>
      <c r="AH327" s="174"/>
      <c r="AI327" s="92" t="str">
        <f t="shared" si="255"/>
        <v>OK</v>
      </c>
      <c r="AJ327" s="60"/>
      <c r="AK327" s="174"/>
      <c r="AL327" s="61" t="str">
        <f t="shared" si="221"/>
        <v xml:space="preserve"> </v>
      </c>
      <c r="AM327" s="218" t="str">
        <f t="shared" si="237"/>
        <v>-</v>
      </c>
      <c r="AN327" s="174"/>
      <c r="AO327" s="92" t="str">
        <f t="shared" si="256"/>
        <v>OK</v>
      </c>
      <c r="AP327" s="60"/>
      <c r="AQ327" s="170"/>
      <c r="AR327" s="61" t="str">
        <f t="shared" si="222"/>
        <v xml:space="preserve"> </v>
      </c>
      <c r="AS327" s="218" t="s">
        <v>593</v>
      </c>
      <c r="AT327" s="61"/>
      <c r="AU327" s="218" t="str">
        <f t="shared" si="219"/>
        <v>-</v>
      </c>
      <c r="AV327" s="60"/>
      <c r="AW327" s="174" t="s">
        <v>33</v>
      </c>
      <c r="AX327" s="61" t="str">
        <f t="shared" si="223"/>
        <v>1</v>
      </c>
      <c r="AY327" s="218" t="str">
        <f t="shared" si="239"/>
        <v>-</v>
      </c>
      <c r="AZ327" s="174" t="s">
        <v>33</v>
      </c>
      <c r="BA327" s="478" t="s">
        <v>594</v>
      </c>
      <c r="BB327" s="60"/>
      <c r="BC327" s="174" t="s">
        <v>33</v>
      </c>
      <c r="BD327" s="61" t="str">
        <f t="shared" si="224"/>
        <v>1</v>
      </c>
      <c r="BE327" s="218" t="str">
        <f t="shared" si="240"/>
        <v>-</v>
      </c>
      <c r="BF327" s="174" t="s">
        <v>33</v>
      </c>
      <c r="BG327" s="478" t="s">
        <v>594</v>
      </c>
      <c r="BH327" s="60"/>
      <c r="BI327" s="170" t="s">
        <v>33</v>
      </c>
      <c r="BJ327" s="61" t="str">
        <f t="shared" si="253"/>
        <v>1</v>
      </c>
      <c r="BK327" s="218" t="s">
        <v>593</v>
      </c>
      <c r="BL327" s="174" t="s">
        <v>33</v>
      </c>
      <c r="BM327" s="478" t="s">
        <v>594</v>
      </c>
      <c r="BN327" s="60"/>
      <c r="BO327" s="174" t="s">
        <v>33</v>
      </c>
      <c r="BP327" s="61" t="str">
        <f t="shared" si="226"/>
        <v>1</v>
      </c>
      <c r="BQ327" s="218" t="str">
        <f t="shared" si="241"/>
        <v>-</v>
      </c>
      <c r="BR327" s="174" t="s">
        <v>33</v>
      </c>
      <c r="BS327" s="478" t="s">
        <v>594</v>
      </c>
      <c r="BT327" s="60"/>
      <c r="BU327" s="170"/>
      <c r="BV327" s="61" t="str">
        <f t="shared" si="227"/>
        <v xml:space="preserve"> </v>
      </c>
      <c r="BW327" s="218" t="s">
        <v>593</v>
      </c>
      <c r="BX327" s="61"/>
      <c r="BY327" s="218" t="str">
        <f t="shared" si="242"/>
        <v>-</v>
      </c>
      <c r="BZ327" s="60"/>
      <c r="CA327" s="174"/>
      <c r="CB327" s="61" t="str">
        <f t="shared" si="228"/>
        <v xml:space="preserve"> </v>
      </c>
      <c r="CC327" s="218" t="str">
        <f t="shared" si="243"/>
        <v>-</v>
      </c>
      <c r="CD327" s="174"/>
      <c r="CE327" s="92" t="str">
        <f t="shared" si="257"/>
        <v>OK</v>
      </c>
      <c r="CF327" s="60"/>
      <c r="CG327" s="174"/>
      <c r="CH327" s="61" t="str">
        <f t="shared" si="229"/>
        <v xml:space="preserve"> </v>
      </c>
      <c r="CI327" s="218" t="str">
        <f t="shared" si="245"/>
        <v>-</v>
      </c>
      <c r="CJ327" s="174"/>
      <c r="CK327" s="92" t="str">
        <f t="shared" si="258"/>
        <v>OK</v>
      </c>
      <c r="CL327" s="60"/>
      <c r="CM327" s="174"/>
      <c r="CN327" s="61" t="str">
        <f t="shared" si="230"/>
        <v xml:space="preserve"> </v>
      </c>
      <c r="CO327" s="218" t="s">
        <v>593</v>
      </c>
      <c r="CP327" s="61"/>
      <c r="CQ327" s="218" t="str">
        <f t="shared" si="247"/>
        <v>-</v>
      </c>
      <c r="CR327" s="60"/>
      <c r="CS327" s="174"/>
      <c r="CT327" s="61" t="str">
        <f t="shared" si="231"/>
        <v xml:space="preserve"> </v>
      </c>
      <c r="CU327" s="218" t="str">
        <f t="shared" si="248"/>
        <v>-</v>
      </c>
      <c r="CV327" s="174"/>
      <c r="CW327" s="92" t="s">
        <v>593</v>
      </c>
      <c r="CX327" s="60"/>
      <c r="CY327" s="174"/>
      <c r="CZ327" s="61" t="str">
        <f t="shared" si="232"/>
        <v xml:space="preserve"> </v>
      </c>
      <c r="DA327" s="218" t="str">
        <f t="shared" si="249"/>
        <v>-</v>
      </c>
      <c r="DB327" s="174"/>
      <c r="DC327" s="92" t="s">
        <v>593</v>
      </c>
    </row>
    <row r="328" spans="1:107" s="26" customFormat="1" ht="319.5" customHeight="1">
      <c r="B328" s="65">
        <f t="shared" si="235"/>
        <v>321</v>
      </c>
      <c r="C328" s="7"/>
      <c r="D328" s="7"/>
      <c r="E328" s="54"/>
      <c r="F328" s="113" t="s">
        <v>452</v>
      </c>
      <c r="G328" s="67"/>
      <c r="H328" s="62"/>
      <c r="I328" s="8"/>
      <c r="J328" s="8" t="s">
        <v>426</v>
      </c>
      <c r="K328" s="8"/>
      <c r="L328" s="8"/>
      <c r="M328" s="415" t="s">
        <v>453</v>
      </c>
      <c r="N328" s="16"/>
      <c r="O328" s="57"/>
      <c r="P328" s="95">
        <f t="shared" si="259"/>
        <v>295</v>
      </c>
      <c r="Q328" s="115">
        <v>2</v>
      </c>
      <c r="R328" s="21" t="str">
        <f t="shared" si="260"/>
        <v>X</v>
      </c>
      <c r="S328" s="98" t="s">
        <v>172</v>
      </c>
      <c r="T328" s="96"/>
      <c r="U328" s="21" t="s">
        <v>435</v>
      </c>
      <c r="V328" s="10"/>
      <c r="W328" s="25">
        <v>3</v>
      </c>
      <c r="X328" s="1" t="s">
        <v>308</v>
      </c>
      <c r="Y328" s="1">
        <v>2</v>
      </c>
      <c r="Z328" s="1">
        <v>2</v>
      </c>
      <c r="AA328" s="8" t="s">
        <v>261</v>
      </c>
      <c r="AB328" s="8" t="s">
        <v>257</v>
      </c>
      <c r="AC328" s="68"/>
      <c r="AD328" s="60"/>
      <c r="AE328" s="174"/>
      <c r="AF328" s="273" t="str">
        <f t="shared" si="220"/>
        <v xml:space="preserve">  </v>
      </c>
      <c r="AG328" s="218" t="str">
        <f t="shared" si="254"/>
        <v>-</v>
      </c>
      <c r="AH328" s="174"/>
      <c r="AI328" s="92" t="str">
        <f t="shared" si="255"/>
        <v>OK</v>
      </c>
      <c r="AJ328" s="60"/>
      <c r="AK328" s="174"/>
      <c r="AL328" s="273" t="str">
        <f t="shared" si="221"/>
        <v xml:space="preserve">  </v>
      </c>
      <c r="AM328" s="218" t="str">
        <f t="shared" si="237"/>
        <v>-</v>
      </c>
      <c r="AN328" s="174"/>
      <c r="AO328" s="92" t="str">
        <f t="shared" si="256"/>
        <v>OK</v>
      </c>
      <c r="AP328" s="60"/>
      <c r="AQ328" s="170"/>
      <c r="AR328" s="273" t="str">
        <f t="shared" si="222"/>
        <v xml:space="preserve">  </v>
      </c>
      <c r="AS328" s="218" t="s">
        <v>593</v>
      </c>
      <c r="AT328" s="273"/>
      <c r="AU328" s="218" t="str">
        <f t="shared" si="219"/>
        <v>-</v>
      </c>
      <c r="AV328" s="60"/>
      <c r="AW328" s="174" t="s">
        <v>369</v>
      </c>
      <c r="AX328" s="273" t="str">
        <f t="shared" si="223"/>
        <v>J1</v>
      </c>
      <c r="AY328" s="218" t="str">
        <f t="shared" si="239"/>
        <v>-</v>
      </c>
      <c r="AZ328" s="174" t="s">
        <v>369</v>
      </c>
      <c r="BA328" s="92" t="str">
        <f>IF(EXACT(AW328,AZ328),"OK","NG")</f>
        <v>OK</v>
      </c>
      <c r="BB328" s="60"/>
      <c r="BC328" s="174" t="s">
        <v>251</v>
      </c>
      <c r="BD328" s="273" t="str">
        <f t="shared" si="224"/>
        <v>H1</v>
      </c>
      <c r="BE328" s="218" t="str">
        <f t="shared" si="240"/>
        <v>-</v>
      </c>
      <c r="BF328" s="174" t="s">
        <v>251</v>
      </c>
      <c r="BG328" s="92" t="str">
        <f>IF(EXACT(BC328,BF328),"OK","NG")</f>
        <v>OK</v>
      </c>
      <c r="BH328" s="60"/>
      <c r="BI328" s="170" t="s">
        <v>369</v>
      </c>
      <c r="BJ328" s="273" t="str">
        <f t="shared" si="253"/>
        <v>J1</v>
      </c>
      <c r="BK328" s="218" t="s">
        <v>593</v>
      </c>
      <c r="BL328" s="174" t="s">
        <v>369</v>
      </c>
      <c r="BM328" s="92" t="str">
        <f>IF(EXACT(BI328,BL328),"OK","NG")</f>
        <v>OK</v>
      </c>
      <c r="BN328" s="60"/>
      <c r="BO328" s="174" t="s">
        <v>251</v>
      </c>
      <c r="BP328" s="273" t="str">
        <f t="shared" si="226"/>
        <v>H1</v>
      </c>
      <c r="BQ328" s="218" t="str">
        <f t="shared" si="241"/>
        <v>-</v>
      </c>
      <c r="BR328" s="174" t="s">
        <v>251</v>
      </c>
      <c r="BS328" s="92" t="str">
        <f>IF(EXACT(BO328,BR328),"OK","NG")</f>
        <v>OK</v>
      </c>
      <c r="BT328" s="60"/>
      <c r="BU328" s="170"/>
      <c r="BV328" s="273" t="str">
        <f t="shared" si="227"/>
        <v xml:space="preserve">  </v>
      </c>
      <c r="BW328" s="218" t="s">
        <v>593</v>
      </c>
      <c r="BX328" s="273"/>
      <c r="BY328" s="218" t="str">
        <f t="shared" si="242"/>
        <v>-</v>
      </c>
      <c r="BZ328" s="60"/>
      <c r="CA328" s="174"/>
      <c r="CB328" s="273" t="str">
        <f t="shared" si="228"/>
        <v xml:space="preserve">  </v>
      </c>
      <c r="CC328" s="218" t="str">
        <f t="shared" si="243"/>
        <v>-</v>
      </c>
      <c r="CD328" s="174"/>
      <c r="CE328" s="92" t="str">
        <f t="shared" si="257"/>
        <v>OK</v>
      </c>
      <c r="CF328" s="60"/>
      <c r="CG328" s="174"/>
      <c r="CH328" s="273" t="str">
        <f t="shared" si="229"/>
        <v xml:space="preserve">  </v>
      </c>
      <c r="CI328" s="218" t="str">
        <f t="shared" si="245"/>
        <v>-</v>
      </c>
      <c r="CJ328" s="174"/>
      <c r="CK328" s="92" t="str">
        <f t="shared" si="258"/>
        <v>OK</v>
      </c>
      <c r="CL328" s="60"/>
      <c r="CM328" s="174"/>
      <c r="CN328" s="273" t="str">
        <f t="shared" si="230"/>
        <v xml:space="preserve">  </v>
      </c>
      <c r="CO328" s="218" t="s">
        <v>593</v>
      </c>
      <c r="CP328" s="273"/>
      <c r="CQ328" s="218" t="str">
        <f t="shared" si="247"/>
        <v>-</v>
      </c>
      <c r="CR328" s="60"/>
      <c r="CS328" s="174"/>
      <c r="CT328" s="273" t="str">
        <f t="shared" si="231"/>
        <v xml:space="preserve">  </v>
      </c>
      <c r="CU328" s="218" t="str">
        <f t="shared" si="248"/>
        <v>-</v>
      </c>
      <c r="CV328" s="174"/>
      <c r="CW328" s="92" t="s">
        <v>593</v>
      </c>
      <c r="CX328" s="60"/>
      <c r="CY328" s="174"/>
      <c r="CZ328" s="273" t="str">
        <f t="shared" si="232"/>
        <v xml:space="preserve">  </v>
      </c>
      <c r="DA328" s="218" t="str">
        <f t="shared" si="249"/>
        <v>-</v>
      </c>
      <c r="DB328" s="174"/>
      <c r="DC328" s="92" t="s">
        <v>593</v>
      </c>
    </row>
    <row r="329" spans="1:107" s="26" customFormat="1" ht="25.5">
      <c r="B329" s="65">
        <f t="shared" si="235"/>
        <v>322</v>
      </c>
      <c r="C329" s="7"/>
      <c r="D329" s="7"/>
      <c r="E329" s="54"/>
      <c r="F329" s="66" t="s">
        <v>173</v>
      </c>
      <c r="G329" s="67"/>
      <c r="H329" s="62"/>
      <c r="I329" s="8"/>
      <c r="J329" s="8"/>
      <c r="K329" s="8"/>
      <c r="L329" s="8"/>
      <c r="M329" s="11" t="s">
        <v>354</v>
      </c>
      <c r="N329" s="16"/>
      <c r="O329" s="57"/>
      <c r="P329" s="95">
        <f t="shared" si="259"/>
        <v>296</v>
      </c>
      <c r="Q329" s="115">
        <v>7</v>
      </c>
      <c r="R329" s="21" t="str">
        <f t="shared" si="260"/>
        <v>X</v>
      </c>
      <c r="S329" s="98" t="s">
        <v>174</v>
      </c>
      <c r="T329" s="96"/>
      <c r="U329" s="21" t="s">
        <v>257</v>
      </c>
      <c r="V329" s="10"/>
      <c r="W329" s="25">
        <v>3</v>
      </c>
      <c r="X329" s="1" t="s">
        <v>309</v>
      </c>
      <c r="Y329" s="1">
        <v>7</v>
      </c>
      <c r="Z329" s="1">
        <v>7</v>
      </c>
      <c r="AA329" s="8" t="s">
        <v>261</v>
      </c>
      <c r="AB329" s="8" t="s">
        <v>257</v>
      </c>
      <c r="AC329" s="105"/>
      <c r="AD329" s="60"/>
      <c r="AE329" s="169"/>
      <c r="AF329" s="61" t="str">
        <f t="shared" si="220"/>
        <v xml:space="preserve">       </v>
      </c>
      <c r="AG329" s="218" t="str">
        <f t="shared" si="254"/>
        <v>-</v>
      </c>
      <c r="AH329" s="169"/>
      <c r="AI329" s="92" t="str">
        <f t="shared" si="255"/>
        <v>OK</v>
      </c>
      <c r="AJ329" s="60"/>
      <c r="AK329" s="169"/>
      <c r="AL329" s="61" t="str">
        <f t="shared" si="221"/>
        <v xml:space="preserve">       </v>
      </c>
      <c r="AM329" s="218" t="str">
        <f t="shared" si="237"/>
        <v>-</v>
      </c>
      <c r="AN329" s="169"/>
      <c r="AO329" s="92" t="str">
        <f t="shared" si="256"/>
        <v>OK</v>
      </c>
      <c r="AP329" s="60"/>
      <c r="AQ329" s="172"/>
      <c r="AR329" s="61" t="str">
        <f t="shared" si="222"/>
        <v xml:space="preserve">       </v>
      </c>
      <c r="AS329" s="218" t="s">
        <v>593</v>
      </c>
      <c r="AT329" s="61"/>
      <c r="AU329" s="218" t="str">
        <f t="shared" si="219"/>
        <v>-</v>
      </c>
      <c r="AV329" s="60"/>
      <c r="AW329" s="169"/>
      <c r="AX329" s="61" t="str">
        <f t="shared" si="223"/>
        <v xml:space="preserve">       </v>
      </c>
      <c r="AY329" s="218" t="str">
        <f t="shared" si="239"/>
        <v>-</v>
      </c>
      <c r="AZ329" s="169"/>
      <c r="BA329" s="478" t="s">
        <v>594</v>
      </c>
      <c r="BB329" s="60"/>
      <c r="BC329" s="169"/>
      <c r="BD329" s="61" t="str">
        <f t="shared" si="224"/>
        <v xml:space="preserve">       </v>
      </c>
      <c r="BE329" s="218" t="str">
        <f t="shared" si="240"/>
        <v>-</v>
      </c>
      <c r="BF329" s="169"/>
      <c r="BG329" s="478" t="s">
        <v>594</v>
      </c>
      <c r="BH329" s="60"/>
      <c r="BI329" s="170" t="s">
        <v>705</v>
      </c>
      <c r="BJ329" s="61" t="str">
        <f t="shared" si="253"/>
        <v xml:space="preserve">       </v>
      </c>
      <c r="BK329" s="218" t="s">
        <v>593</v>
      </c>
      <c r="BL329" s="169"/>
      <c r="BM329" s="478" t="s">
        <v>594</v>
      </c>
      <c r="BN329" s="60"/>
      <c r="BO329" s="169"/>
      <c r="BP329" s="61" t="str">
        <f t="shared" si="226"/>
        <v xml:space="preserve">       </v>
      </c>
      <c r="BQ329" s="218" t="str">
        <f t="shared" si="241"/>
        <v>-</v>
      </c>
      <c r="BR329" s="169"/>
      <c r="BS329" s="478" t="s">
        <v>594</v>
      </c>
      <c r="BT329" s="60"/>
      <c r="BU329" s="172"/>
      <c r="BV329" s="61" t="str">
        <f t="shared" si="227"/>
        <v xml:space="preserve">       </v>
      </c>
      <c r="BW329" s="218" t="s">
        <v>593</v>
      </c>
      <c r="BX329" s="61"/>
      <c r="BY329" s="218" t="str">
        <f t="shared" si="242"/>
        <v>-</v>
      </c>
      <c r="BZ329" s="60"/>
      <c r="CA329" s="169"/>
      <c r="CB329" s="61" t="str">
        <f t="shared" si="228"/>
        <v xml:space="preserve">       </v>
      </c>
      <c r="CC329" s="218" t="str">
        <f t="shared" si="243"/>
        <v>-</v>
      </c>
      <c r="CD329" s="169"/>
      <c r="CE329" s="92" t="str">
        <f t="shared" si="257"/>
        <v>OK</v>
      </c>
      <c r="CF329" s="60"/>
      <c r="CG329" s="169"/>
      <c r="CH329" s="61" t="str">
        <f t="shared" si="229"/>
        <v xml:space="preserve">       </v>
      </c>
      <c r="CI329" s="218" t="str">
        <f t="shared" si="245"/>
        <v>-</v>
      </c>
      <c r="CJ329" s="169"/>
      <c r="CK329" s="92" t="str">
        <f t="shared" si="258"/>
        <v>OK</v>
      </c>
      <c r="CL329" s="60"/>
      <c r="CM329" s="169"/>
      <c r="CN329" s="61" t="str">
        <f t="shared" si="230"/>
        <v xml:space="preserve">       </v>
      </c>
      <c r="CO329" s="218" t="s">
        <v>593</v>
      </c>
      <c r="CP329" s="61"/>
      <c r="CQ329" s="218" t="str">
        <f t="shared" si="247"/>
        <v>-</v>
      </c>
      <c r="CR329" s="60"/>
      <c r="CS329" s="169"/>
      <c r="CT329" s="61" t="str">
        <f t="shared" si="231"/>
        <v xml:space="preserve">       </v>
      </c>
      <c r="CU329" s="218" t="str">
        <f t="shared" si="248"/>
        <v>-</v>
      </c>
      <c r="CV329" s="169"/>
      <c r="CW329" s="92" t="s">
        <v>593</v>
      </c>
      <c r="CX329" s="60"/>
      <c r="CY329" s="169"/>
      <c r="CZ329" s="61" t="str">
        <f t="shared" si="232"/>
        <v xml:space="preserve">       </v>
      </c>
      <c r="DA329" s="218" t="str">
        <f t="shared" si="249"/>
        <v>-</v>
      </c>
      <c r="DB329" s="169"/>
      <c r="DC329" s="92" t="s">
        <v>593</v>
      </c>
    </row>
    <row r="330" spans="1:107" s="81" customFormat="1" ht="25.5">
      <c r="B330" s="65">
        <f t="shared" si="235"/>
        <v>323</v>
      </c>
      <c r="C330" s="69"/>
      <c r="D330" s="69"/>
      <c r="E330" s="70"/>
      <c r="F330" s="71" t="s">
        <v>355</v>
      </c>
      <c r="G330" s="72"/>
      <c r="H330" s="73"/>
      <c r="I330" s="74"/>
      <c r="J330" s="74"/>
      <c r="K330" s="75"/>
      <c r="L330" s="75"/>
      <c r="M330" s="84" t="s">
        <v>354</v>
      </c>
      <c r="N330" s="76"/>
      <c r="O330" s="77"/>
      <c r="P330" s="95">
        <f t="shared" si="259"/>
        <v>297</v>
      </c>
      <c r="Q330" s="119">
        <v>10</v>
      </c>
      <c r="R330" s="21" t="str">
        <f t="shared" si="260"/>
        <v>X</v>
      </c>
      <c r="S330" s="98" t="s">
        <v>175</v>
      </c>
      <c r="T330" s="106"/>
      <c r="U330" s="21" t="s">
        <v>257</v>
      </c>
      <c r="V330" s="77"/>
      <c r="W330" s="78">
        <v>3</v>
      </c>
      <c r="X330" s="56" t="s">
        <v>176</v>
      </c>
      <c r="Y330" s="56">
        <v>10</v>
      </c>
      <c r="Z330" s="56">
        <v>10</v>
      </c>
      <c r="AA330" s="74" t="s">
        <v>114</v>
      </c>
      <c r="AB330" s="74" t="s">
        <v>21</v>
      </c>
      <c r="AC330" s="105"/>
      <c r="AD330" s="79"/>
      <c r="AE330" s="481"/>
      <c r="AF330" s="80" t="str">
        <f t="shared" si="220"/>
        <v xml:space="preserve">          </v>
      </c>
      <c r="AG330" s="218" t="str">
        <f t="shared" si="254"/>
        <v>-</v>
      </c>
      <c r="AH330" s="274"/>
      <c r="AI330" s="92" t="str">
        <f t="shared" si="255"/>
        <v>OK</v>
      </c>
      <c r="AJ330" s="79"/>
      <c r="AK330" s="481"/>
      <c r="AL330" s="80" t="str">
        <f t="shared" si="221"/>
        <v xml:space="preserve">          </v>
      </c>
      <c r="AM330" s="218" t="str">
        <f t="shared" si="237"/>
        <v>-</v>
      </c>
      <c r="AN330" s="274"/>
      <c r="AO330" s="92" t="str">
        <f t="shared" si="256"/>
        <v>OK</v>
      </c>
      <c r="AP330" s="79"/>
      <c r="AQ330" s="512"/>
      <c r="AR330" s="80" t="str">
        <f t="shared" si="222"/>
        <v xml:space="preserve">          </v>
      </c>
      <c r="AS330" s="218" t="s">
        <v>593</v>
      </c>
      <c r="AT330" s="80"/>
      <c r="AU330" s="218" t="str">
        <f t="shared" si="219"/>
        <v>-</v>
      </c>
      <c r="AV330" s="79"/>
      <c r="AW330" s="481"/>
      <c r="AX330" s="80" t="str">
        <f t="shared" si="223"/>
        <v xml:space="preserve">          </v>
      </c>
      <c r="AY330" s="218" t="str">
        <f t="shared" si="239"/>
        <v>-</v>
      </c>
      <c r="AZ330" s="274"/>
      <c r="BA330" s="478" t="s">
        <v>594</v>
      </c>
      <c r="BB330" s="79"/>
      <c r="BC330" s="481"/>
      <c r="BD330" s="80" t="str">
        <f t="shared" si="224"/>
        <v xml:space="preserve">          </v>
      </c>
      <c r="BE330" s="218" t="str">
        <f t="shared" si="240"/>
        <v>-</v>
      </c>
      <c r="BF330" s="274"/>
      <c r="BG330" s="478" t="s">
        <v>594</v>
      </c>
      <c r="BH330" s="79"/>
      <c r="BI330" s="508" t="s">
        <v>706</v>
      </c>
      <c r="BJ330" s="80" t="str">
        <f t="shared" si="253"/>
        <v xml:space="preserve">          </v>
      </c>
      <c r="BK330" s="218" t="s">
        <v>593</v>
      </c>
      <c r="BL330" s="274"/>
      <c r="BM330" s="478" t="s">
        <v>594</v>
      </c>
      <c r="BN330" s="79"/>
      <c r="BO330" s="481"/>
      <c r="BP330" s="80" t="str">
        <f t="shared" si="226"/>
        <v xml:space="preserve">          </v>
      </c>
      <c r="BQ330" s="218" t="str">
        <f t="shared" si="241"/>
        <v>-</v>
      </c>
      <c r="BR330" s="274"/>
      <c r="BS330" s="478" t="s">
        <v>594</v>
      </c>
      <c r="BT330" s="79"/>
      <c r="BU330" s="512"/>
      <c r="BV330" s="80" t="str">
        <f t="shared" si="227"/>
        <v xml:space="preserve">          </v>
      </c>
      <c r="BW330" s="218" t="s">
        <v>593</v>
      </c>
      <c r="BX330" s="80"/>
      <c r="BY330" s="218" t="str">
        <f t="shared" si="242"/>
        <v>-</v>
      </c>
      <c r="BZ330" s="79"/>
      <c r="CA330" s="481"/>
      <c r="CB330" s="80" t="str">
        <f t="shared" si="228"/>
        <v xml:space="preserve">          </v>
      </c>
      <c r="CC330" s="218" t="str">
        <f t="shared" si="243"/>
        <v>-</v>
      </c>
      <c r="CD330" s="274"/>
      <c r="CE330" s="92" t="str">
        <f t="shared" si="257"/>
        <v>OK</v>
      </c>
      <c r="CF330" s="79"/>
      <c r="CG330" s="481"/>
      <c r="CH330" s="80" t="str">
        <f t="shared" si="229"/>
        <v xml:space="preserve">          </v>
      </c>
      <c r="CI330" s="218" t="str">
        <f t="shared" si="245"/>
        <v>-</v>
      </c>
      <c r="CJ330" s="274"/>
      <c r="CK330" s="92" t="str">
        <f t="shared" si="258"/>
        <v>OK</v>
      </c>
      <c r="CL330" s="79"/>
      <c r="CM330" s="481"/>
      <c r="CN330" s="80" t="str">
        <f t="shared" si="230"/>
        <v xml:space="preserve">          </v>
      </c>
      <c r="CO330" s="218" t="s">
        <v>593</v>
      </c>
      <c r="CP330" s="80"/>
      <c r="CQ330" s="218" t="str">
        <f t="shared" si="247"/>
        <v>-</v>
      </c>
      <c r="CR330" s="79"/>
      <c r="CS330" s="481"/>
      <c r="CT330" s="80" t="str">
        <f t="shared" si="231"/>
        <v xml:space="preserve">          </v>
      </c>
      <c r="CU330" s="218" t="str">
        <f t="shared" si="248"/>
        <v>-</v>
      </c>
      <c r="CV330" s="274"/>
      <c r="CW330" s="92" t="s">
        <v>593</v>
      </c>
      <c r="CX330" s="79"/>
      <c r="CY330" s="481"/>
      <c r="CZ330" s="80" t="str">
        <f t="shared" si="232"/>
        <v xml:space="preserve">          </v>
      </c>
      <c r="DA330" s="218" t="str">
        <f t="shared" si="249"/>
        <v>-</v>
      </c>
      <c r="DB330" s="274"/>
      <c r="DC330" s="92" t="s">
        <v>593</v>
      </c>
    </row>
    <row r="331" spans="1:107" s="81" customFormat="1" ht="25.5">
      <c r="B331" s="65">
        <f t="shared" si="235"/>
        <v>324</v>
      </c>
      <c r="C331" s="69"/>
      <c r="D331" s="69"/>
      <c r="E331" s="69"/>
      <c r="F331" s="82" t="s">
        <v>177</v>
      </c>
      <c r="G331" s="14"/>
      <c r="H331" s="83"/>
      <c r="I331" s="74"/>
      <c r="J331" s="74"/>
      <c r="K331" s="75"/>
      <c r="L331" s="75"/>
      <c r="M331" s="84" t="s">
        <v>354</v>
      </c>
      <c r="N331" s="76"/>
      <c r="O331" s="77"/>
      <c r="P331" s="95">
        <f t="shared" si="259"/>
        <v>298</v>
      </c>
      <c r="Q331" s="119">
        <v>3</v>
      </c>
      <c r="R331" s="21" t="str">
        <f t="shared" si="260"/>
        <v>X</v>
      </c>
      <c r="S331" s="98" t="s">
        <v>178</v>
      </c>
      <c r="T331" s="106"/>
      <c r="U331" s="21" t="s">
        <v>257</v>
      </c>
      <c r="V331" s="77"/>
      <c r="W331" s="78">
        <v>3</v>
      </c>
      <c r="X331" s="56" t="s">
        <v>179</v>
      </c>
      <c r="Y331" s="56">
        <v>3</v>
      </c>
      <c r="Z331" s="56">
        <v>3</v>
      </c>
      <c r="AA331" s="74" t="s">
        <v>114</v>
      </c>
      <c r="AB331" s="74" t="s">
        <v>21</v>
      </c>
      <c r="AC331" s="105"/>
      <c r="AD331" s="79"/>
      <c r="AE331" s="481"/>
      <c r="AF331" s="80" t="str">
        <f t="shared" si="220"/>
        <v xml:space="preserve">   </v>
      </c>
      <c r="AG331" s="218" t="str">
        <f t="shared" si="254"/>
        <v>-</v>
      </c>
      <c r="AH331" s="274"/>
      <c r="AI331" s="92" t="str">
        <f t="shared" si="255"/>
        <v>OK</v>
      </c>
      <c r="AJ331" s="79"/>
      <c r="AK331" s="481"/>
      <c r="AL331" s="80" t="str">
        <f t="shared" si="221"/>
        <v xml:space="preserve">   </v>
      </c>
      <c r="AM331" s="218" t="str">
        <f t="shared" si="237"/>
        <v>-</v>
      </c>
      <c r="AN331" s="274"/>
      <c r="AO331" s="92" t="str">
        <f t="shared" si="256"/>
        <v>OK</v>
      </c>
      <c r="AP331" s="79"/>
      <c r="AQ331" s="512"/>
      <c r="AR331" s="80" t="str">
        <f t="shared" si="222"/>
        <v xml:space="preserve">   </v>
      </c>
      <c r="AS331" s="218" t="s">
        <v>593</v>
      </c>
      <c r="AT331" s="80"/>
      <c r="AU331" s="218" t="str">
        <f t="shared" si="219"/>
        <v>-</v>
      </c>
      <c r="AV331" s="79"/>
      <c r="AW331" s="481"/>
      <c r="AX331" s="80" t="str">
        <f t="shared" si="223"/>
        <v xml:space="preserve">   </v>
      </c>
      <c r="AY331" s="218" t="str">
        <f t="shared" si="239"/>
        <v>-</v>
      </c>
      <c r="AZ331" s="274"/>
      <c r="BA331" s="478" t="s">
        <v>594</v>
      </c>
      <c r="BB331" s="79"/>
      <c r="BC331" s="481"/>
      <c r="BD331" s="80" t="str">
        <f t="shared" si="224"/>
        <v xml:space="preserve">   </v>
      </c>
      <c r="BE331" s="218" t="str">
        <f t="shared" si="240"/>
        <v>-</v>
      </c>
      <c r="BF331" s="274"/>
      <c r="BG331" s="478" t="s">
        <v>594</v>
      </c>
      <c r="BH331" s="79"/>
      <c r="BI331" s="508" t="s">
        <v>707</v>
      </c>
      <c r="BJ331" s="80" t="str">
        <f t="shared" si="253"/>
        <v xml:space="preserve">   </v>
      </c>
      <c r="BK331" s="218" t="s">
        <v>593</v>
      </c>
      <c r="BL331" s="274"/>
      <c r="BM331" s="478" t="s">
        <v>594</v>
      </c>
      <c r="BN331" s="79"/>
      <c r="BO331" s="481"/>
      <c r="BP331" s="80" t="str">
        <f t="shared" si="226"/>
        <v xml:space="preserve">   </v>
      </c>
      <c r="BQ331" s="218" t="str">
        <f t="shared" si="241"/>
        <v>-</v>
      </c>
      <c r="BR331" s="274"/>
      <c r="BS331" s="478" t="s">
        <v>594</v>
      </c>
      <c r="BT331" s="79"/>
      <c r="BU331" s="512"/>
      <c r="BV331" s="80" t="str">
        <f t="shared" si="227"/>
        <v xml:space="preserve">   </v>
      </c>
      <c r="BW331" s="218" t="s">
        <v>593</v>
      </c>
      <c r="BX331" s="80"/>
      <c r="BY331" s="218" t="str">
        <f t="shared" si="242"/>
        <v>-</v>
      </c>
      <c r="BZ331" s="79"/>
      <c r="CA331" s="481"/>
      <c r="CB331" s="80" t="str">
        <f t="shared" si="228"/>
        <v xml:space="preserve">   </v>
      </c>
      <c r="CC331" s="218" t="str">
        <f t="shared" si="243"/>
        <v>-</v>
      </c>
      <c r="CD331" s="274"/>
      <c r="CE331" s="92" t="str">
        <f t="shared" si="257"/>
        <v>OK</v>
      </c>
      <c r="CF331" s="79"/>
      <c r="CG331" s="481"/>
      <c r="CH331" s="80" t="str">
        <f t="shared" si="229"/>
        <v xml:space="preserve">   </v>
      </c>
      <c r="CI331" s="218" t="str">
        <f t="shared" si="245"/>
        <v>-</v>
      </c>
      <c r="CJ331" s="274"/>
      <c r="CK331" s="92" t="str">
        <f t="shared" si="258"/>
        <v>OK</v>
      </c>
      <c r="CL331" s="79"/>
      <c r="CM331" s="481"/>
      <c r="CN331" s="80" t="str">
        <f t="shared" si="230"/>
        <v xml:space="preserve">   </v>
      </c>
      <c r="CO331" s="218" t="s">
        <v>593</v>
      </c>
      <c r="CP331" s="80"/>
      <c r="CQ331" s="218" t="str">
        <f t="shared" si="247"/>
        <v>-</v>
      </c>
      <c r="CR331" s="79"/>
      <c r="CS331" s="481"/>
      <c r="CT331" s="80" t="str">
        <f t="shared" si="231"/>
        <v xml:space="preserve">   </v>
      </c>
      <c r="CU331" s="218" t="str">
        <f t="shared" si="248"/>
        <v>-</v>
      </c>
      <c r="CV331" s="274"/>
      <c r="CW331" s="92" t="s">
        <v>593</v>
      </c>
      <c r="CX331" s="79"/>
      <c r="CY331" s="481"/>
      <c r="CZ331" s="80" t="str">
        <f t="shared" si="232"/>
        <v xml:space="preserve">   </v>
      </c>
      <c r="DA331" s="218" t="str">
        <f t="shared" si="249"/>
        <v>-</v>
      </c>
      <c r="DB331" s="274"/>
      <c r="DC331" s="92" t="s">
        <v>593</v>
      </c>
    </row>
    <row r="332" spans="1:107" s="81" customFormat="1" ht="25.5">
      <c r="B332" s="65">
        <f t="shared" si="235"/>
        <v>325</v>
      </c>
      <c r="C332" s="69"/>
      <c r="D332" s="69"/>
      <c r="E332" s="69"/>
      <c r="F332" s="82" t="s">
        <v>180</v>
      </c>
      <c r="G332" s="14"/>
      <c r="H332" s="83"/>
      <c r="I332" s="74"/>
      <c r="J332" s="74"/>
      <c r="K332" s="75"/>
      <c r="L332" s="75"/>
      <c r="M332" s="84" t="s">
        <v>354</v>
      </c>
      <c r="N332" s="76"/>
      <c r="O332" s="77"/>
      <c r="P332" s="95">
        <f>P331+1</f>
        <v>299</v>
      </c>
      <c r="Q332" s="119">
        <v>2</v>
      </c>
      <c r="R332" s="21" t="str">
        <f t="shared" si="260"/>
        <v>X</v>
      </c>
      <c r="S332" s="98" t="s">
        <v>181</v>
      </c>
      <c r="T332" s="106"/>
      <c r="U332" s="21" t="s">
        <v>257</v>
      </c>
      <c r="V332" s="77"/>
      <c r="W332" s="78">
        <v>3</v>
      </c>
      <c r="X332" s="56" t="s">
        <v>182</v>
      </c>
      <c r="Y332" s="56">
        <v>2</v>
      </c>
      <c r="Z332" s="56">
        <v>2</v>
      </c>
      <c r="AA332" s="74" t="s">
        <v>114</v>
      </c>
      <c r="AB332" s="74" t="s">
        <v>21</v>
      </c>
      <c r="AC332" s="105"/>
      <c r="AD332" s="79"/>
      <c r="AE332" s="481"/>
      <c r="AF332" s="80" t="str">
        <f t="shared" si="220"/>
        <v xml:space="preserve">  </v>
      </c>
      <c r="AG332" s="218" t="str">
        <f t="shared" si="254"/>
        <v>-</v>
      </c>
      <c r="AH332" s="274"/>
      <c r="AI332" s="92" t="str">
        <f t="shared" si="255"/>
        <v>OK</v>
      </c>
      <c r="AJ332" s="79"/>
      <c r="AK332" s="481"/>
      <c r="AL332" s="80" t="str">
        <f t="shared" si="221"/>
        <v xml:space="preserve">  </v>
      </c>
      <c r="AM332" s="218" t="str">
        <f t="shared" si="237"/>
        <v>-</v>
      </c>
      <c r="AN332" s="274"/>
      <c r="AO332" s="92" t="str">
        <f t="shared" si="256"/>
        <v>OK</v>
      </c>
      <c r="AP332" s="79"/>
      <c r="AQ332" s="512"/>
      <c r="AR332" s="80" t="str">
        <f t="shared" si="222"/>
        <v xml:space="preserve">  </v>
      </c>
      <c r="AS332" s="218" t="s">
        <v>593</v>
      </c>
      <c r="AT332" s="80"/>
      <c r="AU332" s="218" t="str">
        <f t="shared" ref="AU332:AU366" si="261">IF(OR(AS$8="判定対象外",AT$8="判定対象外",AT332="-"),"-",IF(AS332=AT332,"OK","NG"))</f>
        <v>-</v>
      </c>
      <c r="AV332" s="79"/>
      <c r="AW332" s="481"/>
      <c r="AX332" s="80" t="str">
        <f t="shared" si="223"/>
        <v xml:space="preserve">  </v>
      </c>
      <c r="AY332" s="218" t="str">
        <f t="shared" si="239"/>
        <v>-</v>
      </c>
      <c r="AZ332" s="274"/>
      <c r="BA332" s="478" t="s">
        <v>594</v>
      </c>
      <c r="BB332" s="79"/>
      <c r="BC332" s="481"/>
      <c r="BD332" s="80" t="str">
        <f t="shared" si="224"/>
        <v xml:space="preserve">  </v>
      </c>
      <c r="BE332" s="218" t="str">
        <f t="shared" si="240"/>
        <v>-</v>
      </c>
      <c r="BF332" s="274"/>
      <c r="BG332" s="478" t="s">
        <v>594</v>
      </c>
      <c r="BH332" s="79"/>
      <c r="BI332" s="508" t="s">
        <v>698</v>
      </c>
      <c r="BJ332" s="80" t="str">
        <f t="shared" si="253"/>
        <v xml:space="preserve">  </v>
      </c>
      <c r="BK332" s="218" t="s">
        <v>593</v>
      </c>
      <c r="BL332" s="274"/>
      <c r="BM332" s="478" t="s">
        <v>594</v>
      </c>
      <c r="BN332" s="79"/>
      <c r="BO332" s="481"/>
      <c r="BP332" s="80" t="str">
        <f t="shared" si="226"/>
        <v xml:space="preserve">  </v>
      </c>
      <c r="BQ332" s="218" t="str">
        <f t="shared" si="241"/>
        <v>-</v>
      </c>
      <c r="BR332" s="274"/>
      <c r="BS332" s="478" t="s">
        <v>594</v>
      </c>
      <c r="BT332" s="79"/>
      <c r="BU332" s="512"/>
      <c r="BV332" s="80" t="str">
        <f t="shared" si="227"/>
        <v xml:space="preserve">  </v>
      </c>
      <c r="BW332" s="218" t="s">
        <v>593</v>
      </c>
      <c r="BX332" s="80"/>
      <c r="BY332" s="218" t="str">
        <f t="shared" si="242"/>
        <v>-</v>
      </c>
      <c r="BZ332" s="79"/>
      <c r="CA332" s="481"/>
      <c r="CB332" s="80" t="str">
        <f t="shared" si="228"/>
        <v xml:space="preserve">  </v>
      </c>
      <c r="CC332" s="218" t="str">
        <f t="shared" si="243"/>
        <v>-</v>
      </c>
      <c r="CD332" s="274"/>
      <c r="CE332" s="92" t="str">
        <f t="shared" si="257"/>
        <v>OK</v>
      </c>
      <c r="CF332" s="79"/>
      <c r="CG332" s="481"/>
      <c r="CH332" s="80" t="str">
        <f t="shared" si="229"/>
        <v xml:space="preserve">  </v>
      </c>
      <c r="CI332" s="218" t="str">
        <f t="shared" si="245"/>
        <v>-</v>
      </c>
      <c r="CJ332" s="274"/>
      <c r="CK332" s="92" t="str">
        <f t="shared" si="258"/>
        <v>OK</v>
      </c>
      <c r="CL332" s="79"/>
      <c r="CM332" s="481"/>
      <c r="CN332" s="80" t="str">
        <f t="shared" si="230"/>
        <v xml:space="preserve">  </v>
      </c>
      <c r="CO332" s="218" t="s">
        <v>593</v>
      </c>
      <c r="CP332" s="80"/>
      <c r="CQ332" s="218" t="str">
        <f t="shared" si="247"/>
        <v>-</v>
      </c>
      <c r="CR332" s="79"/>
      <c r="CS332" s="481"/>
      <c r="CT332" s="80" t="str">
        <f t="shared" si="231"/>
        <v xml:space="preserve">  </v>
      </c>
      <c r="CU332" s="218" t="str">
        <f t="shared" si="248"/>
        <v>-</v>
      </c>
      <c r="CV332" s="274"/>
      <c r="CW332" s="92" t="s">
        <v>593</v>
      </c>
      <c r="CX332" s="79"/>
      <c r="CY332" s="481"/>
      <c r="CZ332" s="80" t="str">
        <f t="shared" si="232"/>
        <v xml:space="preserve">  </v>
      </c>
      <c r="DA332" s="218" t="str">
        <f t="shared" si="249"/>
        <v>-</v>
      </c>
      <c r="DB332" s="274"/>
      <c r="DC332" s="92" t="s">
        <v>593</v>
      </c>
    </row>
    <row r="333" spans="1:107" s="81" customFormat="1" ht="51.75" customHeight="1">
      <c r="B333" s="65">
        <f t="shared" si="235"/>
        <v>326</v>
      </c>
      <c r="C333" s="69"/>
      <c r="D333" s="69"/>
      <c r="E333" s="69"/>
      <c r="F333" s="233" t="s">
        <v>183</v>
      </c>
      <c r="G333" s="234"/>
      <c r="H333" s="235"/>
      <c r="I333" s="74"/>
      <c r="J333" s="74"/>
      <c r="K333" s="75"/>
      <c r="L333" s="75"/>
      <c r="M333" s="84" t="s">
        <v>184</v>
      </c>
      <c r="N333" s="76"/>
      <c r="O333" s="77"/>
      <c r="P333" s="95">
        <f>P332+1</f>
        <v>300</v>
      </c>
      <c r="Q333" s="119">
        <v>5</v>
      </c>
      <c r="R333" s="21" t="str">
        <f t="shared" si="260"/>
        <v>X</v>
      </c>
      <c r="S333" s="98" t="s">
        <v>185</v>
      </c>
      <c r="T333" s="106"/>
      <c r="U333" s="21" t="s">
        <v>257</v>
      </c>
      <c r="V333" s="77"/>
      <c r="W333" s="78">
        <v>3</v>
      </c>
      <c r="X333" s="56" t="s">
        <v>310</v>
      </c>
      <c r="Y333" s="56">
        <v>5</v>
      </c>
      <c r="Z333" s="56">
        <v>5</v>
      </c>
      <c r="AA333" s="74" t="s">
        <v>114</v>
      </c>
      <c r="AB333" s="74" t="s">
        <v>21</v>
      </c>
      <c r="AC333" s="85"/>
      <c r="AD333" s="79"/>
      <c r="AE333" s="487"/>
      <c r="AF333" s="80" t="str">
        <f t="shared" ref="AF333:AF366" si="262">IF(AH333="-","-",AH333&amp;REPT(IF($R333="N","　",IF($R333="9","0"," ")),$Z333-LENB(AH333)))</f>
        <v xml:space="preserve">     </v>
      </c>
      <c r="AG333" s="218" t="str">
        <f t="shared" si="254"/>
        <v>-</v>
      </c>
      <c r="AH333" s="381"/>
      <c r="AI333" s="92" t="str">
        <f t="shared" si="255"/>
        <v>OK</v>
      </c>
      <c r="AJ333" s="79"/>
      <c r="AK333" s="487"/>
      <c r="AL333" s="80" t="str">
        <f t="shared" ref="AL333:AL396" si="263">IF(AN333="-","-",AN333&amp;REPT(IF($R333="N","　",IF($R333="9","0"," ")),$Z333-LENB(AN333)))</f>
        <v xml:space="preserve">     </v>
      </c>
      <c r="AM333" s="218" t="str">
        <f t="shared" si="237"/>
        <v>-</v>
      </c>
      <c r="AN333" s="381"/>
      <c r="AO333" s="92" t="str">
        <f t="shared" si="256"/>
        <v>OK</v>
      </c>
      <c r="AP333" s="79"/>
      <c r="AQ333" s="508"/>
      <c r="AR333" s="80" t="str">
        <f t="shared" ref="AR333:AR396" si="264">IF(AT333="-","-",AT333&amp;REPT(IF($R333="N","　",IF($R333="9","0"," ")),$Z333-LENB(AT333)))</f>
        <v xml:space="preserve">     </v>
      </c>
      <c r="AS333" s="218" t="s">
        <v>593</v>
      </c>
      <c r="AT333" s="80"/>
      <c r="AU333" s="218" t="str">
        <f t="shared" si="261"/>
        <v>-</v>
      </c>
      <c r="AV333" s="79"/>
      <c r="AW333" s="487"/>
      <c r="AX333" s="80" t="str">
        <f t="shared" ref="AX333:AX396" si="265">IF(AZ333="-","-",AZ333&amp;REPT(IF($R333="N","　",IF($R333="9","0"," ")),$Z333-LENB(AZ333)))</f>
        <v xml:space="preserve">     </v>
      </c>
      <c r="AY333" s="218" t="str">
        <f t="shared" si="239"/>
        <v>-</v>
      </c>
      <c r="AZ333" s="274"/>
      <c r="BA333" s="478" t="s">
        <v>594</v>
      </c>
      <c r="BB333" s="79"/>
      <c r="BC333" s="487" t="s">
        <v>342</v>
      </c>
      <c r="BD333" s="80" t="str">
        <f t="shared" ref="BD333:BD396" si="266">IF(BF333="-","-",BF333&amp;REPT(IF($R333="N","　",IF($R333="9","0"," ")),$Z333-LENB(BF333)))</f>
        <v>03900</v>
      </c>
      <c r="BE333" s="218" t="str">
        <f t="shared" si="240"/>
        <v>-</v>
      </c>
      <c r="BF333" s="381" t="s">
        <v>342</v>
      </c>
      <c r="BG333" s="478" t="s">
        <v>594</v>
      </c>
      <c r="BH333" s="79"/>
      <c r="BI333" s="508" t="s">
        <v>708</v>
      </c>
      <c r="BJ333" s="80" t="str">
        <f t="shared" si="253"/>
        <v xml:space="preserve">     </v>
      </c>
      <c r="BK333" s="218" t="s">
        <v>593</v>
      </c>
      <c r="BL333" s="274"/>
      <c r="BM333" s="478" t="s">
        <v>594</v>
      </c>
      <c r="BN333" s="79"/>
      <c r="BO333" s="487" t="s">
        <v>342</v>
      </c>
      <c r="BP333" s="80" t="str">
        <f t="shared" ref="BP333:BP396" si="267">IF(BR333="-","-",BR333&amp;REPT(IF($R333="N","　",IF($R333="9","0"," ")),$Z333-LENB(BR333)))</f>
        <v>03900</v>
      </c>
      <c r="BQ333" s="218" t="str">
        <f t="shared" si="241"/>
        <v>-</v>
      </c>
      <c r="BR333" s="381" t="s">
        <v>342</v>
      </c>
      <c r="BS333" s="478" t="s">
        <v>594</v>
      </c>
      <c r="BT333" s="79"/>
      <c r="BU333" s="508"/>
      <c r="BV333" s="80" t="str">
        <f t="shared" ref="BV333:BV396" si="268">IF(BX333="-","-",BX333&amp;REPT(IF($R333="N","　",IF($R333="9","0"," ")),$Z333-LENB(BX333)))</f>
        <v xml:space="preserve">     </v>
      </c>
      <c r="BW333" s="218" t="s">
        <v>593</v>
      </c>
      <c r="BX333" s="80"/>
      <c r="BY333" s="218" t="str">
        <f t="shared" si="242"/>
        <v>-</v>
      </c>
      <c r="BZ333" s="79"/>
      <c r="CA333" s="487"/>
      <c r="CB333" s="80" t="str">
        <f t="shared" ref="CB333:CB396" si="269">IF(CD333="-","-",CD333&amp;REPT(IF($R333="N","　",IF($R333="9","0"," ")),$Z333-LENB(CD333)))</f>
        <v xml:space="preserve">     </v>
      </c>
      <c r="CC333" s="218" t="str">
        <f t="shared" si="243"/>
        <v>-</v>
      </c>
      <c r="CD333" s="381"/>
      <c r="CE333" s="92" t="str">
        <f t="shared" si="257"/>
        <v>OK</v>
      </c>
      <c r="CF333" s="79"/>
      <c r="CG333" s="487"/>
      <c r="CH333" s="80" t="str">
        <f t="shared" ref="CH333:CH396" si="270">IF(CJ333="-","-",CJ333&amp;REPT(IF($R333="N","　",IF($R333="9","0"," ")),$Z333-LENB(CJ333)))</f>
        <v xml:space="preserve">     </v>
      </c>
      <c r="CI333" s="218" t="str">
        <f t="shared" si="245"/>
        <v>-</v>
      </c>
      <c r="CJ333" s="381"/>
      <c r="CK333" s="92" t="str">
        <f t="shared" si="258"/>
        <v>OK</v>
      </c>
      <c r="CL333" s="79"/>
      <c r="CM333" s="487"/>
      <c r="CN333" s="80" t="str">
        <f t="shared" ref="CN333:CN396" si="271">IF(CP333="-","-",CP333&amp;REPT(IF($R333="N","　",IF($R333="9","0"," ")),$Z333-LENB(CP333)))</f>
        <v xml:space="preserve">     </v>
      </c>
      <c r="CO333" s="218" t="s">
        <v>593</v>
      </c>
      <c r="CP333" s="80"/>
      <c r="CQ333" s="218" t="str">
        <f t="shared" si="247"/>
        <v>-</v>
      </c>
      <c r="CR333" s="79"/>
      <c r="CS333" s="487"/>
      <c r="CT333" s="80" t="str">
        <f t="shared" ref="CT333:CT396" si="272">IF(CV333="-","-",CV333&amp;REPT(IF($R333="N","　",IF($R333="9","0"," ")),$Z333-LENB(CV333)))</f>
        <v xml:space="preserve">     </v>
      </c>
      <c r="CU333" s="218" t="str">
        <f t="shared" si="248"/>
        <v>-</v>
      </c>
      <c r="CV333" s="274"/>
      <c r="CW333" s="92" t="s">
        <v>593</v>
      </c>
      <c r="CX333" s="79"/>
      <c r="CY333" s="487"/>
      <c r="CZ333" s="80" t="str">
        <f t="shared" ref="CZ333:CZ396" si="273">IF(DB333="-","-",DB333&amp;REPT(IF($R333="N","　",IF($R333="9","0"," ")),$Z333-LENB(DB333)))</f>
        <v xml:space="preserve">     </v>
      </c>
      <c r="DA333" s="218" t="str">
        <f t="shared" si="249"/>
        <v>-</v>
      </c>
      <c r="DB333" s="274"/>
      <c r="DC333" s="92" t="s">
        <v>593</v>
      </c>
    </row>
    <row r="334" spans="1:107" s="81" customFormat="1" ht="51.75" customHeight="1">
      <c r="B334" s="65">
        <f t="shared" si="235"/>
        <v>327</v>
      </c>
      <c r="C334" s="69"/>
      <c r="D334" s="69"/>
      <c r="E334" s="69"/>
      <c r="F334" s="233" t="s">
        <v>186</v>
      </c>
      <c r="G334" s="234"/>
      <c r="H334" s="235"/>
      <c r="I334" s="74"/>
      <c r="J334" s="74"/>
      <c r="K334" s="75"/>
      <c r="L334" s="75"/>
      <c r="M334" s="84" t="s">
        <v>187</v>
      </c>
      <c r="N334" s="76"/>
      <c r="O334" s="77"/>
      <c r="P334" s="95">
        <f>P333+1</f>
        <v>301</v>
      </c>
      <c r="Q334" s="119">
        <v>64</v>
      </c>
      <c r="R334" s="21" t="str">
        <f>IF(AA334="M","NX",AA334)</f>
        <v>NX</v>
      </c>
      <c r="S334" s="98" t="s">
        <v>188</v>
      </c>
      <c r="T334" s="106"/>
      <c r="U334" s="21" t="s">
        <v>257</v>
      </c>
      <c r="V334" s="77" t="s">
        <v>311</v>
      </c>
      <c r="W334" s="78">
        <v>3</v>
      </c>
      <c r="X334" s="56" t="s">
        <v>312</v>
      </c>
      <c r="Y334" s="56">
        <v>1</v>
      </c>
      <c r="Z334" s="56">
        <v>64</v>
      </c>
      <c r="AA334" s="74" t="s">
        <v>300</v>
      </c>
      <c r="AB334" s="74" t="s">
        <v>21</v>
      </c>
      <c r="AC334" s="85" t="s">
        <v>311</v>
      </c>
      <c r="AD334" s="79"/>
      <c r="AE334" s="487"/>
      <c r="AF334" s="80" t="str">
        <f t="shared" si="262"/>
        <v xml:space="preserve">                                                                </v>
      </c>
      <c r="AG334" s="218" t="str">
        <f t="shared" si="254"/>
        <v>-</v>
      </c>
      <c r="AH334" s="381"/>
      <c r="AI334" s="92" t="str">
        <f t="shared" si="255"/>
        <v>OK</v>
      </c>
      <c r="AJ334" s="79"/>
      <c r="AK334" s="487"/>
      <c r="AL334" s="80" t="str">
        <f t="shared" si="263"/>
        <v xml:space="preserve">                                                                </v>
      </c>
      <c r="AM334" s="218" t="str">
        <f t="shared" si="237"/>
        <v>-</v>
      </c>
      <c r="AN334" s="381"/>
      <c r="AO334" s="92" t="str">
        <f t="shared" si="256"/>
        <v>OK</v>
      </c>
      <c r="AP334" s="79"/>
      <c r="AQ334" s="508"/>
      <c r="AR334" s="80" t="str">
        <f t="shared" si="264"/>
        <v xml:space="preserve">                                                                </v>
      </c>
      <c r="AS334" s="218" t="s">
        <v>593</v>
      </c>
      <c r="AT334" s="80"/>
      <c r="AU334" s="218" t="str">
        <f t="shared" si="261"/>
        <v>-</v>
      </c>
      <c r="AV334" s="79"/>
      <c r="AW334" s="487"/>
      <c r="AX334" s="80" t="str">
        <f t="shared" si="265"/>
        <v xml:space="preserve">                                                                </v>
      </c>
      <c r="AY334" s="218" t="str">
        <f t="shared" si="239"/>
        <v>-</v>
      </c>
      <c r="AZ334" s="274"/>
      <c r="BA334" s="478" t="s">
        <v>594</v>
      </c>
      <c r="BB334" s="79"/>
      <c r="BC334" s="487" t="s">
        <v>343</v>
      </c>
      <c r="BD334" s="80" t="str">
        <f t="shared" si="266"/>
        <v xml:space="preserve">ＱＴＮｅｔ（ＢＢＩＱ）                                          </v>
      </c>
      <c r="BE334" s="218" t="str">
        <f t="shared" si="240"/>
        <v>-</v>
      </c>
      <c r="BF334" s="381" t="s">
        <v>343</v>
      </c>
      <c r="BG334" s="478" t="s">
        <v>594</v>
      </c>
      <c r="BH334" s="79"/>
      <c r="BI334" s="508" t="s">
        <v>709</v>
      </c>
      <c r="BJ334" s="80" t="str">
        <f t="shared" si="253"/>
        <v xml:space="preserve">                                                                </v>
      </c>
      <c r="BK334" s="218" t="s">
        <v>593</v>
      </c>
      <c r="BL334" s="274"/>
      <c r="BM334" s="478" t="s">
        <v>594</v>
      </c>
      <c r="BN334" s="79"/>
      <c r="BO334" s="487" t="s">
        <v>343</v>
      </c>
      <c r="BP334" s="80" t="str">
        <f t="shared" si="267"/>
        <v xml:space="preserve">ＱＴＮｅｔ（ＢＢＩＱ）                                          </v>
      </c>
      <c r="BQ334" s="218" t="str">
        <f t="shared" si="241"/>
        <v>-</v>
      </c>
      <c r="BR334" s="381" t="s">
        <v>343</v>
      </c>
      <c r="BS334" s="478" t="s">
        <v>594</v>
      </c>
      <c r="BT334" s="79"/>
      <c r="BU334" s="508"/>
      <c r="BV334" s="80" t="str">
        <f t="shared" si="268"/>
        <v xml:space="preserve">                                                                </v>
      </c>
      <c r="BW334" s="218" t="s">
        <v>593</v>
      </c>
      <c r="BX334" s="80"/>
      <c r="BY334" s="218" t="str">
        <f t="shared" si="242"/>
        <v>-</v>
      </c>
      <c r="BZ334" s="79"/>
      <c r="CA334" s="487"/>
      <c r="CB334" s="80" t="str">
        <f t="shared" si="269"/>
        <v xml:space="preserve">                                                                </v>
      </c>
      <c r="CC334" s="218" t="str">
        <f t="shared" si="243"/>
        <v>-</v>
      </c>
      <c r="CD334" s="381"/>
      <c r="CE334" s="92" t="str">
        <f t="shared" si="257"/>
        <v>OK</v>
      </c>
      <c r="CF334" s="79"/>
      <c r="CG334" s="487"/>
      <c r="CH334" s="80" t="str">
        <f t="shared" si="270"/>
        <v xml:space="preserve">                                                                </v>
      </c>
      <c r="CI334" s="218" t="str">
        <f t="shared" si="245"/>
        <v>-</v>
      </c>
      <c r="CJ334" s="381"/>
      <c r="CK334" s="92" t="str">
        <f t="shared" si="258"/>
        <v>OK</v>
      </c>
      <c r="CL334" s="79"/>
      <c r="CM334" s="487"/>
      <c r="CN334" s="80" t="str">
        <f t="shared" si="271"/>
        <v xml:space="preserve">                                                                </v>
      </c>
      <c r="CO334" s="218" t="s">
        <v>593</v>
      </c>
      <c r="CP334" s="80"/>
      <c r="CQ334" s="218" t="str">
        <f t="shared" si="247"/>
        <v>-</v>
      </c>
      <c r="CR334" s="79"/>
      <c r="CS334" s="487"/>
      <c r="CT334" s="80" t="str">
        <f t="shared" si="272"/>
        <v xml:space="preserve">                                                                </v>
      </c>
      <c r="CU334" s="218" t="str">
        <f t="shared" si="248"/>
        <v>-</v>
      </c>
      <c r="CV334" s="274"/>
      <c r="CW334" s="92" t="s">
        <v>593</v>
      </c>
      <c r="CX334" s="79"/>
      <c r="CY334" s="487"/>
      <c r="CZ334" s="80" t="str">
        <f t="shared" si="273"/>
        <v xml:space="preserve">                                                                </v>
      </c>
      <c r="DA334" s="218" t="str">
        <f t="shared" si="249"/>
        <v>-</v>
      </c>
      <c r="DB334" s="274"/>
      <c r="DC334" s="92" t="s">
        <v>593</v>
      </c>
    </row>
    <row r="335" spans="1:107" s="81" customFormat="1" ht="92.25" customHeight="1">
      <c r="B335" s="65">
        <f t="shared" si="235"/>
        <v>328</v>
      </c>
      <c r="C335" s="69"/>
      <c r="D335" s="69"/>
      <c r="E335" s="69"/>
      <c r="F335" s="82" t="s">
        <v>356</v>
      </c>
      <c r="G335" s="14"/>
      <c r="H335" s="83"/>
      <c r="I335" s="74"/>
      <c r="J335" s="74"/>
      <c r="K335" s="75"/>
      <c r="L335" s="75"/>
      <c r="M335" s="84" t="s">
        <v>222</v>
      </c>
      <c r="N335" s="76"/>
      <c r="O335" s="77"/>
      <c r="P335" s="95">
        <f>P334+1</f>
        <v>302</v>
      </c>
      <c r="Q335" s="119">
        <v>7</v>
      </c>
      <c r="R335" s="21" t="s">
        <v>261</v>
      </c>
      <c r="S335" s="98" t="s">
        <v>313</v>
      </c>
      <c r="T335" s="106"/>
      <c r="U335" s="21" t="s">
        <v>257</v>
      </c>
      <c r="V335" s="77"/>
      <c r="W335" s="78">
        <v>3</v>
      </c>
      <c r="X335" s="56" t="s">
        <v>314</v>
      </c>
      <c r="Y335" s="56">
        <v>7</v>
      </c>
      <c r="Z335" s="56">
        <v>7</v>
      </c>
      <c r="AA335" s="74" t="s">
        <v>261</v>
      </c>
      <c r="AB335" s="74" t="s">
        <v>21</v>
      </c>
      <c r="AC335" s="85"/>
      <c r="AD335" s="79"/>
      <c r="AE335" s="481"/>
      <c r="AF335" s="80" t="str">
        <f t="shared" si="262"/>
        <v xml:space="preserve">       </v>
      </c>
      <c r="AG335" s="218" t="str">
        <f t="shared" si="254"/>
        <v>-</v>
      </c>
      <c r="AH335" s="274"/>
      <c r="AI335" s="406" t="str">
        <f t="shared" si="255"/>
        <v>OK</v>
      </c>
      <c r="AJ335" s="79"/>
      <c r="AK335" s="481"/>
      <c r="AL335" s="80" t="str">
        <f t="shared" si="263"/>
        <v xml:space="preserve">       </v>
      </c>
      <c r="AM335" s="218" t="str">
        <f t="shared" si="237"/>
        <v>-</v>
      </c>
      <c r="AN335" s="274"/>
      <c r="AO335" s="406" t="str">
        <f t="shared" si="256"/>
        <v>OK</v>
      </c>
      <c r="AP335" s="79"/>
      <c r="AQ335" s="512"/>
      <c r="AR335" s="80" t="str">
        <f t="shared" si="264"/>
        <v xml:space="preserve">       </v>
      </c>
      <c r="AS335" s="218" t="s">
        <v>593</v>
      </c>
      <c r="AT335" s="80"/>
      <c r="AU335" s="218" t="str">
        <f t="shared" si="261"/>
        <v>-</v>
      </c>
      <c r="AV335" s="79"/>
      <c r="AW335" s="481"/>
      <c r="AX335" s="80" t="str">
        <f t="shared" si="265"/>
        <v xml:space="preserve">       </v>
      </c>
      <c r="AY335" s="218" t="str">
        <f t="shared" si="239"/>
        <v>-</v>
      </c>
      <c r="AZ335" s="404"/>
      <c r="BA335" s="478" t="s">
        <v>594</v>
      </c>
      <c r="BB335" s="79"/>
      <c r="BC335" s="481"/>
      <c r="BD335" s="80" t="str">
        <f t="shared" si="266"/>
        <v xml:space="preserve">       </v>
      </c>
      <c r="BE335" s="218" t="str">
        <f t="shared" si="240"/>
        <v>-</v>
      </c>
      <c r="BF335" s="274"/>
      <c r="BG335" s="478" t="s">
        <v>594</v>
      </c>
      <c r="BH335" s="79"/>
      <c r="BI335" s="508" t="s">
        <v>705</v>
      </c>
      <c r="BJ335" s="80" t="str">
        <f t="shared" si="253"/>
        <v xml:space="preserve">       </v>
      </c>
      <c r="BK335" s="218" t="s">
        <v>593</v>
      </c>
      <c r="BL335" s="404"/>
      <c r="BM335" s="478" t="s">
        <v>594</v>
      </c>
      <c r="BN335" s="79"/>
      <c r="BO335" s="481"/>
      <c r="BP335" s="80" t="str">
        <f t="shared" si="267"/>
        <v xml:space="preserve">       </v>
      </c>
      <c r="BQ335" s="218" t="str">
        <f t="shared" si="241"/>
        <v>-</v>
      </c>
      <c r="BR335" s="274"/>
      <c r="BS335" s="478" t="s">
        <v>594</v>
      </c>
      <c r="BT335" s="79"/>
      <c r="BU335" s="512"/>
      <c r="BV335" s="80" t="str">
        <f t="shared" si="268"/>
        <v xml:space="preserve">       </v>
      </c>
      <c r="BW335" s="218" t="s">
        <v>593</v>
      </c>
      <c r="BX335" s="80"/>
      <c r="BY335" s="218" t="str">
        <f t="shared" si="242"/>
        <v>-</v>
      </c>
      <c r="BZ335" s="79"/>
      <c r="CA335" s="481"/>
      <c r="CB335" s="80" t="str">
        <f t="shared" si="269"/>
        <v xml:space="preserve">       </v>
      </c>
      <c r="CC335" s="218" t="str">
        <f t="shared" si="243"/>
        <v>-</v>
      </c>
      <c r="CD335" s="274"/>
      <c r="CE335" s="406" t="str">
        <f t="shared" si="257"/>
        <v>OK</v>
      </c>
      <c r="CF335" s="79"/>
      <c r="CG335" s="481"/>
      <c r="CH335" s="80" t="str">
        <f t="shared" si="270"/>
        <v xml:space="preserve">       </v>
      </c>
      <c r="CI335" s="218" t="str">
        <f t="shared" si="245"/>
        <v>-</v>
      </c>
      <c r="CJ335" s="274"/>
      <c r="CK335" s="406" t="str">
        <f t="shared" si="258"/>
        <v>OK</v>
      </c>
      <c r="CL335" s="79"/>
      <c r="CM335" s="481"/>
      <c r="CN335" s="80" t="str">
        <f t="shared" si="271"/>
        <v xml:space="preserve">       </v>
      </c>
      <c r="CO335" s="218" t="s">
        <v>593</v>
      </c>
      <c r="CP335" s="80"/>
      <c r="CQ335" s="218" t="str">
        <f t="shared" si="247"/>
        <v>-</v>
      </c>
      <c r="CR335" s="79"/>
      <c r="CS335" s="481"/>
      <c r="CT335" s="80" t="str">
        <f t="shared" si="272"/>
        <v xml:space="preserve">       </v>
      </c>
      <c r="CU335" s="218" t="str">
        <f t="shared" si="248"/>
        <v>-</v>
      </c>
      <c r="CV335" s="404"/>
      <c r="CW335" s="92" t="s">
        <v>593</v>
      </c>
      <c r="CX335" s="79"/>
      <c r="CY335" s="481"/>
      <c r="CZ335" s="80" t="str">
        <f t="shared" si="273"/>
        <v xml:space="preserve">       </v>
      </c>
      <c r="DA335" s="218" t="str">
        <f t="shared" si="249"/>
        <v>-</v>
      </c>
      <c r="DB335" s="404"/>
      <c r="DC335" s="92" t="s">
        <v>593</v>
      </c>
    </row>
    <row r="336" spans="1:107" s="81" customFormat="1" ht="127.9" thickBot="1">
      <c r="A336" s="221"/>
      <c r="B336" s="241">
        <f t="shared" si="235"/>
        <v>329</v>
      </c>
      <c r="C336" s="244"/>
      <c r="D336" s="244"/>
      <c r="E336" s="244"/>
      <c r="F336" s="246" t="s">
        <v>315</v>
      </c>
      <c r="G336" s="247"/>
      <c r="H336" s="248"/>
      <c r="I336" s="249"/>
      <c r="J336" s="249"/>
      <c r="K336" s="249"/>
      <c r="L336" s="249"/>
      <c r="M336" s="392" t="s">
        <v>357</v>
      </c>
      <c r="N336" s="399"/>
      <c r="O336" s="400"/>
      <c r="P336" s="279">
        <f>P335+1</f>
        <v>303</v>
      </c>
      <c r="Q336" s="410">
        <v>1</v>
      </c>
      <c r="R336" s="37">
        <v>9</v>
      </c>
      <c r="S336" s="410" t="s">
        <v>316</v>
      </c>
      <c r="T336" s="142"/>
      <c r="U336" s="141" t="s">
        <v>257</v>
      </c>
      <c r="V336" s="238"/>
      <c r="W336" s="191" t="str">
        <f>IF(C336&lt;&gt;"","0",IF(D336&lt;&gt;"","1",IF(E336&lt;&gt;"","2",IF(F336&lt;&gt;"","3",IF(G336&lt;&gt;"","4",IF(H336&lt;&gt;"","5"))))))</f>
        <v>3</v>
      </c>
      <c r="X336" s="144" t="s">
        <v>317</v>
      </c>
      <c r="Y336" s="144">
        <v>1</v>
      </c>
      <c r="Z336" s="144">
        <v>1</v>
      </c>
      <c r="AA336" s="239">
        <v>9</v>
      </c>
      <c r="AB336" s="137" t="s">
        <v>257</v>
      </c>
      <c r="AC336" s="240"/>
      <c r="AD336" s="216"/>
      <c r="AE336" s="396"/>
      <c r="AF336" s="217" t="str">
        <f t="shared" si="262"/>
        <v xml:space="preserve"> </v>
      </c>
      <c r="AG336" s="231" t="str">
        <f t="shared" si="254"/>
        <v>-</v>
      </c>
      <c r="AH336" s="383"/>
      <c r="AI336" s="395" t="str">
        <f t="shared" si="255"/>
        <v>OK</v>
      </c>
      <c r="AJ336" s="216"/>
      <c r="AK336" s="396"/>
      <c r="AL336" s="217" t="str">
        <f t="shared" si="263"/>
        <v xml:space="preserve"> </v>
      </c>
      <c r="AM336" s="231" t="str">
        <f t="shared" si="237"/>
        <v>-</v>
      </c>
      <c r="AN336" s="396"/>
      <c r="AO336" s="395" t="str">
        <f t="shared" si="256"/>
        <v>OK</v>
      </c>
      <c r="AP336" s="216"/>
      <c r="AQ336" s="509"/>
      <c r="AR336" s="217" t="str">
        <f t="shared" si="264"/>
        <v xml:space="preserve"> </v>
      </c>
      <c r="AS336" s="231" t="s">
        <v>593</v>
      </c>
      <c r="AT336" s="217"/>
      <c r="AU336" s="231" t="str">
        <f t="shared" si="261"/>
        <v>-</v>
      </c>
      <c r="AV336" s="216"/>
      <c r="AW336" s="396" t="s">
        <v>374</v>
      </c>
      <c r="AX336" s="217" t="str">
        <f t="shared" si="265"/>
        <v>6</v>
      </c>
      <c r="AY336" s="231" t="str">
        <f t="shared" si="239"/>
        <v>-</v>
      </c>
      <c r="AZ336" s="394" t="s">
        <v>385</v>
      </c>
      <c r="BA336" s="479" t="s">
        <v>245</v>
      </c>
      <c r="BB336" s="216"/>
      <c r="BC336" s="396" t="s">
        <v>33</v>
      </c>
      <c r="BD336" s="217" t="str">
        <f t="shared" si="266"/>
        <v>1</v>
      </c>
      <c r="BE336" s="231" t="str">
        <f t="shared" si="240"/>
        <v>-</v>
      </c>
      <c r="BF336" s="396" t="s">
        <v>215</v>
      </c>
      <c r="BG336" s="479" t="s">
        <v>245</v>
      </c>
      <c r="BH336" s="216"/>
      <c r="BI336" s="509" t="s">
        <v>374</v>
      </c>
      <c r="BJ336" s="217" t="str">
        <f t="shared" si="253"/>
        <v>6</v>
      </c>
      <c r="BK336" s="231" t="s">
        <v>593</v>
      </c>
      <c r="BL336" s="394" t="s">
        <v>385</v>
      </c>
      <c r="BM336" s="479" t="s">
        <v>245</v>
      </c>
      <c r="BN336" s="216"/>
      <c r="BO336" s="396" t="s">
        <v>33</v>
      </c>
      <c r="BP336" s="217" t="str">
        <f t="shared" si="267"/>
        <v>1</v>
      </c>
      <c r="BQ336" s="231" t="str">
        <f t="shared" si="241"/>
        <v>-</v>
      </c>
      <c r="BR336" s="396" t="s">
        <v>215</v>
      </c>
      <c r="BS336" s="479" t="s">
        <v>245</v>
      </c>
      <c r="BT336" s="216"/>
      <c r="BU336" s="509"/>
      <c r="BV336" s="217" t="str">
        <f t="shared" si="268"/>
        <v xml:space="preserve"> </v>
      </c>
      <c r="BW336" s="231" t="s">
        <v>593</v>
      </c>
      <c r="BX336" s="217"/>
      <c r="BY336" s="231" t="str">
        <f t="shared" si="242"/>
        <v>-</v>
      </c>
      <c r="BZ336" s="216"/>
      <c r="CA336" s="396"/>
      <c r="CB336" s="217" t="str">
        <f t="shared" si="269"/>
        <v xml:space="preserve"> </v>
      </c>
      <c r="CC336" s="231" t="str">
        <f t="shared" si="243"/>
        <v>-</v>
      </c>
      <c r="CD336" s="396"/>
      <c r="CE336" s="395" t="str">
        <f t="shared" si="257"/>
        <v>OK</v>
      </c>
      <c r="CF336" s="216"/>
      <c r="CG336" s="396"/>
      <c r="CH336" s="217" t="str">
        <f t="shared" si="270"/>
        <v xml:space="preserve"> </v>
      </c>
      <c r="CI336" s="231" t="str">
        <f t="shared" si="245"/>
        <v>-</v>
      </c>
      <c r="CJ336" s="396"/>
      <c r="CK336" s="395" t="str">
        <f t="shared" si="258"/>
        <v>OK</v>
      </c>
      <c r="CL336" s="216"/>
      <c r="CM336" s="396"/>
      <c r="CN336" s="217" t="str">
        <f t="shared" si="271"/>
        <v xml:space="preserve"> </v>
      </c>
      <c r="CO336" s="231" t="s">
        <v>593</v>
      </c>
      <c r="CP336" s="217"/>
      <c r="CQ336" s="231" t="str">
        <f t="shared" si="247"/>
        <v>-</v>
      </c>
      <c r="CR336" s="216"/>
      <c r="CS336" s="396"/>
      <c r="CT336" s="217" t="str">
        <f t="shared" si="272"/>
        <v xml:space="preserve"> </v>
      </c>
      <c r="CU336" s="231" t="str">
        <f t="shared" si="248"/>
        <v>-</v>
      </c>
      <c r="CV336" s="394"/>
      <c r="CW336" s="395" t="s">
        <v>593</v>
      </c>
      <c r="CX336" s="216"/>
      <c r="CY336" s="396"/>
      <c r="CZ336" s="217" t="str">
        <f t="shared" si="273"/>
        <v xml:space="preserve"> </v>
      </c>
      <c r="DA336" s="231" t="str">
        <f t="shared" si="249"/>
        <v>-</v>
      </c>
      <c r="DB336" s="394"/>
      <c r="DC336" s="395" t="s">
        <v>593</v>
      </c>
    </row>
    <row r="337" spans="2:107" s="26" customFormat="1" ht="18.75" customHeight="1" thickTop="1">
      <c r="B337" s="252">
        <f t="shared" si="235"/>
        <v>330</v>
      </c>
      <c r="C337" s="253"/>
      <c r="D337" s="253"/>
      <c r="E337" s="254" t="s">
        <v>439</v>
      </c>
      <c r="F337" s="254"/>
      <c r="G337" s="254"/>
      <c r="H337" s="87"/>
      <c r="I337" s="88" t="s">
        <v>31</v>
      </c>
      <c r="J337" s="88" t="s">
        <v>426</v>
      </c>
      <c r="K337" s="88"/>
      <c r="L337" s="88"/>
      <c r="M337" s="89" t="s">
        <v>352</v>
      </c>
      <c r="N337" s="287"/>
      <c r="O337" s="288"/>
      <c r="P337" s="183"/>
      <c r="Q337" s="121"/>
      <c r="R337" s="107"/>
      <c r="S337" s="289"/>
      <c r="T337" s="287"/>
      <c r="U337" s="107"/>
      <c r="V337" s="290"/>
      <c r="W337" s="25" t="str">
        <f>IF(C337&lt;&gt;"","0",IF(D337&lt;&gt;"","1",IF(E337&lt;&gt;"","2",IF(F337&lt;&gt;"","3",IF(G337&lt;&gt;"","4",IF(H337&lt;&gt;"","5"))))))</f>
        <v>2</v>
      </c>
      <c r="X337" s="1" t="s">
        <v>122</v>
      </c>
      <c r="Y337" s="1"/>
      <c r="Z337" s="1"/>
      <c r="AA337" s="8"/>
      <c r="AB337" s="8" t="s">
        <v>257</v>
      </c>
      <c r="AC337" s="63"/>
      <c r="AD337" s="60"/>
      <c r="AE337" s="169"/>
      <c r="AF337" s="61" t="str">
        <f t="shared" si="262"/>
        <v/>
      </c>
      <c r="AG337" s="218" t="str">
        <f t="shared" si="254"/>
        <v>-</v>
      </c>
      <c r="AH337" s="169"/>
      <c r="AI337" s="92" t="str">
        <f>IF(EXACT(AE337,AH337),"OK","NG")</f>
        <v>OK</v>
      </c>
      <c r="AJ337" s="60"/>
      <c r="AK337" s="169"/>
      <c r="AL337" s="61" t="str">
        <f t="shared" si="263"/>
        <v/>
      </c>
      <c r="AM337" s="218" t="str">
        <f t="shared" si="237"/>
        <v>-</v>
      </c>
      <c r="AN337" s="169"/>
      <c r="AO337" s="92" t="str">
        <f>IF(EXACT(AK337,AN337),"OK","NG")</f>
        <v>OK</v>
      </c>
      <c r="AP337" s="60"/>
      <c r="AQ337" s="172"/>
      <c r="AR337" s="61" t="str">
        <f t="shared" si="264"/>
        <v/>
      </c>
      <c r="AS337" s="218" t="s">
        <v>593</v>
      </c>
      <c r="AT337" s="61"/>
      <c r="AU337" s="218" t="str">
        <f t="shared" si="261"/>
        <v>-</v>
      </c>
      <c r="AV337" s="60"/>
      <c r="AW337" s="169"/>
      <c r="AX337" s="61" t="str">
        <f t="shared" si="265"/>
        <v/>
      </c>
      <c r="AY337" s="218" t="str">
        <f t="shared" si="239"/>
        <v>-</v>
      </c>
      <c r="AZ337" s="169"/>
      <c r="BA337" s="92" t="str">
        <f>IF(EXACT(AW337,AZ337),"OK","NG")</f>
        <v>OK</v>
      </c>
      <c r="BB337" s="60"/>
      <c r="BC337" s="169"/>
      <c r="BD337" s="61" t="str">
        <f t="shared" si="266"/>
        <v/>
      </c>
      <c r="BE337" s="218" t="str">
        <f t="shared" si="240"/>
        <v>-</v>
      </c>
      <c r="BF337" s="169"/>
      <c r="BG337" s="92" t="str">
        <f>IF(EXACT(BC337,BF337),"OK","NG")</f>
        <v>OK</v>
      </c>
      <c r="BH337" s="60"/>
      <c r="BI337" s="172"/>
      <c r="BJ337" s="61" t="str">
        <f t="shared" si="253"/>
        <v/>
      </c>
      <c r="BK337" s="218" t="s">
        <v>593</v>
      </c>
      <c r="BL337" s="169"/>
      <c r="BM337" s="92" t="str">
        <f t="shared" ref="BM337:BM367" si="274">IF(EXACT(BI337,BL337),"OK","NG")</f>
        <v>OK</v>
      </c>
      <c r="BN337" s="60"/>
      <c r="BO337" s="169"/>
      <c r="BP337" s="61" t="str">
        <f t="shared" si="267"/>
        <v/>
      </c>
      <c r="BQ337" s="218" t="str">
        <f t="shared" si="241"/>
        <v>-</v>
      </c>
      <c r="BR337" s="169"/>
      <c r="BS337" s="92" t="str">
        <f>IF(EXACT(BO337,BR337),"OK","NG")</f>
        <v>OK</v>
      </c>
      <c r="BT337" s="60"/>
      <c r="BU337" s="172"/>
      <c r="BV337" s="61" t="str">
        <f t="shared" si="268"/>
        <v/>
      </c>
      <c r="BW337" s="218" t="s">
        <v>593</v>
      </c>
      <c r="BX337" s="61"/>
      <c r="BY337" s="218" t="str">
        <f t="shared" si="242"/>
        <v>-</v>
      </c>
      <c r="BZ337" s="60"/>
      <c r="CA337" s="169"/>
      <c r="CB337" s="61" t="str">
        <f t="shared" si="269"/>
        <v/>
      </c>
      <c r="CC337" s="218" t="str">
        <f t="shared" si="243"/>
        <v>-</v>
      </c>
      <c r="CD337" s="169"/>
      <c r="CE337" s="92" t="str">
        <f>IF(EXACT(CA337,CD337),"OK","NG")</f>
        <v>OK</v>
      </c>
      <c r="CF337" s="60"/>
      <c r="CG337" s="169"/>
      <c r="CH337" s="61" t="str">
        <f t="shared" si="270"/>
        <v/>
      </c>
      <c r="CI337" s="218" t="str">
        <f t="shared" si="245"/>
        <v>-</v>
      </c>
      <c r="CJ337" s="169"/>
      <c r="CK337" s="92" t="str">
        <f>IF(EXACT(CG337,CJ337),"OK","NG")</f>
        <v>OK</v>
      </c>
      <c r="CL337" s="60"/>
      <c r="CM337" s="169"/>
      <c r="CN337" s="61" t="str">
        <f t="shared" si="271"/>
        <v/>
      </c>
      <c r="CO337" s="218" t="s">
        <v>593</v>
      </c>
      <c r="CP337" s="61"/>
      <c r="CQ337" s="218" t="str">
        <f t="shared" si="247"/>
        <v>-</v>
      </c>
      <c r="CR337" s="60"/>
      <c r="CS337" s="169"/>
      <c r="CT337" s="61" t="str">
        <f t="shared" si="272"/>
        <v/>
      </c>
      <c r="CU337" s="218" t="str">
        <f t="shared" si="248"/>
        <v>-</v>
      </c>
      <c r="CV337" s="169"/>
      <c r="CW337" s="92" t="s">
        <v>593</v>
      </c>
      <c r="CX337" s="60"/>
      <c r="CY337" s="169"/>
      <c r="CZ337" s="61" t="str">
        <f t="shared" si="273"/>
        <v/>
      </c>
      <c r="DA337" s="218" t="str">
        <f t="shared" si="249"/>
        <v>-</v>
      </c>
      <c r="DB337" s="169"/>
      <c r="DC337" s="92" t="s">
        <v>593</v>
      </c>
    </row>
    <row r="338" spans="2:107" s="26" customFormat="1" ht="63.75">
      <c r="B338" s="2">
        <f t="shared" si="235"/>
        <v>331</v>
      </c>
      <c r="C338" s="129"/>
      <c r="D338" s="7"/>
      <c r="E338" s="7"/>
      <c r="F338" s="112" t="s">
        <v>92</v>
      </c>
      <c r="G338" s="16"/>
      <c r="H338" s="13"/>
      <c r="I338" s="6"/>
      <c r="J338" s="6"/>
      <c r="K338" s="6"/>
      <c r="L338" s="8"/>
      <c r="M338" s="23" t="s">
        <v>296</v>
      </c>
      <c r="N338" s="1"/>
      <c r="O338" s="57"/>
      <c r="P338" s="95">
        <f>P336+1</f>
        <v>304</v>
      </c>
      <c r="Q338" s="117">
        <v>2</v>
      </c>
      <c r="R338" s="21" t="str">
        <f t="shared" ref="R338:R344" si="275">IF(AA338="M","NX",AA338)</f>
        <v>X</v>
      </c>
      <c r="S338" s="98" t="s">
        <v>440</v>
      </c>
      <c r="T338" s="96"/>
      <c r="U338" s="21" t="s">
        <v>435</v>
      </c>
      <c r="V338" s="118" t="s">
        <v>199</v>
      </c>
      <c r="W338" s="25" t="str">
        <f>IF(C338&lt;&gt;"","0",IF(D338&lt;&gt;"","1",IF(E338&lt;&gt;"","2",IF(F338&lt;&gt;"","3",IF(G338&lt;&gt;"","4",IF(H338&lt;&gt;"","5"))))))</f>
        <v>3</v>
      </c>
      <c r="X338" s="5" t="s">
        <v>297</v>
      </c>
      <c r="Y338" s="58">
        <v>2</v>
      </c>
      <c r="Z338" s="58">
        <v>2</v>
      </c>
      <c r="AA338" s="59" t="s">
        <v>114</v>
      </c>
      <c r="AB338" s="59" t="s">
        <v>21</v>
      </c>
      <c r="AC338" s="12"/>
      <c r="AD338" s="60"/>
      <c r="AE338" s="174"/>
      <c r="AF338" s="273" t="str">
        <f t="shared" si="262"/>
        <v xml:space="preserve">  </v>
      </c>
      <c r="AG338" s="218" t="str">
        <f t="shared" si="254"/>
        <v>-</v>
      </c>
      <c r="AH338" s="174"/>
      <c r="AI338" s="92" t="str">
        <f>IF(EXACT(AE338,AH338),"OK","NG")</f>
        <v>OK</v>
      </c>
      <c r="AJ338" s="60"/>
      <c r="AK338" s="174"/>
      <c r="AL338" s="273" t="str">
        <f t="shared" si="263"/>
        <v xml:space="preserve">  </v>
      </c>
      <c r="AM338" s="218" t="str">
        <f t="shared" si="237"/>
        <v>-</v>
      </c>
      <c r="AN338" s="174"/>
      <c r="AO338" s="92" t="str">
        <f>IF(EXACT(AK338,AN338),"OK","NG")</f>
        <v>OK</v>
      </c>
      <c r="AP338" s="60"/>
      <c r="AQ338" s="170"/>
      <c r="AR338" s="273" t="str">
        <f t="shared" si="264"/>
        <v xml:space="preserve">  </v>
      </c>
      <c r="AS338" s="218" t="s">
        <v>593</v>
      </c>
      <c r="AT338" s="273"/>
      <c r="AU338" s="218" t="str">
        <f t="shared" si="261"/>
        <v>-</v>
      </c>
      <c r="AV338" s="60"/>
      <c r="AW338" s="174" t="s">
        <v>697</v>
      </c>
      <c r="AX338" s="273" t="str">
        <f t="shared" si="265"/>
        <v>06</v>
      </c>
      <c r="AY338" s="218" t="str">
        <f t="shared" si="239"/>
        <v>-</v>
      </c>
      <c r="AZ338" s="174" t="s">
        <v>610</v>
      </c>
      <c r="BA338" s="92" t="str">
        <f>IF(EXACT(AW338,AZ338),"OK","NG")</f>
        <v>OK</v>
      </c>
      <c r="BB338" s="60"/>
      <c r="BC338" s="174" t="s">
        <v>102</v>
      </c>
      <c r="BD338" s="273" t="str">
        <f t="shared" si="266"/>
        <v>01</v>
      </c>
      <c r="BE338" s="218" t="str">
        <f t="shared" si="240"/>
        <v>-</v>
      </c>
      <c r="BF338" s="174" t="s">
        <v>102</v>
      </c>
      <c r="BG338" s="478" t="s">
        <v>594</v>
      </c>
      <c r="BH338" s="60"/>
      <c r="BI338" s="170" t="s">
        <v>722</v>
      </c>
      <c r="BJ338" s="273" t="str">
        <f t="shared" si="253"/>
        <v>08</v>
      </c>
      <c r="BK338" s="218" t="s">
        <v>593</v>
      </c>
      <c r="BL338" s="174" t="s">
        <v>631</v>
      </c>
      <c r="BM338" s="92" t="str">
        <f t="shared" si="274"/>
        <v>OK</v>
      </c>
      <c r="BN338" s="60"/>
      <c r="BO338" s="174" t="s">
        <v>102</v>
      </c>
      <c r="BP338" s="273" t="str">
        <f t="shared" si="267"/>
        <v>01</v>
      </c>
      <c r="BQ338" s="218" t="str">
        <f t="shared" si="241"/>
        <v>-</v>
      </c>
      <c r="BR338" s="174" t="s">
        <v>102</v>
      </c>
      <c r="BS338" s="478" t="s">
        <v>594</v>
      </c>
      <c r="BT338" s="60"/>
      <c r="BU338" s="170"/>
      <c r="BV338" s="273" t="str">
        <f t="shared" si="268"/>
        <v xml:space="preserve">  </v>
      </c>
      <c r="BW338" s="218" t="s">
        <v>593</v>
      </c>
      <c r="BX338" s="273"/>
      <c r="BY338" s="218" t="str">
        <f t="shared" si="242"/>
        <v>-</v>
      </c>
      <c r="BZ338" s="60"/>
      <c r="CA338" s="174"/>
      <c r="CB338" s="273" t="str">
        <f t="shared" si="269"/>
        <v xml:space="preserve">  </v>
      </c>
      <c r="CC338" s="218" t="str">
        <f t="shared" si="243"/>
        <v>-</v>
      </c>
      <c r="CD338" s="174"/>
      <c r="CE338" s="92" t="str">
        <f>IF(EXACT(CA338,CD338),"OK","NG")</f>
        <v>OK</v>
      </c>
      <c r="CF338" s="60"/>
      <c r="CG338" s="174"/>
      <c r="CH338" s="273" t="str">
        <f t="shared" si="270"/>
        <v xml:space="preserve">  </v>
      </c>
      <c r="CI338" s="218" t="str">
        <f t="shared" si="245"/>
        <v>-</v>
      </c>
      <c r="CJ338" s="174"/>
      <c r="CK338" s="92" t="str">
        <f>IF(EXACT(CG338,CJ338),"OK","NG")</f>
        <v>OK</v>
      </c>
      <c r="CL338" s="60"/>
      <c r="CM338" s="174"/>
      <c r="CN338" s="273" t="str">
        <f t="shared" si="271"/>
        <v xml:space="preserve">  </v>
      </c>
      <c r="CO338" s="218" t="s">
        <v>593</v>
      </c>
      <c r="CP338" s="273"/>
      <c r="CQ338" s="218" t="str">
        <f t="shared" si="247"/>
        <v>-</v>
      </c>
      <c r="CR338" s="60"/>
      <c r="CS338" s="174"/>
      <c r="CT338" s="273" t="str">
        <f t="shared" si="272"/>
        <v xml:space="preserve">  </v>
      </c>
      <c r="CU338" s="218" t="str">
        <f t="shared" si="248"/>
        <v>-</v>
      </c>
      <c r="CV338" s="174"/>
      <c r="CW338" s="92" t="s">
        <v>593</v>
      </c>
      <c r="CX338" s="60"/>
      <c r="CY338" s="174"/>
      <c r="CZ338" s="273" t="str">
        <f t="shared" si="273"/>
        <v xml:space="preserve">  </v>
      </c>
      <c r="DA338" s="218" t="str">
        <f t="shared" si="249"/>
        <v>-</v>
      </c>
      <c r="DB338" s="174"/>
      <c r="DC338" s="92" t="s">
        <v>593</v>
      </c>
    </row>
    <row r="339" spans="2:107" s="26" customFormat="1" ht="293.25">
      <c r="B339" s="245">
        <f t="shared" si="235"/>
        <v>332</v>
      </c>
      <c r="C339" s="7"/>
      <c r="D339" s="7"/>
      <c r="E339" s="7"/>
      <c r="F339" s="112" t="s">
        <v>424</v>
      </c>
      <c r="G339" s="16"/>
      <c r="H339" s="13"/>
      <c r="I339" s="8"/>
      <c r="J339" s="8" t="s">
        <v>426</v>
      </c>
      <c r="K339" s="8"/>
      <c r="L339" s="8"/>
      <c r="M339" s="414" t="s">
        <v>441</v>
      </c>
      <c r="N339" s="11"/>
      <c r="O339" s="57"/>
      <c r="P339" s="95">
        <f>P338+1</f>
        <v>305</v>
      </c>
      <c r="Q339" s="115">
        <v>2</v>
      </c>
      <c r="R339" s="21" t="str">
        <f t="shared" si="275"/>
        <v>X</v>
      </c>
      <c r="S339" s="98" t="s">
        <v>442</v>
      </c>
      <c r="T339" s="96"/>
      <c r="U339" s="21" t="s">
        <v>443</v>
      </c>
      <c r="V339" s="10"/>
      <c r="W339" s="25">
        <v>3</v>
      </c>
      <c r="X339" s="1" t="s">
        <v>288</v>
      </c>
      <c r="Y339" s="1">
        <v>2</v>
      </c>
      <c r="Z339" s="1">
        <v>2</v>
      </c>
      <c r="AA339" s="8" t="s">
        <v>114</v>
      </c>
      <c r="AB339" s="8" t="s">
        <v>21</v>
      </c>
      <c r="AC339" s="12"/>
      <c r="AD339" s="60"/>
      <c r="AE339" s="174"/>
      <c r="AF339" s="273" t="str">
        <f t="shared" si="262"/>
        <v xml:space="preserve">  </v>
      </c>
      <c r="AG339" s="218" t="str">
        <f t="shared" ref="AG339:AG368" si="276">IF(OR(AE$8="判定対象外",AF$8="判定対象外",AF339="-"),"-",IF(AE339=AF339,"OK","NG"))</f>
        <v>-</v>
      </c>
      <c r="AH339" s="174"/>
      <c r="AI339" s="92" t="str">
        <f t="shared" ref="AI339:AI366" si="277">IF(EXACT(AE339,AH339),"OK","NG")</f>
        <v>OK</v>
      </c>
      <c r="AJ339" s="60"/>
      <c r="AK339" s="174"/>
      <c r="AL339" s="273" t="str">
        <f t="shared" si="263"/>
        <v xml:space="preserve">  </v>
      </c>
      <c r="AM339" s="218" t="str">
        <f t="shared" si="237"/>
        <v>-</v>
      </c>
      <c r="AN339" s="174"/>
      <c r="AO339" s="92" t="str">
        <f t="shared" ref="AO339:AO366" si="278">IF(EXACT(AK339,AN339),"OK","NG")</f>
        <v>OK</v>
      </c>
      <c r="AP339" s="60"/>
      <c r="AQ339" s="170"/>
      <c r="AR339" s="273" t="str">
        <f t="shared" si="264"/>
        <v xml:space="preserve">  </v>
      </c>
      <c r="AS339" s="218" t="s">
        <v>593</v>
      </c>
      <c r="AT339" s="273"/>
      <c r="AU339" s="218" t="str">
        <f t="shared" si="261"/>
        <v>-</v>
      </c>
      <c r="AV339" s="60"/>
      <c r="AW339" s="174" t="s">
        <v>678</v>
      </c>
      <c r="AX339" s="273" t="str">
        <f t="shared" si="265"/>
        <v>B7</v>
      </c>
      <c r="AY339" s="218" t="str">
        <f t="shared" si="239"/>
        <v>-</v>
      </c>
      <c r="AZ339" s="174" t="s">
        <v>599</v>
      </c>
      <c r="BA339" s="92" t="str">
        <f t="shared" ref="BA339:BA367" si="279">IF(EXACT(AW339,AZ339),"OK","NG")</f>
        <v>OK</v>
      </c>
      <c r="BB339" s="60"/>
      <c r="BC339" s="174" t="s">
        <v>248</v>
      </c>
      <c r="BD339" s="273" t="str">
        <f t="shared" si="266"/>
        <v>C1</v>
      </c>
      <c r="BE339" s="218" t="str">
        <f t="shared" si="240"/>
        <v>-</v>
      </c>
      <c r="BF339" s="174" t="s">
        <v>248</v>
      </c>
      <c r="BG339" s="92" t="str">
        <f>IF(EXACT(BC339,BF339),"OK","NG")</f>
        <v>OK</v>
      </c>
      <c r="BH339" s="60"/>
      <c r="BI339" s="170" t="s">
        <v>678</v>
      </c>
      <c r="BJ339" s="273" t="str">
        <f t="shared" si="253"/>
        <v>B7</v>
      </c>
      <c r="BK339" s="218" t="s">
        <v>593</v>
      </c>
      <c r="BL339" s="174" t="s">
        <v>599</v>
      </c>
      <c r="BM339" s="92" t="str">
        <f t="shared" si="274"/>
        <v>OK</v>
      </c>
      <c r="BN339" s="60"/>
      <c r="BO339" s="174" t="s">
        <v>248</v>
      </c>
      <c r="BP339" s="273" t="str">
        <f t="shared" si="267"/>
        <v>C1</v>
      </c>
      <c r="BQ339" s="218" t="str">
        <f t="shared" si="241"/>
        <v>-</v>
      </c>
      <c r="BR339" s="174" t="s">
        <v>248</v>
      </c>
      <c r="BS339" s="92" t="str">
        <f>IF(EXACT(BO339,BR339),"OK","NG")</f>
        <v>OK</v>
      </c>
      <c r="BT339" s="60"/>
      <c r="BU339" s="170"/>
      <c r="BV339" s="273" t="str">
        <f t="shared" si="268"/>
        <v xml:space="preserve">  </v>
      </c>
      <c r="BW339" s="218" t="s">
        <v>593</v>
      </c>
      <c r="BX339" s="273"/>
      <c r="BY339" s="218" t="str">
        <f t="shared" si="242"/>
        <v>-</v>
      </c>
      <c r="BZ339" s="60"/>
      <c r="CA339" s="174"/>
      <c r="CB339" s="273" t="str">
        <f t="shared" si="269"/>
        <v xml:space="preserve">  </v>
      </c>
      <c r="CC339" s="218" t="str">
        <f t="shared" si="243"/>
        <v>-</v>
      </c>
      <c r="CD339" s="174"/>
      <c r="CE339" s="92" t="str">
        <f t="shared" ref="CE339:CE366" si="280">IF(EXACT(CA339,CD339),"OK","NG")</f>
        <v>OK</v>
      </c>
      <c r="CF339" s="60"/>
      <c r="CG339" s="174"/>
      <c r="CH339" s="273" t="str">
        <f t="shared" si="270"/>
        <v xml:space="preserve">  </v>
      </c>
      <c r="CI339" s="218" t="str">
        <f t="shared" si="245"/>
        <v>-</v>
      </c>
      <c r="CJ339" s="174"/>
      <c r="CK339" s="92" t="str">
        <f t="shared" ref="CK339:CK366" si="281">IF(EXACT(CG339,CJ339),"OK","NG")</f>
        <v>OK</v>
      </c>
      <c r="CL339" s="60"/>
      <c r="CM339" s="174"/>
      <c r="CN339" s="273" t="str">
        <f t="shared" si="271"/>
        <v xml:space="preserve">  </v>
      </c>
      <c r="CO339" s="218" t="s">
        <v>593</v>
      </c>
      <c r="CP339" s="273"/>
      <c r="CQ339" s="218" t="str">
        <f t="shared" si="247"/>
        <v>-</v>
      </c>
      <c r="CR339" s="60"/>
      <c r="CS339" s="174"/>
      <c r="CT339" s="273" t="str">
        <f t="shared" si="272"/>
        <v xml:space="preserve">  </v>
      </c>
      <c r="CU339" s="218" t="str">
        <f t="shared" si="248"/>
        <v>-</v>
      </c>
      <c r="CV339" s="174"/>
      <c r="CW339" s="92" t="s">
        <v>593</v>
      </c>
      <c r="CX339" s="60"/>
      <c r="CY339" s="174"/>
      <c r="CZ339" s="273" t="str">
        <f t="shared" si="273"/>
        <v xml:space="preserve">  </v>
      </c>
      <c r="DA339" s="218" t="str">
        <f t="shared" si="249"/>
        <v>-</v>
      </c>
      <c r="DB339" s="174"/>
      <c r="DC339" s="92" t="s">
        <v>593</v>
      </c>
    </row>
    <row r="340" spans="2:107" s="26" customFormat="1">
      <c r="B340" s="2">
        <f t="shared" si="235"/>
        <v>333</v>
      </c>
      <c r="C340" s="7"/>
      <c r="D340" s="7"/>
      <c r="E340" s="7"/>
      <c r="F340" s="22" t="s">
        <v>353</v>
      </c>
      <c r="G340" s="16"/>
      <c r="H340" s="13"/>
      <c r="I340" s="8"/>
      <c r="J340" s="8"/>
      <c r="K340" s="8"/>
      <c r="L340" s="8"/>
      <c r="M340" s="417" t="s">
        <v>220</v>
      </c>
      <c r="N340" s="11"/>
      <c r="O340" s="57"/>
      <c r="P340" s="95">
        <f t="shared" ref="P340:P361" si="282">P339+1</f>
        <v>306</v>
      </c>
      <c r="Q340" s="115">
        <v>2</v>
      </c>
      <c r="R340" s="21" t="str">
        <f t="shared" si="275"/>
        <v>X</v>
      </c>
      <c r="S340" s="98" t="s">
        <v>124</v>
      </c>
      <c r="T340" s="96"/>
      <c r="U340" s="21" t="s">
        <v>257</v>
      </c>
      <c r="V340" s="10"/>
      <c r="W340" s="25">
        <v>3</v>
      </c>
      <c r="X340" s="1" t="s">
        <v>125</v>
      </c>
      <c r="Y340" s="1">
        <v>2</v>
      </c>
      <c r="Z340" s="1">
        <v>2</v>
      </c>
      <c r="AA340" s="8" t="s">
        <v>114</v>
      </c>
      <c r="AB340" s="8" t="s">
        <v>21</v>
      </c>
      <c r="AC340" s="12"/>
      <c r="AD340" s="60"/>
      <c r="AE340" s="169"/>
      <c r="AF340" s="61" t="str">
        <f t="shared" si="262"/>
        <v xml:space="preserve">  </v>
      </c>
      <c r="AG340" s="218" t="str">
        <f t="shared" si="276"/>
        <v>-</v>
      </c>
      <c r="AH340" s="169"/>
      <c r="AI340" s="92" t="str">
        <f t="shared" si="277"/>
        <v>OK</v>
      </c>
      <c r="AJ340" s="60"/>
      <c r="AK340" s="169"/>
      <c r="AL340" s="61" t="str">
        <f t="shared" si="263"/>
        <v xml:space="preserve">  </v>
      </c>
      <c r="AM340" s="218" t="str">
        <f t="shared" si="237"/>
        <v>-</v>
      </c>
      <c r="AN340" s="169"/>
      <c r="AO340" s="92" t="str">
        <f t="shared" si="278"/>
        <v>OK</v>
      </c>
      <c r="AP340" s="60"/>
      <c r="AQ340" s="172"/>
      <c r="AR340" s="61" t="str">
        <f t="shared" si="264"/>
        <v xml:space="preserve">  </v>
      </c>
      <c r="AS340" s="218" t="s">
        <v>593</v>
      </c>
      <c r="AT340" s="61"/>
      <c r="AU340" s="218" t="str">
        <f t="shared" si="261"/>
        <v>-</v>
      </c>
      <c r="AV340" s="60"/>
      <c r="AW340" s="169"/>
      <c r="AX340" s="61" t="str">
        <f t="shared" si="265"/>
        <v xml:space="preserve">  </v>
      </c>
      <c r="AY340" s="218" t="str">
        <f t="shared" si="239"/>
        <v>-</v>
      </c>
      <c r="AZ340" s="169"/>
      <c r="BA340" s="92" t="str">
        <f t="shared" si="279"/>
        <v>OK</v>
      </c>
      <c r="BB340" s="60"/>
      <c r="BC340" s="169"/>
      <c r="BD340" s="61" t="str">
        <f t="shared" si="266"/>
        <v xml:space="preserve">  </v>
      </c>
      <c r="BE340" s="218" t="str">
        <f t="shared" si="240"/>
        <v>-</v>
      </c>
      <c r="BF340" s="169"/>
      <c r="BG340" s="92" t="str">
        <f>IF(EXACT(BC340,BF340),"OK","NG")</f>
        <v>OK</v>
      </c>
      <c r="BH340" s="60"/>
      <c r="BI340" s="170" t="s">
        <v>698</v>
      </c>
      <c r="BJ340" s="61" t="str">
        <f t="shared" si="253"/>
        <v xml:space="preserve">  </v>
      </c>
      <c r="BK340" s="218" t="s">
        <v>593</v>
      </c>
      <c r="BL340" s="169"/>
      <c r="BM340" s="92" t="str">
        <f t="shared" si="274"/>
        <v>NG</v>
      </c>
      <c r="BN340" s="60"/>
      <c r="BO340" s="169"/>
      <c r="BP340" s="61" t="str">
        <f t="shared" si="267"/>
        <v xml:space="preserve">  </v>
      </c>
      <c r="BQ340" s="218" t="str">
        <f t="shared" si="241"/>
        <v>-</v>
      </c>
      <c r="BR340" s="169"/>
      <c r="BS340" s="92" t="str">
        <f>IF(EXACT(BO340,BR340),"OK","NG")</f>
        <v>OK</v>
      </c>
      <c r="BT340" s="60"/>
      <c r="BU340" s="172"/>
      <c r="BV340" s="61" t="str">
        <f t="shared" si="268"/>
        <v xml:space="preserve">  </v>
      </c>
      <c r="BW340" s="218" t="s">
        <v>593</v>
      </c>
      <c r="BX340" s="61"/>
      <c r="BY340" s="218" t="str">
        <f t="shared" si="242"/>
        <v>-</v>
      </c>
      <c r="BZ340" s="60"/>
      <c r="CA340" s="169"/>
      <c r="CB340" s="61" t="str">
        <f t="shared" si="269"/>
        <v xml:space="preserve">  </v>
      </c>
      <c r="CC340" s="218" t="str">
        <f t="shared" si="243"/>
        <v>-</v>
      </c>
      <c r="CD340" s="169"/>
      <c r="CE340" s="92" t="str">
        <f t="shared" si="280"/>
        <v>OK</v>
      </c>
      <c r="CF340" s="60"/>
      <c r="CG340" s="169"/>
      <c r="CH340" s="61" t="str">
        <f t="shared" si="270"/>
        <v xml:space="preserve">  </v>
      </c>
      <c r="CI340" s="218" t="str">
        <f t="shared" si="245"/>
        <v>-</v>
      </c>
      <c r="CJ340" s="169"/>
      <c r="CK340" s="92" t="str">
        <f t="shared" si="281"/>
        <v>OK</v>
      </c>
      <c r="CL340" s="60"/>
      <c r="CM340" s="169"/>
      <c r="CN340" s="61" t="str">
        <f t="shared" si="271"/>
        <v xml:space="preserve">  </v>
      </c>
      <c r="CO340" s="218" t="s">
        <v>593</v>
      </c>
      <c r="CP340" s="61"/>
      <c r="CQ340" s="218" t="str">
        <f t="shared" si="247"/>
        <v>-</v>
      </c>
      <c r="CR340" s="60"/>
      <c r="CS340" s="169"/>
      <c r="CT340" s="61" t="str">
        <f t="shared" si="272"/>
        <v xml:space="preserve">  </v>
      </c>
      <c r="CU340" s="218" t="str">
        <f t="shared" si="248"/>
        <v>-</v>
      </c>
      <c r="CV340" s="169"/>
      <c r="CW340" s="92" t="s">
        <v>593</v>
      </c>
      <c r="CX340" s="60"/>
      <c r="CY340" s="169"/>
      <c r="CZ340" s="61" t="str">
        <f t="shared" si="273"/>
        <v xml:space="preserve">  </v>
      </c>
      <c r="DA340" s="218" t="str">
        <f t="shared" si="249"/>
        <v>-</v>
      </c>
      <c r="DB340" s="169"/>
      <c r="DC340" s="92" t="s">
        <v>593</v>
      </c>
    </row>
    <row r="341" spans="2:107" s="26" customFormat="1">
      <c r="B341" s="2">
        <f t="shared" si="235"/>
        <v>334</v>
      </c>
      <c r="C341" s="7"/>
      <c r="D341" s="7"/>
      <c r="E341" s="7"/>
      <c r="F341" s="22" t="s">
        <v>126</v>
      </c>
      <c r="G341" s="16"/>
      <c r="H341" s="13"/>
      <c r="I341" s="8"/>
      <c r="J341" s="8" t="s">
        <v>269</v>
      </c>
      <c r="K341" s="8"/>
      <c r="L341" s="8"/>
      <c r="M341" s="1" t="s">
        <v>127</v>
      </c>
      <c r="N341" s="1"/>
      <c r="O341" s="57"/>
      <c r="P341" s="95">
        <f t="shared" si="282"/>
        <v>307</v>
      </c>
      <c r="Q341" s="115">
        <v>255</v>
      </c>
      <c r="R341" s="21" t="str">
        <f t="shared" si="275"/>
        <v>NX</v>
      </c>
      <c r="S341" s="98" t="s">
        <v>128</v>
      </c>
      <c r="T341" s="96"/>
      <c r="U341" s="21" t="s">
        <v>257</v>
      </c>
      <c r="V341" s="10"/>
      <c r="W341" s="25">
        <v>3</v>
      </c>
      <c r="X341" s="1" t="s">
        <v>298</v>
      </c>
      <c r="Y341" s="1">
        <v>1</v>
      </c>
      <c r="Z341" s="1">
        <v>255</v>
      </c>
      <c r="AA341" s="8" t="s">
        <v>129</v>
      </c>
      <c r="AB341" s="8" t="s">
        <v>21</v>
      </c>
      <c r="AC341" s="12"/>
      <c r="AD341" s="60"/>
      <c r="AE341" s="174"/>
      <c r="AF341" s="228" t="str">
        <f t="shared" si="262"/>
        <v xml:space="preserve">                                                                                                                                                                                                                                                               </v>
      </c>
      <c r="AG341" s="218" t="str">
        <f t="shared" si="276"/>
        <v>-</v>
      </c>
      <c r="AH341" s="174"/>
      <c r="AI341" s="92" t="str">
        <f t="shared" si="277"/>
        <v>OK</v>
      </c>
      <c r="AJ341" s="60"/>
      <c r="AK341" s="174"/>
      <c r="AL341" s="228" t="str">
        <f t="shared" si="263"/>
        <v xml:space="preserve">                                                                                                                                                                                                                                                               </v>
      </c>
      <c r="AM341" s="218" t="str">
        <f t="shared" si="237"/>
        <v>-</v>
      </c>
      <c r="AN341" s="174"/>
      <c r="AO341" s="92" t="str">
        <f t="shared" si="278"/>
        <v>OK</v>
      </c>
      <c r="AP341" s="60"/>
      <c r="AQ341" s="170"/>
      <c r="AR341" s="228" t="str">
        <f t="shared" si="264"/>
        <v xml:space="preserve">                                                                                                                                                                                                                                                               </v>
      </c>
      <c r="AS341" s="218" t="s">
        <v>593</v>
      </c>
      <c r="AT341" s="228"/>
      <c r="AU341" s="218" t="str">
        <f t="shared" si="261"/>
        <v>-</v>
      </c>
      <c r="AV341" s="60"/>
      <c r="AW341" s="174" t="s">
        <v>673</v>
      </c>
      <c r="AX341" s="228" t="str">
        <f t="shared" si="265"/>
        <v xml:space="preserve">ひかりＪ　マンション                                                                                                                                                                                                                                           </v>
      </c>
      <c r="AY341" s="218" t="str">
        <f t="shared" si="239"/>
        <v>-</v>
      </c>
      <c r="AZ341" s="174" t="s">
        <v>674</v>
      </c>
      <c r="BA341" s="92" t="str">
        <f t="shared" si="279"/>
        <v>OK</v>
      </c>
      <c r="BB341" s="60"/>
      <c r="BC341" s="174" t="s">
        <v>716</v>
      </c>
      <c r="BD341" s="228" t="str">
        <f t="shared" si="266"/>
        <v xml:space="preserve">ホームプラス電話                                                                                                                                                                                                                                               </v>
      </c>
      <c r="BE341" s="218" t="str">
        <f t="shared" si="240"/>
        <v>-</v>
      </c>
      <c r="BF341" s="174" t="s">
        <v>402</v>
      </c>
      <c r="BG341" s="92" t="str">
        <f>IF(EXACT(BC341,BF341),"OK","NG")</f>
        <v>OK</v>
      </c>
      <c r="BH341" s="60"/>
      <c r="BI341" s="170" t="s">
        <v>747</v>
      </c>
      <c r="BJ341" s="228" t="str">
        <f t="shared" si="253"/>
        <v xml:space="preserve">ひかりＪ　マンション                                                                                                                                                                                                                                           </v>
      </c>
      <c r="BK341" s="218" t="s">
        <v>593</v>
      </c>
      <c r="BL341" s="174" t="s">
        <v>674</v>
      </c>
      <c r="BM341" s="92" t="str">
        <f t="shared" si="274"/>
        <v>NG</v>
      </c>
      <c r="BN341" s="60"/>
      <c r="BO341" s="174" t="s">
        <v>716</v>
      </c>
      <c r="BP341" s="228" t="str">
        <f t="shared" si="267"/>
        <v xml:space="preserve">ホームプラス電話                                                                                                                                                                                                                                               </v>
      </c>
      <c r="BQ341" s="218" t="str">
        <f t="shared" si="241"/>
        <v>-</v>
      </c>
      <c r="BR341" s="174" t="s">
        <v>402</v>
      </c>
      <c r="BS341" s="92" t="str">
        <f>IF(EXACT(BO341,BR341),"OK","NG")</f>
        <v>OK</v>
      </c>
      <c r="BT341" s="60"/>
      <c r="BU341" s="170"/>
      <c r="BV341" s="228" t="str">
        <f t="shared" si="268"/>
        <v xml:space="preserve">                                                                                                                                                                                                                                                               </v>
      </c>
      <c r="BW341" s="218" t="s">
        <v>593</v>
      </c>
      <c r="BX341" s="228"/>
      <c r="BY341" s="218" t="str">
        <f t="shared" si="242"/>
        <v>-</v>
      </c>
      <c r="BZ341" s="60"/>
      <c r="CA341" s="174"/>
      <c r="CB341" s="228" t="str">
        <f t="shared" si="269"/>
        <v xml:space="preserve">                                                                                                                                                                                                                                                               </v>
      </c>
      <c r="CC341" s="218" t="str">
        <f t="shared" si="243"/>
        <v>-</v>
      </c>
      <c r="CD341" s="174"/>
      <c r="CE341" s="92" t="str">
        <f t="shared" si="280"/>
        <v>OK</v>
      </c>
      <c r="CF341" s="60"/>
      <c r="CG341" s="174"/>
      <c r="CH341" s="228" t="str">
        <f t="shared" si="270"/>
        <v xml:space="preserve">                                                                                                                                                                                                                                                               </v>
      </c>
      <c r="CI341" s="218" t="str">
        <f t="shared" si="245"/>
        <v>-</v>
      </c>
      <c r="CJ341" s="174"/>
      <c r="CK341" s="92" t="str">
        <f t="shared" si="281"/>
        <v>OK</v>
      </c>
      <c r="CL341" s="60"/>
      <c r="CM341" s="174"/>
      <c r="CN341" s="228" t="str">
        <f t="shared" si="271"/>
        <v xml:space="preserve">                                                                                                                                                                                                                                                               </v>
      </c>
      <c r="CO341" s="218" t="s">
        <v>593</v>
      </c>
      <c r="CP341" s="228"/>
      <c r="CQ341" s="218" t="str">
        <f t="shared" si="247"/>
        <v>-</v>
      </c>
      <c r="CR341" s="60"/>
      <c r="CS341" s="174"/>
      <c r="CT341" s="228" t="str">
        <f t="shared" si="272"/>
        <v xml:space="preserve">                                                                                                                                                                                                                                                               </v>
      </c>
      <c r="CU341" s="218" t="str">
        <f t="shared" si="248"/>
        <v>-</v>
      </c>
      <c r="CV341" s="174"/>
      <c r="CW341" s="92" t="s">
        <v>593</v>
      </c>
      <c r="CX341" s="60"/>
      <c r="CY341" s="174"/>
      <c r="CZ341" s="228" t="str">
        <f t="shared" si="273"/>
        <v xml:space="preserve">                                                                                                                                                                                                                                                               </v>
      </c>
      <c r="DA341" s="218" t="str">
        <f t="shared" si="249"/>
        <v>-</v>
      </c>
      <c r="DB341" s="174"/>
      <c r="DC341" s="92" t="s">
        <v>593</v>
      </c>
    </row>
    <row r="342" spans="2:107" s="26" customFormat="1">
      <c r="B342" s="19">
        <f t="shared" si="235"/>
        <v>335</v>
      </c>
      <c r="C342" s="7"/>
      <c r="D342" s="7"/>
      <c r="E342" s="7"/>
      <c r="F342" s="3" t="s">
        <v>130</v>
      </c>
      <c r="G342" s="3"/>
      <c r="H342" s="4"/>
      <c r="I342" s="6"/>
      <c r="J342" s="6"/>
      <c r="K342" s="6"/>
      <c r="L342" s="6"/>
      <c r="M342" s="23" t="s">
        <v>131</v>
      </c>
      <c r="N342" s="5"/>
      <c r="O342" s="55"/>
      <c r="P342" s="95">
        <f t="shared" si="282"/>
        <v>308</v>
      </c>
      <c r="Q342" s="116">
        <v>256</v>
      </c>
      <c r="R342" s="21" t="str">
        <f t="shared" si="275"/>
        <v>NX</v>
      </c>
      <c r="S342" s="98" t="s">
        <v>132</v>
      </c>
      <c r="T342" s="96"/>
      <c r="U342" s="21" t="s">
        <v>435</v>
      </c>
      <c r="V342" s="10"/>
      <c r="W342" s="28">
        <v>3</v>
      </c>
      <c r="X342" s="5" t="s">
        <v>299</v>
      </c>
      <c r="Y342" s="5">
        <v>1</v>
      </c>
      <c r="Z342" s="5">
        <v>256</v>
      </c>
      <c r="AA342" s="6" t="s">
        <v>300</v>
      </c>
      <c r="AB342" s="6" t="s">
        <v>257</v>
      </c>
      <c r="AC342" s="64"/>
      <c r="AD342" s="60"/>
      <c r="AE342" s="169"/>
      <c r="AF342" s="61" t="str">
        <f t="shared" si="262"/>
        <v xml:space="preserve">                                                                                                                                                                                                                                                                </v>
      </c>
      <c r="AG342" s="218" t="str">
        <f t="shared" si="276"/>
        <v>-</v>
      </c>
      <c r="AH342" s="169"/>
      <c r="AI342" s="92" t="str">
        <f t="shared" si="277"/>
        <v>OK</v>
      </c>
      <c r="AJ342" s="60"/>
      <c r="AK342" s="169"/>
      <c r="AL342" s="61" t="str">
        <f t="shared" si="263"/>
        <v xml:space="preserve">                                                                                                                                                                                                                                                                </v>
      </c>
      <c r="AM342" s="218" t="str">
        <f t="shared" si="237"/>
        <v>-</v>
      </c>
      <c r="AN342" s="169"/>
      <c r="AO342" s="92" t="str">
        <f t="shared" si="278"/>
        <v>OK</v>
      </c>
      <c r="AP342" s="60"/>
      <c r="AQ342" s="172"/>
      <c r="AR342" s="61" t="str">
        <f t="shared" si="264"/>
        <v xml:space="preserve">                                                                                                                                                                                                                                                                </v>
      </c>
      <c r="AS342" s="218" t="s">
        <v>593</v>
      </c>
      <c r="AT342" s="61"/>
      <c r="AU342" s="218" t="str">
        <f t="shared" si="261"/>
        <v>-</v>
      </c>
      <c r="AV342" s="60"/>
      <c r="AW342" s="169"/>
      <c r="AX342" s="61" t="str">
        <f t="shared" si="265"/>
        <v xml:space="preserve">                                                                                                                                                                                                                                                                </v>
      </c>
      <c r="AY342" s="218" t="str">
        <f t="shared" si="239"/>
        <v>-</v>
      </c>
      <c r="AZ342" s="169"/>
      <c r="BA342" s="92" t="str">
        <f t="shared" si="279"/>
        <v>OK</v>
      </c>
      <c r="BB342" s="60"/>
      <c r="BC342" s="169"/>
      <c r="BD342" s="61" t="str">
        <f t="shared" si="266"/>
        <v xml:space="preserve">                                                                                                                                                                                                                                                                </v>
      </c>
      <c r="BE342" s="218" t="str">
        <f t="shared" si="240"/>
        <v>-</v>
      </c>
      <c r="BF342" s="169"/>
      <c r="BG342" s="92" t="str">
        <f>IF(EXACT(BC342,BF342),"OK","NG")</f>
        <v>OK</v>
      </c>
      <c r="BH342" s="60"/>
      <c r="BI342" s="170" t="s">
        <v>700</v>
      </c>
      <c r="BJ342" s="61" t="str">
        <f t="shared" si="253"/>
        <v xml:space="preserve">                                                                                                                                                                                                                                                                </v>
      </c>
      <c r="BK342" s="218" t="s">
        <v>593</v>
      </c>
      <c r="BL342" s="169"/>
      <c r="BM342" s="92" t="str">
        <f t="shared" si="274"/>
        <v>NG</v>
      </c>
      <c r="BN342" s="60"/>
      <c r="BO342" s="169"/>
      <c r="BP342" s="61" t="str">
        <f t="shared" si="267"/>
        <v xml:space="preserve">                                                                                                                                                                                                                                                                </v>
      </c>
      <c r="BQ342" s="218" t="str">
        <f t="shared" si="241"/>
        <v>-</v>
      </c>
      <c r="BR342" s="169"/>
      <c r="BS342" s="92" t="str">
        <f>IF(EXACT(BO342,BR342),"OK","NG")</f>
        <v>OK</v>
      </c>
      <c r="BT342" s="60"/>
      <c r="BU342" s="172"/>
      <c r="BV342" s="61" t="str">
        <f t="shared" si="268"/>
        <v xml:space="preserve">                                                                                                                                                                                                                                                                </v>
      </c>
      <c r="BW342" s="218" t="s">
        <v>593</v>
      </c>
      <c r="BX342" s="61"/>
      <c r="BY342" s="218" t="str">
        <f t="shared" si="242"/>
        <v>-</v>
      </c>
      <c r="BZ342" s="60"/>
      <c r="CA342" s="169"/>
      <c r="CB342" s="61" t="str">
        <f t="shared" si="269"/>
        <v xml:space="preserve">                                                                                                                                                                                                                                                                </v>
      </c>
      <c r="CC342" s="218" t="str">
        <f t="shared" si="243"/>
        <v>-</v>
      </c>
      <c r="CD342" s="169"/>
      <c r="CE342" s="92" t="str">
        <f t="shared" si="280"/>
        <v>OK</v>
      </c>
      <c r="CF342" s="60"/>
      <c r="CG342" s="169"/>
      <c r="CH342" s="61" t="str">
        <f t="shared" si="270"/>
        <v xml:space="preserve">                                                                                                                                                                                                                                                                </v>
      </c>
      <c r="CI342" s="218" t="str">
        <f t="shared" si="245"/>
        <v>-</v>
      </c>
      <c r="CJ342" s="169"/>
      <c r="CK342" s="92" t="str">
        <f t="shared" si="281"/>
        <v>OK</v>
      </c>
      <c r="CL342" s="60"/>
      <c r="CM342" s="169"/>
      <c r="CN342" s="61" t="str">
        <f t="shared" si="271"/>
        <v xml:space="preserve">                                                                                                                                                                                                                                                                </v>
      </c>
      <c r="CO342" s="218" t="s">
        <v>593</v>
      </c>
      <c r="CP342" s="61"/>
      <c r="CQ342" s="218" t="str">
        <f t="shared" si="247"/>
        <v>-</v>
      </c>
      <c r="CR342" s="60"/>
      <c r="CS342" s="169"/>
      <c r="CT342" s="61" t="str">
        <f t="shared" si="272"/>
        <v xml:space="preserve">                                                                                                                                                                                                                                                                </v>
      </c>
      <c r="CU342" s="218" t="str">
        <f t="shared" si="248"/>
        <v>-</v>
      </c>
      <c r="CV342" s="169"/>
      <c r="CW342" s="92" t="s">
        <v>593</v>
      </c>
      <c r="CX342" s="60"/>
      <c r="CY342" s="169"/>
      <c r="CZ342" s="61" t="str">
        <f t="shared" si="273"/>
        <v xml:space="preserve">                                                                                                                                                                                                                                                                </v>
      </c>
      <c r="DA342" s="218" t="str">
        <f t="shared" si="249"/>
        <v>-</v>
      </c>
      <c r="DB342" s="169"/>
      <c r="DC342" s="92" t="s">
        <v>593</v>
      </c>
    </row>
    <row r="343" spans="2:107" s="26" customFormat="1" ht="63.75">
      <c r="B343" s="2">
        <f t="shared" ref="B343:B396" si="283">ROW()-7</f>
        <v>336</v>
      </c>
      <c r="C343" s="7"/>
      <c r="D343" s="7"/>
      <c r="E343" s="7"/>
      <c r="F343" s="22" t="s">
        <v>133</v>
      </c>
      <c r="G343" s="16"/>
      <c r="H343" s="13"/>
      <c r="I343" s="8"/>
      <c r="J343" s="8"/>
      <c r="K343" s="8"/>
      <c r="L343" s="8"/>
      <c r="M343" s="11" t="s">
        <v>444</v>
      </c>
      <c r="N343" s="1"/>
      <c r="O343" s="57"/>
      <c r="P343" s="95">
        <f t="shared" si="282"/>
        <v>309</v>
      </c>
      <c r="Q343" s="115">
        <v>256</v>
      </c>
      <c r="R343" s="21" t="str">
        <f t="shared" si="275"/>
        <v>NX</v>
      </c>
      <c r="S343" s="98" t="s">
        <v>134</v>
      </c>
      <c r="T343" s="96"/>
      <c r="U343" s="21" t="s">
        <v>435</v>
      </c>
      <c r="V343" s="10"/>
      <c r="W343" s="25">
        <v>3</v>
      </c>
      <c r="X343" s="1" t="s">
        <v>135</v>
      </c>
      <c r="Y343" s="1">
        <v>1</v>
      </c>
      <c r="Z343" s="1">
        <v>256</v>
      </c>
      <c r="AA343" s="8" t="s">
        <v>129</v>
      </c>
      <c r="AB343" s="8" t="s">
        <v>257</v>
      </c>
      <c r="AC343" s="12"/>
      <c r="AD343" s="60"/>
      <c r="AE343" s="174"/>
      <c r="AF343" s="170" t="str">
        <f t="shared" si="262"/>
        <v xml:space="preserve">                                                                                                                                                                                                                                                                </v>
      </c>
      <c r="AG343" s="218" t="str">
        <f t="shared" si="276"/>
        <v>-</v>
      </c>
      <c r="AH343" s="174"/>
      <c r="AI343" s="92" t="str">
        <f t="shared" si="277"/>
        <v>OK</v>
      </c>
      <c r="AJ343" s="60"/>
      <c r="AK343" s="174"/>
      <c r="AL343" s="170" t="str">
        <f t="shared" si="263"/>
        <v xml:space="preserve">                                                                                                                                                                                                                                                                </v>
      </c>
      <c r="AM343" s="218" t="str">
        <f t="shared" ref="AM343:AM396" si="284">IF(OR(AK$8="判定対象外",AL$8="判定対象外",AL343="-"),"-",IF(AK343=AL343,"OK","NG"))</f>
        <v>-</v>
      </c>
      <c r="AN343" s="174"/>
      <c r="AO343" s="92" t="str">
        <f t="shared" si="278"/>
        <v>OK</v>
      </c>
      <c r="AP343" s="60"/>
      <c r="AQ343" s="170"/>
      <c r="AR343" s="170" t="str">
        <f t="shared" si="264"/>
        <v xml:space="preserve">                                                                                                                                                                                                                                                                </v>
      </c>
      <c r="AS343" s="218" t="s">
        <v>593</v>
      </c>
      <c r="AT343" s="170"/>
      <c r="AU343" s="218" t="str">
        <f t="shared" si="261"/>
        <v>-</v>
      </c>
      <c r="AV343" s="60"/>
      <c r="AW343" s="174"/>
      <c r="AX343" s="170" t="str">
        <f t="shared" si="265"/>
        <v xml:space="preserve">                                                                                                                                                                                                                                                                </v>
      </c>
      <c r="AY343" s="218" t="str">
        <f t="shared" ref="AY343:AY396" si="285">IF(OR(AW$8="判定対象外",AX$8="判定対象外",AX343="-"),"-",IF(AW343=AX343,"OK","NG"))</f>
        <v>-</v>
      </c>
      <c r="AZ343" s="174"/>
      <c r="BA343" s="92" t="str">
        <f t="shared" si="279"/>
        <v>OK</v>
      </c>
      <c r="BB343" s="60"/>
      <c r="BC343" s="174"/>
      <c r="BD343" s="170" t="str">
        <f t="shared" si="266"/>
        <v xml:space="preserve">                                                                                                                                                                                                                                                                </v>
      </c>
      <c r="BE343" s="218" t="str">
        <f t="shared" ref="BE343:BE396" si="286">IF(OR(BC$8="判定対象外",BD$8="判定対象外",BD343="-"),"-",IF(BC343=BD343,"OK","NG"))</f>
        <v>-</v>
      </c>
      <c r="BF343" s="174"/>
      <c r="BG343" s="478" t="s">
        <v>594</v>
      </c>
      <c r="BH343" s="60"/>
      <c r="BI343" s="170" t="s">
        <v>700</v>
      </c>
      <c r="BJ343" s="170" t="str">
        <f t="shared" si="253"/>
        <v xml:space="preserve">                                                                                                                                                                                                                                                                </v>
      </c>
      <c r="BK343" s="218" t="s">
        <v>593</v>
      </c>
      <c r="BL343" s="174"/>
      <c r="BM343" s="92" t="str">
        <f t="shared" si="274"/>
        <v>NG</v>
      </c>
      <c r="BN343" s="60"/>
      <c r="BO343" s="174"/>
      <c r="BP343" s="170" t="str">
        <f t="shared" si="267"/>
        <v xml:space="preserve">                                                                                                                                                                                                                                                                </v>
      </c>
      <c r="BQ343" s="218" t="str">
        <f t="shared" ref="BQ343:BQ396" si="287">IF(OR(BO$8="判定対象外",BP$8="判定対象外",BP343="-"),"-",IF(BO343=BP343,"OK","NG"))</f>
        <v>-</v>
      </c>
      <c r="BR343" s="174"/>
      <c r="BS343" s="478" t="s">
        <v>594</v>
      </c>
      <c r="BT343" s="60"/>
      <c r="BU343" s="170"/>
      <c r="BV343" s="170" t="str">
        <f t="shared" si="268"/>
        <v xml:space="preserve">                                                                                                                                                                                                                                                                </v>
      </c>
      <c r="BW343" s="218" t="s">
        <v>593</v>
      </c>
      <c r="BX343" s="170"/>
      <c r="BY343" s="218" t="str">
        <f t="shared" ref="BY343:BY372" si="288">IF(OR(BW$8="判定対象外",BX$8="判定対象外",BX343="-"),"-",IF(BW343=BX343,"OK","NG"))</f>
        <v>-</v>
      </c>
      <c r="BZ343" s="60"/>
      <c r="CA343" s="174"/>
      <c r="CB343" s="170" t="str">
        <f t="shared" si="269"/>
        <v xml:space="preserve">                                                                                                                                                                                                                                                                </v>
      </c>
      <c r="CC343" s="218" t="str">
        <f t="shared" ref="CC343:CC396" si="289">IF(OR(CA$8="判定対象外",CB$8="判定対象外",CB343="-"),"-",IF(CA343=CB343,"OK","NG"))</f>
        <v>-</v>
      </c>
      <c r="CD343" s="174"/>
      <c r="CE343" s="92" t="str">
        <f t="shared" si="280"/>
        <v>OK</v>
      </c>
      <c r="CF343" s="60"/>
      <c r="CG343" s="174"/>
      <c r="CH343" s="170" t="str">
        <f t="shared" si="270"/>
        <v xml:space="preserve">                                                                                                                                                                                                                                                                </v>
      </c>
      <c r="CI343" s="218" t="str">
        <f t="shared" ref="CI343:CI396" si="290">IF(OR(CG$8="判定対象外",CH$8="判定対象外",CH343="-"),"-",IF(CG343=CH343,"OK","NG"))</f>
        <v>-</v>
      </c>
      <c r="CJ343" s="174"/>
      <c r="CK343" s="92" t="str">
        <f t="shared" si="281"/>
        <v>OK</v>
      </c>
      <c r="CL343" s="60"/>
      <c r="CM343" s="174"/>
      <c r="CN343" s="170" t="str">
        <f t="shared" si="271"/>
        <v xml:space="preserve">                                                                                                                                                                                                                                                                </v>
      </c>
      <c r="CO343" s="218" t="s">
        <v>593</v>
      </c>
      <c r="CP343" s="170"/>
      <c r="CQ343" s="218" t="str">
        <f t="shared" ref="CQ343:CQ372" si="291">IF(OR(CO$8="判定対象外",CP$8="判定対象外",CP343="-"),"-",IF(CO343=CP343,"OK","NG"))</f>
        <v>-</v>
      </c>
      <c r="CR343" s="60"/>
      <c r="CS343" s="174"/>
      <c r="CT343" s="170" t="str">
        <f t="shared" si="272"/>
        <v xml:space="preserve">                                                                                                                                                                                                                                                                </v>
      </c>
      <c r="CU343" s="218" t="str">
        <f t="shared" ref="CU343:CU396" si="292">IF(OR(CS$8="判定対象外",CT$8="判定対象外",CT343="-"),"-",IF(CS343=CT343,"OK","NG"))</f>
        <v>-</v>
      </c>
      <c r="CV343" s="174"/>
      <c r="CW343" s="92" t="s">
        <v>593</v>
      </c>
      <c r="CX343" s="60"/>
      <c r="CY343" s="174"/>
      <c r="CZ343" s="170" t="str">
        <f t="shared" si="273"/>
        <v xml:space="preserve">                                                                                                                                                                                                                                                                </v>
      </c>
      <c r="DA343" s="218" t="str">
        <f t="shared" ref="DA343:DA396" si="293">IF(OR(CY$8="判定対象外",CZ$8="判定対象外",CZ343="-"),"-",IF(CY343=CZ343,"OK","NG"))</f>
        <v>-</v>
      </c>
      <c r="DB343" s="174"/>
      <c r="DC343" s="92" t="s">
        <v>593</v>
      </c>
    </row>
    <row r="344" spans="2:107" s="26" customFormat="1" ht="63.75">
      <c r="B344" s="2">
        <f t="shared" si="283"/>
        <v>337</v>
      </c>
      <c r="C344" s="7"/>
      <c r="D344" s="7"/>
      <c r="E344" s="7"/>
      <c r="F344" s="22" t="s">
        <v>136</v>
      </c>
      <c r="G344" s="16"/>
      <c r="H344" s="13"/>
      <c r="I344" s="8"/>
      <c r="J344" s="8"/>
      <c r="K344" s="8"/>
      <c r="L344" s="8"/>
      <c r="M344" s="11" t="s">
        <v>445</v>
      </c>
      <c r="N344" s="1"/>
      <c r="O344" s="57"/>
      <c r="P344" s="95">
        <f t="shared" si="282"/>
        <v>310</v>
      </c>
      <c r="Q344" s="115">
        <v>256</v>
      </c>
      <c r="R344" s="21" t="str">
        <f t="shared" si="275"/>
        <v>NX</v>
      </c>
      <c r="S344" s="98" t="s">
        <v>137</v>
      </c>
      <c r="T344" s="96"/>
      <c r="U344" s="21" t="s">
        <v>435</v>
      </c>
      <c r="V344" s="10"/>
      <c r="W344" s="25">
        <v>3</v>
      </c>
      <c r="X344" s="1" t="s">
        <v>138</v>
      </c>
      <c r="Y344" s="1">
        <v>1</v>
      </c>
      <c r="Z344" s="1">
        <v>256</v>
      </c>
      <c r="AA344" s="8" t="s">
        <v>129</v>
      </c>
      <c r="AB344" s="8" t="s">
        <v>257</v>
      </c>
      <c r="AC344" s="12"/>
      <c r="AD344" s="60"/>
      <c r="AE344" s="174"/>
      <c r="AF344" s="170" t="str">
        <f t="shared" si="262"/>
        <v xml:space="preserve">                                                                                                                                                                                                                                                                </v>
      </c>
      <c r="AG344" s="218" t="str">
        <f t="shared" si="276"/>
        <v>-</v>
      </c>
      <c r="AH344" s="174"/>
      <c r="AI344" s="92" t="str">
        <f t="shared" si="277"/>
        <v>OK</v>
      </c>
      <c r="AJ344" s="60"/>
      <c r="AK344" s="174"/>
      <c r="AL344" s="170" t="str">
        <f t="shared" si="263"/>
        <v xml:space="preserve">                                                                                                                                                                                                                                                                </v>
      </c>
      <c r="AM344" s="218" t="str">
        <f t="shared" si="284"/>
        <v>-</v>
      </c>
      <c r="AN344" s="174"/>
      <c r="AO344" s="92" t="str">
        <f t="shared" si="278"/>
        <v>OK</v>
      </c>
      <c r="AP344" s="60"/>
      <c r="AQ344" s="170"/>
      <c r="AR344" s="170" t="str">
        <f t="shared" si="264"/>
        <v xml:space="preserve">                                                                                                                                                                                                                                                                </v>
      </c>
      <c r="AS344" s="218" t="s">
        <v>593</v>
      </c>
      <c r="AT344" s="170"/>
      <c r="AU344" s="218" t="str">
        <f t="shared" si="261"/>
        <v>-</v>
      </c>
      <c r="AV344" s="60"/>
      <c r="AW344" s="174"/>
      <c r="AX344" s="170" t="str">
        <f t="shared" si="265"/>
        <v xml:space="preserve">                                                                                                                                                                                                                                                                </v>
      </c>
      <c r="AY344" s="218" t="str">
        <f t="shared" si="285"/>
        <v>-</v>
      </c>
      <c r="AZ344" s="174"/>
      <c r="BA344" s="92" t="str">
        <f t="shared" si="279"/>
        <v>OK</v>
      </c>
      <c r="BB344" s="60"/>
      <c r="BC344" s="174"/>
      <c r="BD344" s="170" t="str">
        <f t="shared" si="266"/>
        <v xml:space="preserve">                                                                                                                                                                                                                                                                </v>
      </c>
      <c r="BE344" s="218" t="str">
        <f t="shared" si="286"/>
        <v>-</v>
      </c>
      <c r="BF344" s="174"/>
      <c r="BG344" s="478" t="s">
        <v>594</v>
      </c>
      <c r="BH344" s="60"/>
      <c r="BI344" s="170" t="s">
        <v>700</v>
      </c>
      <c r="BJ344" s="170" t="str">
        <f t="shared" si="253"/>
        <v xml:space="preserve">                                                                                                                                                                                                                                                                </v>
      </c>
      <c r="BK344" s="218" t="s">
        <v>593</v>
      </c>
      <c r="BL344" s="174"/>
      <c r="BM344" s="92" t="str">
        <f t="shared" si="274"/>
        <v>NG</v>
      </c>
      <c r="BN344" s="60"/>
      <c r="BO344" s="174"/>
      <c r="BP344" s="170" t="str">
        <f t="shared" si="267"/>
        <v xml:space="preserve">                                                                                                                                                                                                                                                                </v>
      </c>
      <c r="BQ344" s="218" t="str">
        <f t="shared" si="287"/>
        <v>-</v>
      </c>
      <c r="BR344" s="174"/>
      <c r="BS344" s="478" t="s">
        <v>594</v>
      </c>
      <c r="BT344" s="60"/>
      <c r="BU344" s="170"/>
      <c r="BV344" s="170" t="str">
        <f t="shared" si="268"/>
        <v xml:space="preserve">                                                                                                                                                                                                                                                                </v>
      </c>
      <c r="BW344" s="218" t="s">
        <v>593</v>
      </c>
      <c r="BX344" s="170"/>
      <c r="BY344" s="218" t="str">
        <f t="shared" si="288"/>
        <v>-</v>
      </c>
      <c r="BZ344" s="60"/>
      <c r="CA344" s="174"/>
      <c r="CB344" s="170" t="str">
        <f t="shared" si="269"/>
        <v xml:space="preserve">                                                                                                                                                                                                                                                                </v>
      </c>
      <c r="CC344" s="218" t="str">
        <f t="shared" si="289"/>
        <v>-</v>
      </c>
      <c r="CD344" s="174"/>
      <c r="CE344" s="92" t="str">
        <f t="shared" si="280"/>
        <v>OK</v>
      </c>
      <c r="CF344" s="60"/>
      <c r="CG344" s="174"/>
      <c r="CH344" s="170" t="str">
        <f t="shared" si="270"/>
        <v xml:space="preserve">                                                                                                                                                                                                                                                                </v>
      </c>
      <c r="CI344" s="218" t="str">
        <f t="shared" si="290"/>
        <v>-</v>
      </c>
      <c r="CJ344" s="174"/>
      <c r="CK344" s="92" t="str">
        <f t="shared" si="281"/>
        <v>OK</v>
      </c>
      <c r="CL344" s="60"/>
      <c r="CM344" s="174"/>
      <c r="CN344" s="170" t="str">
        <f t="shared" si="271"/>
        <v xml:space="preserve">                                                                                                                                                                                                                                                                </v>
      </c>
      <c r="CO344" s="218" t="s">
        <v>593</v>
      </c>
      <c r="CP344" s="170"/>
      <c r="CQ344" s="218" t="str">
        <f t="shared" si="291"/>
        <v>-</v>
      </c>
      <c r="CR344" s="60"/>
      <c r="CS344" s="174"/>
      <c r="CT344" s="170" t="str">
        <f t="shared" si="272"/>
        <v xml:space="preserve">                                                                                                                                                                                                                                                                </v>
      </c>
      <c r="CU344" s="218" t="str">
        <f t="shared" si="292"/>
        <v>-</v>
      </c>
      <c r="CV344" s="174"/>
      <c r="CW344" s="92" t="s">
        <v>593</v>
      </c>
      <c r="CX344" s="60"/>
      <c r="CY344" s="174"/>
      <c r="CZ344" s="170" t="str">
        <f t="shared" si="273"/>
        <v xml:space="preserve">                                                                                                                                                                                                                                                                </v>
      </c>
      <c r="DA344" s="218" t="str">
        <f t="shared" si="293"/>
        <v>-</v>
      </c>
      <c r="DB344" s="174"/>
      <c r="DC344" s="92" t="s">
        <v>593</v>
      </c>
    </row>
    <row r="345" spans="2:107" s="26" customFormat="1" ht="69" customHeight="1">
      <c r="B345" s="19">
        <f t="shared" si="283"/>
        <v>338</v>
      </c>
      <c r="C345" s="7"/>
      <c r="D345" s="7"/>
      <c r="E345" s="7"/>
      <c r="F345" s="112" t="s">
        <v>446</v>
      </c>
      <c r="G345" s="16"/>
      <c r="H345" s="13"/>
      <c r="I345" s="8"/>
      <c r="J345" s="8" t="s">
        <v>426</v>
      </c>
      <c r="K345" s="8"/>
      <c r="L345" s="8"/>
      <c r="M345" s="11" t="s">
        <v>301</v>
      </c>
      <c r="N345" s="1"/>
      <c r="O345" s="57"/>
      <c r="P345" s="95">
        <f t="shared" si="282"/>
        <v>311</v>
      </c>
      <c r="Q345" s="115">
        <v>1</v>
      </c>
      <c r="R345" s="21" t="s">
        <v>418</v>
      </c>
      <c r="S345" s="98" t="s">
        <v>139</v>
      </c>
      <c r="T345" s="96"/>
      <c r="U345" s="21" t="s">
        <v>435</v>
      </c>
      <c r="V345" s="10"/>
      <c r="W345" s="25">
        <v>3</v>
      </c>
      <c r="X345" s="1" t="s">
        <v>140</v>
      </c>
      <c r="Y345" s="1">
        <v>1</v>
      </c>
      <c r="Z345" s="1">
        <v>1</v>
      </c>
      <c r="AA345" s="8">
        <v>9</v>
      </c>
      <c r="AB345" s="8" t="s">
        <v>21</v>
      </c>
      <c r="AC345" s="12"/>
      <c r="AD345" s="60"/>
      <c r="AE345" s="174"/>
      <c r="AF345" s="61" t="str">
        <f t="shared" si="262"/>
        <v xml:space="preserve"> </v>
      </c>
      <c r="AG345" s="218" t="str">
        <f t="shared" si="276"/>
        <v>-</v>
      </c>
      <c r="AH345" s="174"/>
      <c r="AI345" s="92" t="str">
        <f t="shared" si="277"/>
        <v>OK</v>
      </c>
      <c r="AJ345" s="60"/>
      <c r="AK345" s="174"/>
      <c r="AL345" s="61" t="str">
        <f t="shared" si="263"/>
        <v xml:space="preserve"> </v>
      </c>
      <c r="AM345" s="218" t="str">
        <f t="shared" si="284"/>
        <v>-</v>
      </c>
      <c r="AN345" s="174"/>
      <c r="AO345" s="92" t="str">
        <f t="shared" si="278"/>
        <v>OK</v>
      </c>
      <c r="AP345" s="60"/>
      <c r="AQ345" s="170"/>
      <c r="AR345" s="61" t="str">
        <f t="shared" si="264"/>
        <v xml:space="preserve"> </v>
      </c>
      <c r="AS345" s="218" t="s">
        <v>593</v>
      </c>
      <c r="AT345" s="61"/>
      <c r="AU345" s="218" t="str">
        <f t="shared" si="261"/>
        <v>-</v>
      </c>
      <c r="AV345" s="60"/>
      <c r="AW345" s="174" t="s">
        <v>701</v>
      </c>
      <c r="AX345" s="61" t="str">
        <f t="shared" si="265"/>
        <v>3</v>
      </c>
      <c r="AY345" s="218" t="str">
        <f t="shared" si="285"/>
        <v>-</v>
      </c>
      <c r="AZ345" s="174">
        <v>3</v>
      </c>
      <c r="BA345" s="92" t="str">
        <f t="shared" si="279"/>
        <v>OK</v>
      </c>
      <c r="BB345" s="60"/>
      <c r="BC345" s="174" t="s">
        <v>33</v>
      </c>
      <c r="BD345" s="61" t="str">
        <f t="shared" si="266"/>
        <v>1</v>
      </c>
      <c r="BE345" s="218" t="str">
        <f t="shared" si="286"/>
        <v>-</v>
      </c>
      <c r="BF345" s="174" t="s">
        <v>33</v>
      </c>
      <c r="BG345" s="478" t="s">
        <v>594</v>
      </c>
      <c r="BH345" s="60"/>
      <c r="BI345" s="170" t="s">
        <v>701</v>
      </c>
      <c r="BJ345" s="61" t="str">
        <f t="shared" si="253"/>
        <v>3</v>
      </c>
      <c r="BK345" s="218" t="s">
        <v>593</v>
      </c>
      <c r="BL345" s="174">
        <v>3</v>
      </c>
      <c r="BM345" s="92" t="str">
        <f t="shared" si="274"/>
        <v>OK</v>
      </c>
      <c r="BN345" s="60"/>
      <c r="BO345" s="174" t="s">
        <v>33</v>
      </c>
      <c r="BP345" s="61" t="str">
        <f t="shared" si="267"/>
        <v>1</v>
      </c>
      <c r="BQ345" s="218" t="str">
        <f t="shared" si="287"/>
        <v>-</v>
      </c>
      <c r="BR345" s="174" t="s">
        <v>33</v>
      </c>
      <c r="BS345" s="478" t="s">
        <v>594</v>
      </c>
      <c r="BT345" s="60"/>
      <c r="BU345" s="170"/>
      <c r="BV345" s="61" t="str">
        <f t="shared" si="268"/>
        <v xml:space="preserve"> </v>
      </c>
      <c r="BW345" s="218" t="s">
        <v>593</v>
      </c>
      <c r="BX345" s="61"/>
      <c r="BY345" s="218" t="str">
        <f t="shared" si="288"/>
        <v>-</v>
      </c>
      <c r="BZ345" s="60"/>
      <c r="CA345" s="174"/>
      <c r="CB345" s="61" t="str">
        <f t="shared" si="269"/>
        <v xml:space="preserve"> </v>
      </c>
      <c r="CC345" s="218" t="str">
        <f t="shared" si="289"/>
        <v>-</v>
      </c>
      <c r="CD345" s="174"/>
      <c r="CE345" s="92" t="str">
        <f t="shared" si="280"/>
        <v>OK</v>
      </c>
      <c r="CF345" s="60"/>
      <c r="CG345" s="174"/>
      <c r="CH345" s="61" t="str">
        <f t="shared" si="270"/>
        <v xml:space="preserve"> </v>
      </c>
      <c r="CI345" s="218" t="str">
        <f t="shared" si="290"/>
        <v>-</v>
      </c>
      <c r="CJ345" s="174"/>
      <c r="CK345" s="92" t="str">
        <f t="shared" si="281"/>
        <v>OK</v>
      </c>
      <c r="CL345" s="60"/>
      <c r="CM345" s="174"/>
      <c r="CN345" s="61" t="str">
        <f t="shared" si="271"/>
        <v xml:space="preserve"> </v>
      </c>
      <c r="CO345" s="218" t="s">
        <v>593</v>
      </c>
      <c r="CP345" s="61"/>
      <c r="CQ345" s="218" t="str">
        <f t="shared" si="291"/>
        <v>-</v>
      </c>
      <c r="CR345" s="60"/>
      <c r="CS345" s="174"/>
      <c r="CT345" s="61" t="str">
        <f t="shared" si="272"/>
        <v xml:space="preserve"> </v>
      </c>
      <c r="CU345" s="218" t="str">
        <f t="shared" si="292"/>
        <v>-</v>
      </c>
      <c r="CV345" s="174"/>
      <c r="CW345" s="92" t="s">
        <v>593</v>
      </c>
      <c r="CX345" s="60"/>
      <c r="CY345" s="174"/>
      <c r="CZ345" s="61" t="str">
        <f t="shared" si="273"/>
        <v xml:space="preserve"> </v>
      </c>
      <c r="DA345" s="218" t="str">
        <f t="shared" si="293"/>
        <v>-</v>
      </c>
      <c r="DB345" s="174"/>
      <c r="DC345" s="92" t="s">
        <v>593</v>
      </c>
    </row>
    <row r="346" spans="2:107" s="26" customFormat="1" ht="114.75">
      <c r="B346" s="2">
        <f t="shared" si="283"/>
        <v>339</v>
      </c>
      <c r="C346" s="7"/>
      <c r="D346" s="7"/>
      <c r="E346" s="7"/>
      <c r="F346" s="22" t="s">
        <v>141</v>
      </c>
      <c r="G346" s="16"/>
      <c r="H346" s="13"/>
      <c r="I346" s="8"/>
      <c r="J346" s="8"/>
      <c r="K346" s="8"/>
      <c r="L346" s="8"/>
      <c r="M346" s="418" t="s">
        <v>221</v>
      </c>
      <c r="N346" s="1"/>
      <c r="O346" s="57"/>
      <c r="P346" s="95">
        <f t="shared" si="282"/>
        <v>312</v>
      </c>
      <c r="Q346" s="115">
        <v>1</v>
      </c>
      <c r="R346" s="21" t="s">
        <v>418</v>
      </c>
      <c r="S346" s="98" t="s">
        <v>142</v>
      </c>
      <c r="T346" s="96"/>
      <c r="U346" s="21" t="s">
        <v>435</v>
      </c>
      <c r="V346" s="10"/>
      <c r="W346" s="25">
        <v>3</v>
      </c>
      <c r="X346" s="1" t="s">
        <v>20</v>
      </c>
      <c r="Y346" s="1">
        <v>1</v>
      </c>
      <c r="Z346" s="1">
        <v>1</v>
      </c>
      <c r="AA346" s="8">
        <v>9</v>
      </c>
      <c r="AB346" s="8" t="s">
        <v>21</v>
      </c>
      <c r="AC346" s="103"/>
      <c r="AD346" s="60"/>
      <c r="AE346" s="174"/>
      <c r="AF346" s="61" t="str">
        <f t="shared" si="262"/>
        <v xml:space="preserve"> </v>
      </c>
      <c r="AG346" s="218" t="str">
        <f t="shared" si="276"/>
        <v>-</v>
      </c>
      <c r="AH346" s="174"/>
      <c r="AI346" s="92" t="str">
        <f t="shared" si="277"/>
        <v>OK</v>
      </c>
      <c r="AJ346" s="60"/>
      <c r="AK346" s="174"/>
      <c r="AL346" s="61" t="str">
        <f t="shared" si="263"/>
        <v xml:space="preserve"> </v>
      </c>
      <c r="AM346" s="218" t="str">
        <f t="shared" si="284"/>
        <v>-</v>
      </c>
      <c r="AN346" s="174"/>
      <c r="AO346" s="92" t="str">
        <f t="shared" si="278"/>
        <v>OK</v>
      </c>
      <c r="AP346" s="60"/>
      <c r="AQ346" s="170"/>
      <c r="AR346" s="61" t="str">
        <f t="shared" si="264"/>
        <v xml:space="preserve"> </v>
      </c>
      <c r="AS346" s="218" t="s">
        <v>593</v>
      </c>
      <c r="AT346" s="61"/>
      <c r="AU346" s="218" t="str">
        <f t="shared" si="261"/>
        <v>-</v>
      </c>
      <c r="AV346" s="60"/>
      <c r="AW346" s="174"/>
      <c r="AX346" s="61" t="str">
        <f t="shared" si="265"/>
        <v xml:space="preserve"> </v>
      </c>
      <c r="AY346" s="218" t="str">
        <f t="shared" si="285"/>
        <v>-</v>
      </c>
      <c r="AZ346" s="174"/>
      <c r="BA346" s="92" t="str">
        <f t="shared" si="279"/>
        <v>OK</v>
      </c>
      <c r="BB346" s="60"/>
      <c r="BC346" s="174"/>
      <c r="BD346" s="61" t="str">
        <f t="shared" si="266"/>
        <v xml:space="preserve"> </v>
      </c>
      <c r="BE346" s="218" t="str">
        <f t="shared" si="286"/>
        <v>-</v>
      </c>
      <c r="BF346" s="174"/>
      <c r="BG346" s="478" t="s">
        <v>594</v>
      </c>
      <c r="BH346" s="60"/>
      <c r="BI346" s="170" t="s">
        <v>38</v>
      </c>
      <c r="BJ346" s="61" t="str">
        <f t="shared" si="253"/>
        <v xml:space="preserve"> </v>
      </c>
      <c r="BK346" s="218" t="s">
        <v>593</v>
      </c>
      <c r="BL346" s="174"/>
      <c r="BM346" s="92" t="str">
        <f t="shared" si="274"/>
        <v>NG</v>
      </c>
      <c r="BN346" s="60"/>
      <c r="BO346" s="174"/>
      <c r="BP346" s="61" t="str">
        <f t="shared" si="267"/>
        <v xml:space="preserve"> </v>
      </c>
      <c r="BQ346" s="218" t="str">
        <f t="shared" si="287"/>
        <v>-</v>
      </c>
      <c r="BR346" s="174"/>
      <c r="BS346" s="478" t="s">
        <v>594</v>
      </c>
      <c r="BT346" s="60"/>
      <c r="BU346" s="170"/>
      <c r="BV346" s="61" t="str">
        <f t="shared" si="268"/>
        <v xml:space="preserve"> </v>
      </c>
      <c r="BW346" s="218" t="s">
        <v>593</v>
      </c>
      <c r="BX346" s="61"/>
      <c r="BY346" s="218" t="str">
        <f t="shared" si="288"/>
        <v>-</v>
      </c>
      <c r="BZ346" s="60"/>
      <c r="CA346" s="174"/>
      <c r="CB346" s="61" t="str">
        <f t="shared" si="269"/>
        <v xml:space="preserve"> </v>
      </c>
      <c r="CC346" s="218" t="str">
        <f t="shared" si="289"/>
        <v>-</v>
      </c>
      <c r="CD346" s="174"/>
      <c r="CE346" s="92" t="str">
        <f t="shared" si="280"/>
        <v>OK</v>
      </c>
      <c r="CF346" s="60"/>
      <c r="CG346" s="174"/>
      <c r="CH346" s="61" t="str">
        <f t="shared" si="270"/>
        <v xml:space="preserve"> </v>
      </c>
      <c r="CI346" s="218" t="str">
        <f t="shared" si="290"/>
        <v>-</v>
      </c>
      <c r="CJ346" s="174"/>
      <c r="CK346" s="92" t="str">
        <f t="shared" si="281"/>
        <v>OK</v>
      </c>
      <c r="CL346" s="60"/>
      <c r="CM346" s="174"/>
      <c r="CN346" s="61" t="str">
        <f t="shared" si="271"/>
        <v xml:space="preserve"> </v>
      </c>
      <c r="CO346" s="218" t="s">
        <v>593</v>
      </c>
      <c r="CP346" s="61"/>
      <c r="CQ346" s="218" t="str">
        <f t="shared" si="291"/>
        <v>-</v>
      </c>
      <c r="CR346" s="60"/>
      <c r="CS346" s="174"/>
      <c r="CT346" s="61" t="str">
        <f t="shared" si="272"/>
        <v xml:space="preserve"> </v>
      </c>
      <c r="CU346" s="218" t="str">
        <f t="shared" si="292"/>
        <v>-</v>
      </c>
      <c r="CV346" s="174"/>
      <c r="CW346" s="92" t="s">
        <v>593</v>
      </c>
      <c r="CX346" s="60"/>
      <c r="CY346" s="174"/>
      <c r="CZ346" s="61" t="str">
        <f t="shared" si="273"/>
        <v xml:space="preserve"> </v>
      </c>
      <c r="DA346" s="218" t="str">
        <f t="shared" si="293"/>
        <v>-</v>
      </c>
      <c r="DB346" s="174"/>
      <c r="DC346" s="92" t="s">
        <v>593</v>
      </c>
    </row>
    <row r="347" spans="2:107" s="26" customFormat="1" ht="123.75" customHeight="1">
      <c r="B347" s="65">
        <f t="shared" si="283"/>
        <v>340</v>
      </c>
      <c r="C347" s="7"/>
      <c r="D347" s="7"/>
      <c r="E347" s="7"/>
      <c r="F347" s="112" t="s">
        <v>143</v>
      </c>
      <c r="G347" s="16"/>
      <c r="H347" s="13"/>
      <c r="I347" s="8"/>
      <c r="J347" s="8"/>
      <c r="K347" s="8"/>
      <c r="L347" s="8"/>
      <c r="M347" s="11" t="s">
        <v>447</v>
      </c>
      <c r="N347" s="1"/>
      <c r="O347" s="57"/>
      <c r="P347" s="95">
        <f t="shared" si="282"/>
        <v>313</v>
      </c>
      <c r="Q347" s="115">
        <v>1</v>
      </c>
      <c r="R347" s="21" t="str">
        <f t="shared" ref="R347:R363" si="294">IF(AA347="M","NX",AA347)</f>
        <v>X</v>
      </c>
      <c r="S347" s="98" t="s">
        <v>189</v>
      </c>
      <c r="T347" s="96"/>
      <c r="U347" s="21" t="s">
        <v>435</v>
      </c>
      <c r="V347" s="10"/>
      <c r="W347" s="25">
        <v>3</v>
      </c>
      <c r="X347" s="1" t="s">
        <v>302</v>
      </c>
      <c r="Y347" s="1">
        <v>1</v>
      </c>
      <c r="Z347" s="1">
        <v>1</v>
      </c>
      <c r="AA347" s="8" t="s">
        <v>261</v>
      </c>
      <c r="AB347" s="8" t="s">
        <v>257</v>
      </c>
      <c r="AC347" s="12"/>
      <c r="AD347" s="60"/>
      <c r="AE347" s="174"/>
      <c r="AF347" s="61" t="str">
        <f t="shared" si="262"/>
        <v xml:space="preserve"> </v>
      </c>
      <c r="AG347" s="218" t="str">
        <f t="shared" si="276"/>
        <v>-</v>
      </c>
      <c r="AH347" s="174"/>
      <c r="AI347" s="92" t="str">
        <f t="shared" si="277"/>
        <v>OK</v>
      </c>
      <c r="AJ347" s="60"/>
      <c r="AK347" s="174"/>
      <c r="AL347" s="61" t="str">
        <f t="shared" si="263"/>
        <v xml:space="preserve"> </v>
      </c>
      <c r="AM347" s="218" t="str">
        <f t="shared" si="284"/>
        <v>-</v>
      </c>
      <c r="AN347" s="174"/>
      <c r="AO347" s="92" t="str">
        <f t="shared" si="278"/>
        <v>OK</v>
      </c>
      <c r="AP347" s="60"/>
      <c r="AQ347" s="170"/>
      <c r="AR347" s="61" t="str">
        <f t="shared" si="264"/>
        <v xml:space="preserve"> </v>
      </c>
      <c r="AS347" s="218" t="s">
        <v>593</v>
      </c>
      <c r="AT347" s="61"/>
      <c r="AU347" s="218" t="str">
        <f t="shared" si="261"/>
        <v>-</v>
      </c>
      <c r="AV347" s="60"/>
      <c r="AW347" s="174" t="s">
        <v>368</v>
      </c>
      <c r="AX347" s="61" t="str">
        <f t="shared" si="265"/>
        <v>0</v>
      </c>
      <c r="AY347" s="218" t="str">
        <f t="shared" si="285"/>
        <v>-</v>
      </c>
      <c r="AZ347" s="174">
        <v>0</v>
      </c>
      <c r="BA347" s="92" t="str">
        <f t="shared" si="279"/>
        <v>OK</v>
      </c>
      <c r="BB347" s="60"/>
      <c r="BC347" s="174" t="s">
        <v>368</v>
      </c>
      <c r="BD347" s="61" t="str">
        <f t="shared" si="266"/>
        <v>6</v>
      </c>
      <c r="BE347" s="218" t="str">
        <f t="shared" si="286"/>
        <v>-</v>
      </c>
      <c r="BF347" s="174" t="s">
        <v>385</v>
      </c>
      <c r="BG347" s="478" t="s">
        <v>594</v>
      </c>
      <c r="BH347" s="60"/>
      <c r="BI347" s="170" t="s">
        <v>723</v>
      </c>
      <c r="BJ347" s="61" t="str">
        <f t="shared" si="253"/>
        <v>7</v>
      </c>
      <c r="BK347" s="218" t="s">
        <v>593</v>
      </c>
      <c r="BL347" s="174">
        <v>7</v>
      </c>
      <c r="BM347" s="92" t="str">
        <f t="shared" si="274"/>
        <v>OK</v>
      </c>
      <c r="BN347" s="60"/>
      <c r="BO347" s="174" t="s">
        <v>368</v>
      </c>
      <c r="BP347" s="61" t="str">
        <f t="shared" si="267"/>
        <v>6</v>
      </c>
      <c r="BQ347" s="218" t="str">
        <f t="shared" si="287"/>
        <v>-</v>
      </c>
      <c r="BR347" s="174" t="s">
        <v>385</v>
      </c>
      <c r="BS347" s="478" t="s">
        <v>594</v>
      </c>
      <c r="BT347" s="60"/>
      <c r="BU347" s="170"/>
      <c r="BV347" s="61" t="str">
        <f t="shared" si="268"/>
        <v xml:space="preserve"> </v>
      </c>
      <c r="BW347" s="218" t="s">
        <v>593</v>
      </c>
      <c r="BX347" s="61"/>
      <c r="BY347" s="218" t="str">
        <f t="shared" si="288"/>
        <v>-</v>
      </c>
      <c r="BZ347" s="60"/>
      <c r="CA347" s="174"/>
      <c r="CB347" s="61" t="str">
        <f t="shared" si="269"/>
        <v xml:space="preserve"> </v>
      </c>
      <c r="CC347" s="218" t="str">
        <f t="shared" si="289"/>
        <v>-</v>
      </c>
      <c r="CD347" s="174"/>
      <c r="CE347" s="92" t="str">
        <f t="shared" si="280"/>
        <v>OK</v>
      </c>
      <c r="CF347" s="60"/>
      <c r="CG347" s="174"/>
      <c r="CH347" s="61" t="str">
        <f t="shared" si="270"/>
        <v xml:space="preserve"> </v>
      </c>
      <c r="CI347" s="218" t="str">
        <f t="shared" si="290"/>
        <v>-</v>
      </c>
      <c r="CJ347" s="174"/>
      <c r="CK347" s="92" t="str">
        <f t="shared" si="281"/>
        <v>OK</v>
      </c>
      <c r="CL347" s="60"/>
      <c r="CM347" s="174"/>
      <c r="CN347" s="61" t="str">
        <f t="shared" si="271"/>
        <v xml:space="preserve"> </v>
      </c>
      <c r="CO347" s="218" t="s">
        <v>593</v>
      </c>
      <c r="CP347" s="61"/>
      <c r="CQ347" s="218" t="str">
        <f t="shared" si="291"/>
        <v>-</v>
      </c>
      <c r="CR347" s="60"/>
      <c r="CS347" s="174"/>
      <c r="CT347" s="61" t="str">
        <f t="shared" si="272"/>
        <v xml:space="preserve"> </v>
      </c>
      <c r="CU347" s="218" t="str">
        <f t="shared" si="292"/>
        <v>-</v>
      </c>
      <c r="CV347" s="174"/>
      <c r="CW347" s="92" t="s">
        <v>593</v>
      </c>
      <c r="CX347" s="60"/>
      <c r="CY347" s="174"/>
      <c r="CZ347" s="61" t="str">
        <f t="shared" si="273"/>
        <v xml:space="preserve"> </v>
      </c>
      <c r="DA347" s="218" t="str">
        <f t="shared" si="293"/>
        <v>-</v>
      </c>
      <c r="DB347" s="174"/>
      <c r="DC347" s="92" t="s">
        <v>593</v>
      </c>
    </row>
    <row r="348" spans="2:107" s="26" customFormat="1">
      <c r="B348" s="65">
        <f t="shared" si="283"/>
        <v>341</v>
      </c>
      <c r="C348" s="7"/>
      <c r="D348" s="7"/>
      <c r="E348" s="7"/>
      <c r="F348" s="22" t="s">
        <v>144</v>
      </c>
      <c r="G348" s="16"/>
      <c r="H348" s="13"/>
      <c r="I348" s="8"/>
      <c r="J348" s="8"/>
      <c r="K348" s="8"/>
      <c r="L348" s="8"/>
      <c r="M348" s="418" t="s">
        <v>145</v>
      </c>
      <c r="N348" s="1"/>
      <c r="O348" s="57"/>
      <c r="P348" s="95">
        <f t="shared" si="282"/>
        <v>314</v>
      </c>
      <c r="Q348" s="115">
        <v>400</v>
      </c>
      <c r="R348" s="21" t="str">
        <f t="shared" si="294"/>
        <v>NX</v>
      </c>
      <c r="S348" s="98" t="s">
        <v>146</v>
      </c>
      <c r="T348" s="96"/>
      <c r="U348" s="21" t="s">
        <v>435</v>
      </c>
      <c r="V348" s="10"/>
      <c r="W348" s="25">
        <v>3</v>
      </c>
      <c r="X348" s="1" t="s">
        <v>147</v>
      </c>
      <c r="Y348" s="1">
        <v>1</v>
      </c>
      <c r="Z348" s="1">
        <v>400</v>
      </c>
      <c r="AA348" s="8" t="s">
        <v>129</v>
      </c>
      <c r="AB348" s="8" t="s">
        <v>257</v>
      </c>
      <c r="AC348" s="12"/>
      <c r="AD348" s="60"/>
      <c r="AE348" s="174"/>
      <c r="AF348" s="271" t="str">
        <f t="shared" si="262"/>
        <v xml:space="preserve">                                                                                                                                                                                                                                                                                                                                                                                                                </v>
      </c>
      <c r="AG348" s="218" t="str">
        <f t="shared" si="276"/>
        <v>-</v>
      </c>
      <c r="AH348" s="174"/>
      <c r="AI348" s="92" t="str">
        <f t="shared" si="277"/>
        <v>OK</v>
      </c>
      <c r="AJ348" s="60"/>
      <c r="AK348" s="174"/>
      <c r="AL348" s="271" t="str">
        <f t="shared" si="263"/>
        <v xml:space="preserve">                                                                                                                                                                                                                                                                                                                                                                                                                </v>
      </c>
      <c r="AM348" s="218" t="str">
        <f t="shared" si="284"/>
        <v>-</v>
      </c>
      <c r="AN348" s="174"/>
      <c r="AO348" s="92" t="str">
        <f t="shared" si="278"/>
        <v>OK</v>
      </c>
      <c r="AP348" s="60"/>
      <c r="AQ348" s="170"/>
      <c r="AR348" s="271" t="str">
        <f t="shared" si="264"/>
        <v xml:space="preserve">                                                                                                                                                                                                                                                                                                                                                                                                                </v>
      </c>
      <c r="AS348" s="218" t="s">
        <v>593</v>
      </c>
      <c r="AT348" s="271"/>
      <c r="AU348" s="218" t="str">
        <f t="shared" si="261"/>
        <v>-</v>
      </c>
      <c r="AV348" s="60"/>
      <c r="AW348" s="174" t="s">
        <v>718</v>
      </c>
      <c r="AX348" s="271" t="str">
        <f t="shared" si="265"/>
        <v xml:space="preserve">現在提供しておりません。                                                                                                                                                                                                                                                                                                                                                                                        </v>
      </c>
      <c r="AY348" s="218" t="str">
        <f t="shared" si="285"/>
        <v>-</v>
      </c>
      <c r="AZ348" s="174" t="s">
        <v>481</v>
      </c>
      <c r="BA348" s="92" t="str">
        <f t="shared" si="279"/>
        <v>OK</v>
      </c>
      <c r="BB348" s="60"/>
      <c r="BC348" s="174" t="s">
        <v>717</v>
      </c>
      <c r="BD348" s="271" t="str">
        <f t="shared" si="266"/>
        <v xml:space="preserve">サービスエリア内でも電波が伝わりにくい場所（屋内、車中、地下、トンネル内、ビルの陰、山間部など）では、通信できなかったり通信速度が低下する場合があります。また、高層ビル・マンションなどの高層階で見晴らしのよい場所であってもご使用になれない場合があります。電波状態が一定以上悪くなった場合には、突然通信が途切れることとなりますが、電波状態が良いところでも通信が途切れることがあります。                  </v>
      </c>
      <c r="BE348" s="218" t="str">
        <f t="shared" si="286"/>
        <v>-</v>
      </c>
      <c r="BF348" s="174" t="s">
        <v>404</v>
      </c>
      <c r="BG348" s="478" t="s">
        <v>594</v>
      </c>
      <c r="BH348" s="60"/>
      <c r="BI348" s="170" t="s">
        <v>748</v>
      </c>
      <c r="BJ348" s="271" t="str">
        <f t="shared" si="253"/>
        <v xml:space="preserve">申込多数のため、現在受付できません。\※受付再開時期は未定です。                                                                                                                                                                                                                                                                                                                                                 </v>
      </c>
      <c r="BK348" s="218" t="s">
        <v>593</v>
      </c>
      <c r="BL348" s="174" t="s">
        <v>632</v>
      </c>
      <c r="BM348" s="92" t="str">
        <f t="shared" si="274"/>
        <v>NG</v>
      </c>
      <c r="BN348" s="60"/>
      <c r="BO348" s="174" t="s">
        <v>717</v>
      </c>
      <c r="BP348" s="271" t="str">
        <f t="shared" si="267"/>
        <v xml:space="preserve">サービスエリア内でも電波が伝わりにくい場所（屋内、車中、地下、トンネル内、ビルの陰、山間部など）では、通信できなかったり通信速度が低下する場合があります。また、高層ビル・マンションなどの高層階で見晴らしのよい場所であってもご使用になれない場合があります。電波状態が一定以上悪くなった場合には、突然通信が途切れることとなりますが、電波状態が良いところでも通信が途切れることがあります。                  </v>
      </c>
      <c r="BQ348" s="218" t="str">
        <f t="shared" si="287"/>
        <v>-</v>
      </c>
      <c r="BR348" s="174" t="s">
        <v>404</v>
      </c>
      <c r="BS348" s="478" t="s">
        <v>594</v>
      </c>
      <c r="BT348" s="60"/>
      <c r="BU348" s="170"/>
      <c r="BV348" s="271" t="str">
        <f t="shared" si="268"/>
        <v xml:space="preserve">                                                                                                                                                                                                                                                                                                                                                                                                                </v>
      </c>
      <c r="BW348" s="218" t="s">
        <v>593</v>
      </c>
      <c r="BX348" s="271"/>
      <c r="BY348" s="218" t="str">
        <f t="shared" si="288"/>
        <v>-</v>
      </c>
      <c r="BZ348" s="60"/>
      <c r="CA348" s="174"/>
      <c r="CB348" s="271" t="str">
        <f t="shared" si="269"/>
        <v xml:space="preserve">                                                                                                                                                                                                                                                                                                                                                                                                                </v>
      </c>
      <c r="CC348" s="218" t="str">
        <f t="shared" si="289"/>
        <v>-</v>
      </c>
      <c r="CD348" s="174"/>
      <c r="CE348" s="92" t="str">
        <f t="shared" si="280"/>
        <v>OK</v>
      </c>
      <c r="CF348" s="60"/>
      <c r="CG348" s="174"/>
      <c r="CH348" s="271" t="str">
        <f t="shared" si="270"/>
        <v xml:space="preserve">                                                                                                                                                                                                                                                                                                                                                                                                                </v>
      </c>
      <c r="CI348" s="218" t="str">
        <f t="shared" si="290"/>
        <v>-</v>
      </c>
      <c r="CJ348" s="174"/>
      <c r="CK348" s="92" t="str">
        <f t="shared" si="281"/>
        <v>OK</v>
      </c>
      <c r="CL348" s="60"/>
      <c r="CM348" s="174"/>
      <c r="CN348" s="271" t="str">
        <f t="shared" si="271"/>
        <v xml:space="preserve">                                                                                                                                                                                                                                                                                                                                                                                                                </v>
      </c>
      <c r="CO348" s="218" t="s">
        <v>593</v>
      </c>
      <c r="CP348" s="271"/>
      <c r="CQ348" s="218" t="str">
        <f t="shared" si="291"/>
        <v>-</v>
      </c>
      <c r="CR348" s="60"/>
      <c r="CS348" s="174"/>
      <c r="CT348" s="271" t="str">
        <f t="shared" si="272"/>
        <v xml:space="preserve">                                                                                                                                                                                                                                                                                                                                                                                                                </v>
      </c>
      <c r="CU348" s="218" t="str">
        <f t="shared" si="292"/>
        <v>-</v>
      </c>
      <c r="CV348" s="174"/>
      <c r="CW348" s="92" t="s">
        <v>593</v>
      </c>
      <c r="CX348" s="60"/>
      <c r="CY348" s="174"/>
      <c r="CZ348" s="271" t="str">
        <f t="shared" si="273"/>
        <v xml:space="preserve">                                                                                                                                                                                                                                                                                                                                                                                                                </v>
      </c>
      <c r="DA348" s="218" t="str">
        <f t="shared" si="293"/>
        <v>-</v>
      </c>
      <c r="DB348" s="174"/>
      <c r="DC348" s="92" t="s">
        <v>593</v>
      </c>
    </row>
    <row r="349" spans="2:107" s="26" customFormat="1" ht="63.75">
      <c r="B349" s="65">
        <f t="shared" si="283"/>
        <v>342</v>
      </c>
      <c r="C349" s="7"/>
      <c r="D349" s="7"/>
      <c r="E349" s="7"/>
      <c r="F349" s="22" t="s">
        <v>148</v>
      </c>
      <c r="G349" s="16"/>
      <c r="H349" s="13"/>
      <c r="I349" s="8"/>
      <c r="J349" s="8"/>
      <c r="K349" s="8"/>
      <c r="L349" s="8"/>
      <c r="M349" s="418" t="s">
        <v>448</v>
      </c>
      <c r="N349" s="1"/>
      <c r="O349" s="57"/>
      <c r="P349" s="95">
        <f t="shared" si="282"/>
        <v>315</v>
      </c>
      <c r="Q349" s="115">
        <v>400</v>
      </c>
      <c r="R349" s="21" t="str">
        <f t="shared" si="294"/>
        <v>NX</v>
      </c>
      <c r="S349" s="98" t="s">
        <v>149</v>
      </c>
      <c r="T349" s="96"/>
      <c r="U349" s="21" t="s">
        <v>435</v>
      </c>
      <c r="V349" s="10"/>
      <c r="W349" s="25">
        <v>3</v>
      </c>
      <c r="X349" s="1" t="s">
        <v>150</v>
      </c>
      <c r="Y349" s="1">
        <v>1</v>
      </c>
      <c r="Z349" s="1">
        <v>400</v>
      </c>
      <c r="AA349" s="8" t="s">
        <v>129</v>
      </c>
      <c r="AB349" s="8" t="s">
        <v>257</v>
      </c>
      <c r="AC349" s="12"/>
      <c r="AD349" s="60"/>
      <c r="AE349" s="174"/>
      <c r="AF349" s="91" t="str">
        <f t="shared" si="262"/>
        <v xml:space="preserve">                                                                                                                                                                                                                                                                                                                                                                                                                </v>
      </c>
      <c r="AG349" s="218" t="str">
        <f t="shared" si="276"/>
        <v>-</v>
      </c>
      <c r="AH349" s="174"/>
      <c r="AI349" s="92" t="str">
        <f t="shared" si="277"/>
        <v>OK</v>
      </c>
      <c r="AJ349" s="60"/>
      <c r="AK349" s="174"/>
      <c r="AL349" s="91" t="str">
        <f t="shared" si="263"/>
        <v xml:space="preserve">                                                                                                                                                                                                                                                                                                                                                                                                                </v>
      </c>
      <c r="AM349" s="218" t="str">
        <f t="shared" si="284"/>
        <v>-</v>
      </c>
      <c r="AN349" s="174"/>
      <c r="AO349" s="92" t="str">
        <f t="shared" si="278"/>
        <v>OK</v>
      </c>
      <c r="AP349" s="60"/>
      <c r="AQ349" s="170"/>
      <c r="AR349" s="91" t="str">
        <f t="shared" si="264"/>
        <v xml:space="preserve">                                                                                                                                                                                                                                                                                                                                                                                                                </v>
      </c>
      <c r="AS349" s="218" t="s">
        <v>593</v>
      </c>
      <c r="AT349" s="91"/>
      <c r="AU349" s="218" t="str">
        <f t="shared" si="261"/>
        <v>-</v>
      </c>
      <c r="AV349" s="60"/>
      <c r="AW349" s="174"/>
      <c r="AX349" s="91" t="str">
        <f t="shared" si="265"/>
        <v xml:space="preserve">                                                                                                                                                                                                                                                                                                                                                                                                                </v>
      </c>
      <c r="AY349" s="218" t="str">
        <f t="shared" si="285"/>
        <v>-</v>
      </c>
      <c r="AZ349" s="174"/>
      <c r="BA349" s="92" t="str">
        <f t="shared" si="279"/>
        <v>OK</v>
      </c>
      <c r="BB349" s="60"/>
      <c r="BC349" s="174"/>
      <c r="BD349" s="91" t="str">
        <f t="shared" si="266"/>
        <v xml:space="preserve">                                                                                                                                                                                                                                                                                                                                                                                                                </v>
      </c>
      <c r="BE349" s="218" t="str">
        <f t="shared" si="286"/>
        <v>-</v>
      </c>
      <c r="BF349" s="174"/>
      <c r="BG349" s="478" t="s">
        <v>594</v>
      </c>
      <c r="BH349" s="60"/>
      <c r="BI349" s="170" t="s">
        <v>703</v>
      </c>
      <c r="BJ349" s="91" t="str">
        <f t="shared" si="253"/>
        <v xml:space="preserve">                                                                                                                                                                                                                                                                                                                                                                                                                </v>
      </c>
      <c r="BK349" s="218" t="s">
        <v>593</v>
      </c>
      <c r="BL349" s="174"/>
      <c r="BM349" s="92" t="str">
        <f t="shared" si="274"/>
        <v>NG</v>
      </c>
      <c r="BN349" s="60"/>
      <c r="BO349" s="174"/>
      <c r="BP349" s="91" t="str">
        <f t="shared" si="267"/>
        <v xml:space="preserve">                                                                                                                                                                                                                                                                                                                                                                                                                </v>
      </c>
      <c r="BQ349" s="218" t="str">
        <f t="shared" si="287"/>
        <v>-</v>
      </c>
      <c r="BR349" s="174"/>
      <c r="BS349" s="478" t="s">
        <v>594</v>
      </c>
      <c r="BT349" s="60"/>
      <c r="BU349" s="170"/>
      <c r="BV349" s="91" t="str">
        <f t="shared" si="268"/>
        <v xml:space="preserve">                                                                                                                                                                                                                                                                                                                                                                                                                </v>
      </c>
      <c r="BW349" s="218" t="s">
        <v>593</v>
      </c>
      <c r="BX349" s="91"/>
      <c r="BY349" s="218" t="str">
        <f t="shared" si="288"/>
        <v>-</v>
      </c>
      <c r="BZ349" s="60"/>
      <c r="CA349" s="174"/>
      <c r="CB349" s="91" t="str">
        <f t="shared" si="269"/>
        <v xml:space="preserve">                                                                                                                                                                                                                                                                                                                                                                                                                </v>
      </c>
      <c r="CC349" s="218" t="str">
        <f t="shared" si="289"/>
        <v>-</v>
      </c>
      <c r="CD349" s="174"/>
      <c r="CE349" s="92" t="str">
        <f t="shared" si="280"/>
        <v>OK</v>
      </c>
      <c r="CF349" s="60"/>
      <c r="CG349" s="174"/>
      <c r="CH349" s="91" t="str">
        <f t="shared" si="270"/>
        <v xml:space="preserve">                                                                                                                                                                                                                                                                                                                                                                                                                </v>
      </c>
      <c r="CI349" s="218" t="str">
        <f t="shared" si="290"/>
        <v>-</v>
      </c>
      <c r="CJ349" s="174"/>
      <c r="CK349" s="92" t="str">
        <f t="shared" si="281"/>
        <v>OK</v>
      </c>
      <c r="CL349" s="60"/>
      <c r="CM349" s="174"/>
      <c r="CN349" s="91" t="str">
        <f t="shared" si="271"/>
        <v xml:space="preserve">                                                                                                                                                                                                                                                                                                                                                                                                                </v>
      </c>
      <c r="CO349" s="218" t="s">
        <v>593</v>
      </c>
      <c r="CP349" s="91"/>
      <c r="CQ349" s="218" t="str">
        <f t="shared" si="291"/>
        <v>-</v>
      </c>
      <c r="CR349" s="60"/>
      <c r="CS349" s="174"/>
      <c r="CT349" s="91" t="str">
        <f t="shared" si="272"/>
        <v xml:space="preserve">                                                                                                                                                                                                                                                                                                                                                                                                                </v>
      </c>
      <c r="CU349" s="218" t="str">
        <f t="shared" si="292"/>
        <v>-</v>
      </c>
      <c r="CV349" s="174"/>
      <c r="CW349" s="92" t="s">
        <v>593</v>
      </c>
      <c r="CX349" s="60"/>
      <c r="CY349" s="174"/>
      <c r="CZ349" s="91" t="str">
        <f t="shared" si="273"/>
        <v xml:space="preserve">                                                                                                                                                                                                                                                                                                                                                                                                                </v>
      </c>
      <c r="DA349" s="218" t="str">
        <f t="shared" si="293"/>
        <v>-</v>
      </c>
      <c r="DB349" s="174"/>
      <c r="DC349" s="92" t="s">
        <v>593</v>
      </c>
    </row>
    <row r="350" spans="2:107" s="26" customFormat="1">
      <c r="B350" s="65">
        <f t="shared" si="283"/>
        <v>343</v>
      </c>
      <c r="C350" s="7"/>
      <c r="D350" s="7"/>
      <c r="E350" s="7"/>
      <c r="F350" s="22" t="s">
        <v>151</v>
      </c>
      <c r="G350" s="16"/>
      <c r="H350" s="13"/>
      <c r="I350" s="8"/>
      <c r="J350" s="8"/>
      <c r="K350" s="8"/>
      <c r="L350" s="8"/>
      <c r="M350" s="11" t="s">
        <v>152</v>
      </c>
      <c r="N350" s="1"/>
      <c r="O350" s="57"/>
      <c r="P350" s="95">
        <f t="shared" si="282"/>
        <v>316</v>
      </c>
      <c r="Q350" s="115">
        <v>400</v>
      </c>
      <c r="R350" s="21" t="str">
        <f t="shared" si="294"/>
        <v>NX</v>
      </c>
      <c r="S350" s="98" t="s">
        <v>153</v>
      </c>
      <c r="T350" s="96"/>
      <c r="U350" s="21" t="s">
        <v>435</v>
      </c>
      <c r="V350" s="10"/>
      <c r="W350" s="25">
        <v>3</v>
      </c>
      <c r="X350" s="1" t="s">
        <v>154</v>
      </c>
      <c r="Y350" s="1">
        <v>1</v>
      </c>
      <c r="Z350" s="1">
        <v>400</v>
      </c>
      <c r="AA350" s="8" t="s">
        <v>129</v>
      </c>
      <c r="AB350" s="8" t="s">
        <v>257</v>
      </c>
      <c r="AC350" s="12"/>
      <c r="AD350" s="60"/>
      <c r="AE350" s="169"/>
      <c r="AF350" s="91" t="str">
        <f t="shared" si="262"/>
        <v xml:space="preserve">                                                                                                                                                                                                                                                                                                                                                                                                                </v>
      </c>
      <c r="AG350" s="218" t="str">
        <f t="shared" si="276"/>
        <v>-</v>
      </c>
      <c r="AH350" s="169"/>
      <c r="AI350" s="92" t="str">
        <f t="shared" si="277"/>
        <v>OK</v>
      </c>
      <c r="AJ350" s="60"/>
      <c r="AK350" s="169"/>
      <c r="AL350" s="91" t="str">
        <f t="shared" si="263"/>
        <v xml:space="preserve">                                                                                                                                                                                                                                                                                                                                                                                                                </v>
      </c>
      <c r="AM350" s="218" t="str">
        <f t="shared" si="284"/>
        <v>-</v>
      </c>
      <c r="AN350" s="169"/>
      <c r="AO350" s="92" t="str">
        <f t="shared" si="278"/>
        <v>OK</v>
      </c>
      <c r="AP350" s="60"/>
      <c r="AQ350" s="172"/>
      <c r="AR350" s="91" t="str">
        <f t="shared" si="264"/>
        <v xml:space="preserve">                                                                                                                                                                                                                                                                                                                                                                                                                </v>
      </c>
      <c r="AS350" s="218" t="s">
        <v>593</v>
      </c>
      <c r="AT350" s="91"/>
      <c r="AU350" s="218" t="str">
        <f t="shared" si="261"/>
        <v>-</v>
      </c>
      <c r="AV350" s="60"/>
      <c r="AW350" s="169"/>
      <c r="AX350" s="91" t="str">
        <f t="shared" si="265"/>
        <v xml:space="preserve">                                                                                                                                                                                                                                                                                                                                                                                                                </v>
      </c>
      <c r="AY350" s="218" t="str">
        <f t="shared" si="285"/>
        <v>-</v>
      </c>
      <c r="AZ350" s="169"/>
      <c r="BA350" s="92" t="str">
        <f t="shared" si="279"/>
        <v>OK</v>
      </c>
      <c r="BB350" s="60"/>
      <c r="BC350" s="169"/>
      <c r="BD350" s="91" t="str">
        <f t="shared" si="266"/>
        <v xml:space="preserve">                                                                                                                                                                                                                                                                                                                                                                                                                </v>
      </c>
      <c r="BE350" s="218" t="str">
        <f t="shared" si="286"/>
        <v>-</v>
      </c>
      <c r="BF350" s="169"/>
      <c r="BG350" s="478" t="s">
        <v>594</v>
      </c>
      <c r="BH350" s="60"/>
      <c r="BI350" s="170" t="s">
        <v>703</v>
      </c>
      <c r="BJ350" s="91" t="str">
        <f t="shared" si="253"/>
        <v xml:space="preserve">                                                                                                                                                                                                                                                                                                                                                                                                                </v>
      </c>
      <c r="BK350" s="218" t="s">
        <v>593</v>
      </c>
      <c r="BL350" s="169"/>
      <c r="BM350" s="92" t="str">
        <f t="shared" si="274"/>
        <v>NG</v>
      </c>
      <c r="BN350" s="60"/>
      <c r="BO350" s="169"/>
      <c r="BP350" s="91" t="str">
        <f t="shared" si="267"/>
        <v xml:space="preserve">                                                                                                                                                                                                                                                                                                                                                                                                                </v>
      </c>
      <c r="BQ350" s="218" t="str">
        <f t="shared" si="287"/>
        <v>-</v>
      </c>
      <c r="BR350" s="169"/>
      <c r="BS350" s="478" t="s">
        <v>594</v>
      </c>
      <c r="BT350" s="60"/>
      <c r="BU350" s="172"/>
      <c r="BV350" s="91" t="str">
        <f t="shared" si="268"/>
        <v xml:space="preserve">                                                                                                                                                                                                                                                                                                                                                                                                                </v>
      </c>
      <c r="BW350" s="218" t="s">
        <v>593</v>
      </c>
      <c r="BX350" s="91"/>
      <c r="BY350" s="218" t="str">
        <f t="shared" si="288"/>
        <v>-</v>
      </c>
      <c r="BZ350" s="60"/>
      <c r="CA350" s="169"/>
      <c r="CB350" s="91" t="str">
        <f t="shared" si="269"/>
        <v xml:space="preserve">                                                                                                                                                                                                                                                                                                                                                                                                                </v>
      </c>
      <c r="CC350" s="218" t="str">
        <f t="shared" si="289"/>
        <v>-</v>
      </c>
      <c r="CD350" s="169"/>
      <c r="CE350" s="92" t="str">
        <f t="shared" si="280"/>
        <v>OK</v>
      </c>
      <c r="CF350" s="60"/>
      <c r="CG350" s="169"/>
      <c r="CH350" s="91" t="str">
        <f t="shared" si="270"/>
        <v xml:space="preserve">                                                                                                                                                                                                                                                                                                                                                                                                                </v>
      </c>
      <c r="CI350" s="218" t="str">
        <f t="shared" si="290"/>
        <v>-</v>
      </c>
      <c r="CJ350" s="169"/>
      <c r="CK350" s="92" t="str">
        <f t="shared" si="281"/>
        <v>OK</v>
      </c>
      <c r="CL350" s="60"/>
      <c r="CM350" s="169"/>
      <c r="CN350" s="91" t="str">
        <f t="shared" si="271"/>
        <v xml:space="preserve">                                                                                                                                                                                                                                                                                                                                                                                                                </v>
      </c>
      <c r="CO350" s="218" t="s">
        <v>593</v>
      </c>
      <c r="CP350" s="91"/>
      <c r="CQ350" s="218" t="str">
        <f t="shared" si="291"/>
        <v>-</v>
      </c>
      <c r="CR350" s="60"/>
      <c r="CS350" s="169"/>
      <c r="CT350" s="91" t="str">
        <f t="shared" si="272"/>
        <v xml:space="preserve">                                                                                                                                                                                                                                                                                                                                                                                                                </v>
      </c>
      <c r="CU350" s="218" t="str">
        <f t="shared" si="292"/>
        <v>-</v>
      </c>
      <c r="CV350" s="169"/>
      <c r="CW350" s="92" t="s">
        <v>593</v>
      </c>
      <c r="CX350" s="60"/>
      <c r="CY350" s="169"/>
      <c r="CZ350" s="91" t="str">
        <f t="shared" si="273"/>
        <v xml:space="preserve">                                                                                                                                                                                                                                                                                                                                                                                                                </v>
      </c>
      <c r="DA350" s="218" t="str">
        <f t="shared" si="293"/>
        <v>-</v>
      </c>
      <c r="DB350" s="169"/>
      <c r="DC350" s="92" t="s">
        <v>593</v>
      </c>
    </row>
    <row r="351" spans="2:107" s="26" customFormat="1" ht="76.5">
      <c r="B351" s="65">
        <f t="shared" si="283"/>
        <v>344</v>
      </c>
      <c r="C351" s="7"/>
      <c r="D351" s="7"/>
      <c r="E351" s="7"/>
      <c r="F351" s="22" t="s">
        <v>155</v>
      </c>
      <c r="G351" s="16"/>
      <c r="H351" s="13"/>
      <c r="I351" s="8"/>
      <c r="J351" s="8"/>
      <c r="K351" s="8"/>
      <c r="L351" s="8"/>
      <c r="M351" s="11" t="s">
        <v>449</v>
      </c>
      <c r="N351" s="1"/>
      <c r="O351" s="57"/>
      <c r="P351" s="95">
        <f t="shared" si="282"/>
        <v>317</v>
      </c>
      <c r="Q351" s="115">
        <v>400</v>
      </c>
      <c r="R351" s="21" t="str">
        <f t="shared" si="294"/>
        <v>NX</v>
      </c>
      <c r="S351" s="98" t="s">
        <v>156</v>
      </c>
      <c r="T351" s="96"/>
      <c r="U351" s="21" t="s">
        <v>435</v>
      </c>
      <c r="V351" s="10"/>
      <c r="W351" s="25">
        <v>3</v>
      </c>
      <c r="X351" s="1" t="s">
        <v>157</v>
      </c>
      <c r="Y351" s="1">
        <v>1</v>
      </c>
      <c r="Z351" s="1">
        <v>400</v>
      </c>
      <c r="AA351" s="8" t="s">
        <v>129</v>
      </c>
      <c r="AB351" s="8" t="s">
        <v>257</v>
      </c>
      <c r="AC351" s="12"/>
      <c r="AD351" s="60"/>
      <c r="AE351" s="169"/>
      <c r="AF351" s="91" t="str">
        <f t="shared" si="262"/>
        <v xml:space="preserve">                                                                                                                                                                                                                                                                                                                                                                                                                </v>
      </c>
      <c r="AG351" s="218" t="str">
        <f t="shared" si="276"/>
        <v>-</v>
      </c>
      <c r="AH351" s="169"/>
      <c r="AI351" s="92" t="str">
        <f t="shared" si="277"/>
        <v>OK</v>
      </c>
      <c r="AJ351" s="60"/>
      <c r="AK351" s="169"/>
      <c r="AL351" s="91" t="str">
        <f t="shared" si="263"/>
        <v xml:space="preserve">                                                                                                                                                                                                                                                                                                                                                                                                                </v>
      </c>
      <c r="AM351" s="218" t="str">
        <f t="shared" si="284"/>
        <v>-</v>
      </c>
      <c r="AN351" s="169"/>
      <c r="AO351" s="92" t="str">
        <f t="shared" si="278"/>
        <v>OK</v>
      </c>
      <c r="AP351" s="60"/>
      <c r="AQ351" s="172"/>
      <c r="AR351" s="91" t="str">
        <f t="shared" si="264"/>
        <v xml:space="preserve">                                                                                                                                                                                                                                                                                                                                                                                                                </v>
      </c>
      <c r="AS351" s="218" t="s">
        <v>593</v>
      </c>
      <c r="AT351" s="91"/>
      <c r="AU351" s="218" t="str">
        <f t="shared" si="261"/>
        <v>-</v>
      </c>
      <c r="AV351" s="60"/>
      <c r="AW351" s="169"/>
      <c r="AX351" s="91" t="str">
        <f t="shared" si="265"/>
        <v xml:space="preserve">                                                                                                                                                                                                                                                                                                                                                                                                                </v>
      </c>
      <c r="AY351" s="218" t="str">
        <f t="shared" si="285"/>
        <v>-</v>
      </c>
      <c r="AZ351" s="169"/>
      <c r="BA351" s="92" t="str">
        <f t="shared" si="279"/>
        <v>OK</v>
      </c>
      <c r="BB351" s="60"/>
      <c r="BC351" s="169"/>
      <c r="BD351" s="91" t="str">
        <f t="shared" si="266"/>
        <v xml:space="preserve">                                                                                                                                                                                                                                                                                                                                                                                                                </v>
      </c>
      <c r="BE351" s="218" t="str">
        <f t="shared" si="286"/>
        <v>-</v>
      </c>
      <c r="BF351" s="169"/>
      <c r="BG351" s="478" t="s">
        <v>594</v>
      </c>
      <c r="BH351" s="60"/>
      <c r="BI351" s="170" t="s">
        <v>703</v>
      </c>
      <c r="BJ351" s="91" t="str">
        <f t="shared" si="253"/>
        <v xml:space="preserve">                                                                                                                                                                                                                                                                                                                                                                                                                </v>
      </c>
      <c r="BK351" s="218" t="s">
        <v>593</v>
      </c>
      <c r="BL351" s="169"/>
      <c r="BM351" s="92" t="str">
        <f t="shared" si="274"/>
        <v>NG</v>
      </c>
      <c r="BN351" s="60"/>
      <c r="BO351" s="169"/>
      <c r="BP351" s="91" t="str">
        <f t="shared" si="267"/>
        <v xml:space="preserve">                                                                                                                                                                                                                                                                                                                                                                                                                </v>
      </c>
      <c r="BQ351" s="218" t="str">
        <f t="shared" si="287"/>
        <v>-</v>
      </c>
      <c r="BR351" s="169"/>
      <c r="BS351" s="478" t="s">
        <v>594</v>
      </c>
      <c r="BT351" s="60"/>
      <c r="BU351" s="172"/>
      <c r="BV351" s="91" t="str">
        <f t="shared" si="268"/>
        <v xml:space="preserve">                                                                                                                                                                                                                                                                                                                                                                                                                </v>
      </c>
      <c r="BW351" s="218" t="s">
        <v>593</v>
      </c>
      <c r="BX351" s="91"/>
      <c r="BY351" s="218" t="str">
        <f t="shared" si="288"/>
        <v>-</v>
      </c>
      <c r="BZ351" s="60"/>
      <c r="CA351" s="169"/>
      <c r="CB351" s="91" t="str">
        <f t="shared" si="269"/>
        <v xml:space="preserve">                                                                                                                                                                                                                                                                                                                                                                                                                </v>
      </c>
      <c r="CC351" s="218" t="str">
        <f t="shared" si="289"/>
        <v>-</v>
      </c>
      <c r="CD351" s="169"/>
      <c r="CE351" s="92" t="str">
        <f t="shared" si="280"/>
        <v>OK</v>
      </c>
      <c r="CF351" s="60"/>
      <c r="CG351" s="169"/>
      <c r="CH351" s="91" t="str">
        <f t="shared" si="270"/>
        <v xml:space="preserve">                                                                                                                                                                                                                                                                                                                                                                                                                </v>
      </c>
      <c r="CI351" s="218" t="str">
        <f t="shared" si="290"/>
        <v>-</v>
      </c>
      <c r="CJ351" s="169"/>
      <c r="CK351" s="92" t="str">
        <f t="shared" si="281"/>
        <v>OK</v>
      </c>
      <c r="CL351" s="60"/>
      <c r="CM351" s="169"/>
      <c r="CN351" s="91" t="str">
        <f t="shared" si="271"/>
        <v xml:space="preserve">                                                                                                                                                                                                                                                                                                                                                                                                                </v>
      </c>
      <c r="CO351" s="218" t="s">
        <v>593</v>
      </c>
      <c r="CP351" s="91"/>
      <c r="CQ351" s="218" t="str">
        <f t="shared" si="291"/>
        <v>-</v>
      </c>
      <c r="CR351" s="60"/>
      <c r="CS351" s="169"/>
      <c r="CT351" s="91" t="str">
        <f t="shared" si="272"/>
        <v xml:space="preserve">                                                                                                                                                                                                                                                                                                                                                                                                                </v>
      </c>
      <c r="CU351" s="218" t="str">
        <f t="shared" si="292"/>
        <v>-</v>
      </c>
      <c r="CV351" s="169"/>
      <c r="CW351" s="92" t="s">
        <v>593</v>
      </c>
      <c r="CX351" s="60"/>
      <c r="CY351" s="169"/>
      <c r="CZ351" s="91" t="str">
        <f t="shared" si="273"/>
        <v xml:space="preserve">                                                                                                                                                                                                                                                                                                                                                                                                                </v>
      </c>
      <c r="DA351" s="218" t="str">
        <f t="shared" si="293"/>
        <v>-</v>
      </c>
      <c r="DB351" s="169"/>
      <c r="DC351" s="92" t="s">
        <v>593</v>
      </c>
    </row>
    <row r="352" spans="2:107" s="26" customFormat="1">
      <c r="B352" s="65">
        <f t="shared" si="283"/>
        <v>345</v>
      </c>
      <c r="C352" s="7"/>
      <c r="D352" s="7"/>
      <c r="E352" s="7"/>
      <c r="F352" s="22" t="s">
        <v>158</v>
      </c>
      <c r="G352" s="16"/>
      <c r="H352" s="13"/>
      <c r="I352" s="8"/>
      <c r="J352" s="8"/>
      <c r="K352" s="8"/>
      <c r="L352" s="8"/>
      <c r="M352" s="11" t="s">
        <v>152</v>
      </c>
      <c r="N352" s="1"/>
      <c r="O352" s="57"/>
      <c r="P352" s="95">
        <f t="shared" si="282"/>
        <v>318</v>
      </c>
      <c r="Q352" s="115">
        <v>400</v>
      </c>
      <c r="R352" s="21" t="str">
        <f t="shared" si="294"/>
        <v>NX</v>
      </c>
      <c r="S352" s="98" t="s">
        <v>159</v>
      </c>
      <c r="T352" s="96"/>
      <c r="U352" s="21" t="s">
        <v>435</v>
      </c>
      <c r="V352" s="10"/>
      <c r="W352" s="25">
        <v>3</v>
      </c>
      <c r="X352" s="1" t="s">
        <v>160</v>
      </c>
      <c r="Y352" s="1">
        <v>1</v>
      </c>
      <c r="Z352" s="1">
        <v>400</v>
      </c>
      <c r="AA352" s="8" t="s">
        <v>129</v>
      </c>
      <c r="AB352" s="8" t="s">
        <v>257</v>
      </c>
      <c r="AC352" s="12"/>
      <c r="AD352" s="60"/>
      <c r="AE352" s="169"/>
      <c r="AF352" s="91" t="str">
        <f t="shared" si="262"/>
        <v xml:space="preserve">                                                                                                                                                                                                                                                                                                                                                                                                                </v>
      </c>
      <c r="AG352" s="218" t="str">
        <f t="shared" si="276"/>
        <v>-</v>
      </c>
      <c r="AH352" s="169"/>
      <c r="AI352" s="92" t="str">
        <f t="shared" si="277"/>
        <v>OK</v>
      </c>
      <c r="AJ352" s="60"/>
      <c r="AK352" s="169"/>
      <c r="AL352" s="91" t="str">
        <f t="shared" si="263"/>
        <v xml:space="preserve">                                                                                                                                                                                                                                                                                                                                                                                                                </v>
      </c>
      <c r="AM352" s="218" t="str">
        <f t="shared" si="284"/>
        <v>-</v>
      </c>
      <c r="AN352" s="169"/>
      <c r="AO352" s="92" t="str">
        <f t="shared" si="278"/>
        <v>OK</v>
      </c>
      <c r="AP352" s="60"/>
      <c r="AQ352" s="172"/>
      <c r="AR352" s="91" t="str">
        <f t="shared" si="264"/>
        <v xml:space="preserve">                                                                                                                                                                                                                                                                                                                                                                                                                </v>
      </c>
      <c r="AS352" s="218" t="s">
        <v>593</v>
      </c>
      <c r="AT352" s="91"/>
      <c r="AU352" s="218" t="str">
        <f t="shared" si="261"/>
        <v>-</v>
      </c>
      <c r="AV352" s="60"/>
      <c r="AW352" s="169"/>
      <c r="AX352" s="91" t="str">
        <f t="shared" si="265"/>
        <v xml:space="preserve">                                                                                                                                                                                                                                                                                                                                                                                                                </v>
      </c>
      <c r="AY352" s="218" t="str">
        <f t="shared" si="285"/>
        <v>-</v>
      </c>
      <c r="AZ352" s="169"/>
      <c r="BA352" s="92" t="str">
        <f t="shared" si="279"/>
        <v>OK</v>
      </c>
      <c r="BB352" s="60"/>
      <c r="BC352" s="169"/>
      <c r="BD352" s="91" t="str">
        <f t="shared" si="266"/>
        <v xml:space="preserve">                                                                                                                                                                                                                                                                                                                                                                                                                </v>
      </c>
      <c r="BE352" s="218" t="str">
        <f t="shared" si="286"/>
        <v>-</v>
      </c>
      <c r="BF352" s="169"/>
      <c r="BG352" s="478" t="s">
        <v>594</v>
      </c>
      <c r="BH352" s="60"/>
      <c r="BI352" s="170" t="s">
        <v>703</v>
      </c>
      <c r="BJ352" s="91" t="str">
        <f t="shared" si="253"/>
        <v xml:space="preserve">                                                                                                                                                                                                                                                                                                                                                                                                                </v>
      </c>
      <c r="BK352" s="218" t="s">
        <v>593</v>
      </c>
      <c r="BL352" s="169"/>
      <c r="BM352" s="92" t="str">
        <f t="shared" si="274"/>
        <v>NG</v>
      </c>
      <c r="BN352" s="60"/>
      <c r="BO352" s="169"/>
      <c r="BP352" s="91" t="str">
        <f t="shared" si="267"/>
        <v xml:space="preserve">                                                                                                                                                                                                                                                                                                                                                                                                                </v>
      </c>
      <c r="BQ352" s="218" t="str">
        <f t="shared" si="287"/>
        <v>-</v>
      </c>
      <c r="BR352" s="169"/>
      <c r="BS352" s="478" t="s">
        <v>594</v>
      </c>
      <c r="BT352" s="60"/>
      <c r="BU352" s="172"/>
      <c r="BV352" s="91" t="str">
        <f t="shared" si="268"/>
        <v xml:space="preserve">                                                                                                                                                                                                                                                                                                                                                                                                                </v>
      </c>
      <c r="BW352" s="218" t="s">
        <v>593</v>
      </c>
      <c r="BX352" s="91"/>
      <c r="BY352" s="218" t="str">
        <f t="shared" si="288"/>
        <v>-</v>
      </c>
      <c r="BZ352" s="60"/>
      <c r="CA352" s="169"/>
      <c r="CB352" s="91" t="str">
        <f t="shared" si="269"/>
        <v xml:space="preserve">                                                                                                                                                                                                                                                                                                                                                                                                                </v>
      </c>
      <c r="CC352" s="218" t="str">
        <f t="shared" si="289"/>
        <v>-</v>
      </c>
      <c r="CD352" s="169"/>
      <c r="CE352" s="92" t="str">
        <f t="shared" si="280"/>
        <v>OK</v>
      </c>
      <c r="CF352" s="60"/>
      <c r="CG352" s="169"/>
      <c r="CH352" s="91" t="str">
        <f t="shared" si="270"/>
        <v xml:space="preserve">                                                                                                                                                                                                                                                                                                                                                                                                                </v>
      </c>
      <c r="CI352" s="218" t="str">
        <f t="shared" si="290"/>
        <v>-</v>
      </c>
      <c r="CJ352" s="169"/>
      <c r="CK352" s="92" t="str">
        <f t="shared" si="281"/>
        <v>OK</v>
      </c>
      <c r="CL352" s="60"/>
      <c r="CM352" s="169"/>
      <c r="CN352" s="91" t="str">
        <f t="shared" si="271"/>
        <v xml:space="preserve">                                                                                                                                                                                                                                                                                                                                                                                                                </v>
      </c>
      <c r="CO352" s="218" t="s">
        <v>593</v>
      </c>
      <c r="CP352" s="91"/>
      <c r="CQ352" s="218" t="str">
        <f t="shared" si="291"/>
        <v>-</v>
      </c>
      <c r="CR352" s="60"/>
      <c r="CS352" s="169"/>
      <c r="CT352" s="91" t="str">
        <f t="shared" si="272"/>
        <v xml:space="preserve">                                                                                                                                                                                                                                                                                                                                                                                                                </v>
      </c>
      <c r="CU352" s="218" t="str">
        <f t="shared" si="292"/>
        <v>-</v>
      </c>
      <c r="CV352" s="169"/>
      <c r="CW352" s="92" t="s">
        <v>593</v>
      </c>
      <c r="CX352" s="60"/>
      <c r="CY352" s="169"/>
      <c r="CZ352" s="91" t="str">
        <f t="shared" si="273"/>
        <v xml:space="preserve">                                                                                                                                                                                                                                                                                                                                                                                                                </v>
      </c>
      <c r="DA352" s="218" t="str">
        <f t="shared" si="293"/>
        <v>-</v>
      </c>
      <c r="DB352" s="169"/>
      <c r="DC352" s="92" t="s">
        <v>593</v>
      </c>
    </row>
    <row r="353" spans="1:107" s="26" customFormat="1">
      <c r="B353" s="65">
        <f t="shared" si="283"/>
        <v>346</v>
      </c>
      <c r="C353" s="7"/>
      <c r="D353" s="7"/>
      <c r="E353" s="7"/>
      <c r="F353" s="22" t="s">
        <v>161</v>
      </c>
      <c r="G353" s="16"/>
      <c r="H353" s="13"/>
      <c r="I353" s="8"/>
      <c r="J353" s="8"/>
      <c r="K353" s="8"/>
      <c r="L353" s="8"/>
      <c r="M353" s="11" t="s">
        <v>152</v>
      </c>
      <c r="N353" s="1"/>
      <c r="O353" s="57"/>
      <c r="P353" s="95">
        <f t="shared" si="282"/>
        <v>319</v>
      </c>
      <c r="Q353" s="115">
        <v>400</v>
      </c>
      <c r="R353" s="21" t="str">
        <f t="shared" si="294"/>
        <v>NX</v>
      </c>
      <c r="S353" s="98" t="s">
        <v>162</v>
      </c>
      <c r="T353" s="96"/>
      <c r="U353" s="21" t="s">
        <v>435</v>
      </c>
      <c r="V353" s="10"/>
      <c r="W353" s="25">
        <v>3</v>
      </c>
      <c r="X353" s="1" t="s">
        <v>163</v>
      </c>
      <c r="Y353" s="1">
        <v>1</v>
      </c>
      <c r="Z353" s="1">
        <v>400</v>
      </c>
      <c r="AA353" s="8" t="s">
        <v>129</v>
      </c>
      <c r="AB353" s="8" t="s">
        <v>257</v>
      </c>
      <c r="AC353" s="12"/>
      <c r="AD353" s="60"/>
      <c r="AE353" s="169"/>
      <c r="AF353" s="91" t="str">
        <f t="shared" si="262"/>
        <v xml:space="preserve">                                                                                                                                                                                                                                                                                                                                                                                                                </v>
      </c>
      <c r="AG353" s="218" t="str">
        <f t="shared" si="276"/>
        <v>-</v>
      </c>
      <c r="AH353" s="169"/>
      <c r="AI353" s="92" t="str">
        <f t="shared" si="277"/>
        <v>OK</v>
      </c>
      <c r="AJ353" s="60"/>
      <c r="AK353" s="169"/>
      <c r="AL353" s="91" t="str">
        <f t="shared" si="263"/>
        <v xml:space="preserve">                                                                                                                                                                                                                                                                                                                                                                                                                </v>
      </c>
      <c r="AM353" s="218" t="str">
        <f t="shared" si="284"/>
        <v>-</v>
      </c>
      <c r="AN353" s="169"/>
      <c r="AO353" s="92" t="str">
        <f t="shared" si="278"/>
        <v>OK</v>
      </c>
      <c r="AP353" s="60"/>
      <c r="AQ353" s="172"/>
      <c r="AR353" s="91" t="str">
        <f t="shared" si="264"/>
        <v xml:space="preserve">                                                                                                                                                                                                                                                                                                                                                                                                                </v>
      </c>
      <c r="AS353" s="218" t="s">
        <v>593</v>
      </c>
      <c r="AT353" s="91"/>
      <c r="AU353" s="218" t="str">
        <f t="shared" si="261"/>
        <v>-</v>
      </c>
      <c r="AV353" s="60"/>
      <c r="AW353" s="169"/>
      <c r="AX353" s="91" t="str">
        <f t="shared" si="265"/>
        <v xml:space="preserve">                                                                                                                                                                                                                                                                                                                                                                                                                </v>
      </c>
      <c r="AY353" s="218" t="str">
        <f t="shared" si="285"/>
        <v>-</v>
      </c>
      <c r="AZ353" s="169"/>
      <c r="BA353" s="92" t="str">
        <f t="shared" si="279"/>
        <v>OK</v>
      </c>
      <c r="BB353" s="60"/>
      <c r="BC353" s="169"/>
      <c r="BD353" s="91" t="str">
        <f t="shared" si="266"/>
        <v xml:space="preserve">                                                                                                                                                                                                                                                                                                                                                                                                                </v>
      </c>
      <c r="BE353" s="218" t="str">
        <f t="shared" si="286"/>
        <v>-</v>
      </c>
      <c r="BF353" s="169"/>
      <c r="BG353" s="478" t="s">
        <v>594</v>
      </c>
      <c r="BH353" s="60"/>
      <c r="BI353" s="170" t="s">
        <v>703</v>
      </c>
      <c r="BJ353" s="91" t="str">
        <f t="shared" si="253"/>
        <v xml:space="preserve">                                                                                                                                                                                                                                                                                                                                                                                                                </v>
      </c>
      <c r="BK353" s="218" t="s">
        <v>593</v>
      </c>
      <c r="BL353" s="169"/>
      <c r="BM353" s="92" t="str">
        <f t="shared" si="274"/>
        <v>NG</v>
      </c>
      <c r="BN353" s="60"/>
      <c r="BO353" s="169"/>
      <c r="BP353" s="91" t="str">
        <f t="shared" si="267"/>
        <v xml:space="preserve">                                                                                                                                                                                                                                                                                                                                                                                                                </v>
      </c>
      <c r="BQ353" s="218" t="str">
        <f t="shared" si="287"/>
        <v>-</v>
      </c>
      <c r="BR353" s="169"/>
      <c r="BS353" s="478" t="s">
        <v>594</v>
      </c>
      <c r="BT353" s="60"/>
      <c r="BU353" s="172"/>
      <c r="BV353" s="91" t="str">
        <f t="shared" si="268"/>
        <v xml:space="preserve">                                                                                                                                                                                                                                                                                                                                                                                                                </v>
      </c>
      <c r="BW353" s="218" t="s">
        <v>593</v>
      </c>
      <c r="BX353" s="91"/>
      <c r="BY353" s="218" t="str">
        <f t="shared" si="288"/>
        <v>-</v>
      </c>
      <c r="BZ353" s="60"/>
      <c r="CA353" s="169"/>
      <c r="CB353" s="91" t="str">
        <f t="shared" si="269"/>
        <v xml:space="preserve">                                                                                                                                                                                                                                                                                                                                                                                                                </v>
      </c>
      <c r="CC353" s="218" t="str">
        <f t="shared" si="289"/>
        <v>-</v>
      </c>
      <c r="CD353" s="169"/>
      <c r="CE353" s="92" t="str">
        <f t="shared" si="280"/>
        <v>OK</v>
      </c>
      <c r="CF353" s="60"/>
      <c r="CG353" s="169"/>
      <c r="CH353" s="91" t="str">
        <f t="shared" si="270"/>
        <v xml:space="preserve">                                                                                                                                                                                                                                                                                                                                                                                                                </v>
      </c>
      <c r="CI353" s="218" t="str">
        <f t="shared" si="290"/>
        <v>-</v>
      </c>
      <c r="CJ353" s="169"/>
      <c r="CK353" s="92" t="str">
        <f t="shared" si="281"/>
        <v>OK</v>
      </c>
      <c r="CL353" s="60"/>
      <c r="CM353" s="169"/>
      <c r="CN353" s="91" t="str">
        <f t="shared" si="271"/>
        <v xml:space="preserve">                                                                                                                                                                                                                                                                                                                                                                                                                </v>
      </c>
      <c r="CO353" s="218" t="s">
        <v>593</v>
      </c>
      <c r="CP353" s="91"/>
      <c r="CQ353" s="218" t="str">
        <f t="shared" si="291"/>
        <v>-</v>
      </c>
      <c r="CR353" s="60"/>
      <c r="CS353" s="169"/>
      <c r="CT353" s="91" t="str">
        <f t="shared" si="272"/>
        <v xml:space="preserve">                                                                                                                                                                                                                                                                                                                                                                                                                </v>
      </c>
      <c r="CU353" s="218" t="str">
        <f t="shared" si="292"/>
        <v>-</v>
      </c>
      <c r="CV353" s="169"/>
      <c r="CW353" s="92" t="s">
        <v>593</v>
      </c>
      <c r="CX353" s="60"/>
      <c r="CY353" s="169"/>
      <c r="CZ353" s="91" t="str">
        <f t="shared" si="273"/>
        <v xml:space="preserve">                                                                                                                                                                                                                                                                                                                                                                                                                </v>
      </c>
      <c r="DA353" s="218" t="str">
        <f t="shared" si="293"/>
        <v>-</v>
      </c>
      <c r="DB353" s="169"/>
      <c r="DC353" s="92" t="s">
        <v>593</v>
      </c>
    </row>
    <row r="354" spans="1:107" s="26" customFormat="1" ht="89.25">
      <c r="B354" s="65">
        <f t="shared" si="283"/>
        <v>347</v>
      </c>
      <c r="C354" s="7"/>
      <c r="D354" s="7"/>
      <c r="E354" s="7"/>
      <c r="F354" s="22" t="s">
        <v>164</v>
      </c>
      <c r="G354" s="16"/>
      <c r="H354" s="13"/>
      <c r="I354" s="8"/>
      <c r="J354" s="8"/>
      <c r="K354" s="8"/>
      <c r="L354" s="8"/>
      <c r="M354" s="11" t="s">
        <v>450</v>
      </c>
      <c r="N354" s="1"/>
      <c r="O354" s="57"/>
      <c r="P354" s="95">
        <f t="shared" si="282"/>
        <v>320</v>
      </c>
      <c r="Q354" s="115">
        <v>1</v>
      </c>
      <c r="R354" s="21" t="str">
        <f t="shared" si="294"/>
        <v>X</v>
      </c>
      <c r="S354" s="98" t="s">
        <v>165</v>
      </c>
      <c r="T354" s="96"/>
      <c r="U354" s="21" t="s">
        <v>435</v>
      </c>
      <c r="V354" s="10"/>
      <c r="W354" s="25">
        <v>3</v>
      </c>
      <c r="X354" s="1" t="s">
        <v>303</v>
      </c>
      <c r="Y354" s="1">
        <v>1</v>
      </c>
      <c r="Z354" s="1">
        <v>1</v>
      </c>
      <c r="AA354" s="8" t="s">
        <v>114</v>
      </c>
      <c r="AB354" s="8" t="s">
        <v>21</v>
      </c>
      <c r="AC354" s="104"/>
      <c r="AD354" s="60"/>
      <c r="AE354" s="174"/>
      <c r="AF354" s="61" t="str">
        <f t="shared" si="262"/>
        <v xml:space="preserve"> </v>
      </c>
      <c r="AG354" s="218" t="str">
        <f t="shared" si="276"/>
        <v>-</v>
      </c>
      <c r="AH354" s="174"/>
      <c r="AI354" s="92" t="str">
        <f t="shared" si="277"/>
        <v>OK</v>
      </c>
      <c r="AJ354" s="60"/>
      <c r="AK354" s="174"/>
      <c r="AL354" s="61" t="str">
        <f t="shared" si="263"/>
        <v xml:space="preserve"> </v>
      </c>
      <c r="AM354" s="218" t="str">
        <f t="shared" si="284"/>
        <v>-</v>
      </c>
      <c r="AN354" s="174"/>
      <c r="AO354" s="92" t="str">
        <f t="shared" si="278"/>
        <v>OK</v>
      </c>
      <c r="AP354" s="60"/>
      <c r="AQ354" s="170"/>
      <c r="AR354" s="61" t="str">
        <f t="shared" si="264"/>
        <v xml:space="preserve"> </v>
      </c>
      <c r="AS354" s="218" t="s">
        <v>593</v>
      </c>
      <c r="AT354" s="61"/>
      <c r="AU354" s="218" t="str">
        <f t="shared" si="261"/>
        <v>-</v>
      </c>
      <c r="AV354" s="60"/>
      <c r="AW354" s="174"/>
      <c r="AX354" s="61" t="str">
        <f t="shared" si="265"/>
        <v xml:space="preserve"> </v>
      </c>
      <c r="AY354" s="218" t="str">
        <f t="shared" si="285"/>
        <v>-</v>
      </c>
      <c r="AZ354" s="174"/>
      <c r="BA354" s="92" t="str">
        <f t="shared" si="279"/>
        <v>OK</v>
      </c>
      <c r="BB354" s="60"/>
      <c r="BC354" s="174"/>
      <c r="BD354" s="61" t="str">
        <f t="shared" si="266"/>
        <v xml:space="preserve"> </v>
      </c>
      <c r="BE354" s="218" t="str">
        <f t="shared" si="286"/>
        <v>-</v>
      </c>
      <c r="BF354" s="174"/>
      <c r="BG354" s="478" t="s">
        <v>594</v>
      </c>
      <c r="BH354" s="60"/>
      <c r="BI354" s="170" t="s">
        <v>38</v>
      </c>
      <c r="BJ354" s="61" t="str">
        <f t="shared" si="253"/>
        <v xml:space="preserve"> </v>
      </c>
      <c r="BK354" s="218" t="s">
        <v>593</v>
      </c>
      <c r="BL354" s="174"/>
      <c r="BM354" s="92" t="str">
        <f t="shared" si="274"/>
        <v>NG</v>
      </c>
      <c r="BN354" s="60"/>
      <c r="BO354" s="174"/>
      <c r="BP354" s="61" t="str">
        <f t="shared" si="267"/>
        <v xml:space="preserve"> </v>
      </c>
      <c r="BQ354" s="218" t="str">
        <f t="shared" si="287"/>
        <v>-</v>
      </c>
      <c r="BR354" s="174"/>
      <c r="BS354" s="478" t="s">
        <v>594</v>
      </c>
      <c r="BT354" s="60"/>
      <c r="BU354" s="170"/>
      <c r="BV354" s="61" t="str">
        <f t="shared" si="268"/>
        <v xml:space="preserve"> </v>
      </c>
      <c r="BW354" s="218" t="s">
        <v>593</v>
      </c>
      <c r="BX354" s="61"/>
      <c r="BY354" s="218" t="str">
        <f t="shared" si="288"/>
        <v>-</v>
      </c>
      <c r="BZ354" s="60"/>
      <c r="CA354" s="174"/>
      <c r="CB354" s="61" t="str">
        <f t="shared" si="269"/>
        <v xml:space="preserve"> </v>
      </c>
      <c r="CC354" s="218" t="str">
        <f t="shared" si="289"/>
        <v>-</v>
      </c>
      <c r="CD354" s="174"/>
      <c r="CE354" s="92" t="str">
        <f t="shared" si="280"/>
        <v>OK</v>
      </c>
      <c r="CF354" s="60"/>
      <c r="CG354" s="174"/>
      <c r="CH354" s="61" t="str">
        <f t="shared" si="270"/>
        <v xml:space="preserve"> </v>
      </c>
      <c r="CI354" s="218" t="str">
        <f t="shared" si="290"/>
        <v>-</v>
      </c>
      <c r="CJ354" s="174"/>
      <c r="CK354" s="92" t="str">
        <f t="shared" si="281"/>
        <v>OK</v>
      </c>
      <c r="CL354" s="60"/>
      <c r="CM354" s="174"/>
      <c r="CN354" s="61" t="str">
        <f t="shared" si="271"/>
        <v xml:space="preserve"> </v>
      </c>
      <c r="CO354" s="218" t="s">
        <v>593</v>
      </c>
      <c r="CP354" s="61"/>
      <c r="CQ354" s="218" t="str">
        <f t="shared" si="291"/>
        <v>-</v>
      </c>
      <c r="CR354" s="60"/>
      <c r="CS354" s="174"/>
      <c r="CT354" s="61" t="str">
        <f t="shared" si="272"/>
        <v xml:space="preserve"> </v>
      </c>
      <c r="CU354" s="218" t="str">
        <f t="shared" si="292"/>
        <v>-</v>
      </c>
      <c r="CV354" s="174"/>
      <c r="CW354" s="92" t="s">
        <v>593</v>
      </c>
      <c r="CX354" s="60"/>
      <c r="CY354" s="174"/>
      <c r="CZ354" s="61" t="str">
        <f t="shared" si="273"/>
        <v xml:space="preserve"> </v>
      </c>
      <c r="DA354" s="218" t="str">
        <f t="shared" si="293"/>
        <v>-</v>
      </c>
      <c r="DB354" s="174"/>
      <c r="DC354" s="92" t="s">
        <v>593</v>
      </c>
    </row>
    <row r="355" spans="1:107" s="26" customFormat="1">
      <c r="B355" s="65">
        <f t="shared" si="283"/>
        <v>348</v>
      </c>
      <c r="C355" s="7"/>
      <c r="D355" s="7"/>
      <c r="E355" s="7"/>
      <c r="F355" s="22" t="s">
        <v>166</v>
      </c>
      <c r="G355" s="16"/>
      <c r="H355" s="13"/>
      <c r="I355" s="8"/>
      <c r="J355" s="8"/>
      <c r="K355" s="8"/>
      <c r="L355" s="8"/>
      <c r="M355" s="11"/>
      <c r="N355" s="1"/>
      <c r="O355" s="57"/>
      <c r="P355" s="95">
        <f t="shared" si="282"/>
        <v>321</v>
      </c>
      <c r="Q355" s="115">
        <v>128</v>
      </c>
      <c r="R355" s="21" t="str">
        <f t="shared" si="294"/>
        <v>X</v>
      </c>
      <c r="S355" s="98" t="s">
        <v>167</v>
      </c>
      <c r="T355" s="96"/>
      <c r="U355" s="21" t="s">
        <v>435</v>
      </c>
      <c r="V355" s="10"/>
      <c r="W355" s="25">
        <v>3</v>
      </c>
      <c r="X355" s="1" t="s">
        <v>304</v>
      </c>
      <c r="Y355" s="1">
        <v>1</v>
      </c>
      <c r="Z355" s="1">
        <v>128</v>
      </c>
      <c r="AA355" s="8" t="s">
        <v>114</v>
      </c>
      <c r="AB355" s="8" t="s">
        <v>21</v>
      </c>
      <c r="AC355" s="12"/>
      <c r="AD355" s="60"/>
      <c r="AE355" s="169"/>
      <c r="AF355" s="61" t="str">
        <f t="shared" si="262"/>
        <v xml:space="preserve">                                                                                                                                </v>
      </c>
      <c r="AG355" s="218" t="str">
        <f t="shared" si="276"/>
        <v>-</v>
      </c>
      <c r="AH355" s="169"/>
      <c r="AI355" s="92" t="str">
        <f t="shared" si="277"/>
        <v>OK</v>
      </c>
      <c r="AJ355" s="60"/>
      <c r="AK355" s="169"/>
      <c r="AL355" s="61" t="str">
        <f t="shared" si="263"/>
        <v xml:space="preserve">                                                                                                                                </v>
      </c>
      <c r="AM355" s="218" t="str">
        <f t="shared" si="284"/>
        <v>-</v>
      </c>
      <c r="AN355" s="169"/>
      <c r="AO355" s="92" t="str">
        <f t="shared" si="278"/>
        <v>OK</v>
      </c>
      <c r="AP355" s="60"/>
      <c r="AQ355" s="172"/>
      <c r="AR355" s="61" t="str">
        <f t="shared" si="264"/>
        <v xml:space="preserve">                                                                                                                                </v>
      </c>
      <c r="AS355" s="218" t="s">
        <v>593</v>
      </c>
      <c r="AT355" s="61"/>
      <c r="AU355" s="218" t="str">
        <f t="shared" si="261"/>
        <v>-</v>
      </c>
      <c r="AV355" s="60"/>
      <c r="AW355" s="169"/>
      <c r="AX355" s="61" t="str">
        <f t="shared" si="265"/>
        <v xml:space="preserve">                                                                                                                                </v>
      </c>
      <c r="AY355" s="218" t="str">
        <f t="shared" si="285"/>
        <v>-</v>
      </c>
      <c r="AZ355" s="169"/>
      <c r="BA355" s="92" t="str">
        <f t="shared" si="279"/>
        <v>OK</v>
      </c>
      <c r="BB355" s="60"/>
      <c r="BC355" s="169"/>
      <c r="BD355" s="61" t="str">
        <f t="shared" si="266"/>
        <v xml:space="preserve">                                                                                                                                </v>
      </c>
      <c r="BE355" s="218" t="str">
        <f t="shared" si="286"/>
        <v>-</v>
      </c>
      <c r="BF355" s="169"/>
      <c r="BG355" s="478" t="s">
        <v>594</v>
      </c>
      <c r="BH355" s="60"/>
      <c r="BI355" s="170" t="s">
        <v>704</v>
      </c>
      <c r="BJ355" s="61" t="str">
        <f t="shared" si="253"/>
        <v xml:space="preserve">                                                                                                                                </v>
      </c>
      <c r="BK355" s="218" t="s">
        <v>593</v>
      </c>
      <c r="BL355" s="169"/>
      <c r="BM355" s="92" t="str">
        <f t="shared" si="274"/>
        <v>NG</v>
      </c>
      <c r="BN355" s="60"/>
      <c r="BO355" s="169"/>
      <c r="BP355" s="61" t="str">
        <f t="shared" si="267"/>
        <v xml:space="preserve">                                                                                                                                </v>
      </c>
      <c r="BQ355" s="218" t="str">
        <f t="shared" si="287"/>
        <v>-</v>
      </c>
      <c r="BR355" s="169"/>
      <c r="BS355" s="478" t="s">
        <v>594</v>
      </c>
      <c r="BT355" s="60"/>
      <c r="BU355" s="172"/>
      <c r="BV355" s="61" t="str">
        <f t="shared" si="268"/>
        <v xml:space="preserve">                                                                                                                                </v>
      </c>
      <c r="BW355" s="218" t="s">
        <v>593</v>
      </c>
      <c r="BX355" s="61"/>
      <c r="BY355" s="218" t="str">
        <f t="shared" si="288"/>
        <v>-</v>
      </c>
      <c r="BZ355" s="60"/>
      <c r="CA355" s="169"/>
      <c r="CB355" s="61" t="str">
        <f t="shared" si="269"/>
        <v xml:space="preserve">                                                                                                                                </v>
      </c>
      <c r="CC355" s="218" t="str">
        <f t="shared" si="289"/>
        <v>-</v>
      </c>
      <c r="CD355" s="169"/>
      <c r="CE355" s="92" t="str">
        <f t="shared" si="280"/>
        <v>OK</v>
      </c>
      <c r="CF355" s="60"/>
      <c r="CG355" s="169"/>
      <c r="CH355" s="61" t="str">
        <f t="shared" si="270"/>
        <v xml:space="preserve">                                                                                                                                </v>
      </c>
      <c r="CI355" s="218" t="str">
        <f t="shared" si="290"/>
        <v>-</v>
      </c>
      <c r="CJ355" s="169"/>
      <c r="CK355" s="92" t="str">
        <f t="shared" si="281"/>
        <v>OK</v>
      </c>
      <c r="CL355" s="60"/>
      <c r="CM355" s="169"/>
      <c r="CN355" s="61" t="str">
        <f t="shared" si="271"/>
        <v xml:space="preserve">                                                                                                                                </v>
      </c>
      <c r="CO355" s="218" t="s">
        <v>593</v>
      </c>
      <c r="CP355" s="61"/>
      <c r="CQ355" s="218" t="str">
        <f t="shared" si="291"/>
        <v>-</v>
      </c>
      <c r="CR355" s="60"/>
      <c r="CS355" s="169"/>
      <c r="CT355" s="61" t="str">
        <f t="shared" si="272"/>
        <v xml:space="preserve">                                                                                                                                </v>
      </c>
      <c r="CU355" s="218" t="str">
        <f t="shared" si="292"/>
        <v>-</v>
      </c>
      <c r="CV355" s="169"/>
      <c r="CW355" s="92" t="s">
        <v>593</v>
      </c>
      <c r="CX355" s="60"/>
      <c r="CY355" s="169"/>
      <c r="CZ355" s="61" t="str">
        <f t="shared" si="273"/>
        <v xml:space="preserve">                                                                                                                                </v>
      </c>
      <c r="DA355" s="218" t="str">
        <f t="shared" si="293"/>
        <v>-</v>
      </c>
      <c r="DB355" s="169"/>
      <c r="DC355" s="92" t="s">
        <v>593</v>
      </c>
    </row>
    <row r="356" spans="1:107" s="26" customFormat="1" ht="114.75">
      <c r="B356" s="65">
        <f t="shared" si="283"/>
        <v>349</v>
      </c>
      <c r="C356" s="7"/>
      <c r="D356" s="7"/>
      <c r="E356" s="7"/>
      <c r="F356" s="22" t="s">
        <v>168</v>
      </c>
      <c r="G356" s="16"/>
      <c r="H356" s="13"/>
      <c r="I356" s="8"/>
      <c r="J356" s="8"/>
      <c r="K356" s="8"/>
      <c r="L356" s="8"/>
      <c r="M356" s="11" t="s">
        <v>399</v>
      </c>
      <c r="N356" s="1"/>
      <c r="O356" s="57"/>
      <c r="P356" s="95">
        <f t="shared" si="282"/>
        <v>322</v>
      </c>
      <c r="Q356" s="115">
        <v>1</v>
      </c>
      <c r="R356" s="21" t="str">
        <f t="shared" si="294"/>
        <v>X</v>
      </c>
      <c r="S356" s="98" t="s">
        <v>169</v>
      </c>
      <c r="T356" s="96"/>
      <c r="U356" s="21" t="s">
        <v>435</v>
      </c>
      <c r="V356" s="10"/>
      <c r="W356" s="25">
        <v>3</v>
      </c>
      <c r="X356" s="1" t="s">
        <v>305</v>
      </c>
      <c r="Y356" s="1">
        <v>1</v>
      </c>
      <c r="Z356" s="1">
        <v>1</v>
      </c>
      <c r="AA356" s="8" t="s">
        <v>114</v>
      </c>
      <c r="AB356" s="8" t="s">
        <v>21</v>
      </c>
      <c r="AC356" s="104"/>
      <c r="AD356" s="60"/>
      <c r="AE356" s="174"/>
      <c r="AF356" s="61" t="str">
        <f t="shared" si="262"/>
        <v xml:space="preserve"> </v>
      </c>
      <c r="AG356" s="218" t="str">
        <f t="shared" si="276"/>
        <v>-</v>
      </c>
      <c r="AH356" s="174"/>
      <c r="AI356" s="92" t="str">
        <f t="shared" si="277"/>
        <v>OK</v>
      </c>
      <c r="AJ356" s="60"/>
      <c r="AK356" s="174"/>
      <c r="AL356" s="61" t="str">
        <f t="shared" si="263"/>
        <v xml:space="preserve"> </v>
      </c>
      <c r="AM356" s="218" t="str">
        <f t="shared" si="284"/>
        <v>-</v>
      </c>
      <c r="AN356" s="174"/>
      <c r="AO356" s="92" t="str">
        <f t="shared" si="278"/>
        <v>OK</v>
      </c>
      <c r="AP356" s="60"/>
      <c r="AQ356" s="170"/>
      <c r="AR356" s="61" t="str">
        <f t="shared" si="264"/>
        <v xml:space="preserve"> </v>
      </c>
      <c r="AS356" s="218" t="s">
        <v>593</v>
      </c>
      <c r="AT356" s="61"/>
      <c r="AU356" s="218" t="str">
        <f t="shared" si="261"/>
        <v>-</v>
      </c>
      <c r="AV356" s="60"/>
      <c r="AW356" s="174"/>
      <c r="AX356" s="61" t="str">
        <f t="shared" si="265"/>
        <v xml:space="preserve"> </v>
      </c>
      <c r="AY356" s="218" t="str">
        <f t="shared" si="285"/>
        <v>-</v>
      </c>
      <c r="AZ356" s="174"/>
      <c r="BA356" s="92" t="str">
        <f t="shared" si="279"/>
        <v>OK</v>
      </c>
      <c r="BB356" s="60"/>
      <c r="BC356" s="174" t="s">
        <v>33</v>
      </c>
      <c r="BD356" s="61" t="str">
        <f t="shared" si="266"/>
        <v>1</v>
      </c>
      <c r="BE356" s="218" t="str">
        <f t="shared" si="286"/>
        <v>-</v>
      </c>
      <c r="BF356" s="174" t="s">
        <v>33</v>
      </c>
      <c r="BG356" s="478" t="s">
        <v>594</v>
      </c>
      <c r="BH356" s="60"/>
      <c r="BI356" s="170" t="s">
        <v>38</v>
      </c>
      <c r="BJ356" s="61" t="str">
        <f t="shared" si="253"/>
        <v xml:space="preserve"> </v>
      </c>
      <c r="BK356" s="218" t="s">
        <v>593</v>
      </c>
      <c r="BL356" s="174"/>
      <c r="BM356" s="92" t="str">
        <f t="shared" si="274"/>
        <v>NG</v>
      </c>
      <c r="BN356" s="60"/>
      <c r="BO356" s="174" t="s">
        <v>33</v>
      </c>
      <c r="BP356" s="61" t="str">
        <f t="shared" si="267"/>
        <v>1</v>
      </c>
      <c r="BQ356" s="218" t="str">
        <f t="shared" si="287"/>
        <v>-</v>
      </c>
      <c r="BR356" s="174" t="s">
        <v>33</v>
      </c>
      <c r="BS356" s="478" t="s">
        <v>594</v>
      </c>
      <c r="BT356" s="60"/>
      <c r="BU356" s="170"/>
      <c r="BV356" s="61" t="str">
        <f t="shared" si="268"/>
        <v xml:space="preserve"> </v>
      </c>
      <c r="BW356" s="218" t="s">
        <v>593</v>
      </c>
      <c r="BX356" s="61"/>
      <c r="BY356" s="218" t="str">
        <f t="shared" si="288"/>
        <v>-</v>
      </c>
      <c r="BZ356" s="60"/>
      <c r="CA356" s="174"/>
      <c r="CB356" s="61" t="str">
        <f t="shared" si="269"/>
        <v xml:space="preserve"> </v>
      </c>
      <c r="CC356" s="218" t="str">
        <f t="shared" si="289"/>
        <v>-</v>
      </c>
      <c r="CD356" s="174"/>
      <c r="CE356" s="92" t="str">
        <f t="shared" si="280"/>
        <v>OK</v>
      </c>
      <c r="CF356" s="60"/>
      <c r="CG356" s="174"/>
      <c r="CH356" s="61" t="str">
        <f t="shared" si="270"/>
        <v xml:space="preserve"> </v>
      </c>
      <c r="CI356" s="218" t="str">
        <f t="shared" si="290"/>
        <v>-</v>
      </c>
      <c r="CJ356" s="174"/>
      <c r="CK356" s="92" t="str">
        <f t="shared" si="281"/>
        <v>OK</v>
      </c>
      <c r="CL356" s="60"/>
      <c r="CM356" s="174"/>
      <c r="CN356" s="61" t="str">
        <f t="shared" si="271"/>
        <v xml:space="preserve"> </v>
      </c>
      <c r="CO356" s="218" t="s">
        <v>593</v>
      </c>
      <c r="CP356" s="61"/>
      <c r="CQ356" s="218" t="str">
        <f t="shared" si="291"/>
        <v>-</v>
      </c>
      <c r="CR356" s="60"/>
      <c r="CS356" s="174"/>
      <c r="CT356" s="61" t="str">
        <f t="shared" si="272"/>
        <v xml:space="preserve"> </v>
      </c>
      <c r="CU356" s="218" t="str">
        <f t="shared" si="292"/>
        <v>-</v>
      </c>
      <c r="CV356" s="174"/>
      <c r="CW356" s="92" t="s">
        <v>593</v>
      </c>
      <c r="CX356" s="60"/>
      <c r="CY356" s="174"/>
      <c r="CZ356" s="61" t="str">
        <f t="shared" si="273"/>
        <v xml:space="preserve"> </v>
      </c>
      <c r="DA356" s="218" t="str">
        <f t="shared" si="293"/>
        <v>-</v>
      </c>
      <c r="DB356" s="174"/>
      <c r="DC356" s="92" t="s">
        <v>593</v>
      </c>
    </row>
    <row r="357" spans="1:107" s="26" customFormat="1" ht="127.5">
      <c r="B357" s="65">
        <f t="shared" si="283"/>
        <v>350</v>
      </c>
      <c r="C357" s="7"/>
      <c r="D357" s="7"/>
      <c r="E357" s="7"/>
      <c r="F357" s="22" t="s">
        <v>170</v>
      </c>
      <c r="G357" s="16"/>
      <c r="H357" s="13"/>
      <c r="I357" s="8"/>
      <c r="J357" s="8" t="s">
        <v>426</v>
      </c>
      <c r="K357" s="8"/>
      <c r="L357" s="8"/>
      <c r="M357" s="418" t="s">
        <v>451</v>
      </c>
      <c r="N357" s="1"/>
      <c r="O357" s="57"/>
      <c r="P357" s="95">
        <f t="shared" si="282"/>
        <v>323</v>
      </c>
      <c r="Q357" s="115">
        <v>1</v>
      </c>
      <c r="R357" s="21" t="str">
        <f t="shared" si="294"/>
        <v>X</v>
      </c>
      <c r="S357" s="98" t="s">
        <v>171</v>
      </c>
      <c r="T357" s="96"/>
      <c r="U357" s="21" t="s">
        <v>435</v>
      </c>
      <c r="V357" s="10"/>
      <c r="W357" s="25">
        <v>3</v>
      </c>
      <c r="X357" s="1" t="s">
        <v>306</v>
      </c>
      <c r="Y357" s="1">
        <v>1</v>
      </c>
      <c r="Z357" s="1">
        <v>1</v>
      </c>
      <c r="AA357" s="8" t="s">
        <v>114</v>
      </c>
      <c r="AB357" s="8" t="s">
        <v>21</v>
      </c>
      <c r="AC357" s="104"/>
      <c r="AD357" s="60"/>
      <c r="AE357" s="174"/>
      <c r="AF357" s="61" t="str">
        <f t="shared" si="262"/>
        <v xml:space="preserve"> </v>
      </c>
      <c r="AG357" s="218" t="str">
        <f t="shared" si="276"/>
        <v>-</v>
      </c>
      <c r="AH357" s="174"/>
      <c r="AI357" s="92" t="str">
        <f t="shared" si="277"/>
        <v>OK</v>
      </c>
      <c r="AJ357" s="60"/>
      <c r="AK357" s="174"/>
      <c r="AL357" s="61" t="str">
        <f t="shared" si="263"/>
        <v xml:space="preserve"> </v>
      </c>
      <c r="AM357" s="218" t="str">
        <f t="shared" si="284"/>
        <v>-</v>
      </c>
      <c r="AN357" s="174"/>
      <c r="AO357" s="92" t="str">
        <f t="shared" si="278"/>
        <v>OK</v>
      </c>
      <c r="AP357" s="60"/>
      <c r="AQ357" s="170"/>
      <c r="AR357" s="61" t="str">
        <f t="shared" si="264"/>
        <v xml:space="preserve"> </v>
      </c>
      <c r="AS357" s="218" t="s">
        <v>593</v>
      </c>
      <c r="AT357" s="61"/>
      <c r="AU357" s="218" t="str">
        <f t="shared" si="261"/>
        <v>-</v>
      </c>
      <c r="AV357" s="60"/>
      <c r="AW357" s="174" t="s">
        <v>33</v>
      </c>
      <c r="AX357" s="61" t="str">
        <f t="shared" si="265"/>
        <v>1</v>
      </c>
      <c r="AY357" s="218" t="str">
        <f t="shared" si="285"/>
        <v>-</v>
      </c>
      <c r="AZ357" s="174" t="s">
        <v>33</v>
      </c>
      <c r="BA357" s="92" t="str">
        <f t="shared" si="279"/>
        <v>OK</v>
      </c>
      <c r="BB357" s="60"/>
      <c r="BC357" s="174" t="s">
        <v>33</v>
      </c>
      <c r="BD357" s="61" t="str">
        <f t="shared" si="266"/>
        <v>1</v>
      </c>
      <c r="BE357" s="218" t="str">
        <f t="shared" si="286"/>
        <v>-</v>
      </c>
      <c r="BF357" s="174" t="s">
        <v>33</v>
      </c>
      <c r="BG357" s="478" t="s">
        <v>594</v>
      </c>
      <c r="BH357" s="60"/>
      <c r="BI357" s="170" t="s">
        <v>33</v>
      </c>
      <c r="BJ357" s="61" t="str">
        <f t="shared" si="253"/>
        <v>1</v>
      </c>
      <c r="BK357" s="218" t="s">
        <v>593</v>
      </c>
      <c r="BL357" s="174" t="s">
        <v>33</v>
      </c>
      <c r="BM357" s="92" t="str">
        <f t="shared" si="274"/>
        <v>OK</v>
      </c>
      <c r="BN357" s="60"/>
      <c r="BO357" s="174" t="s">
        <v>33</v>
      </c>
      <c r="BP357" s="61" t="str">
        <f t="shared" si="267"/>
        <v>1</v>
      </c>
      <c r="BQ357" s="218" t="str">
        <f t="shared" si="287"/>
        <v>-</v>
      </c>
      <c r="BR357" s="174" t="s">
        <v>33</v>
      </c>
      <c r="BS357" s="478" t="s">
        <v>594</v>
      </c>
      <c r="BT357" s="60"/>
      <c r="BU357" s="170"/>
      <c r="BV357" s="61" t="str">
        <f t="shared" si="268"/>
        <v xml:space="preserve"> </v>
      </c>
      <c r="BW357" s="218" t="s">
        <v>593</v>
      </c>
      <c r="BX357" s="61"/>
      <c r="BY357" s="218" t="str">
        <f t="shared" si="288"/>
        <v>-</v>
      </c>
      <c r="BZ357" s="60"/>
      <c r="CA357" s="174"/>
      <c r="CB357" s="61" t="str">
        <f t="shared" si="269"/>
        <v xml:space="preserve"> </v>
      </c>
      <c r="CC357" s="218" t="str">
        <f t="shared" si="289"/>
        <v>-</v>
      </c>
      <c r="CD357" s="174"/>
      <c r="CE357" s="92" t="str">
        <f t="shared" si="280"/>
        <v>OK</v>
      </c>
      <c r="CF357" s="60"/>
      <c r="CG357" s="174"/>
      <c r="CH357" s="61" t="str">
        <f t="shared" si="270"/>
        <v xml:space="preserve"> </v>
      </c>
      <c r="CI357" s="218" t="str">
        <f t="shared" si="290"/>
        <v>-</v>
      </c>
      <c r="CJ357" s="174"/>
      <c r="CK357" s="92" t="str">
        <f t="shared" si="281"/>
        <v>OK</v>
      </c>
      <c r="CL357" s="60"/>
      <c r="CM357" s="174"/>
      <c r="CN357" s="61" t="str">
        <f t="shared" si="271"/>
        <v xml:space="preserve"> </v>
      </c>
      <c r="CO357" s="218" t="s">
        <v>593</v>
      </c>
      <c r="CP357" s="61"/>
      <c r="CQ357" s="218" t="str">
        <f t="shared" si="291"/>
        <v>-</v>
      </c>
      <c r="CR357" s="60"/>
      <c r="CS357" s="174"/>
      <c r="CT357" s="61" t="str">
        <f t="shared" si="272"/>
        <v xml:space="preserve"> </v>
      </c>
      <c r="CU357" s="218" t="str">
        <f t="shared" si="292"/>
        <v>-</v>
      </c>
      <c r="CV357" s="174"/>
      <c r="CW357" s="92" t="s">
        <v>593</v>
      </c>
      <c r="CX357" s="60"/>
      <c r="CY357" s="174"/>
      <c r="CZ357" s="61" t="str">
        <f t="shared" si="273"/>
        <v xml:space="preserve"> </v>
      </c>
      <c r="DA357" s="218" t="str">
        <f t="shared" si="293"/>
        <v>-</v>
      </c>
      <c r="DB357" s="174"/>
      <c r="DC357" s="92" t="s">
        <v>593</v>
      </c>
    </row>
    <row r="358" spans="1:107" s="26" customFormat="1" ht="331.5" customHeight="1">
      <c r="B358" s="65">
        <f t="shared" si="283"/>
        <v>351</v>
      </c>
      <c r="C358" s="7"/>
      <c r="D358" s="7"/>
      <c r="E358" s="54"/>
      <c r="F358" s="113" t="s">
        <v>452</v>
      </c>
      <c r="G358" s="67"/>
      <c r="H358" s="62"/>
      <c r="I358" s="8"/>
      <c r="J358" s="8" t="s">
        <v>426</v>
      </c>
      <c r="K358" s="8"/>
      <c r="L358" s="8"/>
      <c r="M358" s="415" t="s">
        <v>453</v>
      </c>
      <c r="N358" s="16"/>
      <c r="O358" s="57"/>
      <c r="P358" s="95">
        <f t="shared" si="282"/>
        <v>324</v>
      </c>
      <c r="Q358" s="115">
        <v>2</v>
      </c>
      <c r="R358" s="21" t="str">
        <f t="shared" si="294"/>
        <v>X</v>
      </c>
      <c r="S358" s="98" t="s">
        <v>172</v>
      </c>
      <c r="T358" s="96"/>
      <c r="U358" s="21" t="s">
        <v>435</v>
      </c>
      <c r="V358" s="10"/>
      <c r="W358" s="25">
        <v>3</v>
      </c>
      <c r="X358" s="1" t="s">
        <v>308</v>
      </c>
      <c r="Y358" s="1">
        <v>2</v>
      </c>
      <c r="Z358" s="1">
        <v>2</v>
      </c>
      <c r="AA358" s="8" t="s">
        <v>261</v>
      </c>
      <c r="AB358" s="8" t="s">
        <v>257</v>
      </c>
      <c r="AC358" s="68"/>
      <c r="AD358" s="60"/>
      <c r="AE358" s="174"/>
      <c r="AF358" s="273" t="str">
        <f t="shared" si="262"/>
        <v xml:space="preserve">  </v>
      </c>
      <c r="AG358" s="218" t="str">
        <f t="shared" si="276"/>
        <v>-</v>
      </c>
      <c r="AH358" s="174"/>
      <c r="AI358" s="92" t="str">
        <f t="shared" si="277"/>
        <v>OK</v>
      </c>
      <c r="AJ358" s="60"/>
      <c r="AK358" s="174"/>
      <c r="AL358" s="273" t="str">
        <f t="shared" si="263"/>
        <v xml:space="preserve">  </v>
      </c>
      <c r="AM358" s="218" t="str">
        <f t="shared" si="284"/>
        <v>-</v>
      </c>
      <c r="AN358" s="174"/>
      <c r="AO358" s="92" t="str">
        <f t="shared" si="278"/>
        <v>OK</v>
      </c>
      <c r="AP358" s="60"/>
      <c r="AQ358" s="170"/>
      <c r="AR358" s="273" t="str">
        <f t="shared" si="264"/>
        <v xml:space="preserve">  </v>
      </c>
      <c r="AS358" s="218" t="s">
        <v>593</v>
      </c>
      <c r="AT358" s="273"/>
      <c r="AU358" s="218" t="str">
        <f t="shared" si="261"/>
        <v>-</v>
      </c>
      <c r="AV358" s="60"/>
      <c r="AW358" s="174" t="s">
        <v>680</v>
      </c>
      <c r="AX358" s="273" t="str">
        <f t="shared" si="265"/>
        <v>K2</v>
      </c>
      <c r="AY358" s="218" t="str">
        <f t="shared" si="285"/>
        <v>-</v>
      </c>
      <c r="AZ358" s="174" t="s">
        <v>600</v>
      </c>
      <c r="BA358" s="92" t="str">
        <f t="shared" si="279"/>
        <v>OK</v>
      </c>
      <c r="BB358" s="60"/>
      <c r="BC358" s="174" t="s">
        <v>369</v>
      </c>
      <c r="BD358" s="273" t="str">
        <f t="shared" si="266"/>
        <v>J1</v>
      </c>
      <c r="BE358" s="218" t="str">
        <f t="shared" si="286"/>
        <v>-</v>
      </c>
      <c r="BF358" s="174" t="s">
        <v>369</v>
      </c>
      <c r="BG358" s="92" t="str">
        <f>IF(EXACT(BC358,BF358),"OK","NG")</f>
        <v>OK</v>
      </c>
      <c r="BH358" s="60"/>
      <c r="BI358" s="170" t="s">
        <v>680</v>
      </c>
      <c r="BJ358" s="273" t="str">
        <f t="shared" si="253"/>
        <v>K2</v>
      </c>
      <c r="BK358" s="218" t="s">
        <v>593</v>
      </c>
      <c r="BL358" s="174" t="s">
        <v>600</v>
      </c>
      <c r="BM358" s="92" t="str">
        <f t="shared" si="274"/>
        <v>OK</v>
      </c>
      <c r="BN358" s="60"/>
      <c r="BO358" s="174" t="s">
        <v>369</v>
      </c>
      <c r="BP358" s="273" t="str">
        <f t="shared" si="267"/>
        <v>J1</v>
      </c>
      <c r="BQ358" s="218" t="str">
        <f t="shared" si="287"/>
        <v>-</v>
      </c>
      <c r="BR358" s="174" t="s">
        <v>369</v>
      </c>
      <c r="BS358" s="92" t="str">
        <f>IF(EXACT(BO358,BR358),"OK","NG")</f>
        <v>OK</v>
      </c>
      <c r="BT358" s="60"/>
      <c r="BU358" s="170"/>
      <c r="BV358" s="273" t="str">
        <f t="shared" si="268"/>
        <v xml:space="preserve">  </v>
      </c>
      <c r="BW358" s="218" t="s">
        <v>593</v>
      </c>
      <c r="BX358" s="273"/>
      <c r="BY358" s="218" t="str">
        <f t="shared" si="288"/>
        <v>-</v>
      </c>
      <c r="BZ358" s="60"/>
      <c r="CA358" s="174"/>
      <c r="CB358" s="273" t="str">
        <f t="shared" si="269"/>
        <v xml:space="preserve">  </v>
      </c>
      <c r="CC358" s="218" t="str">
        <f t="shared" si="289"/>
        <v>-</v>
      </c>
      <c r="CD358" s="174"/>
      <c r="CE358" s="92" t="str">
        <f t="shared" si="280"/>
        <v>OK</v>
      </c>
      <c r="CF358" s="60"/>
      <c r="CG358" s="174"/>
      <c r="CH358" s="273" t="str">
        <f t="shared" si="270"/>
        <v xml:space="preserve">  </v>
      </c>
      <c r="CI358" s="218" t="str">
        <f t="shared" si="290"/>
        <v>-</v>
      </c>
      <c r="CJ358" s="174"/>
      <c r="CK358" s="92" t="str">
        <f t="shared" si="281"/>
        <v>OK</v>
      </c>
      <c r="CL358" s="60"/>
      <c r="CM358" s="174"/>
      <c r="CN358" s="273" t="str">
        <f t="shared" si="271"/>
        <v xml:space="preserve">  </v>
      </c>
      <c r="CO358" s="218" t="s">
        <v>593</v>
      </c>
      <c r="CP358" s="273"/>
      <c r="CQ358" s="218" t="str">
        <f t="shared" si="291"/>
        <v>-</v>
      </c>
      <c r="CR358" s="60"/>
      <c r="CS358" s="174"/>
      <c r="CT358" s="273" t="str">
        <f t="shared" si="272"/>
        <v xml:space="preserve">  </v>
      </c>
      <c r="CU358" s="218" t="str">
        <f t="shared" si="292"/>
        <v>-</v>
      </c>
      <c r="CV358" s="174"/>
      <c r="CW358" s="92" t="s">
        <v>593</v>
      </c>
      <c r="CX358" s="60"/>
      <c r="CY358" s="174"/>
      <c r="CZ358" s="273" t="str">
        <f t="shared" si="273"/>
        <v xml:space="preserve">  </v>
      </c>
      <c r="DA358" s="218" t="str">
        <f t="shared" si="293"/>
        <v>-</v>
      </c>
      <c r="DB358" s="174"/>
      <c r="DC358" s="92" t="s">
        <v>593</v>
      </c>
    </row>
    <row r="359" spans="1:107" s="26" customFormat="1" ht="25.5">
      <c r="B359" s="65">
        <f t="shared" si="283"/>
        <v>352</v>
      </c>
      <c r="C359" s="7"/>
      <c r="D359" s="7"/>
      <c r="E359" s="54"/>
      <c r="F359" s="66" t="s">
        <v>173</v>
      </c>
      <c r="G359" s="67"/>
      <c r="H359" s="62"/>
      <c r="I359" s="8"/>
      <c r="J359" s="8"/>
      <c r="K359" s="8"/>
      <c r="L359" s="8"/>
      <c r="M359" s="11" t="s">
        <v>354</v>
      </c>
      <c r="N359" s="16"/>
      <c r="O359" s="57"/>
      <c r="P359" s="95">
        <f t="shared" si="282"/>
        <v>325</v>
      </c>
      <c r="Q359" s="115">
        <v>7</v>
      </c>
      <c r="R359" s="21" t="str">
        <f t="shared" si="294"/>
        <v>X</v>
      </c>
      <c r="S359" s="98" t="s">
        <v>174</v>
      </c>
      <c r="T359" s="96"/>
      <c r="U359" s="21" t="s">
        <v>257</v>
      </c>
      <c r="V359" s="10"/>
      <c r="W359" s="25">
        <v>3</v>
      </c>
      <c r="X359" s="1" t="s">
        <v>309</v>
      </c>
      <c r="Y359" s="1">
        <v>7</v>
      </c>
      <c r="Z359" s="1">
        <v>7</v>
      </c>
      <c r="AA359" s="8" t="s">
        <v>261</v>
      </c>
      <c r="AB359" s="8" t="s">
        <v>257</v>
      </c>
      <c r="AC359" s="105"/>
      <c r="AD359" s="60"/>
      <c r="AE359" s="169"/>
      <c r="AF359" s="61" t="str">
        <f t="shared" si="262"/>
        <v xml:space="preserve">       </v>
      </c>
      <c r="AG359" s="218" t="str">
        <f t="shared" si="276"/>
        <v>-</v>
      </c>
      <c r="AH359" s="169"/>
      <c r="AI359" s="92" t="str">
        <f t="shared" si="277"/>
        <v>OK</v>
      </c>
      <c r="AJ359" s="60"/>
      <c r="AK359" s="169"/>
      <c r="AL359" s="61" t="str">
        <f t="shared" si="263"/>
        <v xml:space="preserve">       </v>
      </c>
      <c r="AM359" s="218" t="str">
        <f t="shared" si="284"/>
        <v>-</v>
      </c>
      <c r="AN359" s="169"/>
      <c r="AO359" s="92" t="str">
        <f t="shared" si="278"/>
        <v>OK</v>
      </c>
      <c r="AP359" s="60"/>
      <c r="AQ359" s="172"/>
      <c r="AR359" s="61" t="str">
        <f t="shared" si="264"/>
        <v xml:space="preserve">       </v>
      </c>
      <c r="AS359" s="218" t="s">
        <v>593</v>
      </c>
      <c r="AT359" s="61"/>
      <c r="AU359" s="218" t="str">
        <f t="shared" si="261"/>
        <v>-</v>
      </c>
      <c r="AV359" s="60"/>
      <c r="AW359" s="169"/>
      <c r="AX359" s="61" t="str">
        <f t="shared" si="265"/>
        <v xml:space="preserve">       </v>
      </c>
      <c r="AY359" s="218" t="str">
        <f t="shared" si="285"/>
        <v>-</v>
      </c>
      <c r="AZ359" s="169"/>
      <c r="BA359" s="92" t="str">
        <f t="shared" si="279"/>
        <v>OK</v>
      </c>
      <c r="BB359" s="60"/>
      <c r="BC359" s="169"/>
      <c r="BD359" s="61" t="str">
        <f t="shared" si="266"/>
        <v xml:space="preserve">       </v>
      </c>
      <c r="BE359" s="218" t="str">
        <f t="shared" si="286"/>
        <v>-</v>
      </c>
      <c r="BF359" s="169"/>
      <c r="BG359" s="478" t="s">
        <v>594</v>
      </c>
      <c r="BH359" s="60"/>
      <c r="BI359" s="170" t="s">
        <v>705</v>
      </c>
      <c r="BJ359" s="61" t="str">
        <f t="shared" si="253"/>
        <v xml:space="preserve">       </v>
      </c>
      <c r="BK359" s="218" t="s">
        <v>593</v>
      </c>
      <c r="BL359" s="169"/>
      <c r="BM359" s="92" t="str">
        <f t="shared" si="274"/>
        <v>NG</v>
      </c>
      <c r="BN359" s="60"/>
      <c r="BO359" s="169"/>
      <c r="BP359" s="61" t="str">
        <f t="shared" si="267"/>
        <v xml:space="preserve">       </v>
      </c>
      <c r="BQ359" s="218" t="str">
        <f t="shared" si="287"/>
        <v>-</v>
      </c>
      <c r="BR359" s="169"/>
      <c r="BS359" s="478" t="s">
        <v>594</v>
      </c>
      <c r="BT359" s="60"/>
      <c r="BU359" s="172"/>
      <c r="BV359" s="61" t="str">
        <f t="shared" si="268"/>
        <v xml:space="preserve">       </v>
      </c>
      <c r="BW359" s="218" t="s">
        <v>593</v>
      </c>
      <c r="BX359" s="61"/>
      <c r="BY359" s="218" t="str">
        <f t="shared" si="288"/>
        <v>-</v>
      </c>
      <c r="BZ359" s="60"/>
      <c r="CA359" s="169"/>
      <c r="CB359" s="61" t="str">
        <f t="shared" si="269"/>
        <v xml:space="preserve">       </v>
      </c>
      <c r="CC359" s="218" t="str">
        <f t="shared" si="289"/>
        <v>-</v>
      </c>
      <c r="CD359" s="169"/>
      <c r="CE359" s="92" t="str">
        <f t="shared" si="280"/>
        <v>OK</v>
      </c>
      <c r="CF359" s="60"/>
      <c r="CG359" s="169"/>
      <c r="CH359" s="61" t="str">
        <f t="shared" si="270"/>
        <v xml:space="preserve">       </v>
      </c>
      <c r="CI359" s="218" t="str">
        <f t="shared" si="290"/>
        <v>-</v>
      </c>
      <c r="CJ359" s="169"/>
      <c r="CK359" s="92" t="str">
        <f t="shared" si="281"/>
        <v>OK</v>
      </c>
      <c r="CL359" s="60"/>
      <c r="CM359" s="169"/>
      <c r="CN359" s="61" t="str">
        <f t="shared" si="271"/>
        <v xml:space="preserve">       </v>
      </c>
      <c r="CO359" s="218" t="s">
        <v>593</v>
      </c>
      <c r="CP359" s="61"/>
      <c r="CQ359" s="218" t="str">
        <f t="shared" si="291"/>
        <v>-</v>
      </c>
      <c r="CR359" s="60"/>
      <c r="CS359" s="169"/>
      <c r="CT359" s="61" t="str">
        <f t="shared" si="272"/>
        <v xml:space="preserve">       </v>
      </c>
      <c r="CU359" s="218" t="str">
        <f t="shared" si="292"/>
        <v>-</v>
      </c>
      <c r="CV359" s="169"/>
      <c r="CW359" s="92" t="s">
        <v>593</v>
      </c>
      <c r="CX359" s="60"/>
      <c r="CY359" s="169"/>
      <c r="CZ359" s="61" t="str">
        <f t="shared" si="273"/>
        <v xml:space="preserve">       </v>
      </c>
      <c r="DA359" s="218" t="str">
        <f t="shared" si="293"/>
        <v>-</v>
      </c>
      <c r="DB359" s="169"/>
      <c r="DC359" s="92" t="s">
        <v>593</v>
      </c>
    </row>
    <row r="360" spans="1:107" s="81" customFormat="1" ht="25.5">
      <c r="B360" s="65">
        <f t="shared" si="283"/>
        <v>353</v>
      </c>
      <c r="C360" s="69"/>
      <c r="D360" s="69"/>
      <c r="E360" s="70"/>
      <c r="F360" s="71" t="s">
        <v>355</v>
      </c>
      <c r="G360" s="72"/>
      <c r="H360" s="73"/>
      <c r="I360" s="74"/>
      <c r="J360" s="74"/>
      <c r="K360" s="75"/>
      <c r="L360" s="75"/>
      <c r="M360" s="84" t="s">
        <v>354</v>
      </c>
      <c r="N360" s="76"/>
      <c r="O360" s="77"/>
      <c r="P360" s="95">
        <f t="shared" si="282"/>
        <v>326</v>
      </c>
      <c r="Q360" s="119">
        <v>10</v>
      </c>
      <c r="R360" s="21" t="str">
        <f t="shared" si="294"/>
        <v>X</v>
      </c>
      <c r="S360" s="98" t="s">
        <v>175</v>
      </c>
      <c r="T360" s="106"/>
      <c r="U360" s="21" t="s">
        <v>257</v>
      </c>
      <c r="V360" s="77"/>
      <c r="W360" s="78">
        <v>3</v>
      </c>
      <c r="X360" s="56" t="s">
        <v>176</v>
      </c>
      <c r="Y360" s="56">
        <v>10</v>
      </c>
      <c r="Z360" s="56">
        <v>10</v>
      </c>
      <c r="AA360" s="74" t="s">
        <v>114</v>
      </c>
      <c r="AB360" s="74" t="s">
        <v>21</v>
      </c>
      <c r="AC360" s="105"/>
      <c r="AD360" s="79"/>
      <c r="AE360" s="481"/>
      <c r="AF360" s="80" t="str">
        <f t="shared" si="262"/>
        <v xml:space="preserve">          </v>
      </c>
      <c r="AG360" s="218" t="str">
        <f t="shared" si="276"/>
        <v>-</v>
      </c>
      <c r="AH360" s="274"/>
      <c r="AI360" s="92" t="str">
        <f t="shared" si="277"/>
        <v>OK</v>
      </c>
      <c r="AJ360" s="79"/>
      <c r="AK360" s="481"/>
      <c r="AL360" s="80" t="str">
        <f t="shared" si="263"/>
        <v xml:space="preserve">          </v>
      </c>
      <c r="AM360" s="218" t="str">
        <f t="shared" si="284"/>
        <v>-</v>
      </c>
      <c r="AN360" s="274"/>
      <c r="AO360" s="92" t="str">
        <f t="shared" si="278"/>
        <v>OK</v>
      </c>
      <c r="AP360" s="79"/>
      <c r="AQ360" s="512"/>
      <c r="AR360" s="80" t="str">
        <f t="shared" si="264"/>
        <v xml:space="preserve">          </v>
      </c>
      <c r="AS360" s="218" t="s">
        <v>593</v>
      </c>
      <c r="AT360" s="80"/>
      <c r="AU360" s="218" t="str">
        <f t="shared" si="261"/>
        <v>-</v>
      </c>
      <c r="AV360" s="79"/>
      <c r="AW360" s="481"/>
      <c r="AX360" s="80" t="str">
        <f t="shared" si="265"/>
        <v xml:space="preserve">          </v>
      </c>
      <c r="AY360" s="218" t="str">
        <f t="shared" si="285"/>
        <v>-</v>
      </c>
      <c r="AZ360" s="274"/>
      <c r="BA360" s="92" t="str">
        <f t="shared" si="279"/>
        <v>OK</v>
      </c>
      <c r="BB360" s="79"/>
      <c r="BC360" s="481"/>
      <c r="BD360" s="80" t="str">
        <f t="shared" si="266"/>
        <v xml:space="preserve">          </v>
      </c>
      <c r="BE360" s="218" t="str">
        <f t="shared" si="286"/>
        <v>-</v>
      </c>
      <c r="BF360" s="274"/>
      <c r="BG360" s="478" t="s">
        <v>594</v>
      </c>
      <c r="BH360" s="79"/>
      <c r="BI360" s="508" t="s">
        <v>706</v>
      </c>
      <c r="BJ360" s="80" t="str">
        <f t="shared" si="253"/>
        <v xml:space="preserve">          </v>
      </c>
      <c r="BK360" s="218" t="s">
        <v>593</v>
      </c>
      <c r="BL360" s="274"/>
      <c r="BM360" s="92" t="str">
        <f t="shared" si="274"/>
        <v>NG</v>
      </c>
      <c r="BN360" s="79"/>
      <c r="BO360" s="481"/>
      <c r="BP360" s="80" t="str">
        <f t="shared" si="267"/>
        <v xml:space="preserve">          </v>
      </c>
      <c r="BQ360" s="218" t="str">
        <f t="shared" si="287"/>
        <v>-</v>
      </c>
      <c r="BR360" s="274"/>
      <c r="BS360" s="478" t="s">
        <v>594</v>
      </c>
      <c r="BT360" s="79"/>
      <c r="BU360" s="512"/>
      <c r="BV360" s="80" t="str">
        <f t="shared" si="268"/>
        <v xml:space="preserve">          </v>
      </c>
      <c r="BW360" s="218" t="s">
        <v>593</v>
      </c>
      <c r="BX360" s="80"/>
      <c r="BY360" s="218" t="str">
        <f t="shared" si="288"/>
        <v>-</v>
      </c>
      <c r="BZ360" s="79"/>
      <c r="CA360" s="481"/>
      <c r="CB360" s="80" t="str">
        <f t="shared" si="269"/>
        <v xml:space="preserve">          </v>
      </c>
      <c r="CC360" s="218" t="str">
        <f t="shared" si="289"/>
        <v>-</v>
      </c>
      <c r="CD360" s="274"/>
      <c r="CE360" s="92" t="str">
        <f t="shared" si="280"/>
        <v>OK</v>
      </c>
      <c r="CF360" s="79"/>
      <c r="CG360" s="481"/>
      <c r="CH360" s="80" t="str">
        <f t="shared" si="270"/>
        <v xml:space="preserve">          </v>
      </c>
      <c r="CI360" s="218" t="str">
        <f t="shared" si="290"/>
        <v>-</v>
      </c>
      <c r="CJ360" s="274"/>
      <c r="CK360" s="92" t="str">
        <f t="shared" si="281"/>
        <v>OK</v>
      </c>
      <c r="CL360" s="79"/>
      <c r="CM360" s="481"/>
      <c r="CN360" s="80" t="str">
        <f t="shared" si="271"/>
        <v xml:space="preserve">          </v>
      </c>
      <c r="CO360" s="218" t="s">
        <v>593</v>
      </c>
      <c r="CP360" s="80"/>
      <c r="CQ360" s="218" t="str">
        <f t="shared" si="291"/>
        <v>-</v>
      </c>
      <c r="CR360" s="79"/>
      <c r="CS360" s="481"/>
      <c r="CT360" s="80" t="str">
        <f t="shared" si="272"/>
        <v xml:space="preserve">          </v>
      </c>
      <c r="CU360" s="218" t="str">
        <f t="shared" si="292"/>
        <v>-</v>
      </c>
      <c r="CV360" s="274"/>
      <c r="CW360" s="92" t="s">
        <v>593</v>
      </c>
      <c r="CX360" s="79"/>
      <c r="CY360" s="481"/>
      <c r="CZ360" s="80" t="str">
        <f t="shared" si="273"/>
        <v xml:space="preserve">          </v>
      </c>
      <c r="DA360" s="218" t="str">
        <f t="shared" si="293"/>
        <v>-</v>
      </c>
      <c r="DB360" s="274"/>
      <c r="DC360" s="92" t="s">
        <v>593</v>
      </c>
    </row>
    <row r="361" spans="1:107" s="81" customFormat="1" ht="25.5">
      <c r="B361" s="65">
        <f t="shared" si="283"/>
        <v>354</v>
      </c>
      <c r="C361" s="69"/>
      <c r="D361" s="69"/>
      <c r="E361" s="69"/>
      <c r="F361" s="82" t="s">
        <v>177</v>
      </c>
      <c r="G361" s="14"/>
      <c r="H361" s="83"/>
      <c r="I361" s="74"/>
      <c r="J361" s="74"/>
      <c r="K361" s="75"/>
      <c r="L361" s="75"/>
      <c r="M361" s="84" t="s">
        <v>354</v>
      </c>
      <c r="N361" s="76"/>
      <c r="O361" s="77"/>
      <c r="P361" s="95">
        <f t="shared" si="282"/>
        <v>327</v>
      </c>
      <c r="Q361" s="119">
        <v>3</v>
      </c>
      <c r="R361" s="21" t="str">
        <f t="shared" si="294"/>
        <v>X</v>
      </c>
      <c r="S361" s="98" t="s">
        <v>178</v>
      </c>
      <c r="T361" s="106"/>
      <c r="U361" s="21" t="s">
        <v>257</v>
      </c>
      <c r="V361" s="77"/>
      <c r="W361" s="78">
        <v>3</v>
      </c>
      <c r="X361" s="56" t="s">
        <v>179</v>
      </c>
      <c r="Y361" s="56">
        <v>3</v>
      </c>
      <c r="Z361" s="56">
        <v>3</v>
      </c>
      <c r="AA361" s="74" t="s">
        <v>114</v>
      </c>
      <c r="AB361" s="74" t="s">
        <v>21</v>
      </c>
      <c r="AC361" s="105"/>
      <c r="AD361" s="79"/>
      <c r="AE361" s="481"/>
      <c r="AF361" s="80" t="str">
        <f t="shared" si="262"/>
        <v xml:space="preserve">   </v>
      </c>
      <c r="AG361" s="218" t="str">
        <f t="shared" si="276"/>
        <v>-</v>
      </c>
      <c r="AH361" s="274"/>
      <c r="AI361" s="92" t="str">
        <f t="shared" si="277"/>
        <v>OK</v>
      </c>
      <c r="AJ361" s="79"/>
      <c r="AK361" s="481"/>
      <c r="AL361" s="80" t="str">
        <f t="shared" si="263"/>
        <v xml:space="preserve">   </v>
      </c>
      <c r="AM361" s="218" t="str">
        <f t="shared" si="284"/>
        <v>-</v>
      </c>
      <c r="AN361" s="274"/>
      <c r="AO361" s="92" t="str">
        <f t="shared" si="278"/>
        <v>OK</v>
      </c>
      <c r="AP361" s="79"/>
      <c r="AQ361" s="512"/>
      <c r="AR361" s="80" t="str">
        <f t="shared" si="264"/>
        <v xml:space="preserve">   </v>
      </c>
      <c r="AS361" s="218" t="s">
        <v>593</v>
      </c>
      <c r="AT361" s="80"/>
      <c r="AU361" s="218" t="str">
        <f t="shared" si="261"/>
        <v>-</v>
      </c>
      <c r="AV361" s="79"/>
      <c r="AW361" s="481"/>
      <c r="AX361" s="80" t="str">
        <f t="shared" si="265"/>
        <v xml:space="preserve">   </v>
      </c>
      <c r="AY361" s="218" t="str">
        <f t="shared" si="285"/>
        <v>-</v>
      </c>
      <c r="AZ361" s="274"/>
      <c r="BA361" s="92" t="str">
        <f t="shared" si="279"/>
        <v>OK</v>
      </c>
      <c r="BB361" s="79"/>
      <c r="BC361" s="481"/>
      <c r="BD361" s="80" t="str">
        <f t="shared" si="266"/>
        <v xml:space="preserve">   </v>
      </c>
      <c r="BE361" s="218" t="str">
        <f t="shared" si="286"/>
        <v>-</v>
      </c>
      <c r="BF361" s="274"/>
      <c r="BG361" s="478" t="s">
        <v>594</v>
      </c>
      <c r="BH361" s="79"/>
      <c r="BI361" s="508" t="s">
        <v>707</v>
      </c>
      <c r="BJ361" s="80" t="str">
        <f t="shared" si="253"/>
        <v xml:space="preserve">   </v>
      </c>
      <c r="BK361" s="218" t="s">
        <v>593</v>
      </c>
      <c r="BL361" s="274"/>
      <c r="BM361" s="92" t="str">
        <f t="shared" si="274"/>
        <v>NG</v>
      </c>
      <c r="BN361" s="79"/>
      <c r="BO361" s="481"/>
      <c r="BP361" s="80" t="str">
        <f t="shared" si="267"/>
        <v xml:space="preserve">   </v>
      </c>
      <c r="BQ361" s="218" t="str">
        <f t="shared" si="287"/>
        <v>-</v>
      </c>
      <c r="BR361" s="274"/>
      <c r="BS361" s="478" t="s">
        <v>594</v>
      </c>
      <c r="BT361" s="79"/>
      <c r="BU361" s="512"/>
      <c r="BV361" s="80" t="str">
        <f t="shared" si="268"/>
        <v xml:space="preserve">   </v>
      </c>
      <c r="BW361" s="218" t="s">
        <v>593</v>
      </c>
      <c r="BX361" s="80"/>
      <c r="BY361" s="218" t="str">
        <f t="shared" si="288"/>
        <v>-</v>
      </c>
      <c r="BZ361" s="79"/>
      <c r="CA361" s="481"/>
      <c r="CB361" s="80" t="str">
        <f t="shared" si="269"/>
        <v xml:space="preserve">   </v>
      </c>
      <c r="CC361" s="218" t="str">
        <f t="shared" si="289"/>
        <v>-</v>
      </c>
      <c r="CD361" s="274"/>
      <c r="CE361" s="92" t="str">
        <f t="shared" si="280"/>
        <v>OK</v>
      </c>
      <c r="CF361" s="79"/>
      <c r="CG361" s="481"/>
      <c r="CH361" s="80" t="str">
        <f t="shared" si="270"/>
        <v xml:space="preserve">   </v>
      </c>
      <c r="CI361" s="218" t="str">
        <f t="shared" si="290"/>
        <v>-</v>
      </c>
      <c r="CJ361" s="274"/>
      <c r="CK361" s="92" t="str">
        <f t="shared" si="281"/>
        <v>OK</v>
      </c>
      <c r="CL361" s="79"/>
      <c r="CM361" s="481"/>
      <c r="CN361" s="80" t="str">
        <f t="shared" si="271"/>
        <v xml:space="preserve">   </v>
      </c>
      <c r="CO361" s="218" t="s">
        <v>593</v>
      </c>
      <c r="CP361" s="80"/>
      <c r="CQ361" s="218" t="str">
        <f t="shared" si="291"/>
        <v>-</v>
      </c>
      <c r="CR361" s="79"/>
      <c r="CS361" s="481"/>
      <c r="CT361" s="80" t="str">
        <f t="shared" si="272"/>
        <v xml:space="preserve">   </v>
      </c>
      <c r="CU361" s="218" t="str">
        <f t="shared" si="292"/>
        <v>-</v>
      </c>
      <c r="CV361" s="274"/>
      <c r="CW361" s="92" t="s">
        <v>593</v>
      </c>
      <c r="CX361" s="79"/>
      <c r="CY361" s="481"/>
      <c r="CZ361" s="80" t="str">
        <f t="shared" si="273"/>
        <v xml:space="preserve">   </v>
      </c>
      <c r="DA361" s="218" t="str">
        <f t="shared" si="293"/>
        <v>-</v>
      </c>
      <c r="DB361" s="274"/>
      <c r="DC361" s="92" t="s">
        <v>593</v>
      </c>
    </row>
    <row r="362" spans="1:107" s="81" customFormat="1" ht="25.5">
      <c r="B362" s="65">
        <f t="shared" si="283"/>
        <v>355</v>
      </c>
      <c r="C362" s="69"/>
      <c r="D362" s="69"/>
      <c r="E362" s="69"/>
      <c r="F362" s="82" t="s">
        <v>180</v>
      </c>
      <c r="G362" s="14"/>
      <c r="H362" s="83"/>
      <c r="I362" s="74"/>
      <c r="J362" s="74"/>
      <c r="K362" s="75"/>
      <c r="L362" s="75"/>
      <c r="M362" s="84" t="s">
        <v>354</v>
      </c>
      <c r="N362" s="76"/>
      <c r="O362" s="77"/>
      <c r="P362" s="95">
        <f>P361+1</f>
        <v>328</v>
      </c>
      <c r="Q362" s="119">
        <v>2</v>
      </c>
      <c r="R362" s="21" t="str">
        <f t="shared" si="294"/>
        <v>X</v>
      </c>
      <c r="S362" s="98" t="s">
        <v>181</v>
      </c>
      <c r="T362" s="106"/>
      <c r="U362" s="21" t="s">
        <v>257</v>
      </c>
      <c r="V362" s="77"/>
      <c r="W362" s="78">
        <v>3</v>
      </c>
      <c r="X362" s="56" t="s">
        <v>182</v>
      </c>
      <c r="Y362" s="56">
        <v>2</v>
      </c>
      <c r="Z362" s="56">
        <v>2</v>
      </c>
      <c r="AA362" s="74" t="s">
        <v>114</v>
      </c>
      <c r="AB362" s="74" t="s">
        <v>21</v>
      </c>
      <c r="AC362" s="105"/>
      <c r="AD362" s="79"/>
      <c r="AE362" s="481"/>
      <c r="AF362" s="80" t="str">
        <f t="shared" si="262"/>
        <v xml:space="preserve">  </v>
      </c>
      <c r="AG362" s="218" t="str">
        <f t="shared" si="276"/>
        <v>-</v>
      </c>
      <c r="AH362" s="274"/>
      <c r="AI362" s="92" t="str">
        <f t="shared" si="277"/>
        <v>OK</v>
      </c>
      <c r="AJ362" s="79"/>
      <c r="AK362" s="481"/>
      <c r="AL362" s="80" t="str">
        <f t="shared" si="263"/>
        <v xml:space="preserve">  </v>
      </c>
      <c r="AM362" s="218" t="str">
        <f t="shared" si="284"/>
        <v>-</v>
      </c>
      <c r="AN362" s="274"/>
      <c r="AO362" s="92" t="str">
        <f t="shared" si="278"/>
        <v>OK</v>
      </c>
      <c r="AP362" s="79"/>
      <c r="AQ362" s="512"/>
      <c r="AR362" s="80" t="str">
        <f t="shared" si="264"/>
        <v xml:space="preserve">  </v>
      </c>
      <c r="AS362" s="218" t="s">
        <v>593</v>
      </c>
      <c r="AT362" s="80"/>
      <c r="AU362" s="218" t="str">
        <f t="shared" si="261"/>
        <v>-</v>
      </c>
      <c r="AV362" s="79"/>
      <c r="AW362" s="481"/>
      <c r="AX362" s="80" t="str">
        <f t="shared" si="265"/>
        <v xml:space="preserve">  </v>
      </c>
      <c r="AY362" s="218" t="str">
        <f t="shared" si="285"/>
        <v>-</v>
      </c>
      <c r="AZ362" s="274"/>
      <c r="BA362" s="92" t="str">
        <f t="shared" si="279"/>
        <v>OK</v>
      </c>
      <c r="BB362" s="79"/>
      <c r="BC362" s="481"/>
      <c r="BD362" s="80" t="str">
        <f t="shared" si="266"/>
        <v xml:space="preserve">  </v>
      </c>
      <c r="BE362" s="218" t="str">
        <f t="shared" si="286"/>
        <v>-</v>
      </c>
      <c r="BF362" s="274"/>
      <c r="BG362" s="478" t="s">
        <v>594</v>
      </c>
      <c r="BH362" s="79"/>
      <c r="BI362" s="508" t="s">
        <v>698</v>
      </c>
      <c r="BJ362" s="80" t="str">
        <f t="shared" si="253"/>
        <v xml:space="preserve">  </v>
      </c>
      <c r="BK362" s="218" t="s">
        <v>593</v>
      </c>
      <c r="BL362" s="274"/>
      <c r="BM362" s="92" t="str">
        <f t="shared" si="274"/>
        <v>NG</v>
      </c>
      <c r="BN362" s="79"/>
      <c r="BO362" s="481"/>
      <c r="BP362" s="80" t="str">
        <f t="shared" si="267"/>
        <v xml:space="preserve">  </v>
      </c>
      <c r="BQ362" s="218" t="str">
        <f t="shared" si="287"/>
        <v>-</v>
      </c>
      <c r="BR362" s="274"/>
      <c r="BS362" s="478" t="s">
        <v>594</v>
      </c>
      <c r="BT362" s="79"/>
      <c r="BU362" s="512"/>
      <c r="BV362" s="80" t="str">
        <f t="shared" si="268"/>
        <v xml:space="preserve">  </v>
      </c>
      <c r="BW362" s="218" t="s">
        <v>593</v>
      </c>
      <c r="BX362" s="80"/>
      <c r="BY362" s="218" t="str">
        <f t="shared" si="288"/>
        <v>-</v>
      </c>
      <c r="BZ362" s="79"/>
      <c r="CA362" s="481"/>
      <c r="CB362" s="80" t="str">
        <f t="shared" si="269"/>
        <v xml:space="preserve">  </v>
      </c>
      <c r="CC362" s="218" t="str">
        <f t="shared" si="289"/>
        <v>-</v>
      </c>
      <c r="CD362" s="274"/>
      <c r="CE362" s="92" t="str">
        <f t="shared" si="280"/>
        <v>OK</v>
      </c>
      <c r="CF362" s="79"/>
      <c r="CG362" s="481"/>
      <c r="CH362" s="80" t="str">
        <f t="shared" si="270"/>
        <v xml:space="preserve">  </v>
      </c>
      <c r="CI362" s="218" t="str">
        <f t="shared" si="290"/>
        <v>-</v>
      </c>
      <c r="CJ362" s="274"/>
      <c r="CK362" s="92" t="str">
        <f t="shared" si="281"/>
        <v>OK</v>
      </c>
      <c r="CL362" s="79"/>
      <c r="CM362" s="481"/>
      <c r="CN362" s="80" t="str">
        <f t="shared" si="271"/>
        <v xml:space="preserve">  </v>
      </c>
      <c r="CO362" s="218" t="s">
        <v>593</v>
      </c>
      <c r="CP362" s="80"/>
      <c r="CQ362" s="218" t="str">
        <f t="shared" si="291"/>
        <v>-</v>
      </c>
      <c r="CR362" s="79"/>
      <c r="CS362" s="481"/>
      <c r="CT362" s="80" t="str">
        <f t="shared" si="272"/>
        <v xml:space="preserve">  </v>
      </c>
      <c r="CU362" s="218" t="str">
        <f t="shared" si="292"/>
        <v>-</v>
      </c>
      <c r="CV362" s="274"/>
      <c r="CW362" s="92" t="s">
        <v>593</v>
      </c>
      <c r="CX362" s="79"/>
      <c r="CY362" s="481"/>
      <c r="CZ362" s="80" t="str">
        <f t="shared" si="273"/>
        <v xml:space="preserve">  </v>
      </c>
      <c r="DA362" s="218" t="str">
        <f t="shared" si="293"/>
        <v>-</v>
      </c>
      <c r="DB362" s="274"/>
      <c r="DC362" s="92" t="s">
        <v>593</v>
      </c>
    </row>
    <row r="363" spans="1:107" s="81" customFormat="1" ht="51.75" customHeight="1">
      <c r="B363" s="65">
        <f t="shared" si="283"/>
        <v>356</v>
      </c>
      <c r="C363" s="69"/>
      <c r="D363" s="69"/>
      <c r="E363" s="69"/>
      <c r="F363" s="233" t="s">
        <v>183</v>
      </c>
      <c r="G363" s="234"/>
      <c r="H363" s="235"/>
      <c r="I363" s="74"/>
      <c r="J363" s="74"/>
      <c r="K363" s="75"/>
      <c r="L363" s="75"/>
      <c r="M363" s="84" t="s">
        <v>184</v>
      </c>
      <c r="N363" s="76"/>
      <c r="O363" s="77"/>
      <c r="P363" s="95">
        <f>P362+1</f>
        <v>329</v>
      </c>
      <c r="Q363" s="119">
        <v>5</v>
      </c>
      <c r="R363" s="21" t="str">
        <f t="shared" si="294"/>
        <v>X</v>
      </c>
      <c r="S363" s="98" t="s">
        <v>185</v>
      </c>
      <c r="T363" s="106"/>
      <c r="U363" s="21" t="s">
        <v>257</v>
      </c>
      <c r="V363" s="77"/>
      <c r="W363" s="78">
        <v>3</v>
      </c>
      <c r="X363" s="56" t="s">
        <v>310</v>
      </c>
      <c r="Y363" s="56">
        <v>5</v>
      </c>
      <c r="Z363" s="56">
        <v>5</v>
      </c>
      <c r="AA363" s="74" t="s">
        <v>114</v>
      </c>
      <c r="AB363" s="74" t="s">
        <v>21</v>
      </c>
      <c r="AC363" s="85"/>
      <c r="AD363" s="79"/>
      <c r="AE363" s="481"/>
      <c r="AF363" s="80" t="str">
        <f t="shared" si="262"/>
        <v xml:space="preserve">     </v>
      </c>
      <c r="AG363" s="218" t="str">
        <f t="shared" si="276"/>
        <v>-</v>
      </c>
      <c r="AH363" s="274"/>
      <c r="AI363" s="92" t="str">
        <f t="shared" si="277"/>
        <v>OK</v>
      </c>
      <c r="AJ363" s="79"/>
      <c r="AK363" s="481"/>
      <c r="AL363" s="80" t="str">
        <f t="shared" si="263"/>
        <v xml:space="preserve">     </v>
      </c>
      <c r="AM363" s="218" t="str">
        <f t="shared" si="284"/>
        <v>-</v>
      </c>
      <c r="AN363" s="274"/>
      <c r="AO363" s="92" t="str">
        <f t="shared" si="278"/>
        <v>OK</v>
      </c>
      <c r="AP363" s="79"/>
      <c r="AQ363" s="512"/>
      <c r="AR363" s="80" t="str">
        <f t="shared" si="264"/>
        <v xml:space="preserve">     </v>
      </c>
      <c r="AS363" s="218" t="s">
        <v>593</v>
      </c>
      <c r="AT363" s="80"/>
      <c r="AU363" s="218" t="str">
        <f t="shared" si="261"/>
        <v>-</v>
      </c>
      <c r="AV363" s="79"/>
      <c r="AW363" s="487" t="s">
        <v>670</v>
      </c>
      <c r="AX363" s="80" t="str">
        <f t="shared" si="265"/>
        <v>03960</v>
      </c>
      <c r="AY363" s="218" t="str">
        <f t="shared" si="285"/>
        <v>-</v>
      </c>
      <c r="AZ363" s="487" t="s">
        <v>656</v>
      </c>
      <c r="BA363" s="92" t="str">
        <f t="shared" si="279"/>
        <v>OK</v>
      </c>
      <c r="BB363" s="79"/>
      <c r="BC363" s="481"/>
      <c r="BD363" s="80" t="str">
        <f t="shared" si="266"/>
        <v xml:space="preserve">     </v>
      </c>
      <c r="BE363" s="218" t="str">
        <f t="shared" si="286"/>
        <v>-</v>
      </c>
      <c r="BF363" s="274"/>
      <c r="BG363" s="478" t="s">
        <v>594</v>
      </c>
      <c r="BH363" s="79"/>
      <c r="BI363" s="508" t="s">
        <v>670</v>
      </c>
      <c r="BJ363" s="80" t="str">
        <f t="shared" si="253"/>
        <v xml:space="preserve">     </v>
      </c>
      <c r="BK363" s="218" t="s">
        <v>593</v>
      </c>
      <c r="BL363" s="274"/>
      <c r="BM363" s="92" t="str">
        <f t="shared" si="274"/>
        <v>NG</v>
      </c>
      <c r="BN363" s="79"/>
      <c r="BO363" s="481"/>
      <c r="BP363" s="80" t="str">
        <f t="shared" si="267"/>
        <v xml:space="preserve">     </v>
      </c>
      <c r="BQ363" s="218" t="str">
        <f t="shared" si="287"/>
        <v>-</v>
      </c>
      <c r="BR363" s="274"/>
      <c r="BS363" s="478" t="s">
        <v>594</v>
      </c>
      <c r="BT363" s="79"/>
      <c r="BU363" s="512"/>
      <c r="BV363" s="80" t="str">
        <f t="shared" si="268"/>
        <v xml:space="preserve">     </v>
      </c>
      <c r="BW363" s="218" t="s">
        <v>593</v>
      </c>
      <c r="BX363" s="80"/>
      <c r="BY363" s="218" t="str">
        <f t="shared" si="288"/>
        <v>-</v>
      </c>
      <c r="BZ363" s="79"/>
      <c r="CA363" s="481"/>
      <c r="CB363" s="80" t="str">
        <f t="shared" si="269"/>
        <v xml:space="preserve">     </v>
      </c>
      <c r="CC363" s="218" t="str">
        <f t="shared" si="289"/>
        <v>-</v>
      </c>
      <c r="CD363" s="274"/>
      <c r="CE363" s="92" t="str">
        <f t="shared" si="280"/>
        <v>OK</v>
      </c>
      <c r="CF363" s="79"/>
      <c r="CG363" s="481"/>
      <c r="CH363" s="80" t="str">
        <f t="shared" si="270"/>
        <v xml:space="preserve">     </v>
      </c>
      <c r="CI363" s="218" t="str">
        <f t="shared" si="290"/>
        <v>-</v>
      </c>
      <c r="CJ363" s="274"/>
      <c r="CK363" s="92" t="str">
        <f t="shared" si="281"/>
        <v>OK</v>
      </c>
      <c r="CL363" s="79"/>
      <c r="CM363" s="481"/>
      <c r="CN363" s="80" t="str">
        <f t="shared" si="271"/>
        <v xml:space="preserve">     </v>
      </c>
      <c r="CO363" s="218" t="s">
        <v>593</v>
      </c>
      <c r="CP363" s="80"/>
      <c r="CQ363" s="218" t="str">
        <f t="shared" si="291"/>
        <v>-</v>
      </c>
      <c r="CR363" s="79"/>
      <c r="CS363" s="481"/>
      <c r="CT363" s="80" t="str">
        <f t="shared" si="272"/>
        <v xml:space="preserve">     </v>
      </c>
      <c r="CU363" s="218" t="str">
        <f t="shared" si="292"/>
        <v>-</v>
      </c>
      <c r="CV363" s="274"/>
      <c r="CW363" s="92" t="s">
        <v>593</v>
      </c>
      <c r="CX363" s="79"/>
      <c r="CY363" s="481"/>
      <c r="CZ363" s="80" t="str">
        <f t="shared" si="273"/>
        <v xml:space="preserve">     </v>
      </c>
      <c r="DA363" s="218" t="str">
        <f t="shared" si="293"/>
        <v>-</v>
      </c>
      <c r="DB363" s="274"/>
      <c r="DC363" s="92" t="s">
        <v>593</v>
      </c>
    </row>
    <row r="364" spans="1:107" s="81" customFormat="1" ht="51.75" customHeight="1">
      <c r="B364" s="65">
        <f t="shared" si="283"/>
        <v>357</v>
      </c>
      <c r="C364" s="69"/>
      <c r="D364" s="69"/>
      <c r="E364" s="69"/>
      <c r="F364" s="233" t="s">
        <v>186</v>
      </c>
      <c r="G364" s="234"/>
      <c r="H364" s="235"/>
      <c r="I364" s="74"/>
      <c r="J364" s="74"/>
      <c r="K364" s="75"/>
      <c r="L364" s="75"/>
      <c r="M364" s="84" t="s">
        <v>187</v>
      </c>
      <c r="N364" s="76"/>
      <c r="O364" s="77"/>
      <c r="P364" s="95">
        <f>P363+1</f>
        <v>330</v>
      </c>
      <c r="Q364" s="119">
        <v>64</v>
      </c>
      <c r="R364" s="21" t="str">
        <f>IF(AA364="M","NX",AA364)</f>
        <v>NX</v>
      </c>
      <c r="S364" s="98" t="s">
        <v>188</v>
      </c>
      <c r="T364" s="106"/>
      <c r="U364" s="21" t="s">
        <v>257</v>
      </c>
      <c r="V364" s="77" t="s">
        <v>311</v>
      </c>
      <c r="W364" s="78">
        <v>3</v>
      </c>
      <c r="X364" s="56" t="s">
        <v>312</v>
      </c>
      <c r="Y364" s="56">
        <v>1</v>
      </c>
      <c r="Z364" s="56">
        <v>64</v>
      </c>
      <c r="AA364" s="74" t="s">
        <v>300</v>
      </c>
      <c r="AB364" s="74" t="s">
        <v>21</v>
      </c>
      <c r="AC364" s="85" t="s">
        <v>311</v>
      </c>
      <c r="AD364" s="79"/>
      <c r="AE364" s="481"/>
      <c r="AF364" s="80" t="str">
        <f t="shared" si="262"/>
        <v xml:space="preserve">                                                                </v>
      </c>
      <c r="AG364" s="218" t="str">
        <f t="shared" si="276"/>
        <v>-</v>
      </c>
      <c r="AH364" s="274"/>
      <c r="AI364" s="92" t="str">
        <f t="shared" si="277"/>
        <v>OK</v>
      </c>
      <c r="AJ364" s="79"/>
      <c r="AK364" s="481"/>
      <c r="AL364" s="80" t="str">
        <f t="shared" si="263"/>
        <v xml:space="preserve">                                                                </v>
      </c>
      <c r="AM364" s="218" t="str">
        <f t="shared" si="284"/>
        <v>-</v>
      </c>
      <c r="AN364" s="274"/>
      <c r="AO364" s="92" t="str">
        <f t="shared" si="278"/>
        <v>OK</v>
      </c>
      <c r="AP364" s="79"/>
      <c r="AQ364" s="512"/>
      <c r="AR364" s="80" t="str">
        <f t="shared" si="264"/>
        <v xml:space="preserve">                                                                </v>
      </c>
      <c r="AS364" s="218" t="s">
        <v>593</v>
      </c>
      <c r="AT364" s="80"/>
      <c r="AU364" s="218" t="str">
        <f t="shared" si="261"/>
        <v>-</v>
      </c>
      <c r="AV364" s="79"/>
      <c r="AW364" s="487" t="s">
        <v>671</v>
      </c>
      <c r="AX364" s="80" t="str">
        <f t="shared" si="265"/>
        <v xml:space="preserve">日本ネットワークイネイブラー株式会社                            </v>
      </c>
      <c r="AY364" s="218" t="str">
        <f t="shared" si="285"/>
        <v>-</v>
      </c>
      <c r="AZ364" s="481" t="s">
        <v>596</v>
      </c>
      <c r="BA364" s="92" t="str">
        <f t="shared" si="279"/>
        <v>OK</v>
      </c>
      <c r="BB364" s="79"/>
      <c r="BC364" s="481"/>
      <c r="BD364" s="80" t="str">
        <f t="shared" si="266"/>
        <v xml:space="preserve">                                                                </v>
      </c>
      <c r="BE364" s="218" t="str">
        <f t="shared" si="286"/>
        <v>-</v>
      </c>
      <c r="BF364" s="274"/>
      <c r="BG364" s="478" t="s">
        <v>594</v>
      </c>
      <c r="BH364" s="79"/>
      <c r="BI364" s="508" t="s">
        <v>749</v>
      </c>
      <c r="BJ364" s="80" t="str">
        <f t="shared" si="253"/>
        <v xml:space="preserve">                                                                </v>
      </c>
      <c r="BK364" s="218" t="s">
        <v>593</v>
      </c>
      <c r="BL364" s="274"/>
      <c r="BM364" s="92" t="str">
        <f t="shared" si="274"/>
        <v>NG</v>
      </c>
      <c r="BN364" s="79"/>
      <c r="BO364" s="481"/>
      <c r="BP364" s="80" t="str">
        <f t="shared" si="267"/>
        <v xml:space="preserve">                                                                </v>
      </c>
      <c r="BQ364" s="218" t="str">
        <f t="shared" si="287"/>
        <v>-</v>
      </c>
      <c r="BR364" s="274"/>
      <c r="BS364" s="478" t="s">
        <v>594</v>
      </c>
      <c r="BT364" s="79"/>
      <c r="BU364" s="512"/>
      <c r="BV364" s="80" t="str">
        <f t="shared" si="268"/>
        <v xml:space="preserve">                                                                </v>
      </c>
      <c r="BW364" s="218" t="s">
        <v>593</v>
      </c>
      <c r="BX364" s="80"/>
      <c r="BY364" s="218" t="str">
        <f t="shared" si="288"/>
        <v>-</v>
      </c>
      <c r="BZ364" s="79"/>
      <c r="CA364" s="481"/>
      <c r="CB364" s="80" t="str">
        <f t="shared" si="269"/>
        <v xml:space="preserve">                                                                </v>
      </c>
      <c r="CC364" s="218" t="str">
        <f t="shared" si="289"/>
        <v>-</v>
      </c>
      <c r="CD364" s="274"/>
      <c r="CE364" s="92" t="str">
        <f t="shared" si="280"/>
        <v>OK</v>
      </c>
      <c r="CF364" s="79"/>
      <c r="CG364" s="481"/>
      <c r="CH364" s="80" t="str">
        <f t="shared" si="270"/>
        <v xml:space="preserve">                                                                </v>
      </c>
      <c r="CI364" s="218" t="str">
        <f t="shared" si="290"/>
        <v>-</v>
      </c>
      <c r="CJ364" s="274"/>
      <c r="CK364" s="92" t="str">
        <f t="shared" si="281"/>
        <v>OK</v>
      </c>
      <c r="CL364" s="79"/>
      <c r="CM364" s="481"/>
      <c r="CN364" s="80" t="str">
        <f t="shared" si="271"/>
        <v xml:space="preserve">                                                                </v>
      </c>
      <c r="CO364" s="218" t="s">
        <v>593</v>
      </c>
      <c r="CP364" s="80"/>
      <c r="CQ364" s="218" t="str">
        <f t="shared" si="291"/>
        <v>-</v>
      </c>
      <c r="CR364" s="79"/>
      <c r="CS364" s="481"/>
      <c r="CT364" s="80" t="str">
        <f t="shared" si="272"/>
        <v xml:space="preserve">                                                                </v>
      </c>
      <c r="CU364" s="218" t="str">
        <f t="shared" si="292"/>
        <v>-</v>
      </c>
      <c r="CV364" s="274"/>
      <c r="CW364" s="92" t="s">
        <v>593</v>
      </c>
      <c r="CX364" s="79"/>
      <c r="CY364" s="481"/>
      <c r="CZ364" s="80" t="str">
        <f t="shared" si="273"/>
        <v xml:space="preserve">                                                                </v>
      </c>
      <c r="DA364" s="218" t="str">
        <f t="shared" si="293"/>
        <v>-</v>
      </c>
      <c r="DB364" s="274"/>
      <c r="DC364" s="92" t="s">
        <v>593</v>
      </c>
    </row>
    <row r="365" spans="1:107" s="81" customFormat="1" ht="92.25" customHeight="1">
      <c r="B365" s="397">
        <f t="shared" si="283"/>
        <v>358</v>
      </c>
      <c r="C365" s="69"/>
      <c r="D365" s="69"/>
      <c r="E365" s="69"/>
      <c r="F365" s="82" t="s">
        <v>356</v>
      </c>
      <c r="G365" s="14"/>
      <c r="H365" s="83"/>
      <c r="I365" s="74"/>
      <c r="J365" s="74"/>
      <c r="K365" s="75"/>
      <c r="L365" s="75"/>
      <c r="M365" s="84" t="s">
        <v>222</v>
      </c>
      <c r="N365" s="76"/>
      <c r="O365" s="77"/>
      <c r="P365" s="95">
        <f>P364+1</f>
        <v>331</v>
      </c>
      <c r="Q365" s="119">
        <v>7</v>
      </c>
      <c r="R365" s="21" t="s">
        <v>261</v>
      </c>
      <c r="S365" s="98" t="s">
        <v>313</v>
      </c>
      <c r="T365" s="106"/>
      <c r="U365" s="21" t="s">
        <v>257</v>
      </c>
      <c r="V365" s="77"/>
      <c r="W365" s="401">
        <v>3</v>
      </c>
      <c r="X365" s="175" t="s">
        <v>314</v>
      </c>
      <c r="Y365" s="175">
        <v>7</v>
      </c>
      <c r="Z365" s="175">
        <v>7</v>
      </c>
      <c r="AA365" s="398" t="s">
        <v>261</v>
      </c>
      <c r="AB365" s="398" t="s">
        <v>21</v>
      </c>
      <c r="AC365" s="402"/>
      <c r="AD365" s="403"/>
      <c r="AE365" s="404"/>
      <c r="AF365" s="405" t="str">
        <f t="shared" si="262"/>
        <v xml:space="preserve">       </v>
      </c>
      <c r="AG365" s="285" t="str">
        <f t="shared" si="276"/>
        <v>-</v>
      </c>
      <c r="AH365" s="404"/>
      <c r="AI365" s="406" t="str">
        <f t="shared" si="277"/>
        <v>OK</v>
      </c>
      <c r="AJ365" s="403"/>
      <c r="AK365" s="404"/>
      <c r="AL365" s="405" t="str">
        <f t="shared" si="263"/>
        <v xml:space="preserve">       </v>
      </c>
      <c r="AM365" s="285" t="str">
        <f t="shared" si="284"/>
        <v>-</v>
      </c>
      <c r="AN365" s="404"/>
      <c r="AO365" s="406" t="str">
        <f t="shared" si="278"/>
        <v>OK</v>
      </c>
      <c r="AP365" s="403"/>
      <c r="AQ365" s="513"/>
      <c r="AR365" s="405" t="str">
        <f t="shared" si="264"/>
        <v xml:space="preserve">       </v>
      </c>
      <c r="AS365" s="285" t="s">
        <v>593</v>
      </c>
      <c r="AT365" s="405"/>
      <c r="AU365" s="285" t="str">
        <f t="shared" si="261"/>
        <v>-</v>
      </c>
      <c r="AV365" s="403"/>
      <c r="AW365" s="404"/>
      <c r="AX365" s="405" t="str">
        <f t="shared" si="265"/>
        <v xml:space="preserve">       </v>
      </c>
      <c r="AY365" s="285" t="str">
        <f t="shared" si="285"/>
        <v>-</v>
      </c>
      <c r="AZ365" s="404"/>
      <c r="BA365" s="406" t="str">
        <f t="shared" si="279"/>
        <v>OK</v>
      </c>
      <c r="BB365" s="403"/>
      <c r="BC365" s="404"/>
      <c r="BD365" s="405" t="str">
        <f t="shared" si="266"/>
        <v xml:space="preserve">       </v>
      </c>
      <c r="BE365" s="285" t="str">
        <f t="shared" si="286"/>
        <v>-</v>
      </c>
      <c r="BF365" s="404"/>
      <c r="BG365" s="478" t="s">
        <v>594</v>
      </c>
      <c r="BH365" s="403"/>
      <c r="BI365" s="510" t="s">
        <v>705</v>
      </c>
      <c r="BJ365" s="405" t="str">
        <f t="shared" si="253"/>
        <v xml:space="preserve">       </v>
      </c>
      <c r="BK365" s="285" t="s">
        <v>593</v>
      </c>
      <c r="BL365" s="404"/>
      <c r="BM365" s="406" t="str">
        <f t="shared" si="274"/>
        <v>NG</v>
      </c>
      <c r="BN365" s="403"/>
      <c r="BO365" s="404"/>
      <c r="BP365" s="405" t="str">
        <f t="shared" si="267"/>
        <v xml:space="preserve">       </v>
      </c>
      <c r="BQ365" s="285" t="str">
        <f t="shared" si="287"/>
        <v>-</v>
      </c>
      <c r="BR365" s="404"/>
      <c r="BS365" s="478" t="s">
        <v>594</v>
      </c>
      <c r="BT365" s="403"/>
      <c r="BU365" s="513"/>
      <c r="BV365" s="405" t="str">
        <f t="shared" si="268"/>
        <v xml:space="preserve">       </v>
      </c>
      <c r="BW365" s="285" t="s">
        <v>593</v>
      </c>
      <c r="BX365" s="405"/>
      <c r="BY365" s="285" t="str">
        <f t="shared" si="288"/>
        <v>-</v>
      </c>
      <c r="BZ365" s="403"/>
      <c r="CA365" s="404"/>
      <c r="CB365" s="405" t="str">
        <f t="shared" si="269"/>
        <v xml:space="preserve">       </v>
      </c>
      <c r="CC365" s="285" t="str">
        <f t="shared" si="289"/>
        <v>-</v>
      </c>
      <c r="CD365" s="404"/>
      <c r="CE365" s="406" t="str">
        <f t="shared" si="280"/>
        <v>OK</v>
      </c>
      <c r="CF365" s="403"/>
      <c r="CG365" s="404"/>
      <c r="CH365" s="405" t="str">
        <f t="shared" si="270"/>
        <v xml:space="preserve">       </v>
      </c>
      <c r="CI365" s="285" t="str">
        <f t="shared" si="290"/>
        <v>-</v>
      </c>
      <c r="CJ365" s="404"/>
      <c r="CK365" s="406" t="str">
        <f t="shared" si="281"/>
        <v>OK</v>
      </c>
      <c r="CL365" s="403"/>
      <c r="CM365" s="404"/>
      <c r="CN365" s="405" t="str">
        <f t="shared" si="271"/>
        <v xml:space="preserve">       </v>
      </c>
      <c r="CO365" s="285" t="s">
        <v>593</v>
      </c>
      <c r="CP365" s="405"/>
      <c r="CQ365" s="285" t="str">
        <f t="shared" si="291"/>
        <v>-</v>
      </c>
      <c r="CR365" s="403"/>
      <c r="CS365" s="404"/>
      <c r="CT365" s="405" t="str">
        <f t="shared" si="272"/>
        <v xml:space="preserve">       </v>
      </c>
      <c r="CU365" s="285" t="str">
        <f t="shared" si="292"/>
        <v>-</v>
      </c>
      <c r="CV365" s="404"/>
      <c r="CW365" s="406" t="s">
        <v>593</v>
      </c>
      <c r="CX365" s="403"/>
      <c r="CY365" s="404"/>
      <c r="CZ365" s="405" t="str">
        <f t="shared" si="273"/>
        <v xml:space="preserve">       </v>
      </c>
      <c r="DA365" s="285" t="str">
        <f t="shared" si="293"/>
        <v>-</v>
      </c>
      <c r="DB365" s="404"/>
      <c r="DC365" s="406" t="s">
        <v>593</v>
      </c>
    </row>
    <row r="366" spans="1:107" s="81" customFormat="1" ht="127.9" thickBot="1">
      <c r="A366" s="221"/>
      <c r="B366" s="243">
        <f t="shared" si="283"/>
        <v>359</v>
      </c>
      <c r="C366" s="244"/>
      <c r="D366" s="244"/>
      <c r="E366" s="244"/>
      <c r="F366" s="246" t="s">
        <v>315</v>
      </c>
      <c r="G366" s="247"/>
      <c r="H366" s="248"/>
      <c r="I366" s="249"/>
      <c r="J366" s="249"/>
      <c r="K366" s="249"/>
      <c r="L366" s="249"/>
      <c r="M366" s="392" t="s">
        <v>357</v>
      </c>
      <c r="N366" s="399"/>
      <c r="O366" s="400"/>
      <c r="P366" s="279">
        <f>P365+1</f>
        <v>332</v>
      </c>
      <c r="Q366" s="410">
        <v>1</v>
      </c>
      <c r="R366" s="37">
        <v>9</v>
      </c>
      <c r="S366" s="410" t="s">
        <v>316</v>
      </c>
      <c r="T366" s="142"/>
      <c r="U366" s="141" t="s">
        <v>257</v>
      </c>
      <c r="V366" s="238"/>
      <c r="W366" s="191" t="str">
        <f>IF(C366&lt;&gt;"","0",IF(D366&lt;&gt;"","1",IF(E366&lt;&gt;"","2",IF(F366&lt;&gt;"","3",IF(G366&lt;&gt;"","4",IF(H366&lt;&gt;"","5"))))))</f>
        <v>3</v>
      </c>
      <c r="X366" s="144" t="s">
        <v>317</v>
      </c>
      <c r="Y366" s="144">
        <v>1</v>
      </c>
      <c r="Z366" s="144">
        <v>1</v>
      </c>
      <c r="AA366" s="239">
        <v>9</v>
      </c>
      <c r="AB366" s="137" t="s">
        <v>257</v>
      </c>
      <c r="AC366" s="240"/>
      <c r="AD366" s="407"/>
      <c r="AE366" s="484"/>
      <c r="AF366" s="408" t="str">
        <f t="shared" si="262"/>
        <v xml:space="preserve"> </v>
      </c>
      <c r="AG366" s="231" t="str">
        <f t="shared" si="276"/>
        <v>-</v>
      </c>
      <c r="AH366" s="394"/>
      <c r="AI366" s="395" t="str">
        <f t="shared" si="277"/>
        <v>OK</v>
      </c>
      <c r="AJ366" s="407"/>
      <c r="AK366" s="484"/>
      <c r="AL366" s="408" t="str">
        <f t="shared" si="263"/>
        <v xml:space="preserve"> </v>
      </c>
      <c r="AM366" s="231" t="str">
        <f t="shared" si="284"/>
        <v>-</v>
      </c>
      <c r="AN366" s="394"/>
      <c r="AO366" s="395" t="str">
        <f t="shared" si="278"/>
        <v>OK</v>
      </c>
      <c r="AP366" s="407"/>
      <c r="AQ366" s="511"/>
      <c r="AR366" s="408" t="str">
        <f t="shared" si="264"/>
        <v xml:space="preserve"> </v>
      </c>
      <c r="AS366" s="231" t="s">
        <v>593</v>
      </c>
      <c r="AT366" s="408"/>
      <c r="AU366" s="231" t="str">
        <f t="shared" si="261"/>
        <v>-</v>
      </c>
      <c r="AV366" s="407"/>
      <c r="AW366" s="484" t="s">
        <v>33</v>
      </c>
      <c r="AX366" s="408" t="str">
        <f t="shared" si="265"/>
        <v>1</v>
      </c>
      <c r="AY366" s="231" t="str">
        <f t="shared" si="285"/>
        <v>-</v>
      </c>
      <c r="AZ366" s="486">
        <v>1</v>
      </c>
      <c r="BA366" s="395" t="str">
        <f t="shared" si="279"/>
        <v>OK</v>
      </c>
      <c r="BB366" s="407"/>
      <c r="BC366" s="484" t="s">
        <v>374</v>
      </c>
      <c r="BD366" s="408" t="str">
        <f t="shared" si="266"/>
        <v>6</v>
      </c>
      <c r="BE366" s="231" t="str">
        <f t="shared" si="286"/>
        <v>-</v>
      </c>
      <c r="BF366" s="394" t="s">
        <v>385</v>
      </c>
      <c r="BG366" s="479" t="s">
        <v>245</v>
      </c>
      <c r="BH366" s="407"/>
      <c r="BI366" s="511" t="s">
        <v>723</v>
      </c>
      <c r="BJ366" s="408" t="str">
        <f t="shared" si="253"/>
        <v>7</v>
      </c>
      <c r="BK366" s="231" t="s">
        <v>593</v>
      </c>
      <c r="BL366" s="486">
        <v>7</v>
      </c>
      <c r="BM366" s="395" t="str">
        <f t="shared" si="274"/>
        <v>OK</v>
      </c>
      <c r="BN366" s="407"/>
      <c r="BO366" s="484" t="s">
        <v>374</v>
      </c>
      <c r="BP366" s="408" t="str">
        <f t="shared" si="267"/>
        <v>6</v>
      </c>
      <c r="BQ366" s="231" t="str">
        <f t="shared" si="287"/>
        <v>-</v>
      </c>
      <c r="BR366" s="394" t="s">
        <v>385</v>
      </c>
      <c r="BS366" s="479" t="s">
        <v>245</v>
      </c>
      <c r="BT366" s="407"/>
      <c r="BU366" s="511"/>
      <c r="BV366" s="408" t="str">
        <f t="shared" si="268"/>
        <v xml:space="preserve"> </v>
      </c>
      <c r="BW366" s="231" t="s">
        <v>593</v>
      </c>
      <c r="BX366" s="408"/>
      <c r="BY366" s="231" t="str">
        <f t="shared" si="288"/>
        <v>-</v>
      </c>
      <c r="BZ366" s="407"/>
      <c r="CA366" s="484"/>
      <c r="CB366" s="408" t="str">
        <f t="shared" si="269"/>
        <v xml:space="preserve"> </v>
      </c>
      <c r="CC366" s="231" t="str">
        <f t="shared" si="289"/>
        <v>-</v>
      </c>
      <c r="CD366" s="394"/>
      <c r="CE366" s="395" t="str">
        <f t="shared" si="280"/>
        <v>OK</v>
      </c>
      <c r="CF366" s="407"/>
      <c r="CG366" s="484"/>
      <c r="CH366" s="408" t="str">
        <f t="shared" si="270"/>
        <v xml:space="preserve"> </v>
      </c>
      <c r="CI366" s="231" t="str">
        <f t="shared" si="290"/>
        <v>-</v>
      </c>
      <c r="CJ366" s="394"/>
      <c r="CK366" s="395" t="str">
        <f t="shared" si="281"/>
        <v>OK</v>
      </c>
      <c r="CL366" s="407"/>
      <c r="CM366" s="484"/>
      <c r="CN366" s="408" t="str">
        <f t="shared" si="271"/>
        <v xml:space="preserve"> </v>
      </c>
      <c r="CO366" s="231" t="s">
        <v>593</v>
      </c>
      <c r="CP366" s="408"/>
      <c r="CQ366" s="231" t="str">
        <f t="shared" si="291"/>
        <v>-</v>
      </c>
      <c r="CR366" s="407"/>
      <c r="CS366" s="484"/>
      <c r="CT366" s="408" t="str">
        <f t="shared" si="272"/>
        <v xml:space="preserve"> </v>
      </c>
      <c r="CU366" s="231" t="str">
        <f t="shared" si="292"/>
        <v>-</v>
      </c>
      <c r="CV366" s="486"/>
      <c r="CW366" s="395" t="s">
        <v>593</v>
      </c>
      <c r="CX366" s="407"/>
      <c r="CY366" s="484"/>
      <c r="CZ366" s="408" t="str">
        <f t="shared" si="273"/>
        <v xml:space="preserve"> </v>
      </c>
      <c r="DA366" s="231" t="str">
        <f t="shared" si="293"/>
        <v>-</v>
      </c>
      <c r="DB366" s="486"/>
      <c r="DC366" s="395" t="s">
        <v>593</v>
      </c>
    </row>
    <row r="367" spans="1:107" s="26" customFormat="1" ht="18.75" customHeight="1" thickTop="1">
      <c r="B367" s="252">
        <f t="shared" si="283"/>
        <v>360</v>
      </c>
      <c r="C367" s="253"/>
      <c r="D367" s="253"/>
      <c r="E367" s="254" t="s">
        <v>439</v>
      </c>
      <c r="F367" s="254"/>
      <c r="G367" s="254"/>
      <c r="H367" s="87"/>
      <c r="I367" s="88" t="s">
        <v>31</v>
      </c>
      <c r="J367" s="88" t="s">
        <v>269</v>
      </c>
      <c r="K367" s="88"/>
      <c r="L367" s="88"/>
      <c r="M367" s="89" t="s">
        <v>352</v>
      </c>
      <c r="N367" s="287"/>
      <c r="O367" s="288"/>
      <c r="P367" s="183"/>
      <c r="Q367" s="121"/>
      <c r="R367" s="107"/>
      <c r="S367" s="289"/>
      <c r="T367" s="287"/>
      <c r="U367" s="107"/>
      <c r="V367" s="290"/>
      <c r="W367" s="25" t="str">
        <f>IF(C367&lt;&gt;"","0",IF(D367&lt;&gt;"","1",IF(E367&lt;&gt;"","2",IF(F367&lt;&gt;"","3",IF(G367&lt;&gt;"","4",IF(H367&lt;&gt;"","5"))))))</f>
        <v>2</v>
      </c>
      <c r="X367" s="1" t="s">
        <v>122</v>
      </c>
      <c r="Y367" s="1"/>
      <c r="Z367" s="1"/>
      <c r="AA367" s="8"/>
      <c r="AB367" s="8" t="s">
        <v>257</v>
      </c>
      <c r="AC367" s="63"/>
      <c r="AD367" s="60"/>
      <c r="AE367" s="169"/>
      <c r="AF367" s="61" t="str">
        <f t="shared" ref="AF367:AF396" si="295">IF(AH367="-","-",AH367&amp;REPT(IF($R367="N","　",IF($R367="9","0"," ")),$Z367-LENB(AH367)))</f>
        <v/>
      </c>
      <c r="AG367" s="218" t="str">
        <f t="shared" si="276"/>
        <v>-</v>
      </c>
      <c r="AH367" s="169"/>
      <c r="AI367" s="92" t="str">
        <f>IF(EXACT(AE367,AH367),"OK","NG")</f>
        <v>OK</v>
      </c>
      <c r="AJ367" s="60"/>
      <c r="AK367" s="169"/>
      <c r="AL367" s="61" t="str">
        <f t="shared" si="263"/>
        <v/>
      </c>
      <c r="AM367" s="218" t="str">
        <f t="shared" si="284"/>
        <v>-</v>
      </c>
      <c r="AN367" s="169"/>
      <c r="AO367" s="92" t="str">
        <f>IF(EXACT(AK367,AN367),"OK","NG")</f>
        <v>OK</v>
      </c>
      <c r="AP367" s="60"/>
      <c r="AQ367" s="172"/>
      <c r="AR367" s="61" t="str">
        <f t="shared" si="264"/>
        <v/>
      </c>
      <c r="AS367" s="218" t="s">
        <v>593</v>
      </c>
      <c r="AT367" s="38"/>
      <c r="AU367" s="38"/>
      <c r="AV367" s="60"/>
      <c r="AW367" s="169"/>
      <c r="AX367" s="61" t="str">
        <f t="shared" si="265"/>
        <v/>
      </c>
      <c r="AY367" s="218" t="str">
        <f t="shared" si="285"/>
        <v>-</v>
      </c>
      <c r="AZ367" s="169"/>
      <c r="BA367" s="92" t="str">
        <f t="shared" si="279"/>
        <v>OK</v>
      </c>
      <c r="BB367" s="60"/>
      <c r="BC367" s="169"/>
      <c r="BD367" s="61" t="str">
        <f t="shared" si="266"/>
        <v/>
      </c>
      <c r="BE367" s="218" t="str">
        <f t="shared" si="286"/>
        <v>-</v>
      </c>
      <c r="BF367" s="169"/>
      <c r="BG367" s="92" t="str">
        <f>IF(EXACT(BC367,BF367),"OK","NG")</f>
        <v>OK</v>
      </c>
      <c r="BH367" s="60"/>
      <c r="BI367" s="172"/>
      <c r="BJ367" s="61" t="str">
        <f t="shared" si="253"/>
        <v/>
      </c>
      <c r="BK367" s="218" t="s">
        <v>593</v>
      </c>
      <c r="BL367" s="169"/>
      <c r="BM367" s="92" t="str">
        <f t="shared" si="274"/>
        <v>OK</v>
      </c>
      <c r="BN367" s="60"/>
      <c r="BO367" s="169"/>
      <c r="BP367" s="61" t="str">
        <f t="shared" si="267"/>
        <v/>
      </c>
      <c r="BQ367" s="218" t="str">
        <f t="shared" si="287"/>
        <v>-</v>
      </c>
      <c r="BR367" s="169"/>
      <c r="BS367" s="92" t="str">
        <f>IF(EXACT(BO367,BR367),"OK","NG")</f>
        <v>OK</v>
      </c>
      <c r="BT367" s="60"/>
      <c r="BU367" s="172"/>
      <c r="BV367" s="61" t="str">
        <f t="shared" si="268"/>
        <v/>
      </c>
      <c r="BW367" s="218" t="s">
        <v>593</v>
      </c>
      <c r="BX367" s="61"/>
      <c r="BY367" s="218" t="str">
        <f t="shared" si="288"/>
        <v>-</v>
      </c>
      <c r="BZ367" s="60"/>
      <c r="CA367" s="169"/>
      <c r="CB367" s="61" t="str">
        <f t="shared" si="269"/>
        <v/>
      </c>
      <c r="CC367" s="218" t="str">
        <f t="shared" si="289"/>
        <v>-</v>
      </c>
      <c r="CD367" s="169"/>
      <c r="CE367" s="92" t="str">
        <f>IF(EXACT(CA367,CD367),"OK","NG")</f>
        <v>OK</v>
      </c>
      <c r="CF367" s="60"/>
      <c r="CG367" s="169"/>
      <c r="CH367" s="61" t="str">
        <f t="shared" si="270"/>
        <v/>
      </c>
      <c r="CI367" s="218" t="str">
        <f t="shared" si="290"/>
        <v>-</v>
      </c>
      <c r="CJ367" s="169"/>
      <c r="CK367" s="92" t="str">
        <f>IF(EXACT(CG367,CJ367),"OK","NG")</f>
        <v>OK</v>
      </c>
      <c r="CL367" s="60"/>
      <c r="CM367" s="169"/>
      <c r="CN367" s="61" t="str">
        <f t="shared" si="271"/>
        <v/>
      </c>
      <c r="CO367" s="218" t="s">
        <v>593</v>
      </c>
      <c r="CP367" s="61"/>
      <c r="CQ367" s="218" t="str">
        <f t="shared" si="291"/>
        <v>-</v>
      </c>
      <c r="CR367" s="60"/>
      <c r="CS367" s="169"/>
      <c r="CT367" s="61" t="str">
        <f t="shared" si="272"/>
        <v/>
      </c>
      <c r="CU367" s="218" t="str">
        <f t="shared" si="292"/>
        <v>-</v>
      </c>
      <c r="CV367" s="169"/>
      <c r="CW367" s="92" t="s">
        <v>593</v>
      </c>
      <c r="CX367" s="60"/>
      <c r="CY367" s="169"/>
      <c r="CZ367" s="61" t="str">
        <f t="shared" si="273"/>
        <v/>
      </c>
      <c r="DA367" s="218" t="str">
        <f t="shared" si="293"/>
        <v>-</v>
      </c>
      <c r="DB367" s="169"/>
      <c r="DC367" s="92" t="s">
        <v>593</v>
      </c>
    </row>
    <row r="368" spans="1:107" s="26" customFormat="1" ht="63.75">
      <c r="B368" s="2">
        <f t="shared" si="283"/>
        <v>361</v>
      </c>
      <c r="C368" s="129"/>
      <c r="D368" s="7"/>
      <c r="E368" s="7"/>
      <c r="F368" s="112" t="s">
        <v>92</v>
      </c>
      <c r="G368" s="16"/>
      <c r="H368" s="13"/>
      <c r="I368" s="6"/>
      <c r="J368" s="6"/>
      <c r="K368" s="6"/>
      <c r="L368" s="8"/>
      <c r="M368" s="23" t="s">
        <v>296</v>
      </c>
      <c r="N368" s="1"/>
      <c r="O368" s="57"/>
      <c r="P368" s="95">
        <f>P366+1</f>
        <v>333</v>
      </c>
      <c r="Q368" s="117">
        <v>2</v>
      </c>
      <c r="R368" s="21" t="str">
        <f t="shared" ref="R368:R374" si="296">IF(AA368="M","NX",AA368)</f>
        <v>X</v>
      </c>
      <c r="S368" s="98" t="s">
        <v>440</v>
      </c>
      <c r="T368" s="96"/>
      <c r="U368" s="21" t="s">
        <v>257</v>
      </c>
      <c r="V368" s="118" t="s">
        <v>199</v>
      </c>
      <c r="W368" s="25" t="str">
        <f>IF(C368&lt;&gt;"","0",IF(D368&lt;&gt;"","1",IF(E368&lt;&gt;"","2",IF(F368&lt;&gt;"","3",IF(G368&lt;&gt;"","4",IF(H368&lt;&gt;"","5"))))))</f>
        <v>3</v>
      </c>
      <c r="X368" s="5" t="s">
        <v>297</v>
      </c>
      <c r="Y368" s="58">
        <v>2</v>
      </c>
      <c r="Z368" s="58">
        <v>2</v>
      </c>
      <c r="AA368" s="59" t="s">
        <v>114</v>
      </c>
      <c r="AB368" s="59" t="s">
        <v>21</v>
      </c>
      <c r="AC368" s="12"/>
      <c r="AD368" s="60"/>
      <c r="AE368" s="174"/>
      <c r="AF368" s="273" t="str">
        <f t="shared" si="295"/>
        <v xml:space="preserve">  </v>
      </c>
      <c r="AG368" s="218" t="str">
        <f t="shared" si="276"/>
        <v>-</v>
      </c>
      <c r="AH368" s="174"/>
      <c r="AI368" s="92" t="str">
        <f>IF(EXACT(AE368,AH368),"OK","NG")</f>
        <v>OK</v>
      </c>
      <c r="AJ368" s="60"/>
      <c r="AK368" s="174"/>
      <c r="AL368" s="273" t="str">
        <f t="shared" si="263"/>
        <v xml:space="preserve">  </v>
      </c>
      <c r="AM368" s="218" t="str">
        <f t="shared" si="284"/>
        <v>-</v>
      </c>
      <c r="AN368" s="174"/>
      <c r="AO368" s="92" t="str">
        <f>IF(EXACT(AK368,AN368),"OK","NG")</f>
        <v>OK</v>
      </c>
      <c r="AP368" s="60"/>
      <c r="AQ368" s="170"/>
      <c r="AR368" s="273" t="str">
        <f t="shared" si="264"/>
        <v xml:space="preserve">  </v>
      </c>
      <c r="AS368" s="218" t="s">
        <v>593</v>
      </c>
      <c r="AT368" s="38"/>
      <c r="AU368" s="38"/>
      <c r="AV368" s="60"/>
      <c r="AW368" s="174" t="s">
        <v>378</v>
      </c>
      <c r="AX368" s="273" t="str">
        <f t="shared" si="265"/>
        <v>91</v>
      </c>
      <c r="AY368" s="218" t="str">
        <f t="shared" si="285"/>
        <v>-</v>
      </c>
      <c r="AZ368" s="174" t="s">
        <v>378</v>
      </c>
      <c r="BA368" s="478" t="s">
        <v>594</v>
      </c>
      <c r="BB368" s="60"/>
      <c r="BC368" s="174" t="s">
        <v>719</v>
      </c>
      <c r="BD368" s="273" t="str">
        <f t="shared" si="266"/>
        <v>09</v>
      </c>
      <c r="BE368" s="218" t="str">
        <f t="shared" si="286"/>
        <v>-</v>
      </c>
      <c r="BF368" s="174" t="s">
        <v>622</v>
      </c>
      <c r="BG368" s="92" t="str">
        <f>IF(EXACT(BC368,BF368),"OK","NG")</f>
        <v>OK</v>
      </c>
      <c r="BH368" s="60"/>
      <c r="BI368" s="170" t="s">
        <v>378</v>
      </c>
      <c r="BJ368" s="273" t="str">
        <f t="shared" si="253"/>
        <v>91</v>
      </c>
      <c r="BK368" s="218" t="s">
        <v>593</v>
      </c>
      <c r="BL368" s="174" t="s">
        <v>378</v>
      </c>
      <c r="BM368" s="478" t="s">
        <v>594</v>
      </c>
      <c r="BN368" s="60"/>
      <c r="BO368" s="174"/>
      <c r="BP368" s="273" t="str">
        <f t="shared" si="267"/>
        <v xml:space="preserve">  </v>
      </c>
      <c r="BQ368" s="218" t="str">
        <f t="shared" si="287"/>
        <v>-</v>
      </c>
      <c r="BR368" s="174"/>
      <c r="BS368" s="92" t="str">
        <f>IF(EXACT(BO368,BR368),"OK","NG")</f>
        <v>OK</v>
      </c>
      <c r="BT368" s="60"/>
      <c r="BU368" s="170"/>
      <c r="BV368" s="273" t="str">
        <f t="shared" si="268"/>
        <v xml:space="preserve">  </v>
      </c>
      <c r="BW368" s="218" t="s">
        <v>593</v>
      </c>
      <c r="BX368" s="273"/>
      <c r="BY368" s="218" t="str">
        <f t="shared" si="288"/>
        <v>-</v>
      </c>
      <c r="BZ368" s="60"/>
      <c r="CA368" s="174"/>
      <c r="CB368" s="273" t="str">
        <f t="shared" si="269"/>
        <v xml:space="preserve">  </v>
      </c>
      <c r="CC368" s="218" t="str">
        <f t="shared" si="289"/>
        <v>-</v>
      </c>
      <c r="CD368" s="174"/>
      <c r="CE368" s="92" t="str">
        <f>IF(EXACT(CA368,CD368),"OK","NG")</f>
        <v>OK</v>
      </c>
      <c r="CF368" s="60"/>
      <c r="CG368" s="174"/>
      <c r="CH368" s="273" t="str">
        <f t="shared" si="270"/>
        <v xml:space="preserve">  </v>
      </c>
      <c r="CI368" s="218" t="str">
        <f t="shared" si="290"/>
        <v>-</v>
      </c>
      <c r="CJ368" s="174"/>
      <c r="CK368" s="92" t="str">
        <f>IF(EXACT(CG368,CJ368),"OK","NG")</f>
        <v>OK</v>
      </c>
      <c r="CL368" s="60"/>
      <c r="CM368" s="174"/>
      <c r="CN368" s="273" t="str">
        <f t="shared" si="271"/>
        <v xml:space="preserve">  </v>
      </c>
      <c r="CO368" s="218" t="s">
        <v>593</v>
      </c>
      <c r="CP368" s="273"/>
      <c r="CQ368" s="218" t="str">
        <f t="shared" si="291"/>
        <v>-</v>
      </c>
      <c r="CR368" s="60"/>
      <c r="CS368" s="174"/>
      <c r="CT368" s="273" t="str">
        <f t="shared" si="272"/>
        <v xml:space="preserve">  </v>
      </c>
      <c r="CU368" s="218" t="str">
        <f t="shared" si="292"/>
        <v>-</v>
      </c>
      <c r="CV368" s="174"/>
      <c r="CW368" s="92" t="s">
        <v>593</v>
      </c>
      <c r="CX368" s="60"/>
      <c r="CY368" s="174"/>
      <c r="CZ368" s="273" t="str">
        <f t="shared" si="273"/>
        <v xml:space="preserve">  </v>
      </c>
      <c r="DA368" s="218" t="str">
        <f t="shared" si="293"/>
        <v>-</v>
      </c>
      <c r="DB368" s="174"/>
      <c r="DC368" s="92" t="s">
        <v>593</v>
      </c>
    </row>
    <row r="369" spans="2:107" s="26" customFormat="1" ht="293.25">
      <c r="B369" s="245">
        <f t="shared" si="283"/>
        <v>362</v>
      </c>
      <c r="C369" s="7"/>
      <c r="D369" s="7"/>
      <c r="E369" s="7"/>
      <c r="F369" s="112" t="s">
        <v>424</v>
      </c>
      <c r="G369" s="16"/>
      <c r="H369" s="13"/>
      <c r="I369" s="8"/>
      <c r="J369" s="8" t="s">
        <v>269</v>
      </c>
      <c r="K369" s="8"/>
      <c r="L369" s="8"/>
      <c r="M369" s="414" t="s">
        <v>441</v>
      </c>
      <c r="N369" s="11"/>
      <c r="O369" s="57"/>
      <c r="P369" s="95">
        <f>P368+1</f>
        <v>334</v>
      </c>
      <c r="Q369" s="115">
        <v>2</v>
      </c>
      <c r="R369" s="21" t="str">
        <f t="shared" si="296"/>
        <v>X</v>
      </c>
      <c r="S369" s="98" t="s">
        <v>442</v>
      </c>
      <c r="T369" s="96"/>
      <c r="U369" s="21" t="s">
        <v>257</v>
      </c>
      <c r="V369" s="10"/>
      <c r="W369" s="25">
        <v>3</v>
      </c>
      <c r="X369" s="1" t="s">
        <v>288</v>
      </c>
      <c r="Y369" s="1">
        <v>2</v>
      </c>
      <c r="Z369" s="1">
        <v>2</v>
      </c>
      <c r="AA369" s="8" t="s">
        <v>114</v>
      </c>
      <c r="AB369" s="8" t="s">
        <v>21</v>
      </c>
      <c r="AC369" s="12"/>
      <c r="AD369" s="60"/>
      <c r="AE369" s="174"/>
      <c r="AF369" s="273" t="str">
        <f t="shared" si="295"/>
        <v xml:space="preserve">  </v>
      </c>
      <c r="AG369" s="218" t="str">
        <f t="shared" ref="AG369:AG396" si="297">IF(OR(AE$8="判定対象外",AF$8="判定対象外",AF369="-"),"-",IF(AE369=AF369,"OK","NG"))</f>
        <v>-</v>
      </c>
      <c r="AH369" s="174"/>
      <c r="AI369" s="92" t="str">
        <f t="shared" ref="AI369:AI396" si="298">IF(EXACT(AE369,AH369),"OK","NG")</f>
        <v>OK</v>
      </c>
      <c r="AJ369" s="60"/>
      <c r="AK369" s="174"/>
      <c r="AL369" s="273" t="str">
        <f t="shared" si="263"/>
        <v xml:space="preserve">  </v>
      </c>
      <c r="AM369" s="218" t="str">
        <f t="shared" si="284"/>
        <v>-</v>
      </c>
      <c r="AN369" s="174"/>
      <c r="AO369" s="92" t="str">
        <f t="shared" ref="AO369:AO396" si="299">IF(EXACT(AK369,AN369),"OK","NG")</f>
        <v>OK</v>
      </c>
      <c r="AP369" s="60"/>
      <c r="AQ369" s="170"/>
      <c r="AR369" s="273" t="str">
        <f t="shared" si="264"/>
        <v xml:space="preserve">  </v>
      </c>
      <c r="AS369" s="218" t="s">
        <v>593</v>
      </c>
      <c r="AT369" s="38"/>
      <c r="AU369" s="38"/>
      <c r="AV369" s="60"/>
      <c r="AW369" s="174" t="s">
        <v>388</v>
      </c>
      <c r="AX369" s="273" t="str">
        <f t="shared" si="265"/>
        <v>B6</v>
      </c>
      <c r="AY369" s="218" t="str">
        <f t="shared" si="285"/>
        <v>-</v>
      </c>
      <c r="AZ369" s="174" t="s">
        <v>388</v>
      </c>
      <c r="BA369" s="92" t="str">
        <f>IF(EXACT(AW369,AZ369),"OK","NG")</f>
        <v>OK</v>
      </c>
      <c r="BB369" s="60"/>
      <c r="BC369" s="174" t="s">
        <v>667</v>
      </c>
      <c r="BD369" s="273" t="str">
        <f t="shared" si="266"/>
        <v>A7</v>
      </c>
      <c r="BE369" s="218" t="str">
        <f t="shared" si="286"/>
        <v>-</v>
      </c>
      <c r="BF369" s="174" t="s">
        <v>592</v>
      </c>
      <c r="BG369" s="92" t="str">
        <f t="shared" ref="BG369:BG396" si="300">IF(EXACT(BC369,BF369),"OK","NG")</f>
        <v>OK</v>
      </c>
      <c r="BH369" s="60"/>
      <c r="BI369" s="170" t="s">
        <v>388</v>
      </c>
      <c r="BJ369" s="273" t="str">
        <f t="shared" si="253"/>
        <v>B6</v>
      </c>
      <c r="BK369" s="218" t="s">
        <v>593</v>
      </c>
      <c r="BL369" s="174" t="s">
        <v>388</v>
      </c>
      <c r="BM369" s="92" t="str">
        <f>IF(EXACT(BI369,BL369),"OK","NG")</f>
        <v>OK</v>
      </c>
      <c r="BN369" s="60"/>
      <c r="BO369" s="174"/>
      <c r="BP369" s="273" t="str">
        <f t="shared" si="267"/>
        <v xml:space="preserve">  </v>
      </c>
      <c r="BQ369" s="218" t="str">
        <f t="shared" si="287"/>
        <v>-</v>
      </c>
      <c r="BR369" s="174"/>
      <c r="BS369" s="92" t="str">
        <f t="shared" ref="BS369:BS396" si="301">IF(EXACT(BO369,BR369),"OK","NG")</f>
        <v>OK</v>
      </c>
      <c r="BT369" s="60"/>
      <c r="BU369" s="170"/>
      <c r="BV369" s="273" t="str">
        <f t="shared" si="268"/>
        <v xml:space="preserve">  </v>
      </c>
      <c r="BW369" s="218" t="s">
        <v>593</v>
      </c>
      <c r="BX369" s="273"/>
      <c r="BY369" s="218" t="str">
        <f t="shared" si="288"/>
        <v>-</v>
      </c>
      <c r="BZ369" s="60"/>
      <c r="CA369" s="174"/>
      <c r="CB369" s="273" t="str">
        <f t="shared" si="269"/>
        <v xml:space="preserve">  </v>
      </c>
      <c r="CC369" s="218" t="str">
        <f t="shared" si="289"/>
        <v>-</v>
      </c>
      <c r="CD369" s="174"/>
      <c r="CE369" s="92" t="str">
        <f t="shared" ref="CE369:CE396" si="302">IF(EXACT(CA369,CD369),"OK","NG")</f>
        <v>OK</v>
      </c>
      <c r="CF369" s="60"/>
      <c r="CG369" s="174"/>
      <c r="CH369" s="273" t="str">
        <f t="shared" si="270"/>
        <v xml:space="preserve">  </v>
      </c>
      <c r="CI369" s="218" t="str">
        <f t="shared" si="290"/>
        <v>-</v>
      </c>
      <c r="CJ369" s="174"/>
      <c r="CK369" s="92" t="str">
        <f t="shared" ref="CK369:CK396" si="303">IF(EXACT(CG369,CJ369),"OK","NG")</f>
        <v>OK</v>
      </c>
      <c r="CL369" s="60"/>
      <c r="CM369" s="174"/>
      <c r="CN369" s="273" t="str">
        <f t="shared" si="271"/>
        <v xml:space="preserve">  </v>
      </c>
      <c r="CO369" s="218" t="s">
        <v>593</v>
      </c>
      <c r="CP369" s="273"/>
      <c r="CQ369" s="218" t="str">
        <f t="shared" si="291"/>
        <v>-</v>
      </c>
      <c r="CR369" s="60"/>
      <c r="CS369" s="174"/>
      <c r="CT369" s="273" t="str">
        <f t="shared" si="272"/>
        <v xml:space="preserve">  </v>
      </c>
      <c r="CU369" s="218" t="str">
        <f t="shared" si="292"/>
        <v>-</v>
      </c>
      <c r="CV369" s="174"/>
      <c r="CW369" s="92" t="s">
        <v>593</v>
      </c>
      <c r="CX369" s="60"/>
      <c r="CY369" s="174"/>
      <c r="CZ369" s="273" t="str">
        <f t="shared" si="273"/>
        <v xml:space="preserve">  </v>
      </c>
      <c r="DA369" s="218" t="str">
        <f t="shared" si="293"/>
        <v>-</v>
      </c>
      <c r="DB369" s="174"/>
      <c r="DC369" s="92" t="s">
        <v>593</v>
      </c>
    </row>
    <row r="370" spans="2:107" s="26" customFormat="1">
      <c r="B370" s="2">
        <f t="shared" si="283"/>
        <v>363</v>
      </c>
      <c r="C370" s="7"/>
      <c r="D370" s="7"/>
      <c r="E370" s="7"/>
      <c r="F370" s="22" t="s">
        <v>353</v>
      </c>
      <c r="G370" s="16"/>
      <c r="H370" s="13"/>
      <c r="I370" s="8"/>
      <c r="J370" s="8"/>
      <c r="K370" s="8"/>
      <c r="L370" s="8"/>
      <c r="M370" s="417" t="s">
        <v>220</v>
      </c>
      <c r="N370" s="11"/>
      <c r="O370" s="57"/>
      <c r="P370" s="95">
        <f t="shared" ref="P370:P391" si="304">P369+1</f>
        <v>335</v>
      </c>
      <c r="Q370" s="115">
        <v>2</v>
      </c>
      <c r="R370" s="21" t="str">
        <f t="shared" si="296"/>
        <v>X</v>
      </c>
      <c r="S370" s="98" t="s">
        <v>124</v>
      </c>
      <c r="T370" s="96"/>
      <c r="U370" s="21" t="s">
        <v>257</v>
      </c>
      <c r="V370" s="10"/>
      <c r="W370" s="25">
        <v>3</v>
      </c>
      <c r="X370" s="1" t="s">
        <v>125</v>
      </c>
      <c r="Y370" s="1">
        <v>2</v>
      </c>
      <c r="Z370" s="1">
        <v>2</v>
      </c>
      <c r="AA370" s="8" t="s">
        <v>114</v>
      </c>
      <c r="AB370" s="8" t="s">
        <v>21</v>
      </c>
      <c r="AC370" s="12"/>
      <c r="AD370" s="60"/>
      <c r="AE370" s="169"/>
      <c r="AF370" s="61" t="str">
        <f t="shared" si="295"/>
        <v xml:space="preserve">  </v>
      </c>
      <c r="AG370" s="218" t="str">
        <f t="shared" si="297"/>
        <v>-</v>
      </c>
      <c r="AH370" s="169"/>
      <c r="AI370" s="92" t="str">
        <f t="shared" si="298"/>
        <v>OK</v>
      </c>
      <c r="AJ370" s="60"/>
      <c r="AK370" s="169"/>
      <c r="AL370" s="61" t="str">
        <f t="shared" si="263"/>
        <v xml:space="preserve">  </v>
      </c>
      <c r="AM370" s="218" t="str">
        <f t="shared" si="284"/>
        <v>-</v>
      </c>
      <c r="AN370" s="169"/>
      <c r="AO370" s="92" t="str">
        <f t="shared" si="299"/>
        <v>OK</v>
      </c>
      <c r="AP370" s="60"/>
      <c r="AQ370" s="172"/>
      <c r="AR370" s="61" t="str">
        <f t="shared" si="264"/>
        <v xml:space="preserve">  </v>
      </c>
      <c r="AS370" s="218" t="s">
        <v>593</v>
      </c>
      <c r="AT370" s="38"/>
      <c r="AU370" s="38"/>
      <c r="AV370" s="60"/>
      <c r="AW370" s="169"/>
      <c r="AX370" s="61" t="str">
        <f t="shared" si="265"/>
        <v xml:space="preserve">  </v>
      </c>
      <c r="AY370" s="218" t="str">
        <f t="shared" si="285"/>
        <v>-</v>
      </c>
      <c r="AZ370" s="169"/>
      <c r="BA370" s="92" t="str">
        <f>IF(EXACT(AW370,AZ370),"OK","NG")</f>
        <v>OK</v>
      </c>
      <c r="BB370" s="60"/>
      <c r="BC370" s="169"/>
      <c r="BD370" s="61" t="str">
        <f t="shared" si="266"/>
        <v xml:space="preserve">  </v>
      </c>
      <c r="BE370" s="218" t="str">
        <f t="shared" si="286"/>
        <v>-</v>
      </c>
      <c r="BF370" s="169"/>
      <c r="BG370" s="92" t="str">
        <f t="shared" si="300"/>
        <v>OK</v>
      </c>
      <c r="BH370" s="60"/>
      <c r="BI370" s="170" t="s">
        <v>698</v>
      </c>
      <c r="BJ370" s="61" t="str">
        <f t="shared" si="253"/>
        <v xml:space="preserve">  </v>
      </c>
      <c r="BK370" s="218" t="s">
        <v>593</v>
      </c>
      <c r="BL370" s="169"/>
      <c r="BM370" s="92" t="str">
        <f>IF(EXACT(BI370,BL370),"OK","NG")</f>
        <v>NG</v>
      </c>
      <c r="BN370" s="60"/>
      <c r="BO370" s="169"/>
      <c r="BP370" s="61" t="str">
        <f t="shared" si="267"/>
        <v xml:space="preserve">  </v>
      </c>
      <c r="BQ370" s="218" t="str">
        <f t="shared" si="287"/>
        <v>-</v>
      </c>
      <c r="BR370" s="169"/>
      <c r="BS370" s="92" t="str">
        <f t="shared" si="301"/>
        <v>OK</v>
      </c>
      <c r="BT370" s="60"/>
      <c r="BU370" s="172"/>
      <c r="BV370" s="61" t="str">
        <f t="shared" si="268"/>
        <v xml:space="preserve">  </v>
      </c>
      <c r="BW370" s="218" t="s">
        <v>593</v>
      </c>
      <c r="BX370" s="61"/>
      <c r="BY370" s="218" t="str">
        <f t="shared" si="288"/>
        <v>-</v>
      </c>
      <c r="BZ370" s="60"/>
      <c r="CA370" s="169"/>
      <c r="CB370" s="61" t="str">
        <f t="shared" si="269"/>
        <v xml:space="preserve">  </v>
      </c>
      <c r="CC370" s="218" t="str">
        <f t="shared" si="289"/>
        <v>-</v>
      </c>
      <c r="CD370" s="169"/>
      <c r="CE370" s="92" t="str">
        <f t="shared" si="302"/>
        <v>OK</v>
      </c>
      <c r="CF370" s="60"/>
      <c r="CG370" s="169"/>
      <c r="CH370" s="61" t="str">
        <f t="shared" si="270"/>
        <v xml:space="preserve">  </v>
      </c>
      <c r="CI370" s="218" t="str">
        <f t="shared" si="290"/>
        <v>-</v>
      </c>
      <c r="CJ370" s="169"/>
      <c r="CK370" s="92" t="str">
        <f t="shared" si="303"/>
        <v>OK</v>
      </c>
      <c r="CL370" s="60"/>
      <c r="CM370" s="169"/>
      <c r="CN370" s="61" t="str">
        <f t="shared" si="271"/>
        <v xml:space="preserve">  </v>
      </c>
      <c r="CO370" s="218" t="s">
        <v>593</v>
      </c>
      <c r="CP370" s="61"/>
      <c r="CQ370" s="218" t="str">
        <f t="shared" si="291"/>
        <v>-</v>
      </c>
      <c r="CR370" s="60"/>
      <c r="CS370" s="169"/>
      <c r="CT370" s="61" t="str">
        <f t="shared" si="272"/>
        <v xml:space="preserve">  </v>
      </c>
      <c r="CU370" s="218" t="str">
        <f t="shared" si="292"/>
        <v>-</v>
      </c>
      <c r="CV370" s="169"/>
      <c r="CW370" s="92" t="s">
        <v>593</v>
      </c>
      <c r="CX370" s="60"/>
      <c r="CY370" s="169"/>
      <c r="CZ370" s="61" t="str">
        <f t="shared" si="273"/>
        <v xml:space="preserve">  </v>
      </c>
      <c r="DA370" s="218" t="str">
        <f t="shared" si="293"/>
        <v>-</v>
      </c>
      <c r="DB370" s="169"/>
      <c r="DC370" s="92" t="s">
        <v>593</v>
      </c>
    </row>
    <row r="371" spans="2:107" s="26" customFormat="1">
      <c r="B371" s="2">
        <f t="shared" si="283"/>
        <v>364</v>
      </c>
      <c r="C371" s="7"/>
      <c r="D371" s="7"/>
      <c r="E371" s="7"/>
      <c r="F371" s="22" t="s">
        <v>126</v>
      </c>
      <c r="G371" s="16"/>
      <c r="H371" s="13"/>
      <c r="I371" s="8"/>
      <c r="J371" s="8" t="s">
        <v>269</v>
      </c>
      <c r="K371" s="8"/>
      <c r="L371" s="8"/>
      <c r="M371" s="1" t="s">
        <v>127</v>
      </c>
      <c r="N371" s="1"/>
      <c r="O371" s="57"/>
      <c r="P371" s="95">
        <f t="shared" si="304"/>
        <v>336</v>
      </c>
      <c r="Q371" s="115">
        <v>255</v>
      </c>
      <c r="R371" s="21" t="str">
        <f t="shared" si="296"/>
        <v>NX</v>
      </c>
      <c r="S371" s="98" t="s">
        <v>128</v>
      </c>
      <c r="T371" s="96"/>
      <c r="U371" s="21" t="s">
        <v>257</v>
      </c>
      <c r="V371" s="10"/>
      <c r="W371" s="25">
        <v>3</v>
      </c>
      <c r="X371" s="1" t="s">
        <v>298</v>
      </c>
      <c r="Y371" s="1">
        <v>1</v>
      </c>
      <c r="Z371" s="1">
        <v>255</v>
      </c>
      <c r="AA371" s="8" t="s">
        <v>129</v>
      </c>
      <c r="AB371" s="8" t="s">
        <v>21</v>
      </c>
      <c r="AC371" s="12"/>
      <c r="AD371" s="60"/>
      <c r="AE371" s="174"/>
      <c r="AF371" s="228" t="str">
        <f t="shared" si="295"/>
        <v xml:space="preserve">                                                                                                                                                                                                                                                               </v>
      </c>
      <c r="AG371" s="218" t="str">
        <f t="shared" si="297"/>
        <v>-</v>
      </c>
      <c r="AH371" s="174"/>
      <c r="AI371" s="92" t="str">
        <f t="shared" si="298"/>
        <v>OK</v>
      </c>
      <c r="AJ371" s="60"/>
      <c r="AK371" s="174"/>
      <c r="AL371" s="228" t="str">
        <f t="shared" si="263"/>
        <v xml:space="preserve">                                                                                                                                                                                                                                                               </v>
      </c>
      <c r="AM371" s="218" t="str">
        <f t="shared" si="284"/>
        <v>-</v>
      </c>
      <c r="AN371" s="174"/>
      <c r="AO371" s="92" t="str">
        <f t="shared" si="299"/>
        <v>OK</v>
      </c>
      <c r="AP371" s="60"/>
      <c r="AQ371" s="170"/>
      <c r="AR371" s="228" t="str">
        <f t="shared" si="264"/>
        <v xml:space="preserve">                                                                                                                                                                                                                                                               </v>
      </c>
      <c r="AS371" s="218" t="s">
        <v>593</v>
      </c>
      <c r="AT371" s="38"/>
      <c r="AU371" s="38"/>
      <c r="AV371" s="60"/>
      <c r="AW371" s="174" t="s">
        <v>391</v>
      </c>
      <c r="AX371" s="228" t="str">
        <f t="shared" si="265"/>
        <v xml:space="preserve">マンションＩＳＰサービス                                                                                                                                                                                                                                       </v>
      </c>
      <c r="AY371" s="218" t="str">
        <f t="shared" si="285"/>
        <v>-</v>
      </c>
      <c r="AZ371" s="174" t="s">
        <v>391</v>
      </c>
      <c r="BA371" s="92" t="str">
        <f>IF(EXACT(AW371,AZ371),"OK","NG")</f>
        <v>OK</v>
      </c>
      <c r="BB371" s="60"/>
      <c r="BC371" s="174" t="s">
        <v>668</v>
      </c>
      <c r="BD371" s="228" t="str">
        <f t="shared" si="266"/>
        <v xml:space="preserve">ひかりＪ　ホーム                                                                                                                                                                                                                                               </v>
      </c>
      <c r="BE371" s="218" t="str">
        <f t="shared" si="286"/>
        <v>-</v>
      </c>
      <c r="BF371" s="169" t="s">
        <v>672</v>
      </c>
      <c r="BG371" s="92" t="str">
        <f t="shared" si="300"/>
        <v>OK</v>
      </c>
      <c r="BH371" s="60"/>
      <c r="BI371" s="170" t="s">
        <v>750</v>
      </c>
      <c r="BJ371" s="228" t="str">
        <f t="shared" si="253"/>
        <v xml:space="preserve">マンションＩＳＰサービス                                                                                                                                                                                                                                       </v>
      </c>
      <c r="BK371" s="218" t="s">
        <v>593</v>
      </c>
      <c r="BL371" s="174" t="s">
        <v>391</v>
      </c>
      <c r="BM371" s="92" t="str">
        <f>IF(EXACT(BI371,BL371),"OK","NG")</f>
        <v>NG</v>
      </c>
      <c r="BN371" s="60"/>
      <c r="BO371" s="174"/>
      <c r="BP371" s="228" t="str">
        <f t="shared" si="267"/>
        <v xml:space="preserve">                                                                                                                                                                                                                                                               </v>
      </c>
      <c r="BQ371" s="218" t="str">
        <f t="shared" si="287"/>
        <v>-</v>
      </c>
      <c r="BR371" s="174"/>
      <c r="BS371" s="92" t="str">
        <f t="shared" si="301"/>
        <v>OK</v>
      </c>
      <c r="BT371" s="60"/>
      <c r="BU371" s="170"/>
      <c r="BV371" s="228" t="str">
        <f t="shared" si="268"/>
        <v xml:space="preserve">                                                                                                                                                                                                                                                               </v>
      </c>
      <c r="BW371" s="218" t="s">
        <v>593</v>
      </c>
      <c r="BX371" s="228"/>
      <c r="BY371" s="218" t="str">
        <f t="shared" si="288"/>
        <v>-</v>
      </c>
      <c r="BZ371" s="60"/>
      <c r="CA371" s="174"/>
      <c r="CB371" s="228" t="str">
        <f t="shared" si="269"/>
        <v xml:space="preserve">                                                                                                                                                                                                                                                               </v>
      </c>
      <c r="CC371" s="218" t="str">
        <f t="shared" si="289"/>
        <v>-</v>
      </c>
      <c r="CD371" s="174"/>
      <c r="CE371" s="92" t="str">
        <f t="shared" si="302"/>
        <v>OK</v>
      </c>
      <c r="CF371" s="60"/>
      <c r="CG371" s="174"/>
      <c r="CH371" s="228" t="str">
        <f t="shared" si="270"/>
        <v xml:space="preserve">                                                                                                                                                                                                                                                               </v>
      </c>
      <c r="CI371" s="218" t="str">
        <f t="shared" si="290"/>
        <v>-</v>
      </c>
      <c r="CJ371" s="174"/>
      <c r="CK371" s="92" t="str">
        <f t="shared" si="303"/>
        <v>OK</v>
      </c>
      <c r="CL371" s="60"/>
      <c r="CM371" s="174"/>
      <c r="CN371" s="228" t="str">
        <f t="shared" si="271"/>
        <v xml:space="preserve">                                                                                                                                                                                                                                                               </v>
      </c>
      <c r="CO371" s="218" t="s">
        <v>593</v>
      </c>
      <c r="CP371" s="228"/>
      <c r="CQ371" s="218" t="str">
        <f t="shared" si="291"/>
        <v>-</v>
      </c>
      <c r="CR371" s="60"/>
      <c r="CS371" s="174"/>
      <c r="CT371" s="228" t="str">
        <f t="shared" si="272"/>
        <v xml:space="preserve">                                                                                                                                                                                                                                                               </v>
      </c>
      <c r="CU371" s="218" t="str">
        <f t="shared" si="292"/>
        <v>-</v>
      </c>
      <c r="CV371" s="174"/>
      <c r="CW371" s="92" t="s">
        <v>593</v>
      </c>
      <c r="CX371" s="60"/>
      <c r="CY371" s="174"/>
      <c r="CZ371" s="228" t="str">
        <f t="shared" si="273"/>
        <v xml:space="preserve">                                                                                                                                                                                                                                                               </v>
      </c>
      <c r="DA371" s="218" t="str">
        <f t="shared" si="293"/>
        <v>-</v>
      </c>
      <c r="DB371" s="174"/>
      <c r="DC371" s="92" t="s">
        <v>593</v>
      </c>
    </row>
    <row r="372" spans="2:107" s="26" customFormat="1">
      <c r="B372" s="19">
        <f t="shared" si="283"/>
        <v>365</v>
      </c>
      <c r="C372" s="7"/>
      <c r="D372" s="7"/>
      <c r="E372" s="7"/>
      <c r="F372" s="3" t="s">
        <v>130</v>
      </c>
      <c r="G372" s="3"/>
      <c r="H372" s="4"/>
      <c r="I372" s="6"/>
      <c r="J372" s="6"/>
      <c r="K372" s="6"/>
      <c r="L372" s="6"/>
      <c r="M372" s="23" t="s">
        <v>131</v>
      </c>
      <c r="N372" s="5"/>
      <c r="O372" s="55"/>
      <c r="P372" s="95">
        <f t="shared" si="304"/>
        <v>337</v>
      </c>
      <c r="Q372" s="116">
        <v>256</v>
      </c>
      <c r="R372" s="21" t="str">
        <f t="shared" si="296"/>
        <v>NX</v>
      </c>
      <c r="S372" s="98" t="s">
        <v>132</v>
      </c>
      <c r="T372" s="96"/>
      <c r="U372" s="21" t="s">
        <v>257</v>
      </c>
      <c r="V372" s="10"/>
      <c r="W372" s="28">
        <v>3</v>
      </c>
      <c r="X372" s="5" t="s">
        <v>299</v>
      </c>
      <c r="Y372" s="5">
        <v>1</v>
      </c>
      <c r="Z372" s="5">
        <v>256</v>
      </c>
      <c r="AA372" s="6" t="s">
        <v>300</v>
      </c>
      <c r="AB372" s="6" t="s">
        <v>257</v>
      </c>
      <c r="AC372" s="64"/>
      <c r="AD372" s="60"/>
      <c r="AE372" s="169"/>
      <c r="AF372" s="61" t="str">
        <f t="shared" si="295"/>
        <v xml:space="preserve">                                                                                                                                                                                                                                                                </v>
      </c>
      <c r="AG372" s="218" t="str">
        <f t="shared" si="297"/>
        <v>-</v>
      </c>
      <c r="AH372" s="169"/>
      <c r="AI372" s="92" t="str">
        <f t="shared" si="298"/>
        <v>OK</v>
      </c>
      <c r="AJ372" s="60"/>
      <c r="AK372" s="169"/>
      <c r="AL372" s="61" t="str">
        <f t="shared" si="263"/>
        <v xml:space="preserve">                                                                                                                                                                                                                                                                </v>
      </c>
      <c r="AM372" s="218" t="str">
        <f t="shared" si="284"/>
        <v>-</v>
      </c>
      <c r="AN372" s="169"/>
      <c r="AO372" s="92" t="str">
        <f t="shared" si="299"/>
        <v>OK</v>
      </c>
      <c r="AP372" s="60"/>
      <c r="AQ372" s="172"/>
      <c r="AR372" s="61" t="str">
        <f t="shared" si="264"/>
        <v xml:space="preserve">                                                                                                                                                                                                                                                                </v>
      </c>
      <c r="AS372" s="218" t="s">
        <v>593</v>
      </c>
      <c r="AT372" s="38"/>
      <c r="AU372" s="38"/>
      <c r="AV372" s="60"/>
      <c r="AW372" s="169"/>
      <c r="AX372" s="61" t="str">
        <f t="shared" si="265"/>
        <v xml:space="preserve">                                                                                                                                                                                                                                                                </v>
      </c>
      <c r="AY372" s="218" t="str">
        <f t="shared" si="285"/>
        <v>-</v>
      </c>
      <c r="AZ372" s="169"/>
      <c r="BA372" s="92" t="str">
        <f>IF(EXACT(AW372,AZ372),"OK","NG")</f>
        <v>OK</v>
      </c>
      <c r="BB372" s="60"/>
      <c r="BC372" s="169"/>
      <c r="BD372" s="61" t="str">
        <f t="shared" si="266"/>
        <v xml:space="preserve">                                                                                                                                                                                                                                                                </v>
      </c>
      <c r="BE372" s="218" t="str">
        <f t="shared" si="286"/>
        <v>-</v>
      </c>
      <c r="BF372" s="169"/>
      <c r="BG372" s="92" t="str">
        <f t="shared" si="300"/>
        <v>OK</v>
      </c>
      <c r="BH372" s="60"/>
      <c r="BI372" s="170" t="s">
        <v>700</v>
      </c>
      <c r="BJ372" s="61" t="str">
        <f t="shared" ref="BJ372:BJ396" si="305">IF(BL372="-","-",BL372&amp;REPT(IF($R372="N","　",IF($R372="9","0"," ")),$Z372-LENB(BL372)))</f>
        <v xml:space="preserve">                                                                                                                                                                                                                                                                </v>
      </c>
      <c r="BK372" s="218" t="s">
        <v>593</v>
      </c>
      <c r="BL372" s="169"/>
      <c r="BM372" s="92" t="str">
        <f>IF(EXACT(BI372,BL372),"OK","NG")</f>
        <v>NG</v>
      </c>
      <c r="BN372" s="60"/>
      <c r="BO372" s="169"/>
      <c r="BP372" s="61" t="str">
        <f t="shared" si="267"/>
        <v xml:space="preserve">                                                                                                                                                                                                                                                                </v>
      </c>
      <c r="BQ372" s="218" t="str">
        <f t="shared" si="287"/>
        <v>-</v>
      </c>
      <c r="BR372" s="169"/>
      <c r="BS372" s="92" t="str">
        <f t="shared" si="301"/>
        <v>OK</v>
      </c>
      <c r="BT372" s="60"/>
      <c r="BU372" s="172"/>
      <c r="BV372" s="61" t="str">
        <f t="shared" si="268"/>
        <v xml:space="preserve">                                                                                                                                                                                                                                                                </v>
      </c>
      <c r="BW372" s="218" t="s">
        <v>593</v>
      </c>
      <c r="BX372" s="61"/>
      <c r="BY372" s="218" t="str">
        <f t="shared" si="288"/>
        <v>-</v>
      </c>
      <c r="BZ372" s="60"/>
      <c r="CA372" s="169"/>
      <c r="CB372" s="61" t="str">
        <f t="shared" si="269"/>
        <v xml:space="preserve">                                                                                                                                                                                                                                                                </v>
      </c>
      <c r="CC372" s="218" t="str">
        <f t="shared" si="289"/>
        <v>-</v>
      </c>
      <c r="CD372" s="169"/>
      <c r="CE372" s="92" t="str">
        <f t="shared" si="302"/>
        <v>OK</v>
      </c>
      <c r="CF372" s="60"/>
      <c r="CG372" s="169"/>
      <c r="CH372" s="61" t="str">
        <f t="shared" si="270"/>
        <v xml:space="preserve">                                                                                                                                                                                                                                                                </v>
      </c>
      <c r="CI372" s="218" t="str">
        <f t="shared" si="290"/>
        <v>-</v>
      </c>
      <c r="CJ372" s="169"/>
      <c r="CK372" s="92" t="str">
        <f t="shared" si="303"/>
        <v>OK</v>
      </c>
      <c r="CL372" s="60"/>
      <c r="CM372" s="169"/>
      <c r="CN372" s="61" t="str">
        <f t="shared" si="271"/>
        <v xml:space="preserve">                                                                                                                                                                                                                                                                </v>
      </c>
      <c r="CO372" s="218" t="s">
        <v>593</v>
      </c>
      <c r="CP372" s="61"/>
      <c r="CQ372" s="218" t="str">
        <f t="shared" si="291"/>
        <v>-</v>
      </c>
      <c r="CR372" s="60"/>
      <c r="CS372" s="169"/>
      <c r="CT372" s="61" t="str">
        <f t="shared" si="272"/>
        <v xml:space="preserve">                                                                                                                                                                                                                                                                </v>
      </c>
      <c r="CU372" s="218" t="str">
        <f t="shared" si="292"/>
        <v>-</v>
      </c>
      <c r="CV372" s="169"/>
      <c r="CW372" s="92" t="s">
        <v>593</v>
      </c>
      <c r="CX372" s="60"/>
      <c r="CY372" s="169"/>
      <c r="CZ372" s="61" t="str">
        <f t="shared" si="273"/>
        <v xml:space="preserve">                                                                                                                                                                                                                                                                </v>
      </c>
      <c r="DA372" s="218" t="str">
        <f t="shared" si="293"/>
        <v>-</v>
      </c>
      <c r="DB372" s="169"/>
      <c r="DC372" s="92" t="s">
        <v>593</v>
      </c>
    </row>
    <row r="373" spans="2:107" s="26" customFormat="1" ht="63.75">
      <c r="B373" s="2">
        <f t="shared" si="283"/>
        <v>366</v>
      </c>
      <c r="C373" s="7"/>
      <c r="D373" s="7"/>
      <c r="E373" s="7"/>
      <c r="F373" s="22" t="s">
        <v>133</v>
      </c>
      <c r="G373" s="16"/>
      <c r="H373" s="13"/>
      <c r="I373" s="8"/>
      <c r="J373" s="8"/>
      <c r="K373" s="8"/>
      <c r="L373" s="8"/>
      <c r="M373" s="11" t="s">
        <v>444</v>
      </c>
      <c r="N373" s="1"/>
      <c r="O373" s="57"/>
      <c r="P373" s="95">
        <f t="shared" si="304"/>
        <v>338</v>
      </c>
      <c r="Q373" s="115">
        <v>256</v>
      </c>
      <c r="R373" s="21" t="str">
        <f t="shared" si="296"/>
        <v>NX</v>
      </c>
      <c r="S373" s="98" t="s">
        <v>134</v>
      </c>
      <c r="T373" s="96"/>
      <c r="U373" s="21" t="s">
        <v>257</v>
      </c>
      <c r="V373" s="10"/>
      <c r="W373" s="25">
        <v>3</v>
      </c>
      <c r="X373" s="1" t="s">
        <v>135</v>
      </c>
      <c r="Y373" s="1">
        <v>1</v>
      </c>
      <c r="Z373" s="1">
        <v>256</v>
      </c>
      <c r="AA373" s="8" t="s">
        <v>129</v>
      </c>
      <c r="AB373" s="8" t="s">
        <v>257</v>
      </c>
      <c r="AC373" s="12"/>
      <c r="AD373" s="60"/>
      <c r="AE373" s="174"/>
      <c r="AF373" s="170" t="str">
        <f t="shared" si="295"/>
        <v xml:space="preserve">                                                                                                                                                                                                                                                                </v>
      </c>
      <c r="AG373" s="218" t="str">
        <f t="shared" si="297"/>
        <v>-</v>
      </c>
      <c r="AH373" s="174"/>
      <c r="AI373" s="92" t="str">
        <f t="shared" si="298"/>
        <v>OK</v>
      </c>
      <c r="AJ373" s="60"/>
      <c r="AK373" s="174"/>
      <c r="AL373" s="170" t="str">
        <f t="shared" si="263"/>
        <v xml:space="preserve">                                                                                                                                                                                                                                                                </v>
      </c>
      <c r="AM373" s="218" t="str">
        <f t="shared" si="284"/>
        <v>-</v>
      </c>
      <c r="AN373" s="174"/>
      <c r="AO373" s="92" t="str">
        <f t="shared" si="299"/>
        <v>OK</v>
      </c>
      <c r="AP373" s="60"/>
      <c r="AQ373" s="170"/>
      <c r="AR373" s="170" t="str">
        <f t="shared" si="264"/>
        <v xml:space="preserve">                                                                                                                                                                                                                                                                </v>
      </c>
      <c r="AS373" s="218" t="s">
        <v>593</v>
      </c>
      <c r="AT373" s="38"/>
      <c r="AU373" s="38"/>
      <c r="AV373" s="60"/>
      <c r="AW373" s="174"/>
      <c r="AX373" s="170" t="str">
        <f t="shared" si="265"/>
        <v xml:space="preserve">                                                                                                                                                                                                                                                                </v>
      </c>
      <c r="AY373" s="218" t="str">
        <f t="shared" si="285"/>
        <v>-</v>
      </c>
      <c r="AZ373" s="174"/>
      <c r="BA373" s="478" t="s">
        <v>594</v>
      </c>
      <c r="BB373" s="60"/>
      <c r="BC373" s="174"/>
      <c r="BD373" s="170" t="str">
        <f t="shared" si="266"/>
        <v xml:space="preserve">                                                                                                                                                                                                                                                                </v>
      </c>
      <c r="BE373" s="218" t="str">
        <f t="shared" si="286"/>
        <v>-</v>
      </c>
      <c r="BF373" s="174"/>
      <c r="BG373" s="92" t="str">
        <f t="shared" si="300"/>
        <v>OK</v>
      </c>
      <c r="BH373" s="60"/>
      <c r="BI373" s="170" t="s">
        <v>700</v>
      </c>
      <c r="BJ373" s="170" t="str">
        <f t="shared" si="305"/>
        <v xml:space="preserve">                                                                                                                                                                                                                                                                </v>
      </c>
      <c r="BK373" s="218" t="s">
        <v>593</v>
      </c>
      <c r="BL373" s="174"/>
      <c r="BM373" s="478" t="s">
        <v>594</v>
      </c>
      <c r="BN373" s="60"/>
      <c r="BO373" s="174"/>
      <c r="BP373" s="170" t="str">
        <f t="shared" si="267"/>
        <v xml:space="preserve">                                                                                                                                                                                                                                                                </v>
      </c>
      <c r="BQ373" s="218" t="str">
        <f t="shared" si="287"/>
        <v>-</v>
      </c>
      <c r="BR373" s="174"/>
      <c r="BS373" s="92" t="str">
        <f t="shared" si="301"/>
        <v>OK</v>
      </c>
      <c r="BT373" s="60"/>
      <c r="BU373" s="170"/>
      <c r="BV373" s="170" t="str">
        <f t="shared" si="268"/>
        <v xml:space="preserve">                                                                                                                                                                                                                                                                </v>
      </c>
      <c r="BW373" s="218" t="s">
        <v>593</v>
      </c>
      <c r="BX373" s="170"/>
      <c r="BY373" s="218" t="str">
        <f t="shared" ref="BY373:BY396" si="306">IF(OR(BW$8="判定対象外",BX$8="判定対象外",BX373="-"),"-",IF(BW373=BX373,"OK","NG"))</f>
        <v>-</v>
      </c>
      <c r="BZ373" s="60"/>
      <c r="CA373" s="174"/>
      <c r="CB373" s="170" t="str">
        <f t="shared" si="269"/>
        <v xml:space="preserve">                                                                                                                                                                                                                                                                </v>
      </c>
      <c r="CC373" s="218" t="str">
        <f t="shared" si="289"/>
        <v>-</v>
      </c>
      <c r="CD373" s="174"/>
      <c r="CE373" s="92" t="str">
        <f t="shared" si="302"/>
        <v>OK</v>
      </c>
      <c r="CF373" s="60"/>
      <c r="CG373" s="174"/>
      <c r="CH373" s="170" t="str">
        <f t="shared" si="270"/>
        <v xml:space="preserve">                                                                                                                                                                                                                                                                </v>
      </c>
      <c r="CI373" s="218" t="str">
        <f t="shared" si="290"/>
        <v>-</v>
      </c>
      <c r="CJ373" s="174"/>
      <c r="CK373" s="92" t="str">
        <f t="shared" si="303"/>
        <v>OK</v>
      </c>
      <c r="CL373" s="60"/>
      <c r="CM373" s="174"/>
      <c r="CN373" s="170" t="str">
        <f t="shared" si="271"/>
        <v xml:space="preserve">                                                                                                                                                                                                                                                                </v>
      </c>
      <c r="CO373" s="218" t="s">
        <v>593</v>
      </c>
      <c r="CP373" s="170"/>
      <c r="CQ373" s="218" t="str">
        <f t="shared" ref="CQ373:CQ396" si="307">IF(OR(CO$8="判定対象外",CP$8="判定対象外",CP373="-"),"-",IF(CO373=CP373,"OK","NG"))</f>
        <v>-</v>
      </c>
      <c r="CR373" s="60"/>
      <c r="CS373" s="174"/>
      <c r="CT373" s="170" t="str">
        <f t="shared" si="272"/>
        <v xml:space="preserve">                                                                                                                                                                                                                                                                </v>
      </c>
      <c r="CU373" s="218" t="str">
        <f t="shared" si="292"/>
        <v>-</v>
      </c>
      <c r="CV373" s="174"/>
      <c r="CW373" s="92" t="s">
        <v>593</v>
      </c>
      <c r="CX373" s="60"/>
      <c r="CY373" s="174"/>
      <c r="CZ373" s="170" t="str">
        <f t="shared" si="273"/>
        <v xml:space="preserve">                                                                                                                                                                                                                                                                </v>
      </c>
      <c r="DA373" s="218" t="str">
        <f t="shared" si="293"/>
        <v>-</v>
      </c>
      <c r="DB373" s="174"/>
      <c r="DC373" s="92" t="s">
        <v>593</v>
      </c>
    </row>
    <row r="374" spans="2:107" s="26" customFormat="1" ht="63.75">
      <c r="B374" s="2">
        <f t="shared" si="283"/>
        <v>367</v>
      </c>
      <c r="C374" s="7"/>
      <c r="D374" s="7"/>
      <c r="E374" s="7"/>
      <c r="F374" s="22" t="s">
        <v>136</v>
      </c>
      <c r="G374" s="16"/>
      <c r="H374" s="13"/>
      <c r="I374" s="8"/>
      <c r="J374" s="8"/>
      <c r="K374" s="8"/>
      <c r="L374" s="8"/>
      <c r="M374" s="11" t="s">
        <v>445</v>
      </c>
      <c r="N374" s="1"/>
      <c r="O374" s="57"/>
      <c r="P374" s="95">
        <f t="shared" si="304"/>
        <v>339</v>
      </c>
      <c r="Q374" s="115">
        <v>256</v>
      </c>
      <c r="R374" s="21" t="str">
        <f t="shared" si="296"/>
        <v>NX</v>
      </c>
      <c r="S374" s="98" t="s">
        <v>137</v>
      </c>
      <c r="T374" s="96"/>
      <c r="U374" s="21" t="s">
        <v>257</v>
      </c>
      <c r="V374" s="10"/>
      <c r="W374" s="25">
        <v>3</v>
      </c>
      <c r="X374" s="1" t="s">
        <v>138</v>
      </c>
      <c r="Y374" s="1">
        <v>1</v>
      </c>
      <c r="Z374" s="1">
        <v>256</v>
      </c>
      <c r="AA374" s="8" t="s">
        <v>129</v>
      </c>
      <c r="AB374" s="8" t="s">
        <v>257</v>
      </c>
      <c r="AC374" s="12"/>
      <c r="AD374" s="60"/>
      <c r="AE374" s="174"/>
      <c r="AF374" s="170" t="str">
        <f t="shared" si="295"/>
        <v xml:space="preserve">                                                                                                                                                                                                                                                                </v>
      </c>
      <c r="AG374" s="218" t="str">
        <f t="shared" si="297"/>
        <v>-</v>
      </c>
      <c r="AH374" s="174"/>
      <c r="AI374" s="92" t="str">
        <f t="shared" si="298"/>
        <v>OK</v>
      </c>
      <c r="AJ374" s="60"/>
      <c r="AK374" s="174"/>
      <c r="AL374" s="170" t="str">
        <f t="shared" si="263"/>
        <v xml:space="preserve">                                                                                                                                                                                                                                                                </v>
      </c>
      <c r="AM374" s="218" t="str">
        <f t="shared" si="284"/>
        <v>-</v>
      </c>
      <c r="AN374" s="174"/>
      <c r="AO374" s="92" t="str">
        <f t="shared" si="299"/>
        <v>OK</v>
      </c>
      <c r="AP374" s="60"/>
      <c r="AQ374" s="170"/>
      <c r="AR374" s="170" t="str">
        <f t="shared" si="264"/>
        <v xml:space="preserve">                                                                                                                                                                                                                                                                </v>
      </c>
      <c r="AS374" s="218" t="s">
        <v>593</v>
      </c>
      <c r="AT374" s="38"/>
      <c r="AU374" s="38"/>
      <c r="AV374" s="60"/>
      <c r="AW374" s="174"/>
      <c r="AX374" s="170" t="str">
        <f t="shared" si="265"/>
        <v xml:space="preserve">                                                                                                                                                                                                                                                                </v>
      </c>
      <c r="AY374" s="218" t="str">
        <f t="shared" si="285"/>
        <v>-</v>
      </c>
      <c r="AZ374" s="174"/>
      <c r="BA374" s="478" t="s">
        <v>594</v>
      </c>
      <c r="BB374" s="60"/>
      <c r="BC374" s="174"/>
      <c r="BD374" s="170" t="str">
        <f t="shared" si="266"/>
        <v xml:space="preserve">                                                                                                                                                                                                                                                                </v>
      </c>
      <c r="BE374" s="218" t="str">
        <f t="shared" si="286"/>
        <v>-</v>
      </c>
      <c r="BF374" s="174"/>
      <c r="BG374" s="92" t="str">
        <f t="shared" si="300"/>
        <v>OK</v>
      </c>
      <c r="BH374" s="60"/>
      <c r="BI374" s="170" t="s">
        <v>700</v>
      </c>
      <c r="BJ374" s="170" t="str">
        <f t="shared" si="305"/>
        <v xml:space="preserve">                                                                                                                                                                                                                                                                </v>
      </c>
      <c r="BK374" s="218" t="s">
        <v>593</v>
      </c>
      <c r="BL374" s="174"/>
      <c r="BM374" s="478" t="s">
        <v>594</v>
      </c>
      <c r="BN374" s="60"/>
      <c r="BO374" s="174"/>
      <c r="BP374" s="170" t="str">
        <f t="shared" si="267"/>
        <v xml:space="preserve">                                                                                                                                                                                                                                                                </v>
      </c>
      <c r="BQ374" s="218" t="str">
        <f t="shared" si="287"/>
        <v>-</v>
      </c>
      <c r="BR374" s="174"/>
      <c r="BS374" s="92" t="str">
        <f t="shared" si="301"/>
        <v>OK</v>
      </c>
      <c r="BT374" s="60"/>
      <c r="BU374" s="170"/>
      <c r="BV374" s="170" t="str">
        <f t="shared" si="268"/>
        <v xml:space="preserve">                                                                                                                                                                                                                                                                </v>
      </c>
      <c r="BW374" s="218" t="s">
        <v>593</v>
      </c>
      <c r="BX374" s="170"/>
      <c r="BY374" s="218" t="str">
        <f t="shared" si="306"/>
        <v>-</v>
      </c>
      <c r="BZ374" s="60"/>
      <c r="CA374" s="174"/>
      <c r="CB374" s="170" t="str">
        <f t="shared" si="269"/>
        <v xml:space="preserve">                                                                                                                                                                                                                                                                </v>
      </c>
      <c r="CC374" s="218" t="str">
        <f t="shared" si="289"/>
        <v>-</v>
      </c>
      <c r="CD374" s="174"/>
      <c r="CE374" s="92" t="str">
        <f t="shared" si="302"/>
        <v>OK</v>
      </c>
      <c r="CF374" s="60"/>
      <c r="CG374" s="174"/>
      <c r="CH374" s="170" t="str">
        <f t="shared" si="270"/>
        <v xml:space="preserve">                                                                                                                                                                                                                                                                </v>
      </c>
      <c r="CI374" s="218" t="str">
        <f t="shared" si="290"/>
        <v>-</v>
      </c>
      <c r="CJ374" s="174"/>
      <c r="CK374" s="92" t="str">
        <f t="shared" si="303"/>
        <v>OK</v>
      </c>
      <c r="CL374" s="60"/>
      <c r="CM374" s="174"/>
      <c r="CN374" s="170" t="str">
        <f t="shared" si="271"/>
        <v xml:space="preserve">                                                                                                                                                                                                                                                                </v>
      </c>
      <c r="CO374" s="218" t="s">
        <v>593</v>
      </c>
      <c r="CP374" s="170"/>
      <c r="CQ374" s="218" t="str">
        <f t="shared" si="307"/>
        <v>-</v>
      </c>
      <c r="CR374" s="60"/>
      <c r="CS374" s="174"/>
      <c r="CT374" s="170" t="str">
        <f t="shared" si="272"/>
        <v xml:space="preserve">                                                                                                                                                                                                                                                                </v>
      </c>
      <c r="CU374" s="218" t="str">
        <f t="shared" si="292"/>
        <v>-</v>
      </c>
      <c r="CV374" s="174"/>
      <c r="CW374" s="92" t="s">
        <v>593</v>
      </c>
      <c r="CX374" s="60"/>
      <c r="CY374" s="174"/>
      <c r="CZ374" s="170" t="str">
        <f t="shared" si="273"/>
        <v xml:space="preserve">                                                                                                                                                                                                                                                                </v>
      </c>
      <c r="DA374" s="218" t="str">
        <f t="shared" si="293"/>
        <v>-</v>
      </c>
      <c r="DB374" s="174"/>
      <c r="DC374" s="92" t="s">
        <v>593</v>
      </c>
    </row>
    <row r="375" spans="2:107" s="26" customFormat="1" ht="69" customHeight="1">
      <c r="B375" s="19">
        <f t="shared" si="283"/>
        <v>368</v>
      </c>
      <c r="C375" s="7"/>
      <c r="D375" s="7"/>
      <c r="E375" s="7"/>
      <c r="F375" s="112" t="s">
        <v>446</v>
      </c>
      <c r="G375" s="16"/>
      <c r="H375" s="13"/>
      <c r="I375" s="8"/>
      <c r="J375" s="8" t="s">
        <v>269</v>
      </c>
      <c r="K375" s="8"/>
      <c r="L375" s="8"/>
      <c r="M375" s="11" t="s">
        <v>301</v>
      </c>
      <c r="N375" s="1"/>
      <c r="O375" s="57"/>
      <c r="P375" s="95">
        <f t="shared" si="304"/>
        <v>340</v>
      </c>
      <c r="Q375" s="115">
        <v>1</v>
      </c>
      <c r="R375" s="21" t="s">
        <v>261</v>
      </c>
      <c r="S375" s="98" t="s">
        <v>139</v>
      </c>
      <c r="T375" s="96"/>
      <c r="U375" s="21" t="s">
        <v>257</v>
      </c>
      <c r="V375" s="10"/>
      <c r="W375" s="25">
        <v>3</v>
      </c>
      <c r="X375" s="1" t="s">
        <v>140</v>
      </c>
      <c r="Y375" s="1">
        <v>1</v>
      </c>
      <c r="Z375" s="1">
        <v>1</v>
      </c>
      <c r="AA375" s="8">
        <v>9</v>
      </c>
      <c r="AB375" s="8" t="s">
        <v>21</v>
      </c>
      <c r="AC375" s="12"/>
      <c r="AD375" s="60"/>
      <c r="AE375" s="174"/>
      <c r="AF375" s="61" t="str">
        <f t="shared" si="295"/>
        <v xml:space="preserve"> </v>
      </c>
      <c r="AG375" s="218" t="str">
        <f t="shared" si="297"/>
        <v>-</v>
      </c>
      <c r="AH375" s="174"/>
      <c r="AI375" s="92" t="str">
        <f t="shared" si="298"/>
        <v>OK</v>
      </c>
      <c r="AJ375" s="60"/>
      <c r="AK375" s="174"/>
      <c r="AL375" s="61" t="str">
        <f t="shared" si="263"/>
        <v xml:space="preserve"> </v>
      </c>
      <c r="AM375" s="218" t="str">
        <f t="shared" si="284"/>
        <v>-</v>
      </c>
      <c r="AN375" s="174"/>
      <c r="AO375" s="92" t="str">
        <f t="shared" si="299"/>
        <v>OK</v>
      </c>
      <c r="AP375" s="60"/>
      <c r="AQ375" s="170"/>
      <c r="AR375" s="61" t="str">
        <f t="shared" si="264"/>
        <v xml:space="preserve"> </v>
      </c>
      <c r="AS375" s="218" t="s">
        <v>593</v>
      </c>
      <c r="AT375" s="38"/>
      <c r="AU375" s="38"/>
      <c r="AV375" s="60"/>
      <c r="AW375" s="174" t="s">
        <v>33</v>
      </c>
      <c r="AX375" s="61" t="str">
        <f t="shared" si="265"/>
        <v>1</v>
      </c>
      <c r="AY375" s="218" t="str">
        <f t="shared" si="285"/>
        <v>-</v>
      </c>
      <c r="AZ375" s="174" t="s">
        <v>33</v>
      </c>
      <c r="BA375" s="478" t="s">
        <v>594</v>
      </c>
      <c r="BB375" s="60"/>
      <c r="BC375" s="174" t="s">
        <v>701</v>
      </c>
      <c r="BD375" s="61" t="str">
        <f t="shared" si="266"/>
        <v>3</v>
      </c>
      <c r="BE375" s="218" t="str">
        <f t="shared" si="286"/>
        <v>-</v>
      </c>
      <c r="BF375" s="174">
        <v>3</v>
      </c>
      <c r="BG375" s="92" t="str">
        <f t="shared" si="300"/>
        <v>OK</v>
      </c>
      <c r="BH375" s="60"/>
      <c r="BI375" s="170" t="s">
        <v>33</v>
      </c>
      <c r="BJ375" s="61" t="str">
        <f t="shared" si="305"/>
        <v>1</v>
      </c>
      <c r="BK375" s="218" t="s">
        <v>593</v>
      </c>
      <c r="BL375" s="174" t="s">
        <v>33</v>
      </c>
      <c r="BM375" s="478" t="s">
        <v>594</v>
      </c>
      <c r="BN375" s="60"/>
      <c r="BO375" s="174"/>
      <c r="BP375" s="61" t="str">
        <f t="shared" si="267"/>
        <v xml:space="preserve"> </v>
      </c>
      <c r="BQ375" s="218" t="str">
        <f t="shared" si="287"/>
        <v>-</v>
      </c>
      <c r="BR375" s="174"/>
      <c r="BS375" s="92" t="str">
        <f t="shared" si="301"/>
        <v>OK</v>
      </c>
      <c r="BT375" s="60"/>
      <c r="BU375" s="170"/>
      <c r="BV375" s="61" t="str">
        <f t="shared" si="268"/>
        <v xml:space="preserve"> </v>
      </c>
      <c r="BW375" s="218" t="s">
        <v>593</v>
      </c>
      <c r="BX375" s="61"/>
      <c r="BY375" s="218" t="str">
        <f t="shared" si="306"/>
        <v>-</v>
      </c>
      <c r="BZ375" s="60"/>
      <c r="CA375" s="174"/>
      <c r="CB375" s="61" t="str">
        <f t="shared" si="269"/>
        <v xml:space="preserve"> </v>
      </c>
      <c r="CC375" s="218" t="str">
        <f t="shared" si="289"/>
        <v>-</v>
      </c>
      <c r="CD375" s="174"/>
      <c r="CE375" s="92" t="str">
        <f t="shared" si="302"/>
        <v>OK</v>
      </c>
      <c r="CF375" s="60"/>
      <c r="CG375" s="174"/>
      <c r="CH375" s="61" t="str">
        <f t="shared" si="270"/>
        <v xml:space="preserve"> </v>
      </c>
      <c r="CI375" s="218" t="str">
        <f t="shared" si="290"/>
        <v>-</v>
      </c>
      <c r="CJ375" s="174"/>
      <c r="CK375" s="92" t="str">
        <f t="shared" si="303"/>
        <v>OK</v>
      </c>
      <c r="CL375" s="60"/>
      <c r="CM375" s="174"/>
      <c r="CN375" s="61" t="str">
        <f t="shared" si="271"/>
        <v xml:space="preserve"> </v>
      </c>
      <c r="CO375" s="218" t="s">
        <v>593</v>
      </c>
      <c r="CP375" s="61"/>
      <c r="CQ375" s="218" t="str">
        <f t="shared" si="307"/>
        <v>-</v>
      </c>
      <c r="CR375" s="60"/>
      <c r="CS375" s="174"/>
      <c r="CT375" s="61" t="str">
        <f t="shared" si="272"/>
        <v xml:space="preserve"> </v>
      </c>
      <c r="CU375" s="218" t="str">
        <f t="shared" si="292"/>
        <v>-</v>
      </c>
      <c r="CV375" s="174"/>
      <c r="CW375" s="92" t="s">
        <v>593</v>
      </c>
      <c r="CX375" s="60"/>
      <c r="CY375" s="174"/>
      <c r="CZ375" s="61" t="str">
        <f t="shared" si="273"/>
        <v xml:space="preserve"> </v>
      </c>
      <c r="DA375" s="218" t="str">
        <f t="shared" si="293"/>
        <v>-</v>
      </c>
      <c r="DB375" s="174"/>
      <c r="DC375" s="92" t="s">
        <v>593</v>
      </c>
    </row>
    <row r="376" spans="2:107" s="26" customFormat="1" ht="114.75">
      <c r="B376" s="2">
        <f t="shared" si="283"/>
        <v>369</v>
      </c>
      <c r="C376" s="7"/>
      <c r="D376" s="7"/>
      <c r="E376" s="7"/>
      <c r="F376" s="22" t="s">
        <v>141</v>
      </c>
      <c r="G376" s="16"/>
      <c r="H376" s="13"/>
      <c r="I376" s="8"/>
      <c r="J376" s="8"/>
      <c r="K376" s="8"/>
      <c r="L376" s="8"/>
      <c r="M376" s="418" t="s">
        <v>221</v>
      </c>
      <c r="N376" s="1"/>
      <c r="O376" s="57"/>
      <c r="P376" s="95">
        <f t="shared" si="304"/>
        <v>341</v>
      </c>
      <c r="Q376" s="115">
        <v>1</v>
      </c>
      <c r="R376" s="21" t="s">
        <v>261</v>
      </c>
      <c r="S376" s="98" t="s">
        <v>142</v>
      </c>
      <c r="T376" s="96"/>
      <c r="U376" s="21" t="s">
        <v>257</v>
      </c>
      <c r="V376" s="10"/>
      <c r="W376" s="25">
        <v>3</v>
      </c>
      <c r="X376" s="1" t="s">
        <v>20</v>
      </c>
      <c r="Y376" s="1">
        <v>1</v>
      </c>
      <c r="Z376" s="1">
        <v>1</v>
      </c>
      <c r="AA376" s="8">
        <v>9</v>
      </c>
      <c r="AB376" s="8" t="s">
        <v>21</v>
      </c>
      <c r="AC376" s="103"/>
      <c r="AD376" s="60"/>
      <c r="AE376" s="174"/>
      <c r="AF376" s="61" t="str">
        <f t="shared" si="295"/>
        <v xml:space="preserve"> </v>
      </c>
      <c r="AG376" s="218" t="str">
        <f t="shared" si="297"/>
        <v>-</v>
      </c>
      <c r="AH376" s="174"/>
      <c r="AI376" s="92" t="str">
        <f t="shared" si="298"/>
        <v>OK</v>
      </c>
      <c r="AJ376" s="60"/>
      <c r="AK376" s="174"/>
      <c r="AL376" s="61" t="str">
        <f t="shared" si="263"/>
        <v xml:space="preserve"> </v>
      </c>
      <c r="AM376" s="218" t="str">
        <f t="shared" si="284"/>
        <v>-</v>
      </c>
      <c r="AN376" s="174"/>
      <c r="AO376" s="92" t="str">
        <f t="shared" si="299"/>
        <v>OK</v>
      </c>
      <c r="AP376" s="60"/>
      <c r="AQ376" s="170"/>
      <c r="AR376" s="61" t="str">
        <f t="shared" si="264"/>
        <v xml:space="preserve"> </v>
      </c>
      <c r="AS376" s="218" t="s">
        <v>593</v>
      </c>
      <c r="AT376" s="38"/>
      <c r="AU376" s="38"/>
      <c r="AV376" s="60"/>
      <c r="AW376" s="174"/>
      <c r="AX376" s="61" t="str">
        <f t="shared" si="265"/>
        <v xml:space="preserve"> </v>
      </c>
      <c r="AY376" s="218" t="str">
        <f t="shared" si="285"/>
        <v>-</v>
      </c>
      <c r="AZ376" s="174"/>
      <c r="BA376" s="478" t="s">
        <v>594</v>
      </c>
      <c r="BB376" s="60"/>
      <c r="BC376" s="174"/>
      <c r="BD376" s="61" t="str">
        <f t="shared" si="266"/>
        <v xml:space="preserve"> </v>
      </c>
      <c r="BE376" s="218" t="str">
        <f t="shared" si="286"/>
        <v>-</v>
      </c>
      <c r="BF376" s="174"/>
      <c r="BG376" s="92" t="str">
        <f t="shared" si="300"/>
        <v>OK</v>
      </c>
      <c r="BH376" s="60"/>
      <c r="BI376" s="170" t="s">
        <v>38</v>
      </c>
      <c r="BJ376" s="61" t="str">
        <f t="shared" si="305"/>
        <v xml:space="preserve"> </v>
      </c>
      <c r="BK376" s="218" t="s">
        <v>593</v>
      </c>
      <c r="BL376" s="174"/>
      <c r="BM376" s="478" t="s">
        <v>594</v>
      </c>
      <c r="BN376" s="60"/>
      <c r="BO376" s="174"/>
      <c r="BP376" s="61" t="str">
        <f t="shared" si="267"/>
        <v xml:space="preserve"> </v>
      </c>
      <c r="BQ376" s="218" t="str">
        <f t="shared" si="287"/>
        <v>-</v>
      </c>
      <c r="BR376" s="174"/>
      <c r="BS376" s="92" t="str">
        <f t="shared" si="301"/>
        <v>OK</v>
      </c>
      <c r="BT376" s="60"/>
      <c r="BU376" s="170"/>
      <c r="BV376" s="61" t="str">
        <f t="shared" si="268"/>
        <v xml:space="preserve"> </v>
      </c>
      <c r="BW376" s="218" t="s">
        <v>593</v>
      </c>
      <c r="BX376" s="61"/>
      <c r="BY376" s="218" t="str">
        <f t="shared" si="306"/>
        <v>-</v>
      </c>
      <c r="BZ376" s="60"/>
      <c r="CA376" s="174"/>
      <c r="CB376" s="61" t="str">
        <f t="shared" si="269"/>
        <v xml:space="preserve"> </v>
      </c>
      <c r="CC376" s="218" t="str">
        <f t="shared" si="289"/>
        <v>-</v>
      </c>
      <c r="CD376" s="174"/>
      <c r="CE376" s="92" t="str">
        <f t="shared" si="302"/>
        <v>OK</v>
      </c>
      <c r="CF376" s="60"/>
      <c r="CG376" s="174"/>
      <c r="CH376" s="61" t="str">
        <f t="shared" si="270"/>
        <v xml:space="preserve"> </v>
      </c>
      <c r="CI376" s="218" t="str">
        <f t="shared" si="290"/>
        <v>-</v>
      </c>
      <c r="CJ376" s="174"/>
      <c r="CK376" s="92" t="str">
        <f t="shared" si="303"/>
        <v>OK</v>
      </c>
      <c r="CL376" s="60"/>
      <c r="CM376" s="174"/>
      <c r="CN376" s="61" t="str">
        <f t="shared" si="271"/>
        <v xml:space="preserve"> </v>
      </c>
      <c r="CO376" s="218" t="s">
        <v>593</v>
      </c>
      <c r="CP376" s="61"/>
      <c r="CQ376" s="218" t="str">
        <f t="shared" si="307"/>
        <v>-</v>
      </c>
      <c r="CR376" s="60"/>
      <c r="CS376" s="174"/>
      <c r="CT376" s="61" t="str">
        <f t="shared" si="272"/>
        <v xml:space="preserve"> </v>
      </c>
      <c r="CU376" s="218" t="str">
        <f t="shared" si="292"/>
        <v>-</v>
      </c>
      <c r="CV376" s="174"/>
      <c r="CW376" s="92" t="s">
        <v>593</v>
      </c>
      <c r="CX376" s="60"/>
      <c r="CY376" s="174"/>
      <c r="CZ376" s="61" t="str">
        <f t="shared" si="273"/>
        <v xml:space="preserve"> </v>
      </c>
      <c r="DA376" s="218" t="str">
        <f t="shared" si="293"/>
        <v>-</v>
      </c>
      <c r="DB376" s="174"/>
      <c r="DC376" s="92" t="s">
        <v>593</v>
      </c>
    </row>
    <row r="377" spans="2:107" s="26" customFormat="1" ht="123.75" customHeight="1">
      <c r="B377" s="65">
        <f t="shared" si="283"/>
        <v>370</v>
      </c>
      <c r="C377" s="7"/>
      <c r="D377" s="7"/>
      <c r="E377" s="7"/>
      <c r="F377" s="112" t="s">
        <v>143</v>
      </c>
      <c r="G377" s="16"/>
      <c r="H377" s="13"/>
      <c r="I377" s="8"/>
      <c r="J377" s="8"/>
      <c r="K377" s="8"/>
      <c r="L377" s="8"/>
      <c r="M377" s="11" t="s">
        <v>447</v>
      </c>
      <c r="N377" s="1"/>
      <c r="O377" s="57"/>
      <c r="P377" s="95">
        <f t="shared" si="304"/>
        <v>342</v>
      </c>
      <c r="Q377" s="115">
        <v>1</v>
      </c>
      <c r="R377" s="21" t="str">
        <f t="shared" ref="R377:R393" si="308">IF(AA377="M","NX",AA377)</f>
        <v>X</v>
      </c>
      <c r="S377" s="98" t="s">
        <v>189</v>
      </c>
      <c r="T377" s="96"/>
      <c r="U377" s="21" t="s">
        <v>257</v>
      </c>
      <c r="V377" s="10"/>
      <c r="W377" s="25">
        <v>3</v>
      </c>
      <c r="X377" s="1" t="s">
        <v>302</v>
      </c>
      <c r="Y377" s="1">
        <v>1</v>
      </c>
      <c r="Z377" s="1">
        <v>1</v>
      </c>
      <c r="AA377" s="8" t="s">
        <v>261</v>
      </c>
      <c r="AB377" s="8" t="s">
        <v>257</v>
      </c>
      <c r="AC377" s="12"/>
      <c r="AD377" s="60"/>
      <c r="AE377" s="174"/>
      <c r="AF377" s="61" t="str">
        <f t="shared" si="295"/>
        <v xml:space="preserve"> </v>
      </c>
      <c r="AG377" s="218" t="str">
        <f t="shared" si="297"/>
        <v>-</v>
      </c>
      <c r="AH377" s="174"/>
      <c r="AI377" s="92" t="str">
        <f t="shared" si="298"/>
        <v>OK</v>
      </c>
      <c r="AJ377" s="60"/>
      <c r="AK377" s="174"/>
      <c r="AL377" s="61" t="str">
        <f t="shared" si="263"/>
        <v xml:space="preserve"> </v>
      </c>
      <c r="AM377" s="218" t="str">
        <f t="shared" si="284"/>
        <v>-</v>
      </c>
      <c r="AN377" s="174"/>
      <c r="AO377" s="92" t="str">
        <f t="shared" si="299"/>
        <v>OK</v>
      </c>
      <c r="AP377" s="60"/>
      <c r="AQ377" s="170"/>
      <c r="AR377" s="61" t="str">
        <f t="shared" si="264"/>
        <v xml:space="preserve"> </v>
      </c>
      <c r="AS377" s="218" t="s">
        <v>593</v>
      </c>
      <c r="AT377" s="38"/>
      <c r="AU377" s="38"/>
      <c r="AV377" s="60"/>
      <c r="AW377" s="174" t="s">
        <v>33</v>
      </c>
      <c r="AX377" s="61" t="str">
        <f t="shared" si="265"/>
        <v>1</v>
      </c>
      <c r="AY377" s="218" t="str">
        <f t="shared" si="285"/>
        <v>-</v>
      </c>
      <c r="AZ377" s="174" t="s">
        <v>33</v>
      </c>
      <c r="BA377" s="478" t="s">
        <v>594</v>
      </c>
      <c r="BB377" s="60"/>
      <c r="BC377" s="174" t="s">
        <v>701</v>
      </c>
      <c r="BD377" s="61" t="str">
        <f t="shared" si="266"/>
        <v>3</v>
      </c>
      <c r="BE377" s="218" t="str">
        <f t="shared" si="286"/>
        <v>-</v>
      </c>
      <c r="BF377" s="174">
        <v>3</v>
      </c>
      <c r="BG377" s="92" t="str">
        <f t="shared" si="300"/>
        <v>OK</v>
      </c>
      <c r="BH377" s="60"/>
      <c r="BI377" s="170" t="s">
        <v>33</v>
      </c>
      <c r="BJ377" s="61" t="str">
        <f t="shared" si="305"/>
        <v>1</v>
      </c>
      <c r="BK377" s="218" t="s">
        <v>593</v>
      </c>
      <c r="BL377" s="174" t="s">
        <v>33</v>
      </c>
      <c r="BM377" s="478" t="s">
        <v>594</v>
      </c>
      <c r="BN377" s="60"/>
      <c r="BO377" s="174"/>
      <c r="BP377" s="61" t="str">
        <f t="shared" si="267"/>
        <v xml:space="preserve"> </v>
      </c>
      <c r="BQ377" s="218" t="str">
        <f t="shared" si="287"/>
        <v>-</v>
      </c>
      <c r="BR377" s="174"/>
      <c r="BS377" s="92" t="str">
        <f t="shared" si="301"/>
        <v>OK</v>
      </c>
      <c r="BT377" s="60"/>
      <c r="BU377" s="170"/>
      <c r="BV377" s="61" t="str">
        <f t="shared" si="268"/>
        <v xml:space="preserve"> </v>
      </c>
      <c r="BW377" s="218" t="s">
        <v>593</v>
      </c>
      <c r="BX377" s="61"/>
      <c r="BY377" s="218" t="str">
        <f t="shared" si="306"/>
        <v>-</v>
      </c>
      <c r="BZ377" s="60"/>
      <c r="CA377" s="174"/>
      <c r="CB377" s="61" t="str">
        <f t="shared" si="269"/>
        <v xml:space="preserve"> </v>
      </c>
      <c r="CC377" s="218" t="str">
        <f t="shared" si="289"/>
        <v>-</v>
      </c>
      <c r="CD377" s="174"/>
      <c r="CE377" s="92" t="str">
        <f t="shared" si="302"/>
        <v>OK</v>
      </c>
      <c r="CF377" s="60"/>
      <c r="CG377" s="174"/>
      <c r="CH377" s="61" t="str">
        <f t="shared" si="270"/>
        <v xml:space="preserve"> </v>
      </c>
      <c r="CI377" s="218" t="str">
        <f t="shared" si="290"/>
        <v>-</v>
      </c>
      <c r="CJ377" s="174"/>
      <c r="CK377" s="92" t="str">
        <f t="shared" si="303"/>
        <v>OK</v>
      </c>
      <c r="CL377" s="60"/>
      <c r="CM377" s="174"/>
      <c r="CN377" s="61" t="str">
        <f t="shared" si="271"/>
        <v xml:space="preserve"> </v>
      </c>
      <c r="CO377" s="218" t="s">
        <v>593</v>
      </c>
      <c r="CP377" s="61"/>
      <c r="CQ377" s="218" t="str">
        <f t="shared" si="307"/>
        <v>-</v>
      </c>
      <c r="CR377" s="60"/>
      <c r="CS377" s="174"/>
      <c r="CT377" s="61" t="str">
        <f t="shared" si="272"/>
        <v xml:space="preserve"> </v>
      </c>
      <c r="CU377" s="218" t="str">
        <f t="shared" si="292"/>
        <v>-</v>
      </c>
      <c r="CV377" s="174"/>
      <c r="CW377" s="92" t="s">
        <v>593</v>
      </c>
      <c r="CX377" s="60"/>
      <c r="CY377" s="174"/>
      <c r="CZ377" s="61" t="str">
        <f t="shared" si="273"/>
        <v xml:space="preserve"> </v>
      </c>
      <c r="DA377" s="218" t="str">
        <f t="shared" si="293"/>
        <v>-</v>
      </c>
      <c r="DB377" s="174"/>
      <c r="DC377" s="92" t="s">
        <v>593</v>
      </c>
    </row>
    <row r="378" spans="2:107" s="26" customFormat="1">
      <c r="B378" s="65">
        <f t="shared" si="283"/>
        <v>371</v>
      </c>
      <c r="C378" s="7"/>
      <c r="D378" s="7"/>
      <c r="E378" s="7"/>
      <c r="F378" s="22" t="s">
        <v>144</v>
      </c>
      <c r="G378" s="16"/>
      <c r="H378" s="13"/>
      <c r="I378" s="8"/>
      <c r="J378" s="8"/>
      <c r="K378" s="8"/>
      <c r="L378" s="8"/>
      <c r="M378" s="418" t="s">
        <v>145</v>
      </c>
      <c r="N378" s="1"/>
      <c r="O378" s="57"/>
      <c r="P378" s="95">
        <f t="shared" si="304"/>
        <v>343</v>
      </c>
      <c r="Q378" s="115">
        <v>400</v>
      </c>
      <c r="R378" s="21" t="str">
        <f t="shared" si="308"/>
        <v>NX</v>
      </c>
      <c r="S378" s="98" t="s">
        <v>146</v>
      </c>
      <c r="T378" s="96"/>
      <c r="U378" s="21" t="s">
        <v>257</v>
      </c>
      <c r="V378" s="10"/>
      <c r="W378" s="25">
        <v>3</v>
      </c>
      <c r="X378" s="1" t="s">
        <v>147</v>
      </c>
      <c r="Y378" s="1">
        <v>1</v>
      </c>
      <c r="Z378" s="1">
        <v>400</v>
      </c>
      <c r="AA378" s="8" t="s">
        <v>129</v>
      </c>
      <c r="AB378" s="8" t="s">
        <v>257</v>
      </c>
      <c r="AC378" s="12"/>
      <c r="AD378" s="60"/>
      <c r="AE378" s="174"/>
      <c r="AF378" s="271" t="str">
        <f t="shared" si="295"/>
        <v xml:space="preserve">                                                                                                                                                                                                                                                                                                                                                                                                                </v>
      </c>
      <c r="AG378" s="218" t="str">
        <f t="shared" si="297"/>
        <v>-</v>
      </c>
      <c r="AH378" s="174"/>
      <c r="AI378" s="92" t="str">
        <f t="shared" si="298"/>
        <v>OK</v>
      </c>
      <c r="AJ378" s="60"/>
      <c r="AK378" s="174"/>
      <c r="AL378" s="271" t="str">
        <f t="shared" si="263"/>
        <v xml:space="preserve">                                                                                                                                                                                                                                                                                                                                                                                                                </v>
      </c>
      <c r="AM378" s="218" t="str">
        <f t="shared" si="284"/>
        <v>-</v>
      </c>
      <c r="AN378" s="174"/>
      <c r="AO378" s="92" t="str">
        <f t="shared" si="299"/>
        <v>OK</v>
      </c>
      <c r="AP378" s="60"/>
      <c r="AQ378" s="170"/>
      <c r="AR378" s="271" t="str">
        <f t="shared" si="264"/>
        <v xml:space="preserve">                                                                                                                                                                                                                                                                                                                                                                                                                </v>
      </c>
      <c r="AS378" s="218" t="s">
        <v>593</v>
      </c>
      <c r="AT378" s="38"/>
      <c r="AU378" s="38"/>
      <c r="AV378" s="60"/>
      <c r="AW378" s="174" t="s">
        <v>190</v>
      </c>
      <c r="AX378" s="271" t="str">
        <f t="shared" si="265"/>
        <v xml:space="preserve">申込受付中。                                                                                                                                                                                                                                                                                                                                                                                                    </v>
      </c>
      <c r="AY378" s="218" t="str">
        <f t="shared" si="285"/>
        <v>-</v>
      </c>
      <c r="AZ378" s="174" t="s">
        <v>190</v>
      </c>
      <c r="BA378" s="478" t="s">
        <v>594</v>
      </c>
      <c r="BB378" s="60"/>
      <c r="BC378" s="174" t="s">
        <v>720</v>
      </c>
      <c r="BD378" s="271" t="str">
        <f t="shared" si="266"/>
        <v xml:space="preserve">申込多数のため、現在受付できません。\2017年10月頃受付再開予定です。                                                                                                                                                                                                                                                                                                                                             </v>
      </c>
      <c r="BE378" s="218" t="str">
        <f t="shared" si="286"/>
        <v>-</v>
      </c>
      <c r="BF378" s="174" t="s">
        <v>720</v>
      </c>
      <c r="BG378" s="92" t="str">
        <f t="shared" si="300"/>
        <v>OK</v>
      </c>
      <c r="BH378" s="60"/>
      <c r="BI378" s="170" t="s">
        <v>730</v>
      </c>
      <c r="BJ378" s="271" t="str">
        <f t="shared" si="305"/>
        <v xml:space="preserve">申込受付中。                                                                                                                                                                                                                                                                                                                                                                                                    </v>
      </c>
      <c r="BK378" s="218" t="s">
        <v>593</v>
      </c>
      <c r="BL378" s="174" t="s">
        <v>190</v>
      </c>
      <c r="BM378" s="478" t="s">
        <v>594</v>
      </c>
      <c r="BN378" s="60"/>
      <c r="BO378" s="174"/>
      <c r="BP378" s="271" t="str">
        <f t="shared" si="267"/>
        <v xml:space="preserve">                                                                                                                                                                                                                                                                                                                                                                                                                </v>
      </c>
      <c r="BQ378" s="218" t="str">
        <f t="shared" si="287"/>
        <v>-</v>
      </c>
      <c r="BR378" s="174"/>
      <c r="BS378" s="92" t="str">
        <f t="shared" si="301"/>
        <v>OK</v>
      </c>
      <c r="BT378" s="60"/>
      <c r="BU378" s="170"/>
      <c r="BV378" s="271" t="str">
        <f t="shared" si="268"/>
        <v xml:space="preserve">                                                                                                                                                                                                                                                                                                                                                                                                                </v>
      </c>
      <c r="BW378" s="218" t="s">
        <v>593</v>
      </c>
      <c r="BX378" s="271"/>
      <c r="BY378" s="218" t="str">
        <f t="shared" si="306"/>
        <v>-</v>
      </c>
      <c r="BZ378" s="60"/>
      <c r="CA378" s="174"/>
      <c r="CB378" s="271" t="str">
        <f t="shared" si="269"/>
        <v xml:space="preserve">                                                                                                                                                                                                                                                                                                                                                                                                                </v>
      </c>
      <c r="CC378" s="218" t="str">
        <f t="shared" si="289"/>
        <v>-</v>
      </c>
      <c r="CD378" s="174"/>
      <c r="CE378" s="92" t="str">
        <f t="shared" si="302"/>
        <v>OK</v>
      </c>
      <c r="CF378" s="60"/>
      <c r="CG378" s="174"/>
      <c r="CH378" s="271" t="str">
        <f t="shared" si="270"/>
        <v xml:space="preserve">                                                                                                                                                                                                                                                                                                                                                                                                                </v>
      </c>
      <c r="CI378" s="218" t="str">
        <f t="shared" si="290"/>
        <v>-</v>
      </c>
      <c r="CJ378" s="174"/>
      <c r="CK378" s="92" t="str">
        <f t="shared" si="303"/>
        <v>OK</v>
      </c>
      <c r="CL378" s="60"/>
      <c r="CM378" s="174"/>
      <c r="CN378" s="271" t="str">
        <f t="shared" si="271"/>
        <v xml:space="preserve">                                                                                                                                                                                                                                                                                                                                                                                                                </v>
      </c>
      <c r="CO378" s="218" t="s">
        <v>593</v>
      </c>
      <c r="CP378" s="271"/>
      <c r="CQ378" s="218" t="str">
        <f t="shared" si="307"/>
        <v>-</v>
      </c>
      <c r="CR378" s="60"/>
      <c r="CS378" s="174"/>
      <c r="CT378" s="271" t="str">
        <f t="shared" si="272"/>
        <v xml:space="preserve">                                                                                                                                                                                                                                                                                                                                                                                                                </v>
      </c>
      <c r="CU378" s="218" t="str">
        <f t="shared" si="292"/>
        <v>-</v>
      </c>
      <c r="CV378" s="174"/>
      <c r="CW378" s="92" t="s">
        <v>593</v>
      </c>
      <c r="CX378" s="60"/>
      <c r="CY378" s="174"/>
      <c r="CZ378" s="271" t="str">
        <f t="shared" si="273"/>
        <v xml:space="preserve">                                                                                                                                                                                                                                                                                                                                                                                                                </v>
      </c>
      <c r="DA378" s="218" t="str">
        <f t="shared" si="293"/>
        <v>-</v>
      </c>
      <c r="DB378" s="174"/>
      <c r="DC378" s="92" t="s">
        <v>593</v>
      </c>
    </row>
    <row r="379" spans="2:107" s="26" customFormat="1" ht="63.75">
      <c r="B379" s="65">
        <f t="shared" si="283"/>
        <v>372</v>
      </c>
      <c r="C379" s="7"/>
      <c r="D379" s="7"/>
      <c r="E379" s="7"/>
      <c r="F379" s="22" t="s">
        <v>148</v>
      </c>
      <c r="G379" s="16"/>
      <c r="H379" s="13"/>
      <c r="I379" s="8"/>
      <c r="J379" s="8"/>
      <c r="K379" s="8"/>
      <c r="L379" s="8"/>
      <c r="M379" s="418" t="s">
        <v>448</v>
      </c>
      <c r="N379" s="1"/>
      <c r="O379" s="57"/>
      <c r="P379" s="95">
        <f t="shared" si="304"/>
        <v>344</v>
      </c>
      <c r="Q379" s="115">
        <v>400</v>
      </c>
      <c r="R379" s="21" t="str">
        <f t="shared" si="308"/>
        <v>NX</v>
      </c>
      <c r="S379" s="98" t="s">
        <v>149</v>
      </c>
      <c r="T379" s="96"/>
      <c r="U379" s="21" t="s">
        <v>257</v>
      </c>
      <c r="V379" s="10"/>
      <c r="W379" s="25">
        <v>3</v>
      </c>
      <c r="X379" s="1" t="s">
        <v>150</v>
      </c>
      <c r="Y379" s="1">
        <v>1</v>
      </c>
      <c r="Z379" s="1">
        <v>400</v>
      </c>
      <c r="AA379" s="8" t="s">
        <v>129</v>
      </c>
      <c r="AB379" s="8" t="s">
        <v>257</v>
      </c>
      <c r="AC379" s="12"/>
      <c r="AD379" s="60"/>
      <c r="AE379" s="174"/>
      <c r="AF379" s="91" t="str">
        <f t="shared" si="295"/>
        <v xml:space="preserve">                                                                                                                                                                                                                                                                                                                                                                                                                </v>
      </c>
      <c r="AG379" s="218" t="str">
        <f t="shared" si="297"/>
        <v>-</v>
      </c>
      <c r="AH379" s="174"/>
      <c r="AI379" s="92" t="str">
        <f t="shared" si="298"/>
        <v>OK</v>
      </c>
      <c r="AJ379" s="60"/>
      <c r="AK379" s="174"/>
      <c r="AL379" s="91" t="str">
        <f t="shared" si="263"/>
        <v xml:space="preserve">                                                                                                                                                                                                                                                                                                                                                                                                                </v>
      </c>
      <c r="AM379" s="218" t="str">
        <f t="shared" si="284"/>
        <v>-</v>
      </c>
      <c r="AN379" s="174"/>
      <c r="AO379" s="92" t="str">
        <f t="shared" si="299"/>
        <v>OK</v>
      </c>
      <c r="AP379" s="60"/>
      <c r="AQ379" s="170"/>
      <c r="AR379" s="91" t="str">
        <f t="shared" si="264"/>
        <v xml:space="preserve">                                                                                                                                                                                                                                                                                                                                                                                                                </v>
      </c>
      <c r="AS379" s="218" t="s">
        <v>593</v>
      </c>
      <c r="AT379" s="38"/>
      <c r="AU379" s="38"/>
      <c r="AV379" s="60"/>
      <c r="AW379" s="174"/>
      <c r="AX379" s="91" t="str">
        <f t="shared" si="265"/>
        <v xml:space="preserve">                                                                                                                                                                                                                                                                                                                                                                                                                </v>
      </c>
      <c r="AY379" s="218" t="str">
        <f t="shared" si="285"/>
        <v>-</v>
      </c>
      <c r="AZ379" s="174"/>
      <c r="BA379" s="478" t="s">
        <v>594</v>
      </c>
      <c r="BB379" s="60"/>
      <c r="BC379" s="174"/>
      <c r="BD379" s="91" t="str">
        <f t="shared" si="266"/>
        <v xml:space="preserve">                                                                                                                                                                                                                                                                                                                                                                                                                </v>
      </c>
      <c r="BE379" s="218" t="str">
        <f t="shared" si="286"/>
        <v>-</v>
      </c>
      <c r="BF379" s="174"/>
      <c r="BG379" s="92" t="str">
        <f t="shared" si="300"/>
        <v>OK</v>
      </c>
      <c r="BH379" s="60"/>
      <c r="BI379" s="170" t="s">
        <v>703</v>
      </c>
      <c r="BJ379" s="91" t="str">
        <f t="shared" si="305"/>
        <v xml:space="preserve">                                                                                                                                                                                                                                                                                                                                                                                                                </v>
      </c>
      <c r="BK379" s="218" t="s">
        <v>593</v>
      </c>
      <c r="BL379" s="174"/>
      <c r="BM379" s="478" t="s">
        <v>594</v>
      </c>
      <c r="BN379" s="60"/>
      <c r="BO379" s="174"/>
      <c r="BP379" s="91" t="str">
        <f t="shared" si="267"/>
        <v xml:space="preserve">                                                                                                                                                                                                                                                                                                                                                                                                                </v>
      </c>
      <c r="BQ379" s="218" t="str">
        <f t="shared" si="287"/>
        <v>-</v>
      </c>
      <c r="BR379" s="174"/>
      <c r="BS379" s="92" t="str">
        <f t="shared" si="301"/>
        <v>OK</v>
      </c>
      <c r="BT379" s="60"/>
      <c r="BU379" s="170"/>
      <c r="BV379" s="91" t="str">
        <f t="shared" si="268"/>
        <v xml:space="preserve">                                                                                                                                                                                                                                                                                                                                                                                                                </v>
      </c>
      <c r="BW379" s="218" t="s">
        <v>593</v>
      </c>
      <c r="BX379" s="91"/>
      <c r="BY379" s="218" t="str">
        <f t="shared" si="306"/>
        <v>-</v>
      </c>
      <c r="BZ379" s="60"/>
      <c r="CA379" s="174"/>
      <c r="CB379" s="91" t="str">
        <f t="shared" si="269"/>
        <v xml:space="preserve">                                                                                                                                                                                                                                                                                                                                                                                                                </v>
      </c>
      <c r="CC379" s="218" t="str">
        <f t="shared" si="289"/>
        <v>-</v>
      </c>
      <c r="CD379" s="174"/>
      <c r="CE379" s="92" t="str">
        <f t="shared" si="302"/>
        <v>OK</v>
      </c>
      <c r="CF379" s="60"/>
      <c r="CG379" s="174"/>
      <c r="CH379" s="91" t="str">
        <f t="shared" si="270"/>
        <v xml:space="preserve">                                                                                                                                                                                                                                                                                                                                                                                                                </v>
      </c>
      <c r="CI379" s="218" t="str">
        <f t="shared" si="290"/>
        <v>-</v>
      </c>
      <c r="CJ379" s="174"/>
      <c r="CK379" s="92" t="str">
        <f t="shared" si="303"/>
        <v>OK</v>
      </c>
      <c r="CL379" s="60"/>
      <c r="CM379" s="174"/>
      <c r="CN379" s="91" t="str">
        <f t="shared" si="271"/>
        <v xml:space="preserve">                                                                                                                                                                                                                                                                                                                                                                                                                </v>
      </c>
      <c r="CO379" s="218" t="s">
        <v>593</v>
      </c>
      <c r="CP379" s="91"/>
      <c r="CQ379" s="218" t="str">
        <f t="shared" si="307"/>
        <v>-</v>
      </c>
      <c r="CR379" s="60"/>
      <c r="CS379" s="174"/>
      <c r="CT379" s="91" t="str">
        <f t="shared" si="272"/>
        <v xml:space="preserve">                                                                                                                                                                                                                                                                                                                                                                                                                </v>
      </c>
      <c r="CU379" s="218" t="str">
        <f t="shared" si="292"/>
        <v>-</v>
      </c>
      <c r="CV379" s="174"/>
      <c r="CW379" s="92" t="s">
        <v>593</v>
      </c>
      <c r="CX379" s="60"/>
      <c r="CY379" s="174"/>
      <c r="CZ379" s="91" t="str">
        <f t="shared" si="273"/>
        <v xml:space="preserve">                                                                                                                                                                                                                                                                                                                                                                                                                </v>
      </c>
      <c r="DA379" s="218" t="str">
        <f t="shared" si="293"/>
        <v>-</v>
      </c>
      <c r="DB379" s="174"/>
      <c r="DC379" s="92" t="s">
        <v>593</v>
      </c>
    </row>
    <row r="380" spans="2:107" s="26" customFormat="1">
      <c r="B380" s="65">
        <f t="shared" si="283"/>
        <v>373</v>
      </c>
      <c r="C380" s="7"/>
      <c r="D380" s="7"/>
      <c r="E380" s="7"/>
      <c r="F380" s="22" t="s">
        <v>151</v>
      </c>
      <c r="G380" s="16"/>
      <c r="H380" s="13"/>
      <c r="I380" s="8"/>
      <c r="J380" s="8"/>
      <c r="K380" s="8"/>
      <c r="L380" s="8"/>
      <c r="M380" s="11" t="s">
        <v>152</v>
      </c>
      <c r="N380" s="1"/>
      <c r="O380" s="57"/>
      <c r="P380" s="95">
        <f t="shared" si="304"/>
        <v>345</v>
      </c>
      <c r="Q380" s="115">
        <v>400</v>
      </c>
      <c r="R380" s="21" t="str">
        <f t="shared" si="308"/>
        <v>NX</v>
      </c>
      <c r="S380" s="98" t="s">
        <v>153</v>
      </c>
      <c r="T380" s="96"/>
      <c r="U380" s="21" t="s">
        <v>257</v>
      </c>
      <c r="V380" s="10"/>
      <c r="W380" s="25">
        <v>3</v>
      </c>
      <c r="X380" s="1" t="s">
        <v>154</v>
      </c>
      <c r="Y380" s="1">
        <v>1</v>
      </c>
      <c r="Z380" s="1">
        <v>400</v>
      </c>
      <c r="AA380" s="8" t="s">
        <v>129</v>
      </c>
      <c r="AB380" s="8" t="s">
        <v>257</v>
      </c>
      <c r="AC380" s="12"/>
      <c r="AD380" s="60"/>
      <c r="AE380" s="169"/>
      <c r="AF380" s="91" t="str">
        <f t="shared" si="295"/>
        <v xml:space="preserve">                                                                                                                                                                                                                                                                                                                                                                                                                </v>
      </c>
      <c r="AG380" s="218" t="str">
        <f t="shared" si="297"/>
        <v>-</v>
      </c>
      <c r="AH380" s="169"/>
      <c r="AI380" s="92" t="str">
        <f t="shared" si="298"/>
        <v>OK</v>
      </c>
      <c r="AJ380" s="60"/>
      <c r="AK380" s="169"/>
      <c r="AL380" s="91" t="str">
        <f t="shared" si="263"/>
        <v xml:space="preserve">                                                                                                                                                                                                                                                                                                                                                                                                                </v>
      </c>
      <c r="AM380" s="218" t="str">
        <f t="shared" si="284"/>
        <v>-</v>
      </c>
      <c r="AN380" s="169"/>
      <c r="AO380" s="92" t="str">
        <f t="shared" si="299"/>
        <v>OK</v>
      </c>
      <c r="AP380" s="60"/>
      <c r="AQ380" s="172"/>
      <c r="AR380" s="91" t="str">
        <f t="shared" si="264"/>
        <v xml:space="preserve">                                                                                                                                                                                                                                                                                                                                                                                                                </v>
      </c>
      <c r="AS380" s="218" t="s">
        <v>593</v>
      </c>
      <c r="AT380" s="38"/>
      <c r="AU380" s="38"/>
      <c r="AV380" s="60"/>
      <c r="AW380" s="169"/>
      <c r="AX380" s="91" t="str">
        <f t="shared" si="265"/>
        <v xml:space="preserve">                                                                                                                                                                                                                                                                                                                                                                                                                </v>
      </c>
      <c r="AY380" s="218" t="str">
        <f t="shared" si="285"/>
        <v>-</v>
      </c>
      <c r="AZ380" s="169"/>
      <c r="BA380" s="478" t="s">
        <v>594</v>
      </c>
      <c r="BB380" s="60"/>
      <c r="BC380" s="169"/>
      <c r="BD380" s="91" t="str">
        <f t="shared" si="266"/>
        <v xml:space="preserve">                                                                                                                                                                                                                                                                                                                                                                                                                </v>
      </c>
      <c r="BE380" s="218" t="str">
        <f t="shared" si="286"/>
        <v>-</v>
      </c>
      <c r="BF380" s="169"/>
      <c r="BG380" s="92" t="str">
        <f t="shared" si="300"/>
        <v>OK</v>
      </c>
      <c r="BH380" s="60"/>
      <c r="BI380" s="170" t="s">
        <v>703</v>
      </c>
      <c r="BJ380" s="91" t="str">
        <f t="shared" si="305"/>
        <v xml:space="preserve">                                                                                                                                                                                                                                                                                                                                                                                                                </v>
      </c>
      <c r="BK380" s="218" t="s">
        <v>593</v>
      </c>
      <c r="BL380" s="169"/>
      <c r="BM380" s="478" t="s">
        <v>594</v>
      </c>
      <c r="BN380" s="60"/>
      <c r="BO380" s="169"/>
      <c r="BP380" s="91" t="str">
        <f t="shared" si="267"/>
        <v xml:space="preserve">                                                                                                                                                                                                                                                                                                                                                                                                                </v>
      </c>
      <c r="BQ380" s="218" t="str">
        <f t="shared" si="287"/>
        <v>-</v>
      </c>
      <c r="BR380" s="169"/>
      <c r="BS380" s="92" t="str">
        <f t="shared" si="301"/>
        <v>OK</v>
      </c>
      <c r="BT380" s="60"/>
      <c r="BU380" s="172"/>
      <c r="BV380" s="91" t="str">
        <f t="shared" si="268"/>
        <v xml:space="preserve">                                                                                                                                                                                                                                                                                                                                                                                                                </v>
      </c>
      <c r="BW380" s="218" t="s">
        <v>593</v>
      </c>
      <c r="BX380" s="91"/>
      <c r="BY380" s="218" t="str">
        <f t="shared" si="306"/>
        <v>-</v>
      </c>
      <c r="BZ380" s="60"/>
      <c r="CA380" s="169"/>
      <c r="CB380" s="91" t="str">
        <f t="shared" si="269"/>
        <v xml:space="preserve">                                                                                                                                                                                                                                                                                                                                                                                                                </v>
      </c>
      <c r="CC380" s="218" t="str">
        <f t="shared" si="289"/>
        <v>-</v>
      </c>
      <c r="CD380" s="169"/>
      <c r="CE380" s="92" t="str">
        <f t="shared" si="302"/>
        <v>OK</v>
      </c>
      <c r="CF380" s="60"/>
      <c r="CG380" s="169"/>
      <c r="CH380" s="91" t="str">
        <f t="shared" si="270"/>
        <v xml:space="preserve">                                                                                                                                                                                                                                                                                                                                                                                                                </v>
      </c>
      <c r="CI380" s="218" t="str">
        <f t="shared" si="290"/>
        <v>-</v>
      </c>
      <c r="CJ380" s="169"/>
      <c r="CK380" s="92" t="str">
        <f t="shared" si="303"/>
        <v>OK</v>
      </c>
      <c r="CL380" s="60"/>
      <c r="CM380" s="169"/>
      <c r="CN380" s="91" t="str">
        <f t="shared" si="271"/>
        <v xml:space="preserve">                                                                                                                                                                                                                                                                                                                                                                                                                </v>
      </c>
      <c r="CO380" s="218" t="s">
        <v>593</v>
      </c>
      <c r="CP380" s="91"/>
      <c r="CQ380" s="218" t="str">
        <f t="shared" si="307"/>
        <v>-</v>
      </c>
      <c r="CR380" s="60"/>
      <c r="CS380" s="169"/>
      <c r="CT380" s="91" t="str">
        <f t="shared" si="272"/>
        <v xml:space="preserve">                                                                                                                                                                                                                                                                                                                                                                                                                </v>
      </c>
      <c r="CU380" s="218" t="str">
        <f t="shared" si="292"/>
        <v>-</v>
      </c>
      <c r="CV380" s="169"/>
      <c r="CW380" s="92" t="s">
        <v>593</v>
      </c>
      <c r="CX380" s="60"/>
      <c r="CY380" s="169"/>
      <c r="CZ380" s="91" t="str">
        <f t="shared" si="273"/>
        <v xml:space="preserve">                                                                                                                                                                                                                                                                                                                                                                                                                </v>
      </c>
      <c r="DA380" s="218" t="str">
        <f t="shared" si="293"/>
        <v>-</v>
      </c>
      <c r="DB380" s="169"/>
      <c r="DC380" s="92" t="s">
        <v>593</v>
      </c>
    </row>
    <row r="381" spans="2:107" s="26" customFormat="1" ht="76.5">
      <c r="B381" s="65">
        <f t="shared" si="283"/>
        <v>374</v>
      </c>
      <c r="C381" s="7"/>
      <c r="D381" s="7"/>
      <c r="E381" s="7"/>
      <c r="F381" s="22" t="s">
        <v>155</v>
      </c>
      <c r="G381" s="16"/>
      <c r="H381" s="13"/>
      <c r="I381" s="8"/>
      <c r="J381" s="8"/>
      <c r="K381" s="8"/>
      <c r="L381" s="8"/>
      <c r="M381" s="11" t="s">
        <v>449</v>
      </c>
      <c r="N381" s="1"/>
      <c r="O381" s="57"/>
      <c r="P381" s="95">
        <f t="shared" si="304"/>
        <v>346</v>
      </c>
      <c r="Q381" s="115">
        <v>400</v>
      </c>
      <c r="R381" s="21" t="str">
        <f t="shared" si="308"/>
        <v>NX</v>
      </c>
      <c r="S381" s="98" t="s">
        <v>156</v>
      </c>
      <c r="T381" s="96"/>
      <c r="U381" s="21" t="s">
        <v>257</v>
      </c>
      <c r="V381" s="10"/>
      <c r="W381" s="25">
        <v>3</v>
      </c>
      <c r="X381" s="1" t="s">
        <v>157</v>
      </c>
      <c r="Y381" s="1">
        <v>1</v>
      </c>
      <c r="Z381" s="1">
        <v>400</v>
      </c>
      <c r="AA381" s="8" t="s">
        <v>129</v>
      </c>
      <c r="AB381" s="8" t="s">
        <v>257</v>
      </c>
      <c r="AC381" s="12"/>
      <c r="AD381" s="60"/>
      <c r="AE381" s="169"/>
      <c r="AF381" s="91" t="str">
        <f t="shared" si="295"/>
        <v xml:space="preserve">                                                                                                                                                                                                                                                                                                                                                                                                                </v>
      </c>
      <c r="AG381" s="218" t="str">
        <f t="shared" si="297"/>
        <v>-</v>
      </c>
      <c r="AH381" s="169"/>
      <c r="AI381" s="92" t="str">
        <f t="shared" si="298"/>
        <v>OK</v>
      </c>
      <c r="AJ381" s="60"/>
      <c r="AK381" s="169"/>
      <c r="AL381" s="91" t="str">
        <f t="shared" si="263"/>
        <v xml:space="preserve">                                                                                                                                                                                                                                                                                                                                                                                                                </v>
      </c>
      <c r="AM381" s="218" t="str">
        <f t="shared" si="284"/>
        <v>-</v>
      </c>
      <c r="AN381" s="169"/>
      <c r="AO381" s="92" t="str">
        <f t="shared" si="299"/>
        <v>OK</v>
      </c>
      <c r="AP381" s="60"/>
      <c r="AQ381" s="172"/>
      <c r="AR381" s="91" t="str">
        <f t="shared" si="264"/>
        <v xml:space="preserve">                                                                                                                                                                                                                                                                                                                                                                                                                </v>
      </c>
      <c r="AS381" s="218" t="s">
        <v>593</v>
      </c>
      <c r="AT381" s="38"/>
      <c r="AU381" s="38"/>
      <c r="AV381" s="60"/>
      <c r="AW381" s="169"/>
      <c r="AX381" s="91" t="str">
        <f t="shared" si="265"/>
        <v xml:space="preserve">                                                                                                                                                                                                                                                                                                                                                                                                                </v>
      </c>
      <c r="AY381" s="218" t="str">
        <f t="shared" si="285"/>
        <v>-</v>
      </c>
      <c r="AZ381" s="169"/>
      <c r="BA381" s="478" t="s">
        <v>594</v>
      </c>
      <c r="BB381" s="60"/>
      <c r="BC381" s="169"/>
      <c r="BD381" s="91" t="str">
        <f t="shared" si="266"/>
        <v xml:space="preserve">                                                                                                                                                                                                                                                                                                                                                                                                                </v>
      </c>
      <c r="BE381" s="218" t="str">
        <f t="shared" si="286"/>
        <v>-</v>
      </c>
      <c r="BF381" s="169"/>
      <c r="BG381" s="92" t="str">
        <f t="shared" si="300"/>
        <v>OK</v>
      </c>
      <c r="BH381" s="60"/>
      <c r="BI381" s="170" t="s">
        <v>703</v>
      </c>
      <c r="BJ381" s="91" t="str">
        <f t="shared" si="305"/>
        <v xml:space="preserve">                                                                                                                                                                                                                                                                                                                                                                                                                </v>
      </c>
      <c r="BK381" s="218" t="s">
        <v>593</v>
      </c>
      <c r="BL381" s="169"/>
      <c r="BM381" s="478" t="s">
        <v>594</v>
      </c>
      <c r="BN381" s="60"/>
      <c r="BO381" s="169"/>
      <c r="BP381" s="91" t="str">
        <f t="shared" si="267"/>
        <v xml:space="preserve">                                                                                                                                                                                                                                                                                                                                                                                                                </v>
      </c>
      <c r="BQ381" s="218" t="str">
        <f t="shared" si="287"/>
        <v>-</v>
      </c>
      <c r="BR381" s="169"/>
      <c r="BS381" s="92" t="str">
        <f t="shared" si="301"/>
        <v>OK</v>
      </c>
      <c r="BT381" s="60"/>
      <c r="BU381" s="172"/>
      <c r="BV381" s="91" t="str">
        <f t="shared" si="268"/>
        <v xml:space="preserve">                                                                                                                                                                                                                                                                                                                                                                                                                </v>
      </c>
      <c r="BW381" s="218" t="s">
        <v>593</v>
      </c>
      <c r="BX381" s="91"/>
      <c r="BY381" s="218" t="str">
        <f t="shared" si="306"/>
        <v>-</v>
      </c>
      <c r="BZ381" s="60"/>
      <c r="CA381" s="169"/>
      <c r="CB381" s="91" t="str">
        <f t="shared" si="269"/>
        <v xml:space="preserve">                                                                                                                                                                                                                                                                                                                                                                                                                </v>
      </c>
      <c r="CC381" s="218" t="str">
        <f t="shared" si="289"/>
        <v>-</v>
      </c>
      <c r="CD381" s="169"/>
      <c r="CE381" s="92" t="str">
        <f t="shared" si="302"/>
        <v>OK</v>
      </c>
      <c r="CF381" s="60"/>
      <c r="CG381" s="169"/>
      <c r="CH381" s="91" t="str">
        <f t="shared" si="270"/>
        <v xml:space="preserve">                                                                                                                                                                                                                                                                                                                                                                                                                </v>
      </c>
      <c r="CI381" s="218" t="str">
        <f t="shared" si="290"/>
        <v>-</v>
      </c>
      <c r="CJ381" s="169"/>
      <c r="CK381" s="92" t="str">
        <f t="shared" si="303"/>
        <v>OK</v>
      </c>
      <c r="CL381" s="60"/>
      <c r="CM381" s="169"/>
      <c r="CN381" s="91" t="str">
        <f t="shared" si="271"/>
        <v xml:space="preserve">                                                                                                                                                                                                                                                                                                                                                                                                                </v>
      </c>
      <c r="CO381" s="218" t="s">
        <v>593</v>
      </c>
      <c r="CP381" s="91"/>
      <c r="CQ381" s="218" t="str">
        <f t="shared" si="307"/>
        <v>-</v>
      </c>
      <c r="CR381" s="60"/>
      <c r="CS381" s="169"/>
      <c r="CT381" s="91" t="str">
        <f t="shared" si="272"/>
        <v xml:space="preserve">                                                                                                                                                                                                                                                                                                                                                                                                                </v>
      </c>
      <c r="CU381" s="218" t="str">
        <f t="shared" si="292"/>
        <v>-</v>
      </c>
      <c r="CV381" s="169"/>
      <c r="CW381" s="92" t="s">
        <v>593</v>
      </c>
      <c r="CX381" s="60"/>
      <c r="CY381" s="169"/>
      <c r="CZ381" s="91" t="str">
        <f t="shared" si="273"/>
        <v xml:space="preserve">                                                                                                                                                                                                                                                                                                                                                                                                                </v>
      </c>
      <c r="DA381" s="218" t="str">
        <f t="shared" si="293"/>
        <v>-</v>
      </c>
      <c r="DB381" s="169"/>
      <c r="DC381" s="92" t="s">
        <v>593</v>
      </c>
    </row>
    <row r="382" spans="2:107" s="26" customFormat="1">
      <c r="B382" s="65">
        <f t="shared" si="283"/>
        <v>375</v>
      </c>
      <c r="C382" s="7"/>
      <c r="D382" s="7"/>
      <c r="E382" s="7"/>
      <c r="F382" s="22" t="s">
        <v>158</v>
      </c>
      <c r="G382" s="16"/>
      <c r="H382" s="13"/>
      <c r="I382" s="8"/>
      <c r="J382" s="8"/>
      <c r="K382" s="8"/>
      <c r="L382" s="8"/>
      <c r="M382" s="11" t="s">
        <v>152</v>
      </c>
      <c r="N382" s="1"/>
      <c r="O382" s="57"/>
      <c r="P382" s="95">
        <f t="shared" si="304"/>
        <v>347</v>
      </c>
      <c r="Q382" s="115">
        <v>400</v>
      </c>
      <c r="R382" s="21" t="str">
        <f t="shared" si="308"/>
        <v>NX</v>
      </c>
      <c r="S382" s="98" t="s">
        <v>159</v>
      </c>
      <c r="T382" s="96"/>
      <c r="U382" s="21" t="s">
        <v>257</v>
      </c>
      <c r="V382" s="10"/>
      <c r="W382" s="25">
        <v>3</v>
      </c>
      <c r="X382" s="1" t="s">
        <v>160</v>
      </c>
      <c r="Y382" s="1">
        <v>1</v>
      </c>
      <c r="Z382" s="1">
        <v>400</v>
      </c>
      <c r="AA382" s="8" t="s">
        <v>129</v>
      </c>
      <c r="AB382" s="8" t="s">
        <v>257</v>
      </c>
      <c r="AC382" s="12"/>
      <c r="AD382" s="60"/>
      <c r="AE382" s="169"/>
      <c r="AF382" s="91" t="str">
        <f t="shared" si="295"/>
        <v xml:space="preserve">                                                                                                                                                                                                                                                                                                                                                                                                                </v>
      </c>
      <c r="AG382" s="218" t="str">
        <f t="shared" si="297"/>
        <v>-</v>
      </c>
      <c r="AH382" s="169"/>
      <c r="AI382" s="92" t="str">
        <f t="shared" si="298"/>
        <v>OK</v>
      </c>
      <c r="AJ382" s="60"/>
      <c r="AK382" s="169"/>
      <c r="AL382" s="91" t="str">
        <f t="shared" si="263"/>
        <v xml:space="preserve">                                                                                                                                                                                                                                                                                                                                                                                                                </v>
      </c>
      <c r="AM382" s="218" t="str">
        <f t="shared" si="284"/>
        <v>-</v>
      </c>
      <c r="AN382" s="169"/>
      <c r="AO382" s="92" t="str">
        <f t="shared" si="299"/>
        <v>OK</v>
      </c>
      <c r="AP382" s="60"/>
      <c r="AQ382" s="172"/>
      <c r="AR382" s="91" t="str">
        <f t="shared" si="264"/>
        <v xml:space="preserve">                                                                                                                                                                                                                                                                                                                                                                                                                </v>
      </c>
      <c r="AS382" s="218" t="s">
        <v>593</v>
      </c>
      <c r="AT382" s="38"/>
      <c r="AU382" s="38"/>
      <c r="AV382" s="60"/>
      <c r="AW382" s="169"/>
      <c r="AX382" s="91" t="str">
        <f t="shared" si="265"/>
        <v xml:space="preserve">                                                                                                                                                                                                                                                                                                                                                                                                                </v>
      </c>
      <c r="AY382" s="218" t="str">
        <f t="shared" si="285"/>
        <v>-</v>
      </c>
      <c r="AZ382" s="169"/>
      <c r="BA382" s="478" t="s">
        <v>594</v>
      </c>
      <c r="BB382" s="60"/>
      <c r="BC382" s="169"/>
      <c r="BD382" s="91" t="str">
        <f t="shared" si="266"/>
        <v xml:space="preserve">                                                                                                                                                                                                                                                                                                                                                                                                                </v>
      </c>
      <c r="BE382" s="218" t="str">
        <f t="shared" si="286"/>
        <v>-</v>
      </c>
      <c r="BF382" s="169"/>
      <c r="BG382" s="92" t="str">
        <f t="shared" si="300"/>
        <v>OK</v>
      </c>
      <c r="BH382" s="60"/>
      <c r="BI382" s="170" t="s">
        <v>703</v>
      </c>
      <c r="BJ382" s="91" t="str">
        <f t="shared" si="305"/>
        <v xml:space="preserve">                                                                                                                                                                                                                                                                                                                                                                                                                </v>
      </c>
      <c r="BK382" s="218" t="s">
        <v>593</v>
      </c>
      <c r="BL382" s="169"/>
      <c r="BM382" s="478" t="s">
        <v>594</v>
      </c>
      <c r="BN382" s="60"/>
      <c r="BO382" s="169"/>
      <c r="BP382" s="91" t="str">
        <f t="shared" si="267"/>
        <v xml:space="preserve">                                                                                                                                                                                                                                                                                                                                                                                                                </v>
      </c>
      <c r="BQ382" s="218" t="str">
        <f t="shared" si="287"/>
        <v>-</v>
      </c>
      <c r="BR382" s="169"/>
      <c r="BS382" s="92" t="str">
        <f t="shared" si="301"/>
        <v>OK</v>
      </c>
      <c r="BT382" s="60"/>
      <c r="BU382" s="172"/>
      <c r="BV382" s="91" t="str">
        <f t="shared" si="268"/>
        <v xml:space="preserve">                                                                                                                                                                                                                                                                                                                                                                                                                </v>
      </c>
      <c r="BW382" s="218" t="s">
        <v>593</v>
      </c>
      <c r="BX382" s="91"/>
      <c r="BY382" s="218" t="str">
        <f t="shared" si="306"/>
        <v>-</v>
      </c>
      <c r="BZ382" s="60"/>
      <c r="CA382" s="169"/>
      <c r="CB382" s="91" t="str">
        <f t="shared" si="269"/>
        <v xml:space="preserve">                                                                                                                                                                                                                                                                                                                                                                                                                </v>
      </c>
      <c r="CC382" s="218" t="str">
        <f t="shared" si="289"/>
        <v>-</v>
      </c>
      <c r="CD382" s="169"/>
      <c r="CE382" s="92" t="str">
        <f t="shared" si="302"/>
        <v>OK</v>
      </c>
      <c r="CF382" s="60"/>
      <c r="CG382" s="169"/>
      <c r="CH382" s="91" t="str">
        <f t="shared" si="270"/>
        <v xml:space="preserve">                                                                                                                                                                                                                                                                                                                                                                                                                </v>
      </c>
      <c r="CI382" s="218" t="str">
        <f t="shared" si="290"/>
        <v>-</v>
      </c>
      <c r="CJ382" s="169"/>
      <c r="CK382" s="92" t="str">
        <f t="shared" si="303"/>
        <v>OK</v>
      </c>
      <c r="CL382" s="60"/>
      <c r="CM382" s="169"/>
      <c r="CN382" s="91" t="str">
        <f t="shared" si="271"/>
        <v xml:space="preserve">                                                                                                                                                                                                                                                                                                                                                                                                                </v>
      </c>
      <c r="CO382" s="218" t="s">
        <v>593</v>
      </c>
      <c r="CP382" s="91"/>
      <c r="CQ382" s="218" t="str">
        <f t="shared" si="307"/>
        <v>-</v>
      </c>
      <c r="CR382" s="60"/>
      <c r="CS382" s="169"/>
      <c r="CT382" s="91" t="str">
        <f t="shared" si="272"/>
        <v xml:space="preserve">                                                                                                                                                                                                                                                                                                                                                                                                                </v>
      </c>
      <c r="CU382" s="218" t="str">
        <f t="shared" si="292"/>
        <v>-</v>
      </c>
      <c r="CV382" s="169"/>
      <c r="CW382" s="92" t="s">
        <v>593</v>
      </c>
      <c r="CX382" s="60"/>
      <c r="CY382" s="169"/>
      <c r="CZ382" s="91" t="str">
        <f t="shared" si="273"/>
        <v xml:space="preserve">                                                                                                                                                                                                                                                                                                                                                                                                                </v>
      </c>
      <c r="DA382" s="218" t="str">
        <f t="shared" si="293"/>
        <v>-</v>
      </c>
      <c r="DB382" s="169"/>
      <c r="DC382" s="92" t="s">
        <v>593</v>
      </c>
    </row>
    <row r="383" spans="2:107" s="26" customFormat="1">
      <c r="B383" s="65">
        <f t="shared" si="283"/>
        <v>376</v>
      </c>
      <c r="C383" s="7"/>
      <c r="D383" s="7"/>
      <c r="E383" s="7"/>
      <c r="F383" s="22" t="s">
        <v>161</v>
      </c>
      <c r="G383" s="16"/>
      <c r="H383" s="13"/>
      <c r="I383" s="8"/>
      <c r="J383" s="8"/>
      <c r="K383" s="8"/>
      <c r="L383" s="8"/>
      <c r="M383" s="11" t="s">
        <v>152</v>
      </c>
      <c r="N383" s="1"/>
      <c r="O383" s="57"/>
      <c r="P383" s="95">
        <f t="shared" si="304"/>
        <v>348</v>
      </c>
      <c r="Q383" s="115">
        <v>400</v>
      </c>
      <c r="R383" s="21" t="str">
        <f t="shared" si="308"/>
        <v>NX</v>
      </c>
      <c r="S383" s="98" t="s">
        <v>162</v>
      </c>
      <c r="T383" s="96"/>
      <c r="U383" s="21" t="s">
        <v>257</v>
      </c>
      <c r="V383" s="10"/>
      <c r="W383" s="25">
        <v>3</v>
      </c>
      <c r="X383" s="1" t="s">
        <v>163</v>
      </c>
      <c r="Y383" s="1">
        <v>1</v>
      </c>
      <c r="Z383" s="1">
        <v>400</v>
      </c>
      <c r="AA383" s="8" t="s">
        <v>129</v>
      </c>
      <c r="AB383" s="8" t="s">
        <v>257</v>
      </c>
      <c r="AC383" s="12"/>
      <c r="AD383" s="60"/>
      <c r="AE383" s="169"/>
      <c r="AF383" s="91" t="str">
        <f t="shared" si="295"/>
        <v xml:space="preserve">                                                                                                                                                                                                                                                                                                                                                                                                                </v>
      </c>
      <c r="AG383" s="218" t="str">
        <f t="shared" si="297"/>
        <v>-</v>
      </c>
      <c r="AH383" s="169"/>
      <c r="AI383" s="92" t="str">
        <f t="shared" si="298"/>
        <v>OK</v>
      </c>
      <c r="AJ383" s="60"/>
      <c r="AK383" s="169"/>
      <c r="AL383" s="91" t="str">
        <f t="shared" si="263"/>
        <v xml:space="preserve">                                                                                                                                                                                                                                                                                                                                                                                                                </v>
      </c>
      <c r="AM383" s="218" t="str">
        <f t="shared" si="284"/>
        <v>-</v>
      </c>
      <c r="AN383" s="169"/>
      <c r="AO383" s="92" t="str">
        <f t="shared" si="299"/>
        <v>OK</v>
      </c>
      <c r="AP383" s="60"/>
      <c r="AQ383" s="172"/>
      <c r="AR383" s="91" t="str">
        <f t="shared" si="264"/>
        <v xml:space="preserve">                                                                                                                                                                                                                                                                                                                                                                                                                </v>
      </c>
      <c r="AS383" s="218" t="s">
        <v>593</v>
      </c>
      <c r="AT383" s="38"/>
      <c r="AU383" s="38"/>
      <c r="AV383" s="60"/>
      <c r="AW383" s="169"/>
      <c r="AX383" s="91" t="str">
        <f t="shared" si="265"/>
        <v xml:space="preserve">                                                                                                                                                                                                                                                                                                                                                                                                                </v>
      </c>
      <c r="AY383" s="218" t="str">
        <f t="shared" si="285"/>
        <v>-</v>
      </c>
      <c r="AZ383" s="169"/>
      <c r="BA383" s="478" t="s">
        <v>594</v>
      </c>
      <c r="BB383" s="60"/>
      <c r="BC383" s="169"/>
      <c r="BD383" s="91" t="str">
        <f t="shared" si="266"/>
        <v xml:space="preserve">                                                                                                                                                                                                                                                                                                                                                                                                                </v>
      </c>
      <c r="BE383" s="218" t="str">
        <f t="shared" si="286"/>
        <v>-</v>
      </c>
      <c r="BF383" s="169"/>
      <c r="BG383" s="92" t="str">
        <f t="shared" si="300"/>
        <v>OK</v>
      </c>
      <c r="BH383" s="60"/>
      <c r="BI383" s="170" t="s">
        <v>703</v>
      </c>
      <c r="BJ383" s="91" t="str">
        <f t="shared" si="305"/>
        <v xml:space="preserve">                                                                                                                                                                                                                                                                                                                                                                                                                </v>
      </c>
      <c r="BK383" s="218" t="s">
        <v>593</v>
      </c>
      <c r="BL383" s="169"/>
      <c r="BM383" s="478" t="s">
        <v>594</v>
      </c>
      <c r="BN383" s="60"/>
      <c r="BO383" s="169"/>
      <c r="BP383" s="91" t="str">
        <f t="shared" si="267"/>
        <v xml:space="preserve">                                                                                                                                                                                                                                                                                                                                                                                                                </v>
      </c>
      <c r="BQ383" s="218" t="str">
        <f t="shared" si="287"/>
        <v>-</v>
      </c>
      <c r="BR383" s="169"/>
      <c r="BS383" s="92" t="str">
        <f t="shared" si="301"/>
        <v>OK</v>
      </c>
      <c r="BT383" s="60"/>
      <c r="BU383" s="172"/>
      <c r="BV383" s="91" t="str">
        <f t="shared" si="268"/>
        <v xml:space="preserve">                                                                                                                                                                                                                                                                                                                                                                                                                </v>
      </c>
      <c r="BW383" s="218" t="s">
        <v>593</v>
      </c>
      <c r="BX383" s="91"/>
      <c r="BY383" s="218" t="str">
        <f t="shared" si="306"/>
        <v>-</v>
      </c>
      <c r="BZ383" s="60"/>
      <c r="CA383" s="169"/>
      <c r="CB383" s="91" t="str">
        <f t="shared" si="269"/>
        <v xml:space="preserve">                                                                                                                                                                                                                                                                                                                                                                                                                </v>
      </c>
      <c r="CC383" s="218" t="str">
        <f t="shared" si="289"/>
        <v>-</v>
      </c>
      <c r="CD383" s="169"/>
      <c r="CE383" s="92" t="str">
        <f t="shared" si="302"/>
        <v>OK</v>
      </c>
      <c r="CF383" s="60"/>
      <c r="CG383" s="169"/>
      <c r="CH383" s="91" t="str">
        <f t="shared" si="270"/>
        <v xml:space="preserve">                                                                                                                                                                                                                                                                                                                                                                                                                </v>
      </c>
      <c r="CI383" s="218" t="str">
        <f t="shared" si="290"/>
        <v>-</v>
      </c>
      <c r="CJ383" s="169"/>
      <c r="CK383" s="92" t="str">
        <f t="shared" si="303"/>
        <v>OK</v>
      </c>
      <c r="CL383" s="60"/>
      <c r="CM383" s="169"/>
      <c r="CN383" s="91" t="str">
        <f t="shared" si="271"/>
        <v xml:space="preserve">                                                                                                                                                                                                                                                                                                                                                                                                                </v>
      </c>
      <c r="CO383" s="218" t="s">
        <v>593</v>
      </c>
      <c r="CP383" s="91"/>
      <c r="CQ383" s="218" t="str">
        <f t="shared" si="307"/>
        <v>-</v>
      </c>
      <c r="CR383" s="60"/>
      <c r="CS383" s="169"/>
      <c r="CT383" s="91" t="str">
        <f t="shared" si="272"/>
        <v xml:space="preserve">                                                                                                                                                                                                                                                                                                                                                                                                                </v>
      </c>
      <c r="CU383" s="218" t="str">
        <f t="shared" si="292"/>
        <v>-</v>
      </c>
      <c r="CV383" s="169"/>
      <c r="CW383" s="92" t="s">
        <v>593</v>
      </c>
      <c r="CX383" s="60"/>
      <c r="CY383" s="169"/>
      <c r="CZ383" s="91" t="str">
        <f t="shared" si="273"/>
        <v xml:space="preserve">                                                                                                                                                                                                                                                                                                                                                                                                                </v>
      </c>
      <c r="DA383" s="218" t="str">
        <f t="shared" si="293"/>
        <v>-</v>
      </c>
      <c r="DB383" s="169"/>
      <c r="DC383" s="92" t="s">
        <v>593</v>
      </c>
    </row>
    <row r="384" spans="2:107" s="26" customFormat="1" ht="89.25">
      <c r="B384" s="65">
        <f t="shared" si="283"/>
        <v>377</v>
      </c>
      <c r="C384" s="7"/>
      <c r="D384" s="7"/>
      <c r="E384" s="7"/>
      <c r="F384" s="22" t="s">
        <v>164</v>
      </c>
      <c r="G384" s="16"/>
      <c r="H384" s="13"/>
      <c r="I384" s="8"/>
      <c r="J384" s="8"/>
      <c r="K384" s="8"/>
      <c r="L384" s="8"/>
      <c r="M384" s="11" t="s">
        <v>450</v>
      </c>
      <c r="N384" s="1"/>
      <c r="O384" s="57"/>
      <c r="P384" s="95">
        <f t="shared" si="304"/>
        <v>349</v>
      </c>
      <c r="Q384" s="115">
        <v>1</v>
      </c>
      <c r="R384" s="21" t="str">
        <f t="shared" si="308"/>
        <v>X</v>
      </c>
      <c r="S384" s="98" t="s">
        <v>165</v>
      </c>
      <c r="T384" s="96"/>
      <c r="U384" s="21" t="s">
        <v>257</v>
      </c>
      <c r="V384" s="10"/>
      <c r="W384" s="25">
        <v>3</v>
      </c>
      <c r="X384" s="1" t="s">
        <v>303</v>
      </c>
      <c r="Y384" s="1">
        <v>1</v>
      </c>
      <c r="Z384" s="1">
        <v>1</v>
      </c>
      <c r="AA384" s="8" t="s">
        <v>114</v>
      </c>
      <c r="AB384" s="8" t="s">
        <v>21</v>
      </c>
      <c r="AC384" s="104"/>
      <c r="AD384" s="60"/>
      <c r="AE384" s="174"/>
      <c r="AF384" s="61" t="str">
        <f t="shared" si="295"/>
        <v xml:space="preserve"> </v>
      </c>
      <c r="AG384" s="218" t="str">
        <f t="shared" si="297"/>
        <v>-</v>
      </c>
      <c r="AH384" s="174"/>
      <c r="AI384" s="92" t="str">
        <f t="shared" si="298"/>
        <v>OK</v>
      </c>
      <c r="AJ384" s="60"/>
      <c r="AK384" s="174"/>
      <c r="AL384" s="61" t="str">
        <f t="shared" si="263"/>
        <v xml:space="preserve"> </v>
      </c>
      <c r="AM384" s="218" t="str">
        <f t="shared" si="284"/>
        <v>-</v>
      </c>
      <c r="AN384" s="174"/>
      <c r="AO384" s="92" t="str">
        <f t="shared" si="299"/>
        <v>OK</v>
      </c>
      <c r="AP384" s="60"/>
      <c r="AQ384" s="170"/>
      <c r="AR384" s="61" t="str">
        <f t="shared" si="264"/>
        <v xml:space="preserve"> </v>
      </c>
      <c r="AS384" s="218" t="s">
        <v>593</v>
      </c>
      <c r="AT384" s="38"/>
      <c r="AU384" s="38"/>
      <c r="AV384" s="60"/>
      <c r="AW384" s="174"/>
      <c r="AX384" s="61" t="str">
        <f t="shared" si="265"/>
        <v xml:space="preserve"> </v>
      </c>
      <c r="AY384" s="218" t="str">
        <f t="shared" si="285"/>
        <v>-</v>
      </c>
      <c r="AZ384" s="174"/>
      <c r="BA384" s="478" t="s">
        <v>594</v>
      </c>
      <c r="BB384" s="60"/>
      <c r="BC384" s="174"/>
      <c r="BD384" s="61" t="str">
        <f t="shared" si="266"/>
        <v xml:space="preserve"> </v>
      </c>
      <c r="BE384" s="218" t="str">
        <f t="shared" si="286"/>
        <v>-</v>
      </c>
      <c r="BF384" s="174"/>
      <c r="BG384" s="92" t="str">
        <f t="shared" si="300"/>
        <v>OK</v>
      </c>
      <c r="BH384" s="60"/>
      <c r="BI384" s="170" t="s">
        <v>38</v>
      </c>
      <c r="BJ384" s="61" t="str">
        <f t="shared" si="305"/>
        <v xml:space="preserve"> </v>
      </c>
      <c r="BK384" s="218" t="s">
        <v>593</v>
      </c>
      <c r="BL384" s="174"/>
      <c r="BM384" s="478" t="s">
        <v>594</v>
      </c>
      <c r="BN384" s="60"/>
      <c r="BO384" s="174"/>
      <c r="BP384" s="61" t="str">
        <f t="shared" si="267"/>
        <v xml:space="preserve"> </v>
      </c>
      <c r="BQ384" s="218" t="str">
        <f t="shared" si="287"/>
        <v>-</v>
      </c>
      <c r="BR384" s="174"/>
      <c r="BS384" s="92" t="str">
        <f t="shared" si="301"/>
        <v>OK</v>
      </c>
      <c r="BT384" s="60"/>
      <c r="BU384" s="170"/>
      <c r="BV384" s="61" t="str">
        <f t="shared" si="268"/>
        <v xml:space="preserve"> </v>
      </c>
      <c r="BW384" s="218" t="s">
        <v>593</v>
      </c>
      <c r="BX384" s="61"/>
      <c r="BY384" s="218" t="str">
        <f t="shared" si="306"/>
        <v>-</v>
      </c>
      <c r="BZ384" s="60"/>
      <c r="CA384" s="174"/>
      <c r="CB384" s="61" t="str">
        <f t="shared" si="269"/>
        <v xml:space="preserve"> </v>
      </c>
      <c r="CC384" s="218" t="str">
        <f t="shared" si="289"/>
        <v>-</v>
      </c>
      <c r="CD384" s="174"/>
      <c r="CE384" s="92" t="str">
        <f t="shared" si="302"/>
        <v>OK</v>
      </c>
      <c r="CF384" s="60"/>
      <c r="CG384" s="174"/>
      <c r="CH384" s="61" t="str">
        <f t="shared" si="270"/>
        <v xml:space="preserve"> </v>
      </c>
      <c r="CI384" s="218" t="str">
        <f t="shared" si="290"/>
        <v>-</v>
      </c>
      <c r="CJ384" s="174"/>
      <c r="CK384" s="92" t="str">
        <f t="shared" si="303"/>
        <v>OK</v>
      </c>
      <c r="CL384" s="60"/>
      <c r="CM384" s="174"/>
      <c r="CN384" s="61" t="str">
        <f t="shared" si="271"/>
        <v xml:space="preserve"> </v>
      </c>
      <c r="CO384" s="218" t="s">
        <v>593</v>
      </c>
      <c r="CP384" s="61"/>
      <c r="CQ384" s="218" t="str">
        <f t="shared" si="307"/>
        <v>-</v>
      </c>
      <c r="CR384" s="60"/>
      <c r="CS384" s="174"/>
      <c r="CT384" s="61" t="str">
        <f t="shared" si="272"/>
        <v xml:space="preserve"> </v>
      </c>
      <c r="CU384" s="218" t="str">
        <f t="shared" si="292"/>
        <v>-</v>
      </c>
      <c r="CV384" s="174"/>
      <c r="CW384" s="92" t="s">
        <v>593</v>
      </c>
      <c r="CX384" s="60"/>
      <c r="CY384" s="174"/>
      <c r="CZ384" s="61" t="str">
        <f t="shared" si="273"/>
        <v xml:space="preserve"> </v>
      </c>
      <c r="DA384" s="218" t="str">
        <f t="shared" si="293"/>
        <v>-</v>
      </c>
      <c r="DB384" s="174"/>
      <c r="DC384" s="92" t="s">
        <v>593</v>
      </c>
    </row>
    <row r="385" spans="1:107" s="26" customFormat="1">
      <c r="B385" s="65">
        <f t="shared" si="283"/>
        <v>378</v>
      </c>
      <c r="C385" s="7"/>
      <c r="D385" s="7"/>
      <c r="E385" s="7"/>
      <c r="F385" s="22" t="s">
        <v>166</v>
      </c>
      <c r="G385" s="16"/>
      <c r="H385" s="13"/>
      <c r="I385" s="8"/>
      <c r="J385" s="8"/>
      <c r="K385" s="8"/>
      <c r="L385" s="8"/>
      <c r="M385" s="11"/>
      <c r="N385" s="1"/>
      <c r="O385" s="57"/>
      <c r="P385" s="95">
        <f t="shared" si="304"/>
        <v>350</v>
      </c>
      <c r="Q385" s="115">
        <v>128</v>
      </c>
      <c r="R385" s="21" t="str">
        <f t="shared" si="308"/>
        <v>X</v>
      </c>
      <c r="S385" s="98" t="s">
        <v>167</v>
      </c>
      <c r="T385" s="96"/>
      <c r="U385" s="21" t="s">
        <v>257</v>
      </c>
      <c r="V385" s="10"/>
      <c r="W385" s="25">
        <v>3</v>
      </c>
      <c r="X385" s="1" t="s">
        <v>304</v>
      </c>
      <c r="Y385" s="1">
        <v>1</v>
      </c>
      <c r="Z385" s="1">
        <v>128</v>
      </c>
      <c r="AA385" s="8" t="s">
        <v>114</v>
      </c>
      <c r="AB385" s="8" t="s">
        <v>21</v>
      </c>
      <c r="AC385" s="12"/>
      <c r="AD385" s="60"/>
      <c r="AE385" s="169"/>
      <c r="AF385" s="61" t="str">
        <f t="shared" si="295"/>
        <v xml:space="preserve">                                                                                                                                </v>
      </c>
      <c r="AG385" s="218" t="str">
        <f t="shared" si="297"/>
        <v>-</v>
      </c>
      <c r="AH385" s="169"/>
      <c r="AI385" s="92" t="str">
        <f t="shared" si="298"/>
        <v>OK</v>
      </c>
      <c r="AJ385" s="60"/>
      <c r="AK385" s="169"/>
      <c r="AL385" s="61" t="str">
        <f t="shared" si="263"/>
        <v xml:space="preserve">                                                                                                                                </v>
      </c>
      <c r="AM385" s="218" t="str">
        <f t="shared" si="284"/>
        <v>-</v>
      </c>
      <c r="AN385" s="169"/>
      <c r="AO385" s="92" t="str">
        <f t="shared" si="299"/>
        <v>OK</v>
      </c>
      <c r="AP385" s="60"/>
      <c r="AQ385" s="172"/>
      <c r="AR385" s="61" t="str">
        <f t="shared" si="264"/>
        <v xml:space="preserve">                                                                                                                                </v>
      </c>
      <c r="AS385" s="218" t="s">
        <v>593</v>
      </c>
      <c r="AT385" s="38"/>
      <c r="AU385" s="38"/>
      <c r="AV385" s="60"/>
      <c r="AW385" s="169"/>
      <c r="AX385" s="61" t="str">
        <f t="shared" si="265"/>
        <v xml:space="preserve">                                                                                                                                </v>
      </c>
      <c r="AY385" s="218" t="str">
        <f t="shared" si="285"/>
        <v>-</v>
      </c>
      <c r="AZ385" s="169"/>
      <c r="BA385" s="478" t="s">
        <v>594</v>
      </c>
      <c r="BB385" s="60"/>
      <c r="BC385" s="169"/>
      <c r="BD385" s="61" t="str">
        <f t="shared" si="266"/>
        <v xml:space="preserve">                                                                                                                                </v>
      </c>
      <c r="BE385" s="218" t="str">
        <f t="shared" si="286"/>
        <v>-</v>
      </c>
      <c r="BF385" s="169"/>
      <c r="BG385" s="92" t="str">
        <f t="shared" si="300"/>
        <v>OK</v>
      </c>
      <c r="BH385" s="60"/>
      <c r="BI385" s="170" t="s">
        <v>704</v>
      </c>
      <c r="BJ385" s="61" t="str">
        <f t="shared" si="305"/>
        <v xml:space="preserve">                                                                                                                                </v>
      </c>
      <c r="BK385" s="218" t="s">
        <v>593</v>
      </c>
      <c r="BL385" s="169"/>
      <c r="BM385" s="478" t="s">
        <v>594</v>
      </c>
      <c r="BN385" s="60"/>
      <c r="BO385" s="169"/>
      <c r="BP385" s="61" t="str">
        <f t="shared" si="267"/>
        <v xml:space="preserve">                                                                                                                                </v>
      </c>
      <c r="BQ385" s="218" t="str">
        <f t="shared" si="287"/>
        <v>-</v>
      </c>
      <c r="BR385" s="169"/>
      <c r="BS385" s="92" t="str">
        <f t="shared" si="301"/>
        <v>OK</v>
      </c>
      <c r="BT385" s="60"/>
      <c r="BU385" s="172"/>
      <c r="BV385" s="61" t="str">
        <f t="shared" si="268"/>
        <v xml:space="preserve">                                                                                                                                </v>
      </c>
      <c r="BW385" s="218" t="s">
        <v>593</v>
      </c>
      <c r="BX385" s="61"/>
      <c r="BY385" s="218" t="str">
        <f t="shared" si="306"/>
        <v>-</v>
      </c>
      <c r="BZ385" s="60"/>
      <c r="CA385" s="169"/>
      <c r="CB385" s="61" t="str">
        <f t="shared" si="269"/>
        <v xml:space="preserve">                                                                                                                                </v>
      </c>
      <c r="CC385" s="218" t="str">
        <f t="shared" si="289"/>
        <v>-</v>
      </c>
      <c r="CD385" s="169"/>
      <c r="CE385" s="92" t="str">
        <f t="shared" si="302"/>
        <v>OK</v>
      </c>
      <c r="CF385" s="60"/>
      <c r="CG385" s="169"/>
      <c r="CH385" s="61" t="str">
        <f t="shared" si="270"/>
        <v xml:space="preserve">                                                                                                                                </v>
      </c>
      <c r="CI385" s="218" t="str">
        <f t="shared" si="290"/>
        <v>-</v>
      </c>
      <c r="CJ385" s="169"/>
      <c r="CK385" s="92" t="str">
        <f t="shared" si="303"/>
        <v>OK</v>
      </c>
      <c r="CL385" s="60"/>
      <c r="CM385" s="169"/>
      <c r="CN385" s="61" t="str">
        <f t="shared" si="271"/>
        <v xml:space="preserve">                                                                                                                                </v>
      </c>
      <c r="CO385" s="218" t="s">
        <v>593</v>
      </c>
      <c r="CP385" s="61"/>
      <c r="CQ385" s="218" t="str">
        <f t="shared" si="307"/>
        <v>-</v>
      </c>
      <c r="CR385" s="60"/>
      <c r="CS385" s="169"/>
      <c r="CT385" s="61" t="str">
        <f t="shared" si="272"/>
        <v xml:space="preserve">                                                                                                                                </v>
      </c>
      <c r="CU385" s="218" t="str">
        <f t="shared" si="292"/>
        <v>-</v>
      </c>
      <c r="CV385" s="169"/>
      <c r="CW385" s="92" t="s">
        <v>593</v>
      </c>
      <c r="CX385" s="60"/>
      <c r="CY385" s="169"/>
      <c r="CZ385" s="61" t="str">
        <f t="shared" si="273"/>
        <v xml:space="preserve">                                                                                                                                </v>
      </c>
      <c r="DA385" s="218" t="str">
        <f t="shared" si="293"/>
        <v>-</v>
      </c>
      <c r="DB385" s="169"/>
      <c r="DC385" s="92" t="s">
        <v>593</v>
      </c>
    </row>
    <row r="386" spans="1:107" s="26" customFormat="1" ht="114.75">
      <c r="B386" s="65">
        <f t="shared" si="283"/>
        <v>379</v>
      </c>
      <c r="C386" s="7"/>
      <c r="D386" s="7"/>
      <c r="E386" s="7"/>
      <c r="F386" s="22" t="s">
        <v>168</v>
      </c>
      <c r="G386" s="16"/>
      <c r="H386" s="13"/>
      <c r="I386" s="8"/>
      <c r="J386" s="8"/>
      <c r="K386" s="8"/>
      <c r="L386" s="8"/>
      <c r="M386" s="11" t="s">
        <v>399</v>
      </c>
      <c r="N386" s="1"/>
      <c r="O386" s="57"/>
      <c r="P386" s="95">
        <f t="shared" si="304"/>
        <v>351</v>
      </c>
      <c r="Q386" s="115">
        <v>1</v>
      </c>
      <c r="R386" s="21" t="str">
        <f t="shared" si="308"/>
        <v>X</v>
      </c>
      <c r="S386" s="98" t="s">
        <v>169</v>
      </c>
      <c r="T386" s="96"/>
      <c r="U386" s="21" t="s">
        <v>257</v>
      </c>
      <c r="V386" s="10"/>
      <c r="W386" s="25">
        <v>3</v>
      </c>
      <c r="X386" s="1" t="s">
        <v>305</v>
      </c>
      <c r="Y386" s="1">
        <v>1</v>
      </c>
      <c r="Z386" s="1">
        <v>1</v>
      </c>
      <c r="AA386" s="8" t="s">
        <v>114</v>
      </c>
      <c r="AB386" s="8" t="s">
        <v>21</v>
      </c>
      <c r="AC386" s="104"/>
      <c r="AD386" s="60"/>
      <c r="AE386" s="174"/>
      <c r="AF386" s="61" t="str">
        <f t="shared" si="295"/>
        <v xml:space="preserve"> </v>
      </c>
      <c r="AG386" s="218" t="str">
        <f t="shared" si="297"/>
        <v>-</v>
      </c>
      <c r="AH386" s="174"/>
      <c r="AI386" s="92" t="str">
        <f t="shared" si="298"/>
        <v>OK</v>
      </c>
      <c r="AJ386" s="60"/>
      <c r="AK386" s="174"/>
      <c r="AL386" s="61" t="str">
        <f t="shared" si="263"/>
        <v xml:space="preserve"> </v>
      </c>
      <c r="AM386" s="218" t="str">
        <f t="shared" si="284"/>
        <v>-</v>
      </c>
      <c r="AN386" s="174"/>
      <c r="AO386" s="92" t="str">
        <f t="shared" si="299"/>
        <v>OK</v>
      </c>
      <c r="AP386" s="60"/>
      <c r="AQ386" s="170"/>
      <c r="AR386" s="61" t="str">
        <f t="shared" si="264"/>
        <v xml:space="preserve"> </v>
      </c>
      <c r="AS386" s="218" t="s">
        <v>593</v>
      </c>
      <c r="AT386" s="38"/>
      <c r="AU386" s="38"/>
      <c r="AV386" s="60"/>
      <c r="AW386" s="174"/>
      <c r="AX386" s="61" t="str">
        <f t="shared" si="265"/>
        <v xml:space="preserve"> </v>
      </c>
      <c r="AY386" s="218" t="str">
        <f t="shared" si="285"/>
        <v>-</v>
      </c>
      <c r="AZ386" s="174"/>
      <c r="BA386" s="478" t="s">
        <v>594</v>
      </c>
      <c r="BB386" s="60"/>
      <c r="BC386" s="174"/>
      <c r="BD386" s="61" t="str">
        <f t="shared" si="266"/>
        <v xml:space="preserve"> </v>
      </c>
      <c r="BE386" s="218" t="str">
        <f t="shared" si="286"/>
        <v>-</v>
      </c>
      <c r="BF386" s="174"/>
      <c r="BG386" s="92" t="str">
        <f t="shared" si="300"/>
        <v>OK</v>
      </c>
      <c r="BH386" s="60"/>
      <c r="BI386" s="170" t="s">
        <v>38</v>
      </c>
      <c r="BJ386" s="61" t="str">
        <f t="shared" si="305"/>
        <v xml:space="preserve"> </v>
      </c>
      <c r="BK386" s="218" t="s">
        <v>593</v>
      </c>
      <c r="BL386" s="174"/>
      <c r="BM386" s="478" t="s">
        <v>594</v>
      </c>
      <c r="BN386" s="60"/>
      <c r="BO386" s="174"/>
      <c r="BP386" s="61" t="str">
        <f t="shared" si="267"/>
        <v xml:space="preserve"> </v>
      </c>
      <c r="BQ386" s="218" t="str">
        <f t="shared" si="287"/>
        <v>-</v>
      </c>
      <c r="BR386" s="174"/>
      <c r="BS386" s="92" t="str">
        <f t="shared" si="301"/>
        <v>OK</v>
      </c>
      <c r="BT386" s="60"/>
      <c r="BU386" s="170"/>
      <c r="BV386" s="61" t="str">
        <f t="shared" si="268"/>
        <v xml:space="preserve"> </v>
      </c>
      <c r="BW386" s="218" t="s">
        <v>593</v>
      </c>
      <c r="BX386" s="61"/>
      <c r="BY386" s="218" t="str">
        <f t="shared" si="306"/>
        <v>-</v>
      </c>
      <c r="BZ386" s="60"/>
      <c r="CA386" s="174"/>
      <c r="CB386" s="61" t="str">
        <f t="shared" si="269"/>
        <v xml:space="preserve"> </v>
      </c>
      <c r="CC386" s="218" t="str">
        <f t="shared" si="289"/>
        <v>-</v>
      </c>
      <c r="CD386" s="174"/>
      <c r="CE386" s="92" t="str">
        <f t="shared" si="302"/>
        <v>OK</v>
      </c>
      <c r="CF386" s="60"/>
      <c r="CG386" s="174"/>
      <c r="CH386" s="61" t="str">
        <f t="shared" si="270"/>
        <v xml:space="preserve"> </v>
      </c>
      <c r="CI386" s="218" t="str">
        <f t="shared" si="290"/>
        <v>-</v>
      </c>
      <c r="CJ386" s="174"/>
      <c r="CK386" s="92" t="str">
        <f t="shared" si="303"/>
        <v>OK</v>
      </c>
      <c r="CL386" s="60"/>
      <c r="CM386" s="174"/>
      <c r="CN386" s="61" t="str">
        <f t="shared" si="271"/>
        <v xml:space="preserve"> </v>
      </c>
      <c r="CO386" s="218" t="s">
        <v>593</v>
      </c>
      <c r="CP386" s="61"/>
      <c r="CQ386" s="218" t="str">
        <f t="shared" si="307"/>
        <v>-</v>
      </c>
      <c r="CR386" s="60"/>
      <c r="CS386" s="174"/>
      <c r="CT386" s="61" t="str">
        <f t="shared" si="272"/>
        <v xml:space="preserve"> </v>
      </c>
      <c r="CU386" s="218" t="str">
        <f t="shared" si="292"/>
        <v>-</v>
      </c>
      <c r="CV386" s="174"/>
      <c r="CW386" s="92" t="s">
        <v>593</v>
      </c>
      <c r="CX386" s="60"/>
      <c r="CY386" s="174"/>
      <c r="CZ386" s="61" t="str">
        <f t="shared" si="273"/>
        <v xml:space="preserve"> </v>
      </c>
      <c r="DA386" s="218" t="str">
        <f t="shared" si="293"/>
        <v>-</v>
      </c>
      <c r="DB386" s="174"/>
      <c r="DC386" s="92" t="s">
        <v>593</v>
      </c>
    </row>
    <row r="387" spans="1:107" s="26" customFormat="1" ht="127.5">
      <c r="B387" s="65">
        <f t="shared" si="283"/>
        <v>380</v>
      </c>
      <c r="C387" s="7"/>
      <c r="D387" s="7"/>
      <c r="E387" s="7"/>
      <c r="F387" s="22" t="s">
        <v>170</v>
      </c>
      <c r="G387" s="16"/>
      <c r="H387" s="13"/>
      <c r="I387" s="8"/>
      <c r="J387" s="8" t="s">
        <v>269</v>
      </c>
      <c r="K387" s="8"/>
      <c r="L387" s="8"/>
      <c r="M387" s="418" t="s">
        <v>451</v>
      </c>
      <c r="N387" s="1"/>
      <c r="O387" s="57"/>
      <c r="P387" s="95">
        <f t="shared" si="304"/>
        <v>352</v>
      </c>
      <c r="Q387" s="115">
        <v>1</v>
      </c>
      <c r="R387" s="21" t="str">
        <f t="shared" si="308"/>
        <v>X</v>
      </c>
      <c r="S387" s="98" t="s">
        <v>171</v>
      </c>
      <c r="T387" s="96"/>
      <c r="U387" s="21" t="s">
        <v>257</v>
      </c>
      <c r="V387" s="10"/>
      <c r="W387" s="25">
        <v>3</v>
      </c>
      <c r="X387" s="1" t="s">
        <v>306</v>
      </c>
      <c r="Y387" s="1">
        <v>1</v>
      </c>
      <c r="Z387" s="1">
        <v>1</v>
      </c>
      <c r="AA387" s="8" t="s">
        <v>114</v>
      </c>
      <c r="AB387" s="8" t="s">
        <v>21</v>
      </c>
      <c r="AC387" s="104"/>
      <c r="AD387" s="60"/>
      <c r="AE387" s="174"/>
      <c r="AF387" s="61" t="str">
        <f t="shared" si="295"/>
        <v xml:space="preserve"> </v>
      </c>
      <c r="AG387" s="218" t="str">
        <f t="shared" si="297"/>
        <v>-</v>
      </c>
      <c r="AH387" s="174"/>
      <c r="AI387" s="92" t="str">
        <f t="shared" si="298"/>
        <v>OK</v>
      </c>
      <c r="AJ387" s="60"/>
      <c r="AK387" s="174"/>
      <c r="AL387" s="61" t="str">
        <f t="shared" si="263"/>
        <v xml:space="preserve"> </v>
      </c>
      <c r="AM387" s="218" t="str">
        <f t="shared" si="284"/>
        <v>-</v>
      </c>
      <c r="AN387" s="174"/>
      <c r="AO387" s="92" t="str">
        <f t="shared" si="299"/>
        <v>OK</v>
      </c>
      <c r="AP387" s="60"/>
      <c r="AQ387" s="170"/>
      <c r="AR387" s="61" t="str">
        <f t="shared" si="264"/>
        <v xml:space="preserve"> </v>
      </c>
      <c r="AS387" s="218" t="s">
        <v>593</v>
      </c>
      <c r="AT387" s="38"/>
      <c r="AU387" s="38"/>
      <c r="AV387" s="60"/>
      <c r="AW387" s="174" t="s">
        <v>33</v>
      </c>
      <c r="AX387" s="61" t="str">
        <f t="shared" si="265"/>
        <v>1</v>
      </c>
      <c r="AY387" s="218" t="str">
        <f t="shared" si="285"/>
        <v>-</v>
      </c>
      <c r="AZ387" s="174" t="s">
        <v>33</v>
      </c>
      <c r="BA387" s="478" t="s">
        <v>594</v>
      </c>
      <c r="BB387" s="60"/>
      <c r="BC387" s="174" t="s">
        <v>33</v>
      </c>
      <c r="BD387" s="61" t="str">
        <f t="shared" si="266"/>
        <v>1</v>
      </c>
      <c r="BE387" s="218" t="str">
        <f t="shared" si="286"/>
        <v>-</v>
      </c>
      <c r="BF387" s="174" t="s">
        <v>33</v>
      </c>
      <c r="BG387" s="92" t="str">
        <f t="shared" si="300"/>
        <v>OK</v>
      </c>
      <c r="BH387" s="60"/>
      <c r="BI387" s="170" t="s">
        <v>33</v>
      </c>
      <c r="BJ387" s="61" t="str">
        <f t="shared" si="305"/>
        <v>1</v>
      </c>
      <c r="BK387" s="218" t="s">
        <v>593</v>
      </c>
      <c r="BL387" s="174" t="s">
        <v>33</v>
      </c>
      <c r="BM387" s="478" t="s">
        <v>594</v>
      </c>
      <c r="BN387" s="60"/>
      <c r="BO387" s="174"/>
      <c r="BP387" s="61" t="str">
        <f t="shared" si="267"/>
        <v xml:space="preserve"> </v>
      </c>
      <c r="BQ387" s="218" t="str">
        <f t="shared" si="287"/>
        <v>-</v>
      </c>
      <c r="BR387" s="174"/>
      <c r="BS387" s="92" t="str">
        <f t="shared" si="301"/>
        <v>OK</v>
      </c>
      <c r="BT387" s="60"/>
      <c r="BU387" s="170"/>
      <c r="BV387" s="61" t="str">
        <f t="shared" si="268"/>
        <v xml:space="preserve"> </v>
      </c>
      <c r="BW387" s="218" t="s">
        <v>593</v>
      </c>
      <c r="BX387" s="61"/>
      <c r="BY387" s="218" t="str">
        <f t="shared" si="306"/>
        <v>-</v>
      </c>
      <c r="BZ387" s="60"/>
      <c r="CA387" s="174"/>
      <c r="CB387" s="61" t="str">
        <f t="shared" si="269"/>
        <v xml:space="preserve"> </v>
      </c>
      <c r="CC387" s="218" t="str">
        <f t="shared" si="289"/>
        <v>-</v>
      </c>
      <c r="CD387" s="174"/>
      <c r="CE387" s="92" t="str">
        <f t="shared" si="302"/>
        <v>OK</v>
      </c>
      <c r="CF387" s="60"/>
      <c r="CG387" s="174"/>
      <c r="CH387" s="61" t="str">
        <f t="shared" si="270"/>
        <v xml:space="preserve"> </v>
      </c>
      <c r="CI387" s="218" t="str">
        <f t="shared" si="290"/>
        <v>-</v>
      </c>
      <c r="CJ387" s="174"/>
      <c r="CK387" s="92" t="str">
        <f t="shared" si="303"/>
        <v>OK</v>
      </c>
      <c r="CL387" s="60"/>
      <c r="CM387" s="174"/>
      <c r="CN387" s="61" t="str">
        <f t="shared" si="271"/>
        <v xml:space="preserve"> </v>
      </c>
      <c r="CO387" s="218" t="s">
        <v>593</v>
      </c>
      <c r="CP387" s="61"/>
      <c r="CQ387" s="218" t="str">
        <f t="shared" si="307"/>
        <v>-</v>
      </c>
      <c r="CR387" s="60"/>
      <c r="CS387" s="174"/>
      <c r="CT387" s="61" t="str">
        <f t="shared" si="272"/>
        <v xml:space="preserve"> </v>
      </c>
      <c r="CU387" s="218" t="str">
        <f t="shared" si="292"/>
        <v>-</v>
      </c>
      <c r="CV387" s="174"/>
      <c r="CW387" s="92" t="s">
        <v>593</v>
      </c>
      <c r="CX387" s="60"/>
      <c r="CY387" s="174"/>
      <c r="CZ387" s="61" t="str">
        <f t="shared" si="273"/>
        <v xml:space="preserve"> </v>
      </c>
      <c r="DA387" s="218" t="str">
        <f t="shared" si="293"/>
        <v>-</v>
      </c>
      <c r="DB387" s="174"/>
      <c r="DC387" s="92" t="s">
        <v>593</v>
      </c>
    </row>
    <row r="388" spans="1:107" s="26" customFormat="1" ht="331.5" customHeight="1">
      <c r="B388" s="65">
        <f t="shared" si="283"/>
        <v>381</v>
      </c>
      <c r="C388" s="7"/>
      <c r="D388" s="7"/>
      <c r="E388" s="54"/>
      <c r="F388" s="113" t="s">
        <v>307</v>
      </c>
      <c r="G388" s="67"/>
      <c r="H388" s="62"/>
      <c r="I388" s="8"/>
      <c r="J388" s="8" t="s">
        <v>269</v>
      </c>
      <c r="K388" s="8"/>
      <c r="L388" s="8"/>
      <c r="M388" s="415" t="s">
        <v>453</v>
      </c>
      <c r="N388" s="16"/>
      <c r="O388" s="57"/>
      <c r="P388" s="95">
        <f t="shared" si="304"/>
        <v>353</v>
      </c>
      <c r="Q388" s="115">
        <v>2</v>
      </c>
      <c r="R388" s="21" t="str">
        <f t="shared" si="308"/>
        <v>X</v>
      </c>
      <c r="S388" s="98" t="s">
        <v>172</v>
      </c>
      <c r="T388" s="96"/>
      <c r="U388" s="21" t="s">
        <v>257</v>
      </c>
      <c r="V388" s="10"/>
      <c r="W388" s="25">
        <v>3</v>
      </c>
      <c r="X388" s="1" t="s">
        <v>308</v>
      </c>
      <c r="Y388" s="1">
        <v>2</v>
      </c>
      <c r="Z388" s="1">
        <v>2</v>
      </c>
      <c r="AA388" s="8" t="s">
        <v>261</v>
      </c>
      <c r="AB388" s="8" t="s">
        <v>257</v>
      </c>
      <c r="AC388" s="68"/>
      <c r="AD388" s="60"/>
      <c r="AE388" s="174"/>
      <c r="AF388" s="273" t="str">
        <f t="shared" si="295"/>
        <v xml:space="preserve">  </v>
      </c>
      <c r="AG388" s="218" t="str">
        <f t="shared" si="297"/>
        <v>-</v>
      </c>
      <c r="AH388" s="174"/>
      <c r="AI388" s="92" t="str">
        <f t="shared" si="298"/>
        <v>OK</v>
      </c>
      <c r="AJ388" s="60"/>
      <c r="AK388" s="174"/>
      <c r="AL388" s="273" t="str">
        <f t="shared" si="263"/>
        <v xml:space="preserve">  </v>
      </c>
      <c r="AM388" s="218" t="str">
        <f t="shared" si="284"/>
        <v>-</v>
      </c>
      <c r="AN388" s="174"/>
      <c r="AO388" s="92" t="str">
        <f t="shared" si="299"/>
        <v>OK</v>
      </c>
      <c r="AP388" s="60"/>
      <c r="AQ388" s="170"/>
      <c r="AR388" s="273" t="str">
        <f t="shared" si="264"/>
        <v xml:space="preserve">  </v>
      </c>
      <c r="AS388" s="218" t="s">
        <v>593</v>
      </c>
      <c r="AT388" s="38"/>
      <c r="AU388" s="38"/>
      <c r="AV388" s="60"/>
      <c r="AW388" s="174" t="s">
        <v>389</v>
      </c>
      <c r="AX388" s="273" t="str">
        <f t="shared" si="265"/>
        <v>Z2</v>
      </c>
      <c r="AY388" s="218" t="str">
        <f t="shared" si="285"/>
        <v>-</v>
      </c>
      <c r="AZ388" s="174" t="s">
        <v>389</v>
      </c>
      <c r="BA388" s="92" t="str">
        <f>IF(EXACT(AW388,AZ388),"OK","NG")</f>
        <v>OK</v>
      </c>
      <c r="BB388" s="60"/>
      <c r="BC388" s="174" t="s">
        <v>669</v>
      </c>
      <c r="BD388" s="273" t="str">
        <f t="shared" si="266"/>
        <v>K1</v>
      </c>
      <c r="BE388" s="218" t="str">
        <f t="shared" si="286"/>
        <v>-</v>
      </c>
      <c r="BF388" s="174" t="s">
        <v>595</v>
      </c>
      <c r="BG388" s="92" t="str">
        <f t="shared" si="300"/>
        <v>OK</v>
      </c>
      <c r="BH388" s="60"/>
      <c r="BI388" s="170" t="s">
        <v>389</v>
      </c>
      <c r="BJ388" s="273" t="str">
        <f t="shared" si="305"/>
        <v>Z2</v>
      </c>
      <c r="BK388" s="218" t="s">
        <v>593</v>
      </c>
      <c r="BL388" s="174" t="s">
        <v>389</v>
      </c>
      <c r="BM388" s="92" t="str">
        <f>IF(EXACT(BI388,BL388),"OK","NG")</f>
        <v>OK</v>
      </c>
      <c r="BN388" s="60"/>
      <c r="BO388" s="174"/>
      <c r="BP388" s="273" t="str">
        <f t="shared" si="267"/>
        <v xml:space="preserve">  </v>
      </c>
      <c r="BQ388" s="218" t="str">
        <f t="shared" si="287"/>
        <v>-</v>
      </c>
      <c r="BR388" s="174"/>
      <c r="BS388" s="92" t="str">
        <f t="shared" si="301"/>
        <v>OK</v>
      </c>
      <c r="BT388" s="60"/>
      <c r="BU388" s="170"/>
      <c r="BV388" s="273" t="str">
        <f t="shared" si="268"/>
        <v xml:space="preserve">  </v>
      </c>
      <c r="BW388" s="218" t="s">
        <v>593</v>
      </c>
      <c r="BX388" s="273"/>
      <c r="BY388" s="218" t="str">
        <f t="shared" si="306"/>
        <v>-</v>
      </c>
      <c r="BZ388" s="60"/>
      <c r="CA388" s="174"/>
      <c r="CB388" s="273" t="str">
        <f t="shared" si="269"/>
        <v xml:space="preserve">  </v>
      </c>
      <c r="CC388" s="218" t="str">
        <f t="shared" si="289"/>
        <v>-</v>
      </c>
      <c r="CD388" s="174"/>
      <c r="CE388" s="92" t="str">
        <f t="shared" si="302"/>
        <v>OK</v>
      </c>
      <c r="CF388" s="60"/>
      <c r="CG388" s="174"/>
      <c r="CH388" s="273" t="str">
        <f t="shared" si="270"/>
        <v xml:space="preserve">  </v>
      </c>
      <c r="CI388" s="218" t="str">
        <f t="shared" si="290"/>
        <v>-</v>
      </c>
      <c r="CJ388" s="174"/>
      <c r="CK388" s="92" t="str">
        <f t="shared" si="303"/>
        <v>OK</v>
      </c>
      <c r="CL388" s="60"/>
      <c r="CM388" s="174"/>
      <c r="CN388" s="273" t="str">
        <f t="shared" si="271"/>
        <v xml:space="preserve">  </v>
      </c>
      <c r="CO388" s="218" t="s">
        <v>593</v>
      </c>
      <c r="CP388" s="273"/>
      <c r="CQ388" s="218" t="str">
        <f t="shared" si="307"/>
        <v>-</v>
      </c>
      <c r="CR388" s="60"/>
      <c r="CS388" s="174"/>
      <c r="CT388" s="273" t="str">
        <f t="shared" si="272"/>
        <v xml:space="preserve">  </v>
      </c>
      <c r="CU388" s="218" t="str">
        <f t="shared" si="292"/>
        <v>-</v>
      </c>
      <c r="CV388" s="174"/>
      <c r="CW388" s="92" t="s">
        <v>593</v>
      </c>
      <c r="CX388" s="60"/>
      <c r="CY388" s="174"/>
      <c r="CZ388" s="273" t="str">
        <f t="shared" si="273"/>
        <v xml:space="preserve">  </v>
      </c>
      <c r="DA388" s="218" t="str">
        <f t="shared" si="293"/>
        <v>-</v>
      </c>
      <c r="DB388" s="174"/>
      <c r="DC388" s="92" t="s">
        <v>593</v>
      </c>
    </row>
    <row r="389" spans="1:107" s="26" customFormat="1" ht="25.5">
      <c r="B389" s="65">
        <f t="shared" si="283"/>
        <v>382</v>
      </c>
      <c r="C389" s="7"/>
      <c r="D389" s="7"/>
      <c r="E389" s="54"/>
      <c r="F389" s="66" t="s">
        <v>173</v>
      </c>
      <c r="G389" s="67"/>
      <c r="H389" s="62"/>
      <c r="I389" s="8"/>
      <c r="J389" s="8"/>
      <c r="K389" s="8"/>
      <c r="L389" s="8"/>
      <c r="M389" s="11" t="s">
        <v>354</v>
      </c>
      <c r="N389" s="16"/>
      <c r="O389" s="57"/>
      <c r="P389" s="95">
        <f t="shared" si="304"/>
        <v>354</v>
      </c>
      <c r="Q389" s="115">
        <v>7</v>
      </c>
      <c r="R389" s="21" t="str">
        <f t="shared" si="308"/>
        <v>X</v>
      </c>
      <c r="S389" s="98" t="s">
        <v>174</v>
      </c>
      <c r="T389" s="96"/>
      <c r="U389" s="21" t="s">
        <v>257</v>
      </c>
      <c r="V389" s="10"/>
      <c r="W389" s="25">
        <v>3</v>
      </c>
      <c r="X389" s="1" t="s">
        <v>309</v>
      </c>
      <c r="Y389" s="1">
        <v>7</v>
      </c>
      <c r="Z389" s="1">
        <v>7</v>
      </c>
      <c r="AA389" s="8" t="s">
        <v>261</v>
      </c>
      <c r="AB389" s="8" t="s">
        <v>257</v>
      </c>
      <c r="AC389" s="105"/>
      <c r="AD389" s="60"/>
      <c r="AE389" s="169"/>
      <c r="AF389" s="61" t="str">
        <f t="shared" si="295"/>
        <v xml:space="preserve">       </v>
      </c>
      <c r="AG389" s="218" t="str">
        <f t="shared" si="297"/>
        <v>-</v>
      </c>
      <c r="AH389" s="169"/>
      <c r="AI389" s="92" t="str">
        <f t="shared" si="298"/>
        <v>OK</v>
      </c>
      <c r="AJ389" s="60"/>
      <c r="AK389" s="169"/>
      <c r="AL389" s="61" t="str">
        <f t="shared" si="263"/>
        <v xml:space="preserve">       </v>
      </c>
      <c r="AM389" s="218" t="str">
        <f t="shared" si="284"/>
        <v>-</v>
      </c>
      <c r="AN389" s="169"/>
      <c r="AO389" s="92" t="str">
        <f t="shared" si="299"/>
        <v>OK</v>
      </c>
      <c r="AP389" s="60"/>
      <c r="AQ389" s="172"/>
      <c r="AR389" s="61" t="str">
        <f t="shared" si="264"/>
        <v xml:space="preserve">       </v>
      </c>
      <c r="AS389" s="218" t="s">
        <v>593</v>
      </c>
      <c r="AT389" s="38"/>
      <c r="AU389" s="38"/>
      <c r="AV389" s="60"/>
      <c r="AW389" s="169"/>
      <c r="AX389" s="61" t="str">
        <f t="shared" si="265"/>
        <v xml:space="preserve">       </v>
      </c>
      <c r="AY389" s="218" t="str">
        <f t="shared" si="285"/>
        <v>-</v>
      </c>
      <c r="AZ389" s="169"/>
      <c r="BA389" s="478" t="s">
        <v>594</v>
      </c>
      <c r="BB389" s="60"/>
      <c r="BC389" s="169"/>
      <c r="BD389" s="61" t="str">
        <f t="shared" si="266"/>
        <v xml:space="preserve">       </v>
      </c>
      <c r="BE389" s="218" t="str">
        <f t="shared" si="286"/>
        <v>-</v>
      </c>
      <c r="BF389" s="169"/>
      <c r="BG389" s="92" t="str">
        <f t="shared" si="300"/>
        <v>OK</v>
      </c>
      <c r="BH389" s="60"/>
      <c r="BI389" s="170" t="s">
        <v>705</v>
      </c>
      <c r="BJ389" s="61" t="str">
        <f t="shared" si="305"/>
        <v xml:space="preserve">       </v>
      </c>
      <c r="BK389" s="218" t="s">
        <v>593</v>
      </c>
      <c r="BL389" s="169"/>
      <c r="BM389" s="478" t="s">
        <v>594</v>
      </c>
      <c r="BN389" s="60"/>
      <c r="BO389" s="169"/>
      <c r="BP389" s="61" t="str">
        <f t="shared" si="267"/>
        <v xml:space="preserve">       </v>
      </c>
      <c r="BQ389" s="218" t="str">
        <f t="shared" si="287"/>
        <v>-</v>
      </c>
      <c r="BR389" s="169"/>
      <c r="BS389" s="92" t="str">
        <f t="shared" si="301"/>
        <v>OK</v>
      </c>
      <c r="BT389" s="60"/>
      <c r="BU389" s="172"/>
      <c r="BV389" s="61" t="str">
        <f t="shared" si="268"/>
        <v xml:space="preserve">       </v>
      </c>
      <c r="BW389" s="218" t="s">
        <v>593</v>
      </c>
      <c r="BX389" s="61"/>
      <c r="BY389" s="218" t="str">
        <f t="shared" si="306"/>
        <v>-</v>
      </c>
      <c r="BZ389" s="60"/>
      <c r="CA389" s="169"/>
      <c r="CB389" s="61" t="str">
        <f t="shared" si="269"/>
        <v xml:space="preserve">       </v>
      </c>
      <c r="CC389" s="218" t="str">
        <f t="shared" si="289"/>
        <v>-</v>
      </c>
      <c r="CD389" s="169"/>
      <c r="CE389" s="92" t="str">
        <f t="shared" si="302"/>
        <v>OK</v>
      </c>
      <c r="CF389" s="60"/>
      <c r="CG389" s="169"/>
      <c r="CH389" s="61" t="str">
        <f t="shared" si="270"/>
        <v xml:space="preserve">       </v>
      </c>
      <c r="CI389" s="218" t="str">
        <f t="shared" si="290"/>
        <v>-</v>
      </c>
      <c r="CJ389" s="169"/>
      <c r="CK389" s="92" t="str">
        <f t="shared" si="303"/>
        <v>OK</v>
      </c>
      <c r="CL389" s="60"/>
      <c r="CM389" s="169"/>
      <c r="CN389" s="61" t="str">
        <f t="shared" si="271"/>
        <v xml:space="preserve">       </v>
      </c>
      <c r="CO389" s="218" t="s">
        <v>593</v>
      </c>
      <c r="CP389" s="61"/>
      <c r="CQ389" s="218" t="str">
        <f t="shared" si="307"/>
        <v>-</v>
      </c>
      <c r="CR389" s="60"/>
      <c r="CS389" s="169"/>
      <c r="CT389" s="61" t="str">
        <f t="shared" si="272"/>
        <v xml:space="preserve">       </v>
      </c>
      <c r="CU389" s="218" t="str">
        <f t="shared" si="292"/>
        <v>-</v>
      </c>
      <c r="CV389" s="169"/>
      <c r="CW389" s="92" t="s">
        <v>593</v>
      </c>
      <c r="CX389" s="60"/>
      <c r="CY389" s="169"/>
      <c r="CZ389" s="61" t="str">
        <f t="shared" si="273"/>
        <v xml:space="preserve">       </v>
      </c>
      <c r="DA389" s="218" t="str">
        <f t="shared" si="293"/>
        <v>-</v>
      </c>
      <c r="DB389" s="169"/>
      <c r="DC389" s="92" t="s">
        <v>593</v>
      </c>
    </row>
    <row r="390" spans="1:107" s="81" customFormat="1" ht="25.5">
      <c r="B390" s="65">
        <f t="shared" si="283"/>
        <v>383</v>
      </c>
      <c r="C390" s="69"/>
      <c r="D390" s="69"/>
      <c r="E390" s="70"/>
      <c r="F390" s="71" t="s">
        <v>355</v>
      </c>
      <c r="G390" s="72"/>
      <c r="H390" s="73"/>
      <c r="I390" s="74"/>
      <c r="J390" s="74"/>
      <c r="K390" s="75"/>
      <c r="L390" s="75"/>
      <c r="M390" s="84" t="s">
        <v>354</v>
      </c>
      <c r="N390" s="76"/>
      <c r="O390" s="77"/>
      <c r="P390" s="95">
        <f t="shared" si="304"/>
        <v>355</v>
      </c>
      <c r="Q390" s="119">
        <v>10</v>
      </c>
      <c r="R390" s="21" t="str">
        <f t="shared" si="308"/>
        <v>X</v>
      </c>
      <c r="S390" s="98" t="s">
        <v>175</v>
      </c>
      <c r="T390" s="106"/>
      <c r="U390" s="21" t="s">
        <v>257</v>
      </c>
      <c r="V390" s="77"/>
      <c r="W390" s="78">
        <v>3</v>
      </c>
      <c r="X390" s="56" t="s">
        <v>176</v>
      </c>
      <c r="Y390" s="56">
        <v>10</v>
      </c>
      <c r="Z390" s="56">
        <v>10</v>
      </c>
      <c r="AA390" s="74" t="s">
        <v>114</v>
      </c>
      <c r="AB390" s="74" t="s">
        <v>21</v>
      </c>
      <c r="AC390" s="105"/>
      <c r="AD390" s="79"/>
      <c r="AE390" s="481"/>
      <c r="AF390" s="80" t="str">
        <f t="shared" si="295"/>
        <v xml:space="preserve">          </v>
      </c>
      <c r="AG390" s="218" t="str">
        <f t="shared" si="297"/>
        <v>-</v>
      </c>
      <c r="AH390" s="274"/>
      <c r="AI390" s="92" t="str">
        <f t="shared" si="298"/>
        <v>OK</v>
      </c>
      <c r="AJ390" s="79"/>
      <c r="AK390" s="481"/>
      <c r="AL390" s="80" t="str">
        <f t="shared" si="263"/>
        <v xml:space="preserve">          </v>
      </c>
      <c r="AM390" s="218" t="str">
        <f t="shared" si="284"/>
        <v>-</v>
      </c>
      <c r="AN390" s="274"/>
      <c r="AO390" s="92" t="str">
        <f t="shared" si="299"/>
        <v>OK</v>
      </c>
      <c r="AP390" s="79"/>
      <c r="AQ390" s="512"/>
      <c r="AR390" s="80" t="str">
        <f t="shared" si="264"/>
        <v xml:space="preserve">          </v>
      </c>
      <c r="AS390" s="218" t="s">
        <v>593</v>
      </c>
      <c r="AT390" s="38"/>
      <c r="AU390" s="38"/>
      <c r="AV390" s="79"/>
      <c r="AW390" s="481"/>
      <c r="AX390" s="80" t="str">
        <f t="shared" si="265"/>
        <v xml:space="preserve">          </v>
      </c>
      <c r="AY390" s="218" t="str">
        <f t="shared" si="285"/>
        <v>-</v>
      </c>
      <c r="AZ390" s="274"/>
      <c r="BA390" s="478" t="s">
        <v>594</v>
      </c>
      <c r="BB390" s="79"/>
      <c r="BC390" s="481"/>
      <c r="BD390" s="80" t="str">
        <f t="shared" si="266"/>
        <v xml:space="preserve">          </v>
      </c>
      <c r="BE390" s="218" t="str">
        <f t="shared" si="286"/>
        <v>-</v>
      </c>
      <c r="BF390" s="274"/>
      <c r="BG390" s="92" t="str">
        <f t="shared" si="300"/>
        <v>OK</v>
      </c>
      <c r="BH390" s="79"/>
      <c r="BI390" s="508" t="s">
        <v>706</v>
      </c>
      <c r="BJ390" s="80" t="str">
        <f t="shared" si="305"/>
        <v xml:space="preserve">          </v>
      </c>
      <c r="BK390" s="218" t="s">
        <v>593</v>
      </c>
      <c r="BL390" s="274"/>
      <c r="BM390" s="478" t="s">
        <v>594</v>
      </c>
      <c r="BN390" s="79"/>
      <c r="BO390" s="481"/>
      <c r="BP390" s="80" t="str">
        <f t="shared" si="267"/>
        <v xml:space="preserve">          </v>
      </c>
      <c r="BQ390" s="218" t="str">
        <f t="shared" si="287"/>
        <v>-</v>
      </c>
      <c r="BR390" s="274"/>
      <c r="BS390" s="92" t="str">
        <f t="shared" si="301"/>
        <v>OK</v>
      </c>
      <c r="BT390" s="79"/>
      <c r="BU390" s="512"/>
      <c r="BV390" s="80" t="str">
        <f t="shared" si="268"/>
        <v xml:space="preserve">          </v>
      </c>
      <c r="BW390" s="218" t="s">
        <v>593</v>
      </c>
      <c r="BX390" s="80"/>
      <c r="BY390" s="218" t="str">
        <f t="shared" si="306"/>
        <v>-</v>
      </c>
      <c r="BZ390" s="79"/>
      <c r="CA390" s="481"/>
      <c r="CB390" s="80" t="str">
        <f t="shared" si="269"/>
        <v xml:space="preserve">          </v>
      </c>
      <c r="CC390" s="218" t="str">
        <f t="shared" si="289"/>
        <v>-</v>
      </c>
      <c r="CD390" s="274"/>
      <c r="CE390" s="92" t="str">
        <f t="shared" si="302"/>
        <v>OK</v>
      </c>
      <c r="CF390" s="79"/>
      <c r="CG390" s="481"/>
      <c r="CH390" s="80" t="str">
        <f t="shared" si="270"/>
        <v xml:space="preserve">          </v>
      </c>
      <c r="CI390" s="218" t="str">
        <f t="shared" si="290"/>
        <v>-</v>
      </c>
      <c r="CJ390" s="274"/>
      <c r="CK390" s="92" t="str">
        <f t="shared" si="303"/>
        <v>OK</v>
      </c>
      <c r="CL390" s="79"/>
      <c r="CM390" s="481"/>
      <c r="CN390" s="80" t="str">
        <f t="shared" si="271"/>
        <v xml:space="preserve">          </v>
      </c>
      <c r="CO390" s="218" t="s">
        <v>593</v>
      </c>
      <c r="CP390" s="80"/>
      <c r="CQ390" s="218" t="str">
        <f t="shared" si="307"/>
        <v>-</v>
      </c>
      <c r="CR390" s="79"/>
      <c r="CS390" s="481"/>
      <c r="CT390" s="80" t="str">
        <f t="shared" si="272"/>
        <v xml:space="preserve">          </v>
      </c>
      <c r="CU390" s="218" t="str">
        <f t="shared" si="292"/>
        <v>-</v>
      </c>
      <c r="CV390" s="274"/>
      <c r="CW390" s="92" t="s">
        <v>593</v>
      </c>
      <c r="CX390" s="79"/>
      <c r="CY390" s="481"/>
      <c r="CZ390" s="80" t="str">
        <f t="shared" si="273"/>
        <v xml:space="preserve">          </v>
      </c>
      <c r="DA390" s="218" t="str">
        <f t="shared" si="293"/>
        <v>-</v>
      </c>
      <c r="DB390" s="274"/>
      <c r="DC390" s="92" t="s">
        <v>593</v>
      </c>
    </row>
    <row r="391" spans="1:107" s="81" customFormat="1" ht="25.5">
      <c r="B391" s="65">
        <f t="shared" si="283"/>
        <v>384</v>
      </c>
      <c r="C391" s="69"/>
      <c r="D391" s="69"/>
      <c r="E391" s="69"/>
      <c r="F391" s="82" t="s">
        <v>177</v>
      </c>
      <c r="G391" s="14"/>
      <c r="H391" s="83"/>
      <c r="I391" s="74"/>
      <c r="J391" s="74"/>
      <c r="K391" s="75"/>
      <c r="L391" s="75"/>
      <c r="M391" s="84" t="s">
        <v>354</v>
      </c>
      <c r="N391" s="76"/>
      <c r="O391" s="77"/>
      <c r="P391" s="95">
        <f t="shared" si="304"/>
        <v>356</v>
      </c>
      <c r="Q391" s="119">
        <v>3</v>
      </c>
      <c r="R391" s="21" t="str">
        <f t="shared" si="308"/>
        <v>X</v>
      </c>
      <c r="S391" s="98" t="s">
        <v>178</v>
      </c>
      <c r="T391" s="106"/>
      <c r="U391" s="21" t="s">
        <v>257</v>
      </c>
      <c r="V391" s="77"/>
      <c r="W391" s="78">
        <v>3</v>
      </c>
      <c r="X391" s="56" t="s">
        <v>179</v>
      </c>
      <c r="Y391" s="56">
        <v>3</v>
      </c>
      <c r="Z391" s="56">
        <v>3</v>
      </c>
      <c r="AA391" s="74" t="s">
        <v>114</v>
      </c>
      <c r="AB391" s="74" t="s">
        <v>21</v>
      </c>
      <c r="AC391" s="105"/>
      <c r="AD391" s="79"/>
      <c r="AE391" s="481"/>
      <c r="AF391" s="80" t="str">
        <f t="shared" si="295"/>
        <v xml:space="preserve">   </v>
      </c>
      <c r="AG391" s="218" t="str">
        <f t="shared" si="297"/>
        <v>-</v>
      </c>
      <c r="AH391" s="274"/>
      <c r="AI391" s="92" t="str">
        <f t="shared" si="298"/>
        <v>OK</v>
      </c>
      <c r="AJ391" s="79"/>
      <c r="AK391" s="481"/>
      <c r="AL391" s="80" t="str">
        <f t="shared" si="263"/>
        <v xml:space="preserve">   </v>
      </c>
      <c r="AM391" s="218" t="str">
        <f t="shared" si="284"/>
        <v>-</v>
      </c>
      <c r="AN391" s="274"/>
      <c r="AO391" s="92" t="str">
        <f t="shared" si="299"/>
        <v>OK</v>
      </c>
      <c r="AP391" s="79"/>
      <c r="AQ391" s="512"/>
      <c r="AR391" s="80" t="str">
        <f t="shared" si="264"/>
        <v xml:space="preserve">   </v>
      </c>
      <c r="AS391" s="218" t="s">
        <v>593</v>
      </c>
      <c r="AT391" s="38"/>
      <c r="AU391" s="38"/>
      <c r="AV391" s="79"/>
      <c r="AW391" s="481"/>
      <c r="AX391" s="80" t="str">
        <f t="shared" si="265"/>
        <v xml:space="preserve">   </v>
      </c>
      <c r="AY391" s="218" t="str">
        <f t="shared" si="285"/>
        <v>-</v>
      </c>
      <c r="AZ391" s="274"/>
      <c r="BA391" s="478" t="s">
        <v>594</v>
      </c>
      <c r="BB391" s="79"/>
      <c r="BC391" s="481"/>
      <c r="BD391" s="80" t="str">
        <f t="shared" si="266"/>
        <v xml:space="preserve">   </v>
      </c>
      <c r="BE391" s="218" t="str">
        <f t="shared" si="286"/>
        <v>-</v>
      </c>
      <c r="BF391" s="274"/>
      <c r="BG391" s="92" t="str">
        <f t="shared" si="300"/>
        <v>OK</v>
      </c>
      <c r="BH391" s="79"/>
      <c r="BI391" s="508" t="s">
        <v>707</v>
      </c>
      <c r="BJ391" s="80" t="str">
        <f t="shared" si="305"/>
        <v xml:space="preserve">   </v>
      </c>
      <c r="BK391" s="218" t="s">
        <v>593</v>
      </c>
      <c r="BL391" s="274"/>
      <c r="BM391" s="478" t="s">
        <v>594</v>
      </c>
      <c r="BN391" s="79"/>
      <c r="BO391" s="481"/>
      <c r="BP391" s="80" t="str">
        <f t="shared" si="267"/>
        <v xml:space="preserve">   </v>
      </c>
      <c r="BQ391" s="218" t="str">
        <f t="shared" si="287"/>
        <v>-</v>
      </c>
      <c r="BR391" s="274"/>
      <c r="BS391" s="92" t="str">
        <f t="shared" si="301"/>
        <v>OK</v>
      </c>
      <c r="BT391" s="79"/>
      <c r="BU391" s="512"/>
      <c r="BV391" s="80" t="str">
        <f t="shared" si="268"/>
        <v xml:space="preserve">   </v>
      </c>
      <c r="BW391" s="218" t="s">
        <v>593</v>
      </c>
      <c r="BX391" s="80"/>
      <c r="BY391" s="218" t="str">
        <f t="shared" si="306"/>
        <v>-</v>
      </c>
      <c r="BZ391" s="79"/>
      <c r="CA391" s="481"/>
      <c r="CB391" s="80" t="str">
        <f t="shared" si="269"/>
        <v xml:space="preserve">   </v>
      </c>
      <c r="CC391" s="218" t="str">
        <f t="shared" si="289"/>
        <v>-</v>
      </c>
      <c r="CD391" s="274"/>
      <c r="CE391" s="92" t="str">
        <f t="shared" si="302"/>
        <v>OK</v>
      </c>
      <c r="CF391" s="79"/>
      <c r="CG391" s="481"/>
      <c r="CH391" s="80" t="str">
        <f t="shared" si="270"/>
        <v xml:space="preserve">   </v>
      </c>
      <c r="CI391" s="218" t="str">
        <f t="shared" si="290"/>
        <v>-</v>
      </c>
      <c r="CJ391" s="274"/>
      <c r="CK391" s="92" t="str">
        <f t="shared" si="303"/>
        <v>OK</v>
      </c>
      <c r="CL391" s="79"/>
      <c r="CM391" s="481"/>
      <c r="CN391" s="80" t="str">
        <f t="shared" si="271"/>
        <v xml:space="preserve">   </v>
      </c>
      <c r="CO391" s="218" t="s">
        <v>593</v>
      </c>
      <c r="CP391" s="80"/>
      <c r="CQ391" s="218" t="str">
        <f t="shared" si="307"/>
        <v>-</v>
      </c>
      <c r="CR391" s="79"/>
      <c r="CS391" s="481"/>
      <c r="CT391" s="80" t="str">
        <f t="shared" si="272"/>
        <v xml:space="preserve">   </v>
      </c>
      <c r="CU391" s="218" t="str">
        <f t="shared" si="292"/>
        <v>-</v>
      </c>
      <c r="CV391" s="274"/>
      <c r="CW391" s="92" t="s">
        <v>593</v>
      </c>
      <c r="CX391" s="79"/>
      <c r="CY391" s="481"/>
      <c r="CZ391" s="80" t="str">
        <f t="shared" si="273"/>
        <v xml:space="preserve">   </v>
      </c>
      <c r="DA391" s="218" t="str">
        <f t="shared" si="293"/>
        <v>-</v>
      </c>
      <c r="DB391" s="274"/>
      <c r="DC391" s="92" t="s">
        <v>593</v>
      </c>
    </row>
    <row r="392" spans="1:107" s="81" customFormat="1" ht="25.5">
      <c r="B392" s="65">
        <f t="shared" si="283"/>
        <v>385</v>
      </c>
      <c r="C392" s="69"/>
      <c r="D392" s="69"/>
      <c r="E392" s="69"/>
      <c r="F392" s="82" t="s">
        <v>180</v>
      </c>
      <c r="G392" s="14"/>
      <c r="H392" s="83"/>
      <c r="I392" s="74"/>
      <c r="J392" s="74"/>
      <c r="K392" s="75"/>
      <c r="L392" s="75"/>
      <c r="M392" s="84" t="s">
        <v>354</v>
      </c>
      <c r="N392" s="76"/>
      <c r="O392" s="77"/>
      <c r="P392" s="95">
        <f>P391+1</f>
        <v>357</v>
      </c>
      <c r="Q392" s="119">
        <v>2</v>
      </c>
      <c r="R392" s="21" t="str">
        <f t="shared" si="308"/>
        <v>X</v>
      </c>
      <c r="S392" s="98" t="s">
        <v>181</v>
      </c>
      <c r="T392" s="106"/>
      <c r="U392" s="21" t="s">
        <v>257</v>
      </c>
      <c r="V392" s="77"/>
      <c r="W392" s="78">
        <v>3</v>
      </c>
      <c r="X392" s="56" t="s">
        <v>182</v>
      </c>
      <c r="Y392" s="56">
        <v>2</v>
      </c>
      <c r="Z392" s="56">
        <v>2</v>
      </c>
      <c r="AA392" s="74" t="s">
        <v>114</v>
      </c>
      <c r="AB392" s="74" t="s">
        <v>21</v>
      </c>
      <c r="AC392" s="105"/>
      <c r="AD392" s="79"/>
      <c r="AE392" s="481"/>
      <c r="AF392" s="80" t="str">
        <f t="shared" si="295"/>
        <v xml:space="preserve">  </v>
      </c>
      <c r="AG392" s="218" t="str">
        <f t="shared" si="297"/>
        <v>-</v>
      </c>
      <c r="AH392" s="274"/>
      <c r="AI392" s="92" t="str">
        <f t="shared" si="298"/>
        <v>OK</v>
      </c>
      <c r="AJ392" s="79"/>
      <c r="AK392" s="481"/>
      <c r="AL392" s="80" t="str">
        <f t="shared" si="263"/>
        <v xml:space="preserve">  </v>
      </c>
      <c r="AM392" s="218" t="str">
        <f t="shared" si="284"/>
        <v>-</v>
      </c>
      <c r="AN392" s="274"/>
      <c r="AO392" s="92" t="str">
        <f t="shared" si="299"/>
        <v>OK</v>
      </c>
      <c r="AP392" s="79"/>
      <c r="AQ392" s="512"/>
      <c r="AR392" s="80" t="str">
        <f t="shared" si="264"/>
        <v xml:space="preserve">  </v>
      </c>
      <c r="AS392" s="218" t="s">
        <v>593</v>
      </c>
      <c r="AT392" s="38"/>
      <c r="AU392" s="38"/>
      <c r="AV392" s="79"/>
      <c r="AW392" s="481"/>
      <c r="AX392" s="80" t="str">
        <f t="shared" si="265"/>
        <v xml:space="preserve">  </v>
      </c>
      <c r="AY392" s="218" t="str">
        <f t="shared" si="285"/>
        <v>-</v>
      </c>
      <c r="AZ392" s="274"/>
      <c r="BA392" s="478" t="s">
        <v>594</v>
      </c>
      <c r="BB392" s="79"/>
      <c r="BC392" s="481"/>
      <c r="BD392" s="80" t="str">
        <f t="shared" si="266"/>
        <v xml:space="preserve">  </v>
      </c>
      <c r="BE392" s="218" t="str">
        <f t="shared" si="286"/>
        <v>-</v>
      </c>
      <c r="BF392" s="274"/>
      <c r="BG392" s="92" t="str">
        <f t="shared" si="300"/>
        <v>OK</v>
      </c>
      <c r="BH392" s="79"/>
      <c r="BI392" s="508" t="s">
        <v>698</v>
      </c>
      <c r="BJ392" s="80" t="str">
        <f t="shared" si="305"/>
        <v xml:space="preserve">  </v>
      </c>
      <c r="BK392" s="218" t="s">
        <v>593</v>
      </c>
      <c r="BL392" s="274"/>
      <c r="BM392" s="478" t="s">
        <v>594</v>
      </c>
      <c r="BN392" s="79"/>
      <c r="BO392" s="481"/>
      <c r="BP392" s="80" t="str">
        <f t="shared" si="267"/>
        <v xml:space="preserve">  </v>
      </c>
      <c r="BQ392" s="218" t="str">
        <f t="shared" si="287"/>
        <v>-</v>
      </c>
      <c r="BR392" s="274"/>
      <c r="BS392" s="92" t="str">
        <f t="shared" si="301"/>
        <v>OK</v>
      </c>
      <c r="BT392" s="79"/>
      <c r="BU392" s="512"/>
      <c r="BV392" s="80" t="str">
        <f t="shared" si="268"/>
        <v xml:space="preserve">  </v>
      </c>
      <c r="BW392" s="218" t="s">
        <v>593</v>
      </c>
      <c r="BX392" s="80"/>
      <c r="BY392" s="218" t="str">
        <f t="shared" si="306"/>
        <v>-</v>
      </c>
      <c r="BZ392" s="79"/>
      <c r="CA392" s="481"/>
      <c r="CB392" s="80" t="str">
        <f t="shared" si="269"/>
        <v xml:space="preserve">  </v>
      </c>
      <c r="CC392" s="218" t="str">
        <f t="shared" si="289"/>
        <v>-</v>
      </c>
      <c r="CD392" s="274"/>
      <c r="CE392" s="92" t="str">
        <f t="shared" si="302"/>
        <v>OK</v>
      </c>
      <c r="CF392" s="79"/>
      <c r="CG392" s="481"/>
      <c r="CH392" s="80" t="str">
        <f t="shared" si="270"/>
        <v xml:space="preserve">  </v>
      </c>
      <c r="CI392" s="218" t="str">
        <f t="shared" si="290"/>
        <v>-</v>
      </c>
      <c r="CJ392" s="274"/>
      <c r="CK392" s="92" t="str">
        <f t="shared" si="303"/>
        <v>OK</v>
      </c>
      <c r="CL392" s="79"/>
      <c r="CM392" s="481"/>
      <c r="CN392" s="80" t="str">
        <f t="shared" si="271"/>
        <v xml:space="preserve">  </v>
      </c>
      <c r="CO392" s="218" t="s">
        <v>593</v>
      </c>
      <c r="CP392" s="80"/>
      <c r="CQ392" s="218" t="str">
        <f t="shared" si="307"/>
        <v>-</v>
      </c>
      <c r="CR392" s="79"/>
      <c r="CS392" s="481"/>
      <c r="CT392" s="80" t="str">
        <f t="shared" si="272"/>
        <v xml:space="preserve">  </v>
      </c>
      <c r="CU392" s="218" t="str">
        <f t="shared" si="292"/>
        <v>-</v>
      </c>
      <c r="CV392" s="274"/>
      <c r="CW392" s="92" t="s">
        <v>593</v>
      </c>
      <c r="CX392" s="79"/>
      <c r="CY392" s="481"/>
      <c r="CZ392" s="80" t="str">
        <f t="shared" si="273"/>
        <v xml:space="preserve">  </v>
      </c>
      <c r="DA392" s="218" t="str">
        <f t="shared" si="293"/>
        <v>-</v>
      </c>
      <c r="DB392" s="274"/>
      <c r="DC392" s="92" t="s">
        <v>593</v>
      </c>
    </row>
    <row r="393" spans="1:107" s="81" customFormat="1" ht="51.75" customHeight="1">
      <c r="B393" s="65">
        <f t="shared" si="283"/>
        <v>386</v>
      </c>
      <c r="C393" s="69"/>
      <c r="D393" s="69"/>
      <c r="E393" s="69"/>
      <c r="F393" s="233" t="s">
        <v>183</v>
      </c>
      <c r="G393" s="234"/>
      <c r="H393" s="235"/>
      <c r="I393" s="74"/>
      <c r="J393" s="74"/>
      <c r="K393" s="75"/>
      <c r="L393" s="75"/>
      <c r="M393" s="84" t="s">
        <v>184</v>
      </c>
      <c r="N393" s="76"/>
      <c r="O393" s="77"/>
      <c r="P393" s="95">
        <f>P392+1</f>
        <v>358</v>
      </c>
      <c r="Q393" s="119">
        <v>5</v>
      </c>
      <c r="R393" s="21" t="str">
        <f t="shared" si="308"/>
        <v>X</v>
      </c>
      <c r="S393" s="98" t="s">
        <v>185</v>
      </c>
      <c r="T393" s="106"/>
      <c r="U393" s="21" t="s">
        <v>257</v>
      </c>
      <c r="V393" s="77"/>
      <c r="W393" s="78">
        <v>3</v>
      </c>
      <c r="X393" s="56" t="s">
        <v>310</v>
      </c>
      <c r="Y393" s="56">
        <v>5</v>
      </c>
      <c r="Z393" s="56">
        <v>5</v>
      </c>
      <c r="AA393" s="74" t="s">
        <v>114</v>
      </c>
      <c r="AB393" s="74" t="s">
        <v>21</v>
      </c>
      <c r="AC393" s="85"/>
      <c r="AD393" s="79"/>
      <c r="AE393" s="481"/>
      <c r="AF393" s="80" t="str">
        <f t="shared" si="295"/>
        <v xml:space="preserve">     </v>
      </c>
      <c r="AG393" s="218" t="str">
        <f t="shared" si="297"/>
        <v>-</v>
      </c>
      <c r="AH393" s="274"/>
      <c r="AI393" s="92" t="str">
        <f t="shared" si="298"/>
        <v>OK</v>
      </c>
      <c r="AJ393" s="79"/>
      <c r="AK393" s="481"/>
      <c r="AL393" s="80" t="str">
        <f t="shared" si="263"/>
        <v xml:space="preserve">     </v>
      </c>
      <c r="AM393" s="218" t="str">
        <f t="shared" si="284"/>
        <v>-</v>
      </c>
      <c r="AN393" s="274"/>
      <c r="AO393" s="92" t="str">
        <f t="shared" si="299"/>
        <v>OK</v>
      </c>
      <c r="AP393" s="79"/>
      <c r="AQ393" s="512"/>
      <c r="AR393" s="80" t="str">
        <f t="shared" si="264"/>
        <v xml:space="preserve">     </v>
      </c>
      <c r="AS393" s="218" t="s">
        <v>593</v>
      </c>
      <c r="AT393" s="38"/>
      <c r="AU393" s="38"/>
      <c r="AV393" s="79"/>
      <c r="AW393" s="481"/>
      <c r="AX393" s="80" t="str">
        <f t="shared" si="265"/>
        <v xml:space="preserve">     </v>
      </c>
      <c r="AY393" s="218" t="str">
        <f t="shared" si="285"/>
        <v>-</v>
      </c>
      <c r="AZ393" s="274"/>
      <c r="BA393" s="478" t="s">
        <v>594</v>
      </c>
      <c r="BB393" s="79"/>
      <c r="BC393" s="487" t="s">
        <v>670</v>
      </c>
      <c r="BD393" s="80" t="str">
        <f t="shared" si="266"/>
        <v>03960</v>
      </c>
      <c r="BE393" s="218" t="str">
        <f t="shared" si="286"/>
        <v>-</v>
      </c>
      <c r="BF393" s="487" t="s">
        <v>656</v>
      </c>
      <c r="BG393" s="92" t="str">
        <f t="shared" si="300"/>
        <v>OK</v>
      </c>
      <c r="BH393" s="79"/>
      <c r="BI393" s="508" t="s">
        <v>708</v>
      </c>
      <c r="BJ393" s="80" t="str">
        <f t="shared" si="305"/>
        <v xml:space="preserve">     </v>
      </c>
      <c r="BK393" s="218" t="s">
        <v>593</v>
      </c>
      <c r="BL393" s="274"/>
      <c r="BM393" s="478" t="s">
        <v>594</v>
      </c>
      <c r="BN393" s="79"/>
      <c r="BO393" s="481"/>
      <c r="BP393" s="80" t="str">
        <f t="shared" si="267"/>
        <v xml:space="preserve">     </v>
      </c>
      <c r="BQ393" s="218" t="str">
        <f t="shared" si="287"/>
        <v>-</v>
      </c>
      <c r="BR393" s="274"/>
      <c r="BS393" s="92" t="str">
        <f t="shared" si="301"/>
        <v>OK</v>
      </c>
      <c r="BT393" s="79"/>
      <c r="BU393" s="512"/>
      <c r="BV393" s="80" t="str">
        <f t="shared" si="268"/>
        <v xml:space="preserve">     </v>
      </c>
      <c r="BW393" s="218" t="s">
        <v>593</v>
      </c>
      <c r="BX393" s="80"/>
      <c r="BY393" s="218" t="str">
        <f t="shared" si="306"/>
        <v>-</v>
      </c>
      <c r="BZ393" s="79"/>
      <c r="CA393" s="481"/>
      <c r="CB393" s="80" t="str">
        <f t="shared" si="269"/>
        <v xml:space="preserve">     </v>
      </c>
      <c r="CC393" s="218" t="str">
        <f t="shared" si="289"/>
        <v>-</v>
      </c>
      <c r="CD393" s="274"/>
      <c r="CE393" s="92" t="str">
        <f t="shared" si="302"/>
        <v>OK</v>
      </c>
      <c r="CF393" s="79"/>
      <c r="CG393" s="481"/>
      <c r="CH393" s="80" t="str">
        <f t="shared" si="270"/>
        <v xml:space="preserve">     </v>
      </c>
      <c r="CI393" s="218" t="str">
        <f t="shared" si="290"/>
        <v>-</v>
      </c>
      <c r="CJ393" s="274"/>
      <c r="CK393" s="92" t="str">
        <f t="shared" si="303"/>
        <v>OK</v>
      </c>
      <c r="CL393" s="79"/>
      <c r="CM393" s="481"/>
      <c r="CN393" s="80" t="str">
        <f t="shared" si="271"/>
        <v xml:space="preserve">     </v>
      </c>
      <c r="CO393" s="218" t="s">
        <v>593</v>
      </c>
      <c r="CP393" s="80"/>
      <c r="CQ393" s="218" t="str">
        <f t="shared" si="307"/>
        <v>-</v>
      </c>
      <c r="CR393" s="79"/>
      <c r="CS393" s="481"/>
      <c r="CT393" s="80" t="str">
        <f t="shared" si="272"/>
        <v xml:space="preserve">     </v>
      </c>
      <c r="CU393" s="218" t="str">
        <f t="shared" si="292"/>
        <v>-</v>
      </c>
      <c r="CV393" s="274"/>
      <c r="CW393" s="92" t="s">
        <v>593</v>
      </c>
      <c r="CX393" s="79"/>
      <c r="CY393" s="481"/>
      <c r="CZ393" s="80" t="str">
        <f t="shared" si="273"/>
        <v xml:space="preserve">     </v>
      </c>
      <c r="DA393" s="218" t="str">
        <f t="shared" si="293"/>
        <v>-</v>
      </c>
      <c r="DB393" s="274"/>
      <c r="DC393" s="92" t="s">
        <v>593</v>
      </c>
    </row>
    <row r="394" spans="1:107" s="81" customFormat="1" ht="51.75" customHeight="1">
      <c r="B394" s="65">
        <f t="shared" si="283"/>
        <v>387</v>
      </c>
      <c r="C394" s="69"/>
      <c r="D394" s="69"/>
      <c r="E394" s="69"/>
      <c r="F394" s="233" t="s">
        <v>186</v>
      </c>
      <c r="G394" s="234"/>
      <c r="H394" s="235"/>
      <c r="I394" s="74"/>
      <c r="J394" s="74"/>
      <c r="K394" s="75"/>
      <c r="L394" s="75"/>
      <c r="M394" s="84" t="s">
        <v>187</v>
      </c>
      <c r="N394" s="76"/>
      <c r="O394" s="77"/>
      <c r="P394" s="95">
        <f>P393+1</f>
        <v>359</v>
      </c>
      <c r="Q394" s="119">
        <v>64</v>
      </c>
      <c r="R394" s="21" t="str">
        <f>IF(AA394="M","NX",AA394)</f>
        <v>NX</v>
      </c>
      <c r="S394" s="98" t="s">
        <v>188</v>
      </c>
      <c r="T394" s="106"/>
      <c r="U394" s="21" t="s">
        <v>257</v>
      </c>
      <c r="V394" s="77" t="s">
        <v>311</v>
      </c>
      <c r="W394" s="78">
        <v>3</v>
      </c>
      <c r="X394" s="56" t="s">
        <v>312</v>
      </c>
      <c r="Y394" s="56">
        <v>1</v>
      </c>
      <c r="Z394" s="56">
        <v>64</v>
      </c>
      <c r="AA394" s="74" t="s">
        <v>300</v>
      </c>
      <c r="AB394" s="74" t="s">
        <v>21</v>
      </c>
      <c r="AC394" s="85" t="s">
        <v>311</v>
      </c>
      <c r="AD394" s="79"/>
      <c r="AE394" s="481"/>
      <c r="AF394" s="80" t="str">
        <f t="shared" si="295"/>
        <v xml:space="preserve">                                                                </v>
      </c>
      <c r="AG394" s="218" t="str">
        <f t="shared" si="297"/>
        <v>-</v>
      </c>
      <c r="AH394" s="274"/>
      <c r="AI394" s="92" t="str">
        <f t="shared" si="298"/>
        <v>OK</v>
      </c>
      <c r="AJ394" s="79"/>
      <c r="AK394" s="481"/>
      <c r="AL394" s="80" t="str">
        <f t="shared" si="263"/>
        <v xml:space="preserve">                                                                </v>
      </c>
      <c r="AM394" s="218" t="str">
        <f t="shared" si="284"/>
        <v>-</v>
      </c>
      <c r="AN394" s="274"/>
      <c r="AO394" s="92" t="str">
        <f t="shared" si="299"/>
        <v>OK</v>
      </c>
      <c r="AP394" s="79"/>
      <c r="AQ394" s="512"/>
      <c r="AR394" s="80" t="str">
        <f t="shared" si="264"/>
        <v xml:space="preserve">                                                                </v>
      </c>
      <c r="AS394" s="218" t="s">
        <v>593</v>
      </c>
      <c r="AT394" s="38"/>
      <c r="AU394" s="38"/>
      <c r="AV394" s="79"/>
      <c r="AW394" s="481"/>
      <c r="AX394" s="80" t="str">
        <f t="shared" si="265"/>
        <v xml:space="preserve">                                                                </v>
      </c>
      <c r="AY394" s="218" t="str">
        <f t="shared" si="285"/>
        <v>-</v>
      </c>
      <c r="AZ394" s="274"/>
      <c r="BA394" s="478" t="s">
        <v>594</v>
      </c>
      <c r="BB394" s="79"/>
      <c r="BC394" s="487" t="s">
        <v>671</v>
      </c>
      <c r="BD394" s="80" t="str">
        <f t="shared" si="266"/>
        <v xml:space="preserve">日本ネットワークイネイブラー株式会社                            </v>
      </c>
      <c r="BE394" s="218" t="str">
        <f t="shared" si="286"/>
        <v>-</v>
      </c>
      <c r="BF394" s="481" t="s">
        <v>596</v>
      </c>
      <c r="BG394" s="92" t="str">
        <f t="shared" si="300"/>
        <v>OK</v>
      </c>
      <c r="BH394" s="79"/>
      <c r="BI394" s="508" t="s">
        <v>709</v>
      </c>
      <c r="BJ394" s="80" t="str">
        <f t="shared" si="305"/>
        <v xml:space="preserve">                                                                </v>
      </c>
      <c r="BK394" s="218" t="s">
        <v>593</v>
      </c>
      <c r="BL394" s="274"/>
      <c r="BM394" s="478" t="s">
        <v>594</v>
      </c>
      <c r="BN394" s="79"/>
      <c r="BO394" s="481"/>
      <c r="BP394" s="80" t="str">
        <f t="shared" si="267"/>
        <v xml:space="preserve">                                                                </v>
      </c>
      <c r="BQ394" s="218" t="str">
        <f t="shared" si="287"/>
        <v>-</v>
      </c>
      <c r="BR394" s="274"/>
      <c r="BS394" s="92" t="str">
        <f t="shared" si="301"/>
        <v>OK</v>
      </c>
      <c r="BT394" s="79"/>
      <c r="BU394" s="512"/>
      <c r="BV394" s="80" t="str">
        <f t="shared" si="268"/>
        <v xml:space="preserve">                                                                </v>
      </c>
      <c r="BW394" s="218" t="s">
        <v>593</v>
      </c>
      <c r="BX394" s="80"/>
      <c r="BY394" s="218" t="str">
        <f t="shared" si="306"/>
        <v>-</v>
      </c>
      <c r="BZ394" s="79"/>
      <c r="CA394" s="481"/>
      <c r="CB394" s="80" t="str">
        <f t="shared" si="269"/>
        <v xml:space="preserve">                                                                </v>
      </c>
      <c r="CC394" s="218" t="str">
        <f t="shared" si="289"/>
        <v>-</v>
      </c>
      <c r="CD394" s="274"/>
      <c r="CE394" s="92" t="str">
        <f t="shared" si="302"/>
        <v>OK</v>
      </c>
      <c r="CF394" s="79"/>
      <c r="CG394" s="481"/>
      <c r="CH394" s="80" t="str">
        <f t="shared" si="270"/>
        <v xml:space="preserve">                                                                </v>
      </c>
      <c r="CI394" s="218" t="str">
        <f t="shared" si="290"/>
        <v>-</v>
      </c>
      <c r="CJ394" s="274"/>
      <c r="CK394" s="92" t="str">
        <f t="shared" si="303"/>
        <v>OK</v>
      </c>
      <c r="CL394" s="79"/>
      <c r="CM394" s="481"/>
      <c r="CN394" s="80" t="str">
        <f t="shared" si="271"/>
        <v xml:space="preserve">                                                                </v>
      </c>
      <c r="CO394" s="218" t="s">
        <v>593</v>
      </c>
      <c r="CP394" s="80"/>
      <c r="CQ394" s="218" t="str">
        <f t="shared" si="307"/>
        <v>-</v>
      </c>
      <c r="CR394" s="79"/>
      <c r="CS394" s="481"/>
      <c r="CT394" s="80" t="str">
        <f t="shared" si="272"/>
        <v xml:space="preserve">                                                                </v>
      </c>
      <c r="CU394" s="218" t="str">
        <f t="shared" si="292"/>
        <v>-</v>
      </c>
      <c r="CV394" s="274"/>
      <c r="CW394" s="92" t="s">
        <v>593</v>
      </c>
      <c r="CX394" s="79"/>
      <c r="CY394" s="481"/>
      <c r="CZ394" s="80" t="str">
        <f t="shared" si="273"/>
        <v xml:space="preserve">                                                                </v>
      </c>
      <c r="DA394" s="218" t="str">
        <f t="shared" si="293"/>
        <v>-</v>
      </c>
      <c r="DB394" s="274"/>
      <c r="DC394" s="92" t="s">
        <v>593</v>
      </c>
    </row>
    <row r="395" spans="1:107" s="81" customFormat="1" ht="92.25" customHeight="1">
      <c r="B395" s="397">
        <f t="shared" si="283"/>
        <v>388</v>
      </c>
      <c r="C395" s="69"/>
      <c r="D395" s="69"/>
      <c r="E395" s="69"/>
      <c r="F395" s="82" t="s">
        <v>356</v>
      </c>
      <c r="G395" s="14"/>
      <c r="H395" s="83"/>
      <c r="I395" s="74"/>
      <c r="J395" s="74"/>
      <c r="K395" s="75"/>
      <c r="L395" s="75"/>
      <c r="M395" s="84" t="s">
        <v>222</v>
      </c>
      <c r="N395" s="76"/>
      <c r="O395" s="77"/>
      <c r="P395" s="95">
        <f>P394+1</f>
        <v>360</v>
      </c>
      <c r="Q395" s="119">
        <v>7</v>
      </c>
      <c r="R395" s="21" t="s">
        <v>261</v>
      </c>
      <c r="S395" s="98" t="s">
        <v>313</v>
      </c>
      <c r="T395" s="106"/>
      <c r="U395" s="21" t="s">
        <v>257</v>
      </c>
      <c r="V395" s="77"/>
      <c r="W395" s="401">
        <v>3</v>
      </c>
      <c r="X395" s="175" t="s">
        <v>314</v>
      </c>
      <c r="Y395" s="175">
        <v>7</v>
      </c>
      <c r="Z395" s="175">
        <v>7</v>
      </c>
      <c r="AA395" s="398" t="s">
        <v>261</v>
      </c>
      <c r="AB395" s="398" t="s">
        <v>21</v>
      </c>
      <c r="AC395" s="402"/>
      <c r="AD395" s="403"/>
      <c r="AE395" s="404"/>
      <c r="AF395" s="405" t="str">
        <f t="shared" si="295"/>
        <v xml:space="preserve">       </v>
      </c>
      <c r="AG395" s="285" t="str">
        <f t="shared" si="297"/>
        <v>-</v>
      </c>
      <c r="AH395" s="404"/>
      <c r="AI395" s="406" t="str">
        <f t="shared" si="298"/>
        <v>OK</v>
      </c>
      <c r="AJ395" s="403"/>
      <c r="AK395" s="404"/>
      <c r="AL395" s="405" t="str">
        <f t="shared" si="263"/>
        <v xml:space="preserve">       </v>
      </c>
      <c r="AM395" s="285" t="str">
        <f t="shared" si="284"/>
        <v>-</v>
      </c>
      <c r="AN395" s="404"/>
      <c r="AO395" s="406" t="str">
        <f t="shared" si="299"/>
        <v>OK</v>
      </c>
      <c r="AP395" s="403"/>
      <c r="AQ395" s="513"/>
      <c r="AR395" s="405" t="str">
        <f t="shared" si="264"/>
        <v xml:space="preserve">       </v>
      </c>
      <c r="AS395" s="285" t="s">
        <v>593</v>
      </c>
      <c r="AT395" s="38"/>
      <c r="AU395" s="38"/>
      <c r="AV395" s="403"/>
      <c r="AW395" s="404"/>
      <c r="AX395" s="405" t="str">
        <f t="shared" si="265"/>
        <v xml:space="preserve">       </v>
      </c>
      <c r="AY395" s="285" t="str">
        <f t="shared" si="285"/>
        <v>-</v>
      </c>
      <c r="AZ395" s="404"/>
      <c r="BA395" s="478" t="s">
        <v>594</v>
      </c>
      <c r="BB395" s="403"/>
      <c r="BC395" s="404"/>
      <c r="BD395" s="405" t="str">
        <f t="shared" si="266"/>
        <v xml:space="preserve">       </v>
      </c>
      <c r="BE395" s="285" t="str">
        <f t="shared" si="286"/>
        <v>-</v>
      </c>
      <c r="BF395" s="404"/>
      <c r="BG395" s="406" t="str">
        <f t="shared" si="300"/>
        <v>OK</v>
      </c>
      <c r="BH395" s="403"/>
      <c r="BI395" s="510" t="s">
        <v>705</v>
      </c>
      <c r="BJ395" s="405" t="str">
        <f t="shared" si="305"/>
        <v xml:space="preserve">       </v>
      </c>
      <c r="BK395" s="285" t="s">
        <v>593</v>
      </c>
      <c r="BL395" s="404"/>
      <c r="BM395" s="478" t="s">
        <v>594</v>
      </c>
      <c r="BN395" s="403"/>
      <c r="BO395" s="404"/>
      <c r="BP395" s="405" t="str">
        <f t="shared" si="267"/>
        <v xml:space="preserve">       </v>
      </c>
      <c r="BQ395" s="285" t="str">
        <f t="shared" si="287"/>
        <v>-</v>
      </c>
      <c r="BR395" s="404"/>
      <c r="BS395" s="406" t="str">
        <f t="shared" si="301"/>
        <v>OK</v>
      </c>
      <c r="BT395" s="403"/>
      <c r="BU395" s="513"/>
      <c r="BV395" s="405" t="str">
        <f t="shared" si="268"/>
        <v xml:space="preserve">       </v>
      </c>
      <c r="BW395" s="285" t="s">
        <v>593</v>
      </c>
      <c r="BX395" s="405"/>
      <c r="BY395" s="285" t="str">
        <f t="shared" si="306"/>
        <v>-</v>
      </c>
      <c r="BZ395" s="403"/>
      <c r="CA395" s="404"/>
      <c r="CB395" s="405" t="str">
        <f t="shared" si="269"/>
        <v xml:space="preserve">       </v>
      </c>
      <c r="CC395" s="285" t="str">
        <f t="shared" si="289"/>
        <v>-</v>
      </c>
      <c r="CD395" s="404"/>
      <c r="CE395" s="406" t="str">
        <f t="shared" si="302"/>
        <v>OK</v>
      </c>
      <c r="CF395" s="403"/>
      <c r="CG395" s="404"/>
      <c r="CH395" s="405" t="str">
        <f t="shared" si="270"/>
        <v xml:space="preserve">       </v>
      </c>
      <c r="CI395" s="285" t="str">
        <f t="shared" si="290"/>
        <v>-</v>
      </c>
      <c r="CJ395" s="404"/>
      <c r="CK395" s="406" t="str">
        <f t="shared" si="303"/>
        <v>OK</v>
      </c>
      <c r="CL395" s="403"/>
      <c r="CM395" s="404"/>
      <c r="CN395" s="405" t="str">
        <f t="shared" si="271"/>
        <v xml:space="preserve">       </v>
      </c>
      <c r="CO395" s="285" t="s">
        <v>593</v>
      </c>
      <c r="CP395" s="405"/>
      <c r="CQ395" s="285" t="str">
        <f t="shared" si="307"/>
        <v>-</v>
      </c>
      <c r="CR395" s="403"/>
      <c r="CS395" s="404"/>
      <c r="CT395" s="405" t="str">
        <f t="shared" si="272"/>
        <v xml:space="preserve">       </v>
      </c>
      <c r="CU395" s="285" t="str">
        <f t="shared" si="292"/>
        <v>-</v>
      </c>
      <c r="CV395" s="404"/>
      <c r="CW395" s="92" t="s">
        <v>593</v>
      </c>
      <c r="CX395" s="403"/>
      <c r="CY395" s="404"/>
      <c r="CZ395" s="405" t="str">
        <f t="shared" si="273"/>
        <v xml:space="preserve">       </v>
      </c>
      <c r="DA395" s="285" t="str">
        <f t="shared" si="293"/>
        <v>-</v>
      </c>
      <c r="DB395" s="404"/>
      <c r="DC395" s="92" t="s">
        <v>593</v>
      </c>
    </row>
    <row r="396" spans="1:107" s="81" customFormat="1" ht="127.9" thickBot="1">
      <c r="A396" s="221"/>
      <c r="B396" s="243">
        <f t="shared" si="283"/>
        <v>389</v>
      </c>
      <c r="C396" s="244"/>
      <c r="D396" s="244"/>
      <c r="E396" s="244"/>
      <c r="F396" s="246" t="s">
        <v>315</v>
      </c>
      <c r="G396" s="247"/>
      <c r="H396" s="248"/>
      <c r="I396" s="249"/>
      <c r="J396" s="249"/>
      <c r="K396" s="249"/>
      <c r="L396" s="249"/>
      <c r="M396" s="392" t="s">
        <v>357</v>
      </c>
      <c r="N396" s="399"/>
      <c r="O396" s="400"/>
      <c r="P396" s="279">
        <f>P395+1</f>
        <v>361</v>
      </c>
      <c r="Q396" s="410">
        <v>1</v>
      </c>
      <c r="R396" s="37">
        <v>9</v>
      </c>
      <c r="S396" s="410" t="s">
        <v>316</v>
      </c>
      <c r="T396" s="142"/>
      <c r="U396" s="141" t="s">
        <v>257</v>
      </c>
      <c r="V396" s="238"/>
      <c r="W396" s="191" t="str">
        <f>IF(C396&lt;&gt;"","0",IF(D396&lt;&gt;"","1",IF(E396&lt;&gt;"","2",IF(F396&lt;&gt;"","3",IF(G396&lt;&gt;"","4",IF(H396&lt;&gt;"","5"))))))</f>
        <v>3</v>
      </c>
      <c r="X396" s="144" t="s">
        <v>317</v>
      </c>
      <c r="Y396" s="144">
        <v>1</v>
      </c>
      <c r="Z396" s="144">
        <v>1</v>
      </c>
      <c r="AA396" s="239">
        <v>9</v>
      </c>
      <c r="AB396" s="137" t="s">
        <v>257</v>
      </c>
      <c r="AC396" s="240"/>
      <c r="AD396" s="407"/>
      <c r="AE396" s="484"/>
      <c r="AF396" s="408" t="str">
        <f t="shared" si="295"/>
        <v xml:space="preserve"> </v>
      </c>
      <c r="AG396" s="231" t="str">
        <f t="shared" si="297"/>
        <v>-</v>
      </c>
      <c r="AH396" s="394"/>
      <c r="AI396" s="395" t="str">
        <f t="shared" si="298"/>
        <v>OK</v>
      </c>
      <c r="AJ396" s="407"/>
      <c r="AK396" s="484"/>
      <c r="AL396" s="408" t="str">
        <f t="shared" si="263"/>
        <v xml:space="preserve"> </v>
      </c>
      <c r="AM396" s="231" t="str">
        <f t="shared" si="284"/>
        <v>-</v>
      </c>
      <c r="AN396" s="394"/>
      <c r="AO396" s="395" t="str">
        <f t="shared" si="299"/>
        <v>OK</v>
      </c>
      <c r="AP396" s="407"/>
      <c r="AQ396" s="511"/>
      <c r="AR396" s="408" t="str">
        <f t="shared" si="264"/>
        <v xml:space="preserve"> </v>
      </c>
      <c r="AS396" s="231" t="s">
        <v>593</v>
      </c>
      <c r="AT396" s="38"/>
      <c r="AU396" s="38"/>
      <c r="AV396" s="407"/>
      <c r="AW396" s="484"/>
      <c r="AX396" s="408" t="str">
        <f t="shared" si="265"/>
        <v xml:space="preserve"> </v>
      </c>
      <c r="AY396" s="231" t="str">
        <f t="shared" si="285"/>
        <v>-</v>
      </c>
      <c r="AZ396" s="486"/>
      <c r="BA396" s="479" t="s">
        <v>245</v>
      </c>
      <c r="BB396" s="407"/>
      <c r="BC396" s="484" t="s">
        <v>385</v>
      </c>
      <c r="BD396" s="408" t="str">
        <f t="shared" si="266"/>
        <v>6</v>
      </c>
      <c r="BE396" s="231" t="str">
        <f t="shared" si="286"/>
        <v>-</v>
      </c>
      <c r="BF396" s="394">
        <v>6</v>
      </c>
      <c r="BG396" s="395" t="str">
        <f t="shared" si="300"/>
        <v>OK</v>
      </c>
      <c r="BH396" s="407"/>
      <c r="BI396" s="511" t="s">
        <v>368</v>
      </c>
      <c r="BJ396" s="408" t="str">
        <f t="shared" si="305"/>
        <v xml:space="preserve"> </v>
      </c>
      <c r="BK396" s="231" t="s">
        <v>593</v>
      </c>
      <c r="BL396" s="486"/>
      <c r="BM396" s="479" t="s">
        <v>245</v>
      </c>
      <c r="BN396" s="407"/>
      <c r="BO396" s="484"/>
      <c r="BP396" s="408" t="str">
        <f t="shared" si="267"/>
        <v xml:space="preserve"> </v>
      </c>
      <c r="BQ396" s="231" t="str">
        <f t="shared" si="287"/>
        <v>-</v>
      </c>
      <c r="BR396" s="394"/>
      <c r="BS396" s="395" t="str">
        <f t="shared" si="301"/>
        <v>OK</v>
      </c>
      <c r="BT396" s="407"/>
      <c r="BU396" s="511"/>
      <c r="BV396" s="408" t="str">
        <f t="shared" si="268"/>
        <v xml:space="preserve"> </v>
      </c>
      <c r="BW396" s="231" t="s">
        <v>593</v>
      </c>
      <c r="BX396" s="408"/>
      <c r="BY396" s="231" t="str">
        <f t="shared" si="306"/>
        <v>-</v>
      </c>
      <c r="BZ396" s="407"/>
      <c r="CA396" s="484"/>
      <c r="CB396" s="408" t="str">
        <f t="shared" si="269"/>
        <v xml:space="preserve"> </v>
      </c>
      <c r="CC396" s="231" t="str">
        <f t="shared" si="289"/>
        <v>-</v>
      </c>
      <c r="CD396" s="394"/>
      <c r="CE396" s="395" t="str">
        <f t="shared" si="302"/>
        <v>OK</v>
      </c>
      <c r="CF396" s="407"/>
      <c r="CG396" s="484"/>
      <c r="CH396" s="408" t="str">
        <f t="shared" si="270"/>
        <v xml:space="preserve"> </v>
      </c>
      <c r="CI396" s="231" t="str">
        <f t="shared" si="290"/>
        <v>-</v>
      </c>
      <c r="CJ396" s="394"/>
      <c r="CK396" s="395" t="str">
        <f t="shared" si="303"/>
        <v>OK</v>
      </c>
      <c r="CL396" s="407"/>
      <c r="CM396" s="484"/>
      <c r="CN396" s="408" t="str">
        <f t="shared" si="271"/>
        <v xml:space="preserve"> </v>
      </c>
      <c r="CO396" s="231" t="s">
        <v>593</v>
      </c>
      <c r="CP396" s="408"/>
      <c r="CQ396" s="231" t="str">
        <f t="shared" si="307"/>
        <v>-</v>
      </c>
      <c r="CR396" s="407"/>
      <c r="CS396" s="484"/>
      <c r="CT396" s="408" t="str">
        <f t="shared" si="272"/>
        <v xml:space="preserve"> </v>
      </c>
      <c r="CU396" s="231" t="str">
        <f t="shared" si="292"/>
        <v>-</v>
      </c>
      <c r="CV396" s="486"/>
      <c r="CW396" s="395" t="s">
        <v>593</v>
      </c>
      <c r="CX396" s="407"/>
      <c r="CY396" s="484"/>
      <c r="CZ396" s="408" t="str">
        <f t="shared" si="273"/>
        <v xml:space="preserve"> </v>
      </c>
      <c r="DA396" s="231" t="str">
        <f t="shared" si="293"/>
        <v>-</v>
      </c>
      <c r="DB396" s="486"/>
      <c r="DC396" s="395" t="s">
        <v>593</v>
      </c>
    </row>
    <row r="397" spans="1:107" ht="13.15" thickTop="1"/>
  </sheetData>
  <autoFilter ref="A7:DC396">
    <filterColumn colId="2" showButton="0"/>
    <filterColumn colId="3" showButton="0"/>
    <filterColumn colId="4" showButton="0"/>
    <filterColumn colId="5" showButton="0"/>
    <filterColumn colId="6" showButton="0"/>
  </autoFilter>
  <mergeCells count="33">
    <mergeCell ref="AJ6:AO6"/>
    <mergeCell ref="AP6:AU6"/>
    <mergeCell ref="AV6:BA6"/>
    <mergeCell ref="BB6:BG6"/>
    <mergeCell ref="CR6:CW6"/>
    <mergeCell ref="CX6:DC6"/>
    <mergeCell ref="BH6:BM6"/>
    <mergeCell ref="BN6:BS6"/>
    <mergeCell ref="BT6:BY6"/>
    <mergeCell ref="BZ6:CE6"/>
    <mergeCell ref="CF6:CK6"/>
    <mergeCell ref="CL6:CQ6"/>
    <mergeCell ref="B2:E2"/>
    <mergeCell ref="F2:H2"/>
    <mergeCell ref="I2:K2"/>
    <mergeCell ref="L2:O2"/>
    <mergeCell ref="P2:S2"/>
    <mergeCell ref="T2:V2"/>
    <mergeCell ref="W6:AC6"/>
    <mergeCell ref="AD6:AI6"/>
    <mergeCell ref="E30:H30"/>
    <mergeCell ref="C7:H7"/>
    <mergeCell ref="E24:H24"/>
    <mergeCell ref="E25:H25"/>
    <mergeCell ref="E26:H26"/>
    <mergeCell ref="E27:H27"/>
    <mergeCell ref="E28:H28"/>
    <mergeCell ref="L3:V3"/>
    <mergeCell ref="B4:K4"/>
    <mergeCell ref="L4:V4"/>
    <mergeCell ref="B6:O6"/>
    <mergeCell ref="P6:V6"/>
    <mergeCell ref="B3:K3"/>
  </mergeCells>
  <phoneticPr fontId="3"/>
  <hyperlinks>
    <hyperlink ref="L4" r:id="rId1"/>
    <hyperlink ref="L3" r:id="rId2"/>
  </hyperlinks>
  <pageMargins left="0.62992125984251968" right="0.55118110236220474" top="0.51181102362204722" bottom="0.47244094488188981" header="0.31496062992125984" footer="0.31496062992125984"/>
  <pageSetup paperSize="9" scale="10" fitToHeight="10" orientation="landscape" r:id="rId3"/>
  <headerFooter alignWithMargins="0">
    <oddHeader xml:space="preserve">&amp;R&amp;"ＭＳ Ｐゴシック"&amp;9 &amp;"ＭＳ Ｐゴシック"&amp;11 &amp;"ＭＳ Ｐゴシック"&amp;9 【社外秘B】&amp;"ＭＳ Ｐゴシック,標準"&amp;11 
</oddHeader>
    <oddFooter xml:space="preserve">&amp;C&amp;"ＭＳ Ｐゴシック"&amp;11 &amp;"ＭＳ Ｐゴシック"&amp;9 KDDI情報システム開発PJ関係各社　情報システム開発関係者のみ&amp;"ＭＳ Ｐゴシック,標準"&amp;11 
</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287676697870445AE99785712142278" ma:contentTypeVersion="0" ma:contentTypeDescription="新しいドキュメントを作成します。" ma:contentTypeScope="" ma:versionID="9cd4863f177160b87af747e3a1c91ef1">
  <xsd:schema xmlns:xsd="http://www.w3.org/2001/XMLSchema" xmlns:xs="http://www.w3.org/2001/XMLSchema" xmlns:p="http://schemas.microsoft.com/office/2006/metadata/properties" targetNamespace="http://schemas.microsoft.com/office/2006/metadata/properties" ma:root="true" ma:fieldsID="e3fc15230516dd5e85220f060eed4ba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3383601-D44B-4393-ACED-D9B90FC74A4E}">
  <ds:schemaRefs>
    <ds:schemaRef ds:uri="http://schemas.microsoft.com/sharepoint/v3/contenttype/forms"/>
  </ds:schemaRefs>
</ds:datastoreItem>
</file>

<file path=customXml/itemProps2.xml><?xml version="1.0" encoding="utf-8"?>
<ds:datastoreItem xmlns:ds="http://schemas.openxmlformats.org/officeDocument/2006/customXml" ds:itemID="{C2B186A1-BF90-456C-A261-58B704DE73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37143B8-E6EC-453A-9082-AC9B870CBC4E}">
  <ds:schemaRefs>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elements/1.1/"/>
    <ds:schemaRef ds:uri="http://purl.org/dc/dcmitype/"/>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4</vt:i4>
      </vt:variant>
    </vt:vector>
  </HeadingPairs>
  <TitlesOfParts>
    <vt:vector size="8" baseType="lpstr">
      <vt:lpstr>Generator</vt:lpstr>
      <vt:lpstr>試験概要</vt:lpstr>
      <vt:lpstr>試験票</vt:lpstr>
      <vt:lpstr>B004</vt:lpstr>
      <vt:lpstr>'B004'!Print_Area</vt:lpstr>
      <vt:lpstr>試験票!Print_Area</vt:lpstr>
      <vt:lpstr>'B004'!Print_Titles</vt:lpstr>
      <vt:lpstr>試験票!Print_Titles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Liang, Zhao-Fei (ES-Apps-GD-CQ)</dc:creator>
  <cp:lastModifiedBy>Nobuyuki.Sakurai</cp:lastModifiedBy>
  <cp:lastPrinted>2016-04-05T09:02:14Z</cp:lastPrinted>
  <dcterms:created xsi:type="dcterms:W3CDTF">2008-03-12T10:22:56Z</dcterms:created>
  <dcterms:modified xsi:type="dcterms:W3CDTF">2018-06-28T07:08:57Z</dcterms:modified>
</cp:coreProperties>
</file>